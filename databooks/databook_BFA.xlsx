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opulation Definitions" sheetId="1" r:id="rId1"/>
    <sheet name="Disease Burden" sheetId="2" r:id="rId2"/>
    <sheet name="Demographics" sheetId="3" r:id="rId3"/>
    <sheet name="Infectiousness" sheetId="4" r:id="rId4"/>
    <sheet name="Disease Progression" sheetId="5" r:id="rId5"/>
    <sheet name="Diagnosis" sheetId="6" r:id="rId6"/>
    <sheet name="Loss to follow-up" sheetId="7" r:id="rId7"/>
    <sheet name="Re-engagement" sheetId="8" r:id="rId8"/>
    <sheet name="Treatment" sheetId="9" r:id="rId9"/>
    <sheet name="Liver Transplant" sheetId="10" r:id="rId10"/>
    <sheet name="Overall Indicators" sheetId="11" r:id="rId11"/>
    <sheet name="Initialization" sheetId="12" r:id="rId12"/>
    <sheet name="Care Cascade" sheetId="13" r:id="rId13"/>
    <sheet name="Other intermediate pars" sheetId="14" r:id="rId14"/>
    <sheet name="Vaccine parameters" sheetId="15" r:id="rId15"/>
    <sheet name="Interactions" sheetId="16" r:id="rId16"/>
    <sheet name="Transfers" sheetId="17" r:id="rId17"/>
  </sheets>
  <calcPr calcId="124519" fullCalcOnLoad="1"/>
</workbook>
</file>

<file path=xl/comments1.xml><?xml version="1.0" encoding="utf-8"?>
<comments xmlns="http://schemas.openxmlformats.org/spreadsheetml/2006/main">
  <authors>
    <author/>
  </authors>
  <commentList>
    <comment ref="A169" authorId="0">
      <text>
        <r>
          <rPr>
            <sz val="8"/>
            <color indexed="81"/>
            <rFont val="Tahoma"/>
            <family val="2"/>
          </rPr>
          <t>Proportion of undiagnosed that can't be reached by existing services (can be linked to care via programs)</t>
        </r>
      </text>
    </comment>
  </commentList>
</comments>
</file>

<file path=xl/sharedStrings.xml><?xml version="1.0" encoding="utf-8"?>
<sst xmlns="http://schemas.openxmlformats.org/spreadsheetml/2006/main" count="6575" uniqueCount="776">
  <si>
    <t>Abbreviation</t>
  </si>
  <si>
    <t>Full Name</t>
  </si>
  <si>
    <t>Population type</t>
  </si>
  <si>
    <t>PWID_males</t>
  </si>
  <si>
    <t>People Who Inject Drugs (males)</t>
  </si>
  <si>
    <t>human</t>
  </si>
  <si>
    <t>PWID_females</t>
  </si>
  <si>
    <t>People Who Inject Drugs (females)</t>
  </si>
  <si>
    <t>0-9_males</t>
  </si>
  <si>
    <t>General Population 0-9 males</t>
  </si>
  <si>
    <t>0-9_females</t>
  </si>
  <si>
    <t>General Population 0-9 females</t>
  </si>
  <si>
    <t>10-17_males</t>
  </si>
  <si>
    <t>General Population 10-17 males</t>
  </si>
  <si>
    <t>10-17_females</t>
  </si>
  <si>
    <t>General Population 10-17 females</t>
  </si>
  <si>
    <t>18-64_males</t>
  </si>
  <si>
    <t>General Population 18-64 males</t>
  </si>
  <si>
    <t>18-64_females</t>
  </si>
  <si>
    <t>General Population 18-64 females</t>
  </si>
  <si>
    <t>65+_males</t>
  </si>
  <si>
    <t>General Population 65+ males</t>
  </si>
  <si>
    <t>65+_females</t>
  </si>
  <si>
    <t>General Population 65+ females</t>
  </si>
  <si>
    <t>Prisoners_males</t>
  </si>
  <si>
    <t>Prisoners (males)</t>
  </si>
  <si>
    <t>Prisoners_females</t>
  </si>
  <si>
    <t>Prisoners (females)</t>
  </si>
  <si>
    <t>Population living with chronic HCV</t>
  </si>
  <si>
    <t>Provenance</t>
  </si>
  <si>
    <t>Units</t>
  </si>
  <si>
    <t>Uncertainty</t>
  </si>
  <si>
    <t>Number</t>
  </si>
  <si>
    <t>HCV Prevalence</t>
  </si>
  <si>
    <t>Fraction</t>
  </si>
  <si>
    <t>Proportion who have F0-F2</t>
  </si>
  <si>
    <t>Constant</t>
  </si>
  <si>
    <t>OR</t>
  </si>
  <si>
    <t>Proportion who have F3</t>
  </si>
  <si>
    <t>Proportion who have F4</t>
  </si>
  <si>
    <t>Proportion who have DC</t>
  </si>
  <si>
    <t>Proportion who have HCC</t>
  </si>
  <si>
    <t>Undiagnosed proportion</t>
  </si>
  <si>
    <t>Proportion that failed treatments</t>
  </si>
  <si>
    <t>Proportion LTFU after Ab diagnosis</t>
  </si>
  <si>
    <t>Proportion LTFU after RNA diagnosis</t>
  </si>
  <si>
    <t>Proportion LTFU after failed treatment 1</t>
  </si>
  <si>
    <t>Proportion of undiagnosed that are lost to care</t>
  </si>
  <si>
    <t>Proportion</t>
  </si>
  <si>
    <t>Population size</t>
  </si>
  <si>
    <t>Number of live births</t>
  </si>
  <si>
    <t>Number (per year)</t>
  </si>
  <si>
    <t>Net migration rate</t>
  </si>
  <si>
    <t>Rate (per year)</t>
  </si>
  <si>
    <t>All cause death rate</t>
  </si>
  <si>
    <t>Force of Infection constant</t>
  </si>
  <si>
    <t>N.A.</t>
  </si>
  <si>
    <t>Infectivity among the general population</t>
  </si>
  <si>
    <t>Probability (per year)</t>
  </si>
  <si>
    <t>Proportion of HCV infections spontaneously clearing</t>
  </si>
  <si>
    <t>Average duration for spontaneous viral clearance</t>
  </si>
  <si>
    <t>Framework-supplied default</t>
  </si>
  <si>
    <t>Duration (years)</t>
  </si>
  <si>
    <t>F0 to F1 progression rate (intermediate step)</t>
  </si>
  <si>
    <t>F1 to F2 progression rate (intermediate step)</t>
  </si>
  <si>
    <t>F2 to F3 progression rate (intermediate step)</t>
  </si>
  <si>
    <t>F3 to F4 progression rate (intermediate step)</t>
  </si>
  <si>
    <t>F4 to DC progression rate (intermediate step)</t>
  </si>
  <si>
    <t>F4 to HCC progression rate (intermediate step)</t>
  </si>
  <si>
    <t>Susceptible DC relapse rate (intermediate step)</t>
  </si>
  <si>
    <t>Susceptible HCC relapse rate (intermediate step)</t>
  </si>
  <si>
    <t>DC to HCC progression rate (intermediate step)</t>
  </si>
  <si>
    <t>F4 death rate (intermediate step)</t>
  </si>
  <si>
    <t>DC death rate (intermediate step)</t>
  </si>
  <si>
    <t>HCC death rate (intermediate step)</t>
  </si>
  <si>
    <t>Liver Transplant in Year 1 death rate (intermediate step)</t>
  </si>
  <si>
    <t>Liver Transplant 2+ Years Ago death rate (intermediate step)</t>
  </si>
  <si>
    <t>Reduction in mortality post DC cure</t>
  </si>
  <si>
    <t>Reduction in mortality post HCC cure</t>
  </si>
  <si>
    <t>Antibody testing rate in F0-F2, undiagnosed, in care (intermediate step)</t>
  </si>
  <si>
    <t>Antibody testing rate in F3+, undiagnosed, in care (intermediate step)</t>
  </si>
  <si>
    <t>RNA testing rate in F0-F2, Ab diagnosed, in care (intermediate step)</t>
  </si>
  <si>
    <t>RNA testing rate in F3+, Ab diagnosed, in care (intermediate step)</t>
  </si>
  <si>
    <t>Loss to follow-up rate on antibody test in F0-F2</t>
  </si>
  <si>
    <t>Loss to follow-up rate on antibody test in F3+</t>
  </si>
  <si>
    <t>Loss to follow-up rate on PCR test in F0-F2</t>
  </si>
  <si>
    <t>Loss to follow-up rate on PCR test in F3+</t>
  </si>
  <si>
    <t>Loss to follow-up rate after treatment initiation in F0-F2</t>
  </si>
  <si>
    <t>Loss to follow-up rate after treatment initiation in F3+</t>
  </si>
  <si>
    <t>Antibody re-engagement in care, F0-F2, lost to follow-up after Ab test</t>
  </si>
  <si>
    <t>Antibody re-engagement in care, F3+, lost to follow-up after Ab test</t>
  </si>
  <si>
    <t>RNA re-engagement in care, F0-F2, lost to follow up after RNA test</t>
  </si>
  <si>
    <t>RNA re-engagement in care, F3+, lost to follow up after RNA test</t>
  </si>
  <si>
    <t>Re-engagement in care after treatment initiation, F0-F2</t>
  </si>
  <si>
    <t>Re-engagement in care after treatment initiation, F3+</t>
  </si>
  <si>
    <t>RNA re-engagement in care, F0-F2, lost to follow up after Ab test</t>
  </si>
  <si>
    <t>RNA re-engagement in care, F3+, lost to follow up after Ab test</t>
  </si>
  <si>
    <t>Proportion of treatments allocated to each population pre-DAA</t>
  </si>
  <si>
    <t>Proportion of treatments allocated to each population post-DAA</t>
  </si>
  <si>
    <t>Proportion of treatments allocated to each population pre-DAA (PWID and Prisoners)</t>
  </si>
  <si>
    <t>Proportion of treatments allocated to each population post-DAA (PWID and Prisoners)</t>
  </si>
  <si>
    <t>Average treatment duration</t>
  </si>
  <si>
    <t>Probability of achieving SVR</t>
  </si>
  <si>
    <t>Proportion of treatments that are retreatments due to failure</t>
  </si>
  <si>
    <t>DC to liver transplant rate</t>
  </si>
  <si>
    <t>HCC to liver transplant rate</t>
  </si>
  <si>
    <t>DC liver transplant 1 to 2+ years ago rate</t>
  </si>
  <si>
    <t>HCC liver transplant 1 to 2+ years ago rate</t>
  </si>
  <si>
    <t>Percent diagnosed Ab or RNA (ever)</t>
  </si>
  <si>
    <t>Total</t>
  </si>
  <si>
    <t>Number of treatments</t>
  </si>
  <si>
    <t>Chronic HCV infections</t>
  </si>
  <si>
    <t>Total number of people living with HCV</t>
  </si>
  <si>
    <t>Positive antibody tests</t>
  </si>
  <si>
    <t>Total number of diagnoses</t>
  </si>
  <si>
    <t>Chronic HCV infections in F0-F2</t>
  </si>
  <si>
    <t>Chronic HCV infections in F3</t>
  </si>
  <si>
    <t>Number of prevalent cases of compensated cirrhosis due to HCV (including cured)</t>
  </si>
  <si>
    <t>Number of prevalent cases of decompensated compensated cirrhosis due to HCV (including cured)</t>
  </si>
  <si>
    <t>Chronic HCV infections in HCC</t>
  </si>
  <si>
    <t>HCV incidence</t>
  </si>
  <si>
    <t>DC incidence</t>
  </si>
  <si>
    <t>HCC incidence</t>
  </si>
  <si>
    <t>Liver transplants due to HCV</t>
  </si>
  <si>
    <t>HCV-related deaths</t>
  </si>
  <si>
    <t>All-cause deaths (18+)</t>
  </si>
  <si>
    <t>Population living with acute HCV</t>
  </si>
  <si>
    <t>Susceptible, antibody positive (aware, unaware, treated)</t>
  </si>
  <si>
    <t>Susceptible (all)</t>
  </si>
  <si>
    <t>Liver Fibrosis F0 (Chronic) (vaccinated)</t>
  </si>
  <si>
    <t>Liver Fibrosis F1 (Chronic) (vaccinated)</t>
  </si>
  <si>
    <t>Liver Fibrosis F2 (Chronic) (vaccinated)</t>
  </si>
  <si>
    <t>Liver Fibrosis F0-2 (Chronic) (vaccinated)</t>
  </si>
  <si>
    <t>Liver Fibrosis F3 (Chronic) (vaccinated)</t>
  </si>
  <si>
    <t>Liver Fibrosis F4 (Chronic) (vaccinated)</t>
  </si>
  <si>
    <t>Liver Fibrosis F3-4 (Chronic) (vaccinated)</t>
  </si>
  <si>
    <t>Liver Fibrosis All Stages (Chronic) (vaccinated)</t>
  </si>
  <si>
    <t>Decompensated Cirrhosis (Chronic) (vaccinated)</t>
  </si>
  <si>
    <t>Hepatocellular Carcinoma (Chronic) (vaccinated)</t>
  </si>
  <si>
    <t>Decompensated Cirrhosis and Hepatocellular Carcinoma (Chronic) (vaccinated)</t>
  </si>
  <si>
    <t>Population living with acute HCV (vaccinated)</t>
  </si>
  <si>
    <t>Population living with chronic HCV (vaccinated)</t>
  </si>
  <si>
    <t>Susceptible, antibody positive (aware, unaware, treated) (vaccinated)</t>
  </si>
  <si>
    <t>Susceptible (all) (vaccinated)</t>
  </si>
  <si>
    <t>Total population living with HCV</t>
  </si>
  <si>
    <t>Failed treatment 1 F0</t>
  </si>
  <si>
    <t>Failed treatment 1 F1</t>
  </si>
  <si>
    <t>Failed treatment 1 F2</t>
  </si>
  <si>
    <t>Failed treatment 1 F3</t>
  </si>
  <si>
    <t>Failed treatment 1 F4</t>
  </si>
  <si>
    <t>Failed treatment 1 DC</t>
  </si>
  <si>
    <t>Failed treatment 1 HCC</t>
  </si>
  <si>
    <t>Failed treatment 2 F0</t>
  </si>
  <si>
    <t>Failed treatment 2 F1</t>
  </si>
  <si>
    <t>Failed treatment 2 F2</t>
  </si>
  <si>
    <t>Failed treatment 2 F3</t>
  </si>
  <si>
    <t>Failed treatment 2 F4</t>
  </si>
  <si>
    <t>Failed treatment 2 DC</t>
  </si>
  <si>
    <t>Failed treatment 2 HCC</t>
  </si>
  <si>
    <t>Number undiagnosed F0</t>
  </si>
  <si>
    <t>Number undiagnosed F1</t>
  </si>
  <si>
    <t>Number undiagnosed F2</t>
  </si>
  <si>
    <t>Number undiagnosed F3</t>
  </si>
  <si>
    <t>Number undiagnosed F4</t>
  </si>
  <si>
    <t>Number undiagnosed DC</t>
  </si>
  <si>
    <t>Number undiagnosed HCC</t>
  </si>
  <si>
    <t>Number undiagnosed acute</t>
  </si>
  <si>
    <t>LTFU failed tx 1 F0</t>
  </si>
  <si>
    <t>LTFU failed tx 1 F1</t>
  </si>
  <si>
    <t>LTFU failed tx 1 F2</t>
  </si>
  <si>
    <t>LTFU failed tx 1 F3</t>
  </si>
  <si>
    <t>LTFU failed tx 1 F4</t>
  </si>
  <si>
    <t>LTFU failed tx 1 DC</t>
  </si>
  <si>
    <t>LTFU failed tx 1 HCC</t>
  </si>
  <si>
    <t>LTFU antibody test F0</t>
  </si>
  <si>
    <t>LTFU antibody test F1</t>
  </si>
  <si>
    <t>LTFU antibody test F2</t>
  </si>
  <si>
    <t>LTFU antibody test F3</t>
  </si>
  <si>
    <t>LTFU antibody test F4</t>
  </si>
  <si>
    <t>LTFU antibody test DC</t>
  </si>
  <si>
    <t>LTFU antibody test HCC</t>
  </si>
  <si>
    <t>LTFU PCR test F0</t>
  </si>
  <si>
    <t>LTFU PCR test F1</t>
  </si>
  <si>
    <t>LTFU PCR test F2</t>
  </si>
  <si>
    <t>LTFU PCR test F3</t>
  </si>
  <si>
    <t>LTFU PCR test F4</t>
  </si>
  <si>
    <t>LTFU PCR test DC</t>
  </si>
  <si>
    <t>LTFU PCR test HCC</t>
  </si>
  <si>
    <t>On treatment 1 F0</t>
  </si>
  <si>
    <t>On treatment 1 F1</t>
  </si>
  <si>
    <t>On treatment 1 F2</t>
  </si>
  <si>
    <t>On treatment 1 F3</t>
  </si>
  <si>
    <t>On treatment 1 F4</t>
  </si>
  <si>
    <t>On treatment 1 DC</t>
  </si>
  <si>
    <t>On treatment 1 HCC</t>
  </si>
  <si>
    <t>On treatment 2 F0</t>
  </si>
  <si>
    <t>On treatment 2 F1</t>
  </si>
  <si>
    <t>On treatment 2 F2</t>
  </si>
  <si>
    <t>On treatment 2 F3</t>
  </si>
  <si>
    <t>On treatment 2 F4</t>
  </si>
  <si>
    <t>On treatment 2 DC</t>
  </si>
  <si>
    <t>On treatment 2 HCC</t>
  </si>
  <si>
    <t>Undiagnosed, lost to care f0</t>
  </si>
  <si>
    <t>Undiagnosed, lost to care f1</t>
  </si>
  <si>
    <t>Undiagnosed, lost to care f2</t>
  </si>
  <si>
    <t>Undiagnosed, lost to care f3</t>
  </si>
  <si>
    <t>Undiagnosed, lost to care f4</t>
  </si>
  <si>
    <t>Undiagnosed, lost to care dc</t>
  </si>
  <si>
    <t>Undiagnosed, lost to care hcc</t>
  </si>
  <si>
    <t>Multiplier for progression rates (intermediate step for calibration)</t>
  </si>
  <si>
    <t>Multiplier for death rates (intermediate step for calibration)</t>
  </si>
  <si>
    <t>Testing rate multiplier non-PWID (intermediate calculation/calibration step)</t>
  </si>
  <si>
    <t>Separate test multiplier for PWID and Prisoners (no need to calibrate it)</t>
  </si>
  <si>
    <t>Number of treatments per population group (intermediate calculation step)</t>
  </si>
  <si>
    <t>Prevalence (intermediate calibration step)</t>
  </si>
  <si>
    <t>Vaccine: vaccination uptake</t>
  </si>
  <si>
    <t>Vaccine: duration for waning effectiveness</t>
  </si>
  <si>
    <t>Vaccine: proportion of HCV infections spontaneously clearing</t>
  </si>
  <si>
    <t>Vaccine: duration for spontaneous viral clearance</t>
  </si>
  <si>
    <t>Vaccine: FOI multiplier for PWID</t>
  </si>
  <si>
    <t>Vaccine: FOI multiplier for gPop</t>
  </si>
  <si>
    <t>idu</t>
  </si>
  <si>
    <t>Injecting Drug Use Transmission</t>
  </si>
  <si>
    <t>From population type</t>
  </si>
  <si>
    <t>To population type</t>
  </si>
  <si>
    <t>Y</t>
  </si>
  <si>
    <t>N</t>
  </si>
  <si>
    <t>From population</t>
  </si>
  <si>
    <t>To population</t>
  </si>
  <si>
    <t>Interactions!$B$5</t>
  </si>
  <si>
    <t>Interactions!$C$5</t>
  </si>
  <si>
    <t>Interactions!$D$5</t>
  </si>
  <si>
    <t>Interactions!$E$5</t>
  </si>
  <si>
    <t>Interactions!$F$5</t>
  </si>
  <si>
    <t>Interactions!$G$5</t>
  </si>
  <si>
    <t>Interactions!$H$5</t>
  </si>
  <si>
    <t>Interactions!$I$5</t>
  </si>
  <si>
    <t>Interactions!$J$5</t>
  </si>
  <si>
    <t>Interactions!$K$5</t>
  </si>
  <si>
    <t>Interactions!$L$5</t>
  </si>
  <si>
    <t>Interactions!$M$5</t>
  </si>
  <si>
    <t>Interactions!$B$6</t>
  </si>
  <si>
    <t>Interactions!$C$6</t>
  </si>
  <si>
    <t>Interactions!$D$6</t>
  </si>
  <si>
    <t>Interactions!$E$6</t>
  </si>
  <si>
    <t>Interactions!$F$6</t>
  </si>
  <si>
    <t>Interactions!$G$6</t>
  </si>
  <si>
    <t>Interactions!$H$6</t>
  </si>
  <si>
    <t>Interactions!$I$6</t>
  </si>
  <si>
    <t>Interactions!$J$6</t>
  </si>
  <si>
    <t>Interactions!$K$6</t>
  </si>
  <si>
    <t>Interactions!$L$6</t>
  </si>
  <si>
    <t>Interactions!$M$6</t>
  </si>
  <si>
    <t>Interactions!$B$7</t>
  </si>
  <si>
    <t>Interactions!$C$7</t>
  </si>
  <si>
    <t>Interactions!$D$7</t>
  </si>
  <si>
    <t>Interactions!$E$7</t>
  </si>
  <si>
    <t>Interactions!$F$7</t>
  </si>
  <si>
    <t>Interactions!$G$7</t>
  </si>
  <si>
    <t>Interactions!$H$7</t>
  </si>
  <si>
    <t>Interactions!$I$7</t>
  </si>
  <si>
    <t>Interactions!$J$7</t>
  </si>
  <si>
    <t>Interactions!$K$7</t>
  </si>
  <si>
    <t>Interactions!$L$7</t>
  </si>
  <si>
    <t>Interactions!$M$7</t>
  </si>
  <si>
    <t>Interactions!$B$8</t>
  </si>
  <si>
    <t>Interactions!$C$8</t>
  </si>
  <si>
    <t>Interactions!$D$8</t>
  </si>
  <si>
    <t>Interactions!$E$8</t>
  </si>
  <si>
    <t>Interactions!$F$8</t>
  </si>
  <si>
    <t>Interactions!$G$8</t>
  </si>
  <si>
    <t>Interactions!$H$8</t>
  </si>
  <si>
    <t>Interactions!$I$8</t>
  </si>
  <si>
    <t>Interactions!$J$8</t>
  </si>
  <si>
    <t>Interactions!$K$8</t>
  </si>
  <si>
    <t>Interactions!$L$8</t>
  </si>
  <si>
    <t>Interactions!$M$8</t>
  </si>
  <si>
    <t>Interactions!$B$9</t>
  </si>
  <si>
    <t>Interactions!$C$9</t>
  </si>
  <si>
    <t>Interactions!$D$9</t>
  </si>
  <si>
    <t>Interactions!$E$9</t>
  </si>
  <si>
    <t>Interactions!$F$9</t>
  </si>
  <si>
    <t>Interactions!$G$9</t>
  </si>
  <si>
    <t>Interactions!$H$9</t>
  </si>
  <si>
    <t>Interactions!$I$9</t>
  </si>
  <si>
    <t>Interactions!$J$9</t>
  </si>
  <si>
    <t>Interactions!$K$9</t>
  </si>
  <si>
    <t>Interactions!$L$9</t>
  </si>
  <si>
    <t>Interactions!$M$9</t>
  </si>
  <si>
    <t>Interactions!$B$10</t>
  </si>
  <si>
    <t>Interactions!$C$10</t>
  </si>
  <si>
    <t>Interactions!$D$10</t>
  </si>
  <si>
    <t>Interactions!$E$10</t>
  </si>
  <si>
    <t>Interactions!$F$10</t>
  </si>
  <si>
    <t>Interactions!$G$10</t>
  </si>
  <si>
    <t>Interactions!$H$10</t>
  </si>
  <si>
    <t>Interactions!$I$10</t>
  </si>
  <si>
    <t>Interactions!$J$10</t>
  </si>
  <si>
    <t>Interactions!$K$10</t>
  </si>
  <si>
    <t>Interactions!$L$10</t>
  </si>
  <si>
    <t>Interactions!$M$10</t>
  </si>
  <si>
    <t>Interactions!$B$11</t>
  </si>
  <si>
    <t>Interactions!$C$11</t>
  </si>
  <si>
    <t>Interactions!$D$11</t>
  </si>
  <si>
    <t>Interactions!$E$11</t>
  </si>
  <si>
    <t>Interactions!$F$11</t>
  </si>
  <si>
    <t>Interactions!$G$11</t>
  </si>
  <si>
    <t>Interactions!$H$11</t>
  </si>
  <si>
    <t>Interactions!$I$11</t>
  </si>
  <si>
    <t>Interactions!$J$11</t>
  </si>
  <si>
    <t>Interactions!$K$11</t>
  </si>
  <si>
    <t>Interactions!$L$11</t>
  </si>
  <si>
    <t>Interactions!$M$11</t>
  </si>
  <si>
    <t>Interactions!$B$12</t>
  </si>
  <si>
    <t>Interactions!$C$12</t>
  </si>
  <si>
    <t>Interactions!$D$12</t>
  </si>
  <si>
    <t>Interactions!$E$12</t>
  </si>
  <si>
    <t>Interactions!$F$12</t>
  </si>
  <si>
    <t>Interactions!$G$12</t>
  </si>
  <si>
    <t>Interactions!$H$12</t>
  </si>
  <si>
    <t>Interactions!$I$12</t>
  </si>
  <si>
    <t>Interactions!$J$12</t>
  </si>
  <si>
    <t>Interactions!$K$12</t>
  </si>
  <si>
    <t>Interactions!$L$12</t>
  </si>
  <si>
    <t>Interactions!$M$12</t>
  </si>
  <si>
    <t>Interactions!$B$13</t>
  </si>
  <si>
    <t>Interactions!$C$13</t>
  </si>
  <si>
    <t>Interactions!$D$13</t>
  </si>
  <si>
    <t>Interactions!$E$13</t>
  </si>
  <si>
    <t>Interactions!$F$13</t>
  </si>
  <si>
    <t>Interactions!$G$13</t>
  </si>
  <si>
    <t>Interactions!$H$13</t>
  </si>
  <si>
    <t>Interactions!$I$13</t>
  </si>
  <si>
    <t>Interactions!$J$13</t>
  </si>
  <si>
    <t>Interactions!$K$13</t>
  </si>
  <si>
    <t>Interactions!$L$13</t>
  </si>
  <si>
    <t>Interactions!$M$13</t>
  </si>
  <si>
    <t>Interactions!$B$14</t>
  </si>
  <si>
    <t>Interactions!$C$14</t>
  </si>
  <si>
    <t>Interactions!$D$14</t>
  </si>
  <si>
    <t>Interactions!$E$14</t>
  </si>
  <si>
    <t>Interactions!$F$14</t>
  </si>
  <si>
    <t>Interactions!$G$14</t>
  </si>
  <si>
    <t>Interactions!$H$14</t>
  </si>
  <si>
    <t>Interactions!$I$14</t>
  </si>
  <si>
    <t>Interactions!$J$14</t>
  </si>
  <si>
    <t>Interactions!$K$14</t>
  </si>
  <si>
    <t>Interactions!$L$14</t>
  </si>
  <si>
    <t>Interactions!$M$14</t>
  </si>
  <si>
    <t>Interactions!$B$15</t>
  </si>
  <si>
    <t>Interactions!$C$15</t>
  </si>
  <si>
    <t>Interactions!$D$15</t>
  </si>
  <si>
    <t>Interactions!$E$15</t>
  </si>
  <si>
    <t>Interactions!$F$15</t>
  </si>
  <si>
    <t>Interactions!$G$15</t>
  </si>
  <si>
    <t>Interactions!$H$15</t>
  </si>
  <si>
    <t>Interactions!$I$15</t>
  </si>
  <si>
    <t>Interactions!$J$15</t>
  </si>
  <si>
    <t>Interactions!$K$15</t>
  </si>
  <si>
    <t>Interactions!$L$15</t>
  </si>
  <si>
    <t>Interactions!$M$15</t>
  </si>
  <si>
    <t>Interactions!$B$16</t>
  </si>
  <si>
    <t>Interactions!$C$16</t>
  </si>
  <si>
    <t>Interactions!$D$16</t>
  </si>
  <si>
    <t>Interactions!$E$16</t>
  </si>
  <si>
    <t>Interactions!$F$16</t>
  </si>
  <si>
    <t>Interactions!$G$16</t>
  </si>
  <si>
    <t>Interactions!$H$16</t>
  </si>
  <si>
    <t>Interactions!$I$16</t>
  </si>
  <si>
    <t>Interactions!$J$16</t>
  </si>
  <si>
    <t>Interactions!$K$16</t>
  </si>
  <si>
    <t>Interactions!$L$16</t>
  </si>
  <si>
    <t>Interactions!$M$16</t>
  </si>
  <si>
    <t>age</t>
  </si>
  <si>
    <t>Aging</t>
  </si>
  <si>
    <t>Transfers!$C$5</t>
  </si>
  <si>
    <t>Transfers!$D$5</t>
  </si>
  <si>
    <t>Transfers!$E$5</t>
  </si>
  <si>
    <t>Transfers!$F$5</t>
  </si>
  <si>
    <t>Transfers!$G$5</t>
  </si>
  <si>
    <t>Transfers!$H$5</t>
  </si>
  <si>
    <t>Transfers!$I$5</t>
  </si>
  <si>
    <t>Transfers!$J$5</t>
  </si>
  <si>
    <t>Transfers!$K$5</t>
  </si>
  <si>
    <t>Transfers!$L$5</t>
  </si>
  <si>
    <t>Transfers!$M$5</t>
  </si>
  <si>
    <t>Transfers!$B$6</t>
  </si>
  <si>
    <t>Transfers!$D$6</t>
  </si>
  <si>
    <t>Transfers!$E$6</t>
  </si>
  <si>
    <t>Transfers!$F$6</t>
  </si>
  <si>
    <t>Transfers!$G$6</t>
  </si>
  <si>
    <t>Transfers!$H$6</t>
  </si>
  <si>
    <t>Transfers!$I$6</t>
  </si>
  <si>
    <t>Transfers!$J$6</t>
  </si>
  <si>
    <t>Transfers!$K$6</t>
  </si>
  <si>
    <t>Transfers!$L$6</t>
  </si>
  <si>
    <t>Transfers!$M$6</t>
  </si>
  <si>
    <t>Transfers!$B$7</t>
  </si>
  <si>
    <t>Transfers!$C$7</t>
  </si>
  <si>
    <t>Transfers!$E$7</t>
  </si>
  <si>
    <t>Transfers!$F$7</t>
  </si>
  <si>
    <t>Number (years)</t>
  </si>
  <si>
    <t>Transfers!$G$7</t>
  </si>
  <si>
    <t>Transfers!$H$7</t>
  </si>
  <si>
    <t>Transfers!$I$7</t>
  </si>
  <si>
    <t>Transfers!$J$7</t>
  </si>
  <si>
    <t>Transfers!$K$7</t>
  </si>
  <si>
    <t>Transfers!$L$7</t>
  </si>
  <si>
    <t>Transfers!$M$7</t>
  </si>
  <si>
    <t>Transfers!$B$8</t>
  </si>
  <si>
    <t>Transfers!$C$8</t>
  </si>
  <si>
    <t>Transfers!$D$8</t>
  </si>
  <si>
    <t>Transfers!$F$8</t>
  </si>
  <si>
    <t>Transfers!$G$8</t>
  </si>
  <si>
    <t>Transfers!$H$8</t>
  </si>
  <si>
    <t>Transfers!$I$8</t>
  </si>
  <si>
    <t>Transfers!$J$8</t>
  </si>
  <si>
    <t>Transfers!$K$8</t>
  </si>
  <si>
    <t>Transfers!$L$8</t>
  </si>
  <si>
    <t>Transfers!$M$8</t>
  </si>
  <si>
    <t>Transfers!$B$9</t>
  </si>
  <si>
    <t>Transfers!$C$9</t>
  </si>
  <si>
    <t>Transfers!$D$9</t>
  </si>
  <si>
    <t>Transfers!$E$9</t>
  </si>
  <si>
    <t>Transfers!$G$9</t>
  </si>
  <si>
    <t>Transfers!$H$9</t>
  </si>
  <si>
    <t>Transfers!$I$9</t>
  </si>
  <si>
    <t>Transfers!$J$9</t>
  </si>
  <si>
    <t>Transfers!$K$9</t>
  </si>
  <si>
    <t>Transfers!$L$9</t>
  </si>
  <si>
    <t>Transfers!$M$9</t>
  </si>
  <si>
    <t>Transfers!$B$10</t>
  </si>
  <si>
    <t>Transfers!$C$10</t>
  </si>
  <si>
    <t>Transfers!$D$10</t>
  </si>
  <si>
    <t>Transfers!$E$10</t>
  </si>
  <si>
    <t>Transfers!$F$10</t>
  </si>
  <si>
    <t>Transfers!$H$10</t>
  </si>
  <si>
    <t>Transfers!$I$10</t>
  </si>
  <si>
    <t>Transfers!$J$10</t>
  </si>
  <si>
    <t>Transfers!$K$10</t>
  </si>
  <si>
    <t>Transfers!$L$10</t>
  </si>
  <si>
    <t>Transfers!$M$10</t>
  </si>
  <si>
    <t>Transfers!$B$11</t>
  </si>
  <si>
    <t>Transfers!$C$11</t>
  </si>
  <si>
    <t>Transfers!$D$11</t>
  </si>
  <si>
    <t>Transfers!$E$11</t>
  </si>
  <si>
    <t>Transfers!$F$11</t>
  </si>
  <si>
    <t>Transfers!$G$11</t>
  </si>
  <si>
    <t>Transfers!$I$11</t>
  </si>
  <si>
    <t>Transfers!$J$11</t>
  </si>
  <si>
    <t>Transfers!$K$11</t>
  </si>
  <si>
    <t>Transfers!$L$11</t>
  </si>
  <si>
    <t>Transfers!$M$11</t>
  </si>
  <si>
    <t>Transfers!$B$12</t>
  </si>
  <si>
    <t>Transfers!$C$12</t>
  </si>
  <si>
    <t>Transfers!$D$12</t>
  </si>
  <si>
    <t>Transfers!$E$12</t>
  </si>
  <si>
    <t>Transfers!$F$12</t>
  </si>
  <si>
    <t>Transfers!$G$12</t>
  </si>
  <si>
    <t>Transfers!$H$12</t>
  </si>
  <si>
    <t>Transfers!$J$12</t>
  </si>
  <si>
    <t>Transfers!$K$12</t>
  </si>
  <si>
    <t>Transfers!$L$12</t>
  </si>
  <si>
    <t>Transfers!$M$12</t>
  </si>
  <si>
    <t>Transfers!$B$13</t>
  </si>
  <si>
    <t>Transfers!$C$13</t>
  </si>
  <si>
    <t>Transfers!$D$13</t>
  </si>
  <si>
    <t>Transfers!$E$13</t>
  </si>
  <si>
    <t>Transfers!$F$13</t>
  </si>
  <si>
    <t>Transfers!$G$13</t>
  </si>
  <si>
    <t>Transfers!$H$13</t>
  </si>
  <si>
    <t>Transfers!$I$13</t>
  </si>
  <si>
    <t>Transfers!$K$13</t>
  </si>
  <si>
    <t>Transfers!$L$13</t>
  </si>
  <si>
    <t>Transfers!$M$13</t>
  </si>
  <si>
    <t>Transfers!$B$14</t>
  </si>
  <si>
    <t>Transfers!$C$14</t>
  </si>
  <si>
    <t>Transfers!$D$14</t>
  </si>
  <si>
    <t>Transfers!$E$14</t>
  </si>
  <si>
    <t>Transfers!$F$14</t>
  </si>
  <si>
    <t>Transfers!$G$14</t>
  </si>
  <si>
    <t>Transfers!$H$14</t>
  </si>
  <si>
    <t>Transfers!$I$14</t>
  </si>
  <si>
    <t>Transfers!$J$14</t>
  </si>
  <si>
    <t>Transfers!$L$14</t>
  </si>
  <si>
    <t>Transfers!$M$14</t>
  </si>
  <si>
    <t>Transfers!$B$15</t>
  </si>
  <si>
    <t>Transfers!$C$15</t>
  </si>
  <si>
    <t>Transfers!$D$15</t>
  </si>
  <si>
    <t>Transfers!$E$15</t>
  </si>
  <si>
    <t>Transfers!$F$15</t>
  </si>
  <si>
    <t>Transfers!$G$15</t>
  </si>
  <si>
    <t>Transfers!$H$15</t>
  </si>
  <si>
    <t>Transfers!$I$15</t>
  </si>
  <si>
    <t>Transfers!$J$15</t>
  </si>
  <si>
    <t>Transfers!$K$15</t>
  </si>
  <si>
    <t>Transfers!$M$15</t>
  </si>
  <si>
    <t>Transfers!$B$16</t>
  </si>
  <si>
    <t>Transfers!$C$16</t>
  </si>
  <si>
    <t>Transfers!$D$16</t>
  </si>
  <si>
    <t>Transfers!$E$16</t>
  </si>
  <si>
    <t>Transfers!$F$16</t>
  </si>
  <si>
    <t>Transfers!$G$16</t>
  </si>
  <si>
    <t>Transfers!$H$16</t>
  </si>
  <si>
    <t>Transfers!$I$16</t>
  </si>
  <si>
    <t>Transfers!$J$16</t>
  </si>
  <si>
    <t>Transfers!$K$16</t>
  </si>
  <si>
    <t>Transfers!$L$16</t>
  </si>
  <si>
    <t>idu_status</t>
  </si>
  <si>
    <t>Injecting Drug Use Relapse or Cessation</t>
  </si>
  <si>
    <t>Transfers!$C$168</t>
  </si>
  <si>
    <t>Transfers!$D$168</t>
  </si>
  <si>
    <t>Transfers!$E$168</t>
  </si>
  <si>
    <t>Transfers!$F$168</t>
  </si>
  <si>
    <t>Transfers!$G$168</t>
  </si>
  <si>
    <t>Transfers!$H$168</t>
  </si>
  <si>
    <t>Transfers!$I$168</t>
  </si>
  <si>
    <t>Transfers!$J$168</t>
  </si>
  <si>
    <t>Transfers!$K$168</t>
  </si>
  <si>
    <t>Transfers!$L$168</t>
  </si>
  <si>
    <t>Transfers!$M$168</t>
  </si>
  <si>
    <t>Transfers!$B$169</t>
  </si>
  <si>
    <t>Transfers!$D$169</t>
  </si>
  <si>
    <t>Transfers!$E$169</t>
  </si>
  <si>
    <t>Transfers!$F$169</t>
  </si>
  <si>
    <t>Transfers!$G$169</t>
  </si>
  <si>
    <t>Transfers!$H$169</t>
  </si>
  <si>
    <t>Transfers!$I$169</t>
  </si>
  <si>
    <t>Transfers!$J$169</t>
  </si>
  <si>
    <t>Transfers!$K$169</t>
  </si>
  <si>
    <t>Transfers!$L$169</t>
  </si>
  <si>
    <t>Transfers!$M$169</t>
  </si>
  <si>
    <t>Transfers!$B$170</t>
  </si>
  <si>
    <t>Transfers!$C$170</t>
  </si>
  <si>
    <t>Transfers!$E$170</t>
  </si>
  <si>
    <t>Transfers!$F$170</t>
  </si>
  <si>
    <t>Transfers!$G$170</t>
  </si>
  <si>
    <t>Transfers!$H$170</t>
  </si>
  <si>
    <t>Transfers!$I$170</t>
  </si>
  <si>
    <t>Transfers!$J$170</t>
  </si>
  <si>
    <t>Transfers!$K$170</t>
  </si>
  <si>
    <t>Transfers!$L$170</t>
  </si>
  <si>
    <t>Transfers!$M$170</t>
  </si>
  <si>
    <t>Transfers!$B$171</t>
  </si>
  <si>
    <t>Transfers!$C$171</t>
  </si>
  <si>
    <t>Transfers!$D$171</t>
  </si>
  <si>
    <t>Transfers!$F$171</t>
  </si>
  <si>
    <t>Transfers!$G$171</t>
  </si>
  <si>
    <t>Transfers!$H$171</t>
  </si>
  <si>
    <t>Transfers!$I$171</t>
  </si>
  <si>
    <t>Transfers!$J$171</t>
  </si>
  <si>
    <t>Transfers!$K$171</t>
  </si>
  <si>
    <t>Transfers!$L$171</t>
  </si>
  <si>
    <t>Transfers!$M$171</t>
  </si>
  <si>
    <t>Transfers!$B$172</t>
  </si>
  <si>
    <t>Transfers!$C$172</t>
  </si>
  <si>
    <t>Transfers!$D$172</t>
  </si>
  <si>
    <t>Transfers!$E$172</t>
  </si>
  <si>
    <t>Transfers!$G$172</t>
  </si>
  <si>
    <t>Transfers!$H$172</t>
  </si>
  <si>
    <t>Transfers!$I$172</t>
  </si>
  <si>
    <t>Transfers!$J$172</t>
  </si>
  <si>
    <t>Transfers!$K$172</t>
  </si>
  <si>
    <t>Transfers!$L$172</t>
  </si>
  <si>
    <t>Transfers!$M$172</t>
  </si>
  <si>
    <t>Transfers!$B$173</t>
  </si>
  <si>
    <t>Transfers!$C$173</t>
  </si>
  <si>
    <t>Transfers!$D$173</t>
  </si>
  <si>
    <t>Transfers!$E$173</t>
  </si>
  <si>
    <t>Transfers!$F$173</t>
  </si>
  <si>
    <t>Transfers!$H$173</t>
  </si>
  <si>
    <t>Transfers!$I$173</t>
  </si>
  <si>
    <t>Transfers!$J$173</t>
  </si>
  <si>
    <t>Transfers!$K$173</t>
  </si>
  <si>
    <t>Transfers!$L$173</t>
  </si>
  <si>
    <t>Transfers!$M$173</t>
  </si>
  <si>
    <t>Transfers!$B$174</t>
  </si>
  <si>
    <t>Transfers!$C$174</t>
  </si>
  <si>
    <t>Transfers!$D$174</t>
  </si>
  <si>
    <t>Transfers!$E$174</t>
  </si>
  <si>
    <t>Transfers!$F$174</t>
  </si>
  <si>
    <t>Transfers!$G$174</t>
  </si>
  <si>
    <t>Transfers!$I$174</t>
  </si>
  <si>
    <t>Transfers!$J$174</t>
  </si>
  <si>
    <t>Transfers!$K$174</t>
  </si>
  <si>
    <t>Transfers!$L$174</t>
  </si>
  <si>
    <t>Transfers!$M$174</t>
  </si>
  <si>
    <t>Transfers!$B$175</t>
  </si>
  <si>
    <t>Transfers!$C$175</t>
  </si>
  <si>
    <t>Transfers!$D$175</t>
  </si>
  <si>
    <t>Transfers!$E$175</t>
  </si>
  <si>
    <t>Transfers!$F$175</t>
  </si>
  <si>
    <t>Transfers!$G$175</t>
  </si>
  <si>
    <t>Transfers!$H$175</t>
  </si>
  <si>
    <t>Transfers!$J$175</t>
  </si>
  <si>
    <t>Transfers!$K$175</t>
  </si>
  <si>
    <t>Transfers!$L$175</t>
  </si>
  <si>
    <t>Transfers!$M$175</t>
  </si>
  <si>
    <t>Transfers!$B$176</t>
  </si>
  <si>
    <t>Transfers!$C$176</t>
  </si>
  <si>
    <t>Transfers!$D$176</t>
  </si>
  <si>
    <t>Transfers!$E$176</t>
  </si>
  <si>
    <t>Transfers!$F$176</t>
  </si>
  <si>
    <t>Transfers!$G$176</t>
  </si>
  <si>
    <t>Transfers!$H$176</t>
  </si>
  <si>
    <t>Transfers!$I$176</t>
  </si>
  <si>
    <t>Transfers!$K$176</t>
  </si>
  <si>
    <t>Transfers!$L$176</t>
  </si>
  <si>
    <t>Transfers!$M$176</t>
  </si>
  <si>
    <t>Transfers!$B$177</t>
  </si>
  <si>
    <t>Transfers!$C$177</t>
  </si>
  <si>
    <t>Transfers!$D$177</t>
  </si>
  <si>
    <t>Transfers!$E$177</t>
  </si>
  <si>
    <t>Transfers!$F$177</t>
  </si>
  <si>
    <t>Transfers!$G$177</t>
  </si>
  <si>
    <t>Transfers!$H$177</t>
  </si>
  <si>
    <t>Transfers!$I$177</t>
  </si>
  <si>
    <t>Transfers!$J$177</t>
  </si>
  <si>
    <t>Transfers!$L$177</t>
  </si>
  <si>
    <t>Transfers!$M$177</t>
  </si>
  <si>
    <t>Transfers!$B$178</t>
  </si>
  <si>
    <t>Transfers!$C$178</t>
  </si>
  <si>
    <t>Transfers!$D$178</t>
  </si>
  <si>
    <t>Transfers!$E$178</t>
  </si>
  <si>
    <t>Transfers!$F$178</t>
  </si>
  <si>
    <t>Transfers!$G$178</t>
  </si>
  <si>
    <t>Transfers!$H$178</t>
  </si>
  <si>
    <t>Transfers!$I$178</t>
  </si>
  <si>
    <t>Transfers!$J$178</t>
  </si>
  <si>
    <t>Transfers!$K$178</t>
  </si>
  <si>
    <t>Transfers!$M$178</t>
  </si>
  <si>
    <t>Transfers!$B$179</t>
  </si>
  <si>
    <t>Transfers!$C$179</t>
  </si>
  <si>
    <t>Transfers!$D$179</t>
  </si>
  <si>
    <t>Transfers!$E$179</t>
  </si>
  <si>
    <t>Transfers!$F$179</t>
  </si>
  <si>
    <t>Transfers!$G$179</t>
  </si>
  <si>
    <t>Transfers!$H$179</t>
  </si>
  <si>
    <t>Transfers!$I$179</t>
  </si>
  <si>
    <t>Transfers!$J$179</t>
  </si>
  <si>
    <t>Transfers!$K$179</t>
  </si>
  <si>
    <t>Transfers!$L$179</t>
  </si>
  <si>
    <t>inc</t>
  </si>
  <si>
    <t>Incarceration</t>
  </si>
  <si>
    <t>Transfers!$C$331</t>
  </si>
  <si>
    <t>Transfers!$D$331</t>
  </si>
  <si>
    <t>Transfers!$E$331</t>
  </si>
  <si>
    <t>Transfers!$F$331</t>
  </si>
  <si>
    <t>Transfers!$G$331</t>
  </si>
  <si>
    <t>Transfers!$H$331</t>
  </si>
  <si>
    <t>Transfers!$I$331</t>
  </si>
  <si>
    <t>Transfers!$J$331</t>
  </si>
  <si>
    <t>Transfers!$K$331</t>
  </si>
  <si>
    <t>Transfers!$L$331</t>
  </si>
  <si>
    <t>Transfers!$M$331</t>
  </si>
  <si>
    <t>Transfers!$B$332</t>
  </si>
  <si>
    <t>Transfers!$D$332</t>
  </si>
  <si>
    <t>Transfers!$E$332</t>
  </si>
  <si>
    <t>Transfers!$F$332</t>
  </si>
  <si>
    <t>Transfers!$G$332</t>
  </si>
  <si>
    <t>Transfers!$H$332</t>
  </si>
  <si>
    <t>Transfers!$I$332</t>
  </si>
  <si>
    <t>Transfers!$J$332</t>
  </si>
  <si>
    <t>Transfers!$K$332</t>
  </si>
  <si>
    <t>Transfers!$L$332</t>
  </si>
  <si>
    <t>Transfers!$M$332</t>
  </si>
  <si>
    <t>Transfers!$B$333</t>
  </si>
  <si>
    <t>Transfers!$C$333</t>
  </si>
  <si>
    <t>Transfers!$E$333</t>
  </si>
  <si>
    <t>Transfers!$F$333</t>
  </si>
  <si>
    <t>Transfers!$G$333</t>
  </si>
  <si>
    <t>Transfers!$H$333</t>
  </si>
  <si>
    <t>Transfers!$I$333</t>
  </si>
  <si>
    <t>Transfers!$J$333</t>
  </si>
  <si>
    <t>Transfers!$K$333</t>
  </si>
  <si>
    <t>Transfers!$L$333</t>
  </si>
  <si>
    <t>Transfers!$M$333</t>
  </si>
  <si>
    <t>Transfers!$B$334</t>
  </si>
  <si>
    <t>Transfers!$C$334</t>
  </si>
  <si>
    <t>Transfers!$D$334</t>
  </si>
  <si>
    <t>Transfers!$F$334</t>
  </si>
  <si>
    <t>Transfers!$G$334</t>
  </si>
  <si>
    <t>Transfers!$H$334</t>
  </si>
  <si>
    <t>Transfers!$I$334</t>
  </si>
  <si>
    <t>Transfers!$J$334</t>
  </si>
  <si>
    <t>Transfers!$K$334</t>
  </si>
  <si>
    <t>Transfers!$L$334</t>
  </si>
  <si>
    <t>Transfers!$M$334</t>
  </si>
  <si>
    <t>Transfers!$B$335</t>
  </si>
  <si>
    <t>Transfers!$C$335</t>
  </si>
  <si>
    <t>Transfers!$D$335</t>
  </si>
  <si>
    <t>Transfers!$E$335</t>
  </si>
  <si>
    <t>Transfers!$G$335</t>
  </si>
  <si>
    <t>Transfers!$H$335</t>
  </si>
  <si>
    <t>Transfers!$I$335</t>
  </si>
  <si>
    <t>Transfers!$J$335</t>
  </si>
  <si>
    <t>Transfers!$K$335</t>
  </si>
  <si>
    <t>Transfers!$L$335</t>
  </si>
  <si>
    <t>Transfers!$M$335</t>
  </si>
  <si>
    <t>Transfers!$B$336</t>
  </si>
  <si>
    <t>Transfers!$C$336</t>
  </si>
  <si>
    <t>Transfers!$D$336</t>
  </si>
  <si>
    <t>Transfers!$E$336</t>
  </si>
  <si>
    <t>Transfers!$F$336</t>
  </si>
  <si>
    <t>Transfers!$H$336</t>
  </si>
  <si>
    <t>Transfers!$I$336</t>
  </si>
  <si>
    <t>Transfers!$J$336</t>
  </si>
  <si>
    <t>Transfers!$K$336</t>
  </si>
  <si>
    <t>Transfers!$L$336</t>
  </si>
  <si>
    <t>Transfers!$M$336</t>
  </si>
  <si>
    <t>Transfers!$B$337</t>
  </si>
  <si>
    <t>Transfers!$C$337</t>
  </si>
  <si>
    <t>Transfers!$D$337</t>
  </si>
  <si>
    <t>Transfers!$E$337</t>
  </si>
  <si>
    <t>Transfers!$F$337</t>
  </si>
  <si>
    <t>Transfers!$G$337</t>
  </si>
  <si>
    <t>Transfers!$I$337</t>
  </si>
  <si>
    <t>Transfers!$J$337</t>
  </si>
  <si>
    <t>Transfers!$K$337</t>
  </si>
  <si>
    <t>Transfers!$L$337</t>
  </si>
  <si>
    <t>Transfers!$M$337</t>
  </si>
  <si>
    <t>Transfers!$B$338</t>
  </si>
  <si>
    <t>Transfers!$C$338</t>
  </si>
  <si>
    <t>Transfers!$D$338</t>
  </si>
  <si>
    <t>Transfers!$E$338</t>
  </si>
  <si>
    <t>Transfers!$F$338</t>
  </si>
  <si>
    <t>Transfers!$G$338</t>
  </si>
  <si>
    <t>Transfers!$H$338</t>
  </si>
  <si>
    <t>Transfers!$J$338</t>
  </si>
  <si>
    <t>Transfers!$K$338</t>
  </si>
  <si>
    <t>Transfers!$L$338</t>
  </si>
  <si>
    <t>Transfers!$M$338</t>
  </si>
  <si>
    <t>Transfers!$B$339</t>
  </si>
  <si>
    <t>Transfers!$C$339</t>
  </si>
  <si>
    <t>Transfers!$D$339</t>
  </si>
  <si>
    <t>Transfers!$E$339</t>
  </si>
  <si>
    <t>Transfers!$F$339</t>
  </si>
  <si>
    <t>Transfers!$G$339</t>
  </si>
  <si>
    <t>Transfers!$H$339</t>
  </si>
  <si>
    <t>Transfers!$I$339</t>
  </si>
  <si>
    <t>Transfers!$K$339</t>
  </si>
  <si>
    <t>Transfers!$L$339</t>
  </si>
  <si>
    <t>Transfers!$M$339</t>
  </si>
  <si>
    <t>Transfers!$B$340</t>
  </si>
  <si>
    <t>Transfers!$C$340</t>
  </si>
  <si>
    <t>Transfers!$D$340</t>
  </si>
  <si>
    <t>Transfers!$E$340</t>
  </si>
  <si>
    <t>Transfers!$F$340</t>
  </si>
  <si>
    <t>Transfers!$G$340</t>
  </si>
  <si>
    <t>Transfers!$H$340</t>
  </si>
  <si>
    <t>Transfers!$I$340</t>
  </si>
  <si>
    <t>Transfers!$J$340</t>
  </si>
  <si>
    <t>Transfers!$L$340</t>
  </si>
  <si>
    <t>Transfers!$M$340</t>
  </si>
  <si>
    <t>Transfers!$B$341</t>
  </si>
  <si>
    <t>Transfers!$C$341</t>
  </si>
  <si>
    <t>Transfers!$D$341</t>
  </si>
  <si>
    <t>Transfers!$E$341</t>
  </si>
  <si>
    <t>Transfers!$F$341</t>
  </si>
  <si>
    <t>Transfers!$G$341</t>
  </si>
  <si>
    <t>Transfers!$H$341</t>
  </si>
  <si>
    <t>Transfers!$I$341</t>
  </si>
  <si>
    <t>Transfers!$J$341</t>
  </si>
  <si>
    <t>Transfers!$K$341</t>
  </si>
  <si>
    <t>Transfers!$M$341</t>
  </si>
  <si>
    <t>Transfers!$B$342</t>
  </si>
  <si>
    <t>Transfers!$C$342</t>
  </si>
  <si>
    <t>Transfers!$D$342</t>
  </si>
  <si>
    <t>Transfers!$E$342</t>
  </si>
  <si>
    <t>Transfers!$F$342</t>
  </si>
  <si>
    <t>Transfers!$G$342</t>
  </si>
  <si>
    <t>Transfers!$H$342</t>
  </si>
  <si>
    <t>Transfers!$I$342</t>
  </si>
  <si>
    <t>Transfers!$J$342</t>
  </si>
  <si>
    <t>Transfers!$K$342</t>
  </si>
  <si>
    <t>Transfers!$L$342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</si>
</sst>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indexed="81"/>
      <name val="Tahoma"/>
      <family val="2"/>
    </font>
  </fonts>
  <fills count="4">
    <fill>
      <patternFill patternType="none"/>
    </fill>
    <fill>
      <patternFill patternType="gray125"/>
    </fill>
    <fill>
      <patternFill patternType="solid">
        <fgColor rgb="FF98E0FA"/>
        <bgColor indexed="64"/>
      </patternFill>
    </fill>
    <fill>
      <patternFill patternType="solid">
        <fgColor rgb="FFEEEEEE"/>
        <bgColor indexed="64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 applyAlignment="1">
      <alignment horizontal="center"/>
    </xf>
    <xf numFmtId="0" fontId="0" fillId="2" borderId="1" xfId="0" applyFill="1" applyBorder="1" applyProtection="1">
      <protection locked="0"/>
    </xf>
    <xf numFmtId="0" fontId="0" fillId="3" borderId="2" xfId="0" applyFill="1" applyBorder="1"/>
    <xf numFmtId="0" fontId="0" fillId="0" borderId="0" xfId="0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</cellXfs>
  <cellStyles count="1">
    <cellStyle name="Normal" xfId="0" builtinId="0"/>
  </cellStyles>
  <dxfs count="5">
    <dxf>
      <fill>
        <patternFill patternType="lightUp"/>
      </fill>
    </dxf>
    <dxf>
      <fill>
        <patternFill patternType="lightUp"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98E0FA"/>
        </patternFill>
      </fill>
    </dxf>
    <dxf>
      <fill>
        <patternFill>
          <bgColor rgb="FFFFFFFF"/>
        </patternFill>
      </fill>
      <border>
        <left style="thin">
          <color rgb="FFCCCCCC"/>
        </left>
        <right style="thin">
          <color rgb="FFCCCCCC"/>
        </right>
        <top style="thin">
          <color rgb="FFCCCCCC"/>
        </top>
        <bottom style="thin">
          <color rgb="FFCCCCCC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3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vmlDrawing" Target="../drawings/vmlDrawing1.vml"/><Relationship Id="rId2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FFC000"/>
  </sheetPr>
  <dimension ref="A1:C13"/>
  <sheetViews>
    <sheetView tabSelected="1" workbookViewId="0"/>
  </sheetViews>
  <sheetFormatPr defaultRowHeight="15"/>
  <cols>
    <col min="1" max="1" width="20.42578125" customWidth="1"/>
    <col min="2" max="2" width="38" customWidth="1"/>
    <col min="3" max="3" width="18.28515625" customWidth="1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3" t="s">
        <v>5</v>
      </c>
    </row>
    <row r="3" spans="1:3">
      <c r="A3" s="2" t="s">
        <v>6</v>
      </c>
      <c r="B3" s="2" t="s">
        <v>7</v>
      </c>
      <c r="C3" s="3" t="s">
        <v>5</v>
      </c>
    </row>
    <row r="4" spans="1:3">
      <c r="A4" s="2" t="s">
        <v>8</v>
      </c>
      <c r="B4" s="2" t="s">
        <v>9</v>
      </c>
      <c r="C4" s="3" t="s">
        <v>5</v>
      </c>
    </row>
    <row r="5" spans="1:3">
      <c r="A5" s="2" t="s">
        <v>10</v>
      </c>
      <c r="B5" s="2" t="s">
        <v>11</v>
      </c>
      <c r="C5" s="3" t="s">
        <v>5</v>
      </c>
    </row>
    <row r="6" spans="1:3">
      <c r="A6" s="2" t="s">
        <v>12</v>
      </c>
      <c r="B6" s="2" t="s">
        <v>13</v>
      </c>
      <c r="C6" s="3" t="s">
        <v>5</v>
      </c>
    </row>
    <row r="7" spans="1:3">
      <c r="A7" s="2" t="s">
        <v>14</v>
      </c>
      <c r="B7" s="2" t="s">
        <v>15</v>
      </c>
      <c r="C7" s="3" t="s">
        <v>5</v>
      </c>
    </row>
    <row r="8" spans="1:3">
      <c r="A8" s="2" t="s">
        <v>16</v>
      </c>
      <c r="B8" s="2" t="s">
        <v>17</v>
      </c>
      <c r="C8" s="3" t="s">
        <v>5</v>
      </c>
    </row>
    <row r="9" spans="1:3">
      <c r="A9" s="2" t="s">
        <v>18</v>
      </c>
      <c r="B9" s="2" t="s">
        <v>19</v>
      </c>
      <c r="C9" s="3" t="s">
        <v>5</v>
      </c>
    </row>
    <row r="10" spans="1:3">
      <c r="A10" s="2" t="s">
        <v>20</v>
      </c>
      <c r="B10" s="2" t="s">
        <v>21</v>
      </c>
      <c r="C10" s="3" t="s">
        <v>5</v>
      </c>
    </row>
    <row r="11" spans="1:3">
      <c r="A11" s="2" t="s">
        <v>22</v>
      </c>
      <c r="B11" s="2" t="s">
        <v>23</v>
      </c>
      <c r="C11" s="3" t="s">
        <v>5</v>
      </c>
    </row>
    <row r="12" spans="1:3">
      <c r="A12" s="2" t="s">
        <v>24</v>
      </c>
      <c r="B12" s="2" t="s">
        <v>25</v>
      </c>
      <c r="C12" s="3" t="s">
        <v>5</v>
      </c>
    </row>
    <row r="13" spans="1:3">
      <c r="A13" s="2" t="s">
        <v>26</v>
      </c>
      <c r="B13" s="2" t="s">
        <v>27</v>
      </c>
      <c r="C13" s="3" t="s">
        <v>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81"/>
  <sheetViews>
    <sheetView workbookViewId="0"/>
  </sheetViews>
  <sheetFormatPr defaultRowHeight="15"/>
  <cols>
    <col min="1" max="1" width="53.42578125" customWidth="1"/>
    <col min="2" max="3" width="12.7109375" customWidth="1"/>
    <col min="4" max="4" width="13.85546875" customWidth="1"/>
    <col min="5" max="5" width="10.5703125" customWidth="1"/>
    <col min="6" max="57" width="9.42578125" customWidth="1"/>
  </cols>
  <sheetData>
    <row r="1" spans="1:55">
      <c r="A1" s="1" t="s">
        <v>28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5">
      <c r="A2" s="1" t="str">
        <f>'Population Definitions'!$A$2</f>
        <v>PWID_males</v>
      </c>
      <c r="C2" t="s">
        <v>32</v>
      </c>
      <c r="D2" s="3"/>
      <c r="E2" s="3">
        <v>1023.7712505696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5">
      <c r="A3" s="1" t="str">
        <f>'Population Definitions'!$A$3</f>
        <v>PWID_females</v>
      </c>
      <c r="C3" t="s">
        <v>32</v>
      </c>
      <c r="D3" s="3"/>
      <c r="E3" s="3">
        <v>146.113856478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5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5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5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5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5">
      <c r="A8" s="1" t="str">
        <f>'Population Definitions'!$A$8</f>
        <v>18-64_males</v>
      </c>
      <c r="C8" t="s">
        <v>32</v>
      </c>
      <c r="D8" s="3"/>
      <c r="E8" s="3">
        <v>120020.2088889306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5">
      <c r="A9" s="1" t="str">
        <f>'Population Definitions'!$A$9</f>
        <v>18-64_females</v>
      </c>
      <c r="C9" t="s">
        <v>32</v>
      </c>
      <c r="D9" s="3"/>
      <c r="E9" s="3">
        <v>130602.4530437527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5">
      <c r="A10" s="1" t="str">
        <f>'Population Definitions'!$A$10</f>
        <v>65+_males</v>
      </c>
      <c r="C10" t="s">
        <v>32</v>
      </c>
      <c r="D10" s="3"/>
      <c r="E10" s="3">
        <v>7143.649770649035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5">
      <c r="A11" s="1" t="str">
        <f>'Population Definitions'!$A$11</f>
        <v>65+_females</v>
      </c>
      <c r="C11" t="s">
        <v>32</v>
      </c>
      <c r="D11" s="3"/>
      <c r="E11" s="3">
        <v>9857.530093909827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5">
      <c r="A12" s="1" t="str">
        <f>'Population Definitions'!$A$12</f>
        <v>Prisoners_males</v>
      </c>
      <c r="C12" t="s">
        <v>32</v>
      </c>
      <c r="D12" s="3"/>
      <c r="E12" s="3">
        <v>263.610364753148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5">
      <c r="A13" s="1" t="str">
        <f>'Population Definitions'!$A$13</f>
        <v>Prisoners_females</v>
      </c>
      <c r="C13" t="s">
        <v>32</v>
      </c>
      <c r="D13" s="3"/>
      <c r="E13" s="3">
        <v>2.662730957102508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5">
      <c r="A15" s="1" t="s">
        <v>33</v>
      </c>
      <c r="B15" s="1" t="s">
        <v>29</v>
      </c>
      <c r="C15" s="1" t="s">
        <v>30</v>
      </c>
      <c r="D15" s="1" t="s">
        <v>31</v>
      </c>
      <c r="E15" s="1">
        <v>2000</v>
      </c>
      <c r="F15" s="1">
        <v>2001</v>
      </c>
      <c r="G15" s="1">
        <v>2002</v>
      </c>
      <c r="H15" s="1">
        <v>2003</v>
      </c>
      <c r="I15" s="1">
        <v>2004</v>
      </c>
      <c r="J15" s="1">
        <v>2005</v>
      </c>
      <c r="K15" s="1">
        <v>2006</v>
      </c>
      <c r="L15" s="1">
        <v>2007</v>
      </c>
      <c r="M15" s="1">
        <v>2008</v>
      </c>
      <c r="N15" s="1">
        <v>2009</v>
      </c>
      <c r="O15" s="1">
        <v>2010</v>
      </c>
      <c r="P15" s="1">
        <v>2011</v>
      </c>
      <c r="Q15" s="1">
        <v>2012</v>
      </c>
      <c r="R15" s="1">
        <v>2013</v>
      </c>
      <c r="S15" s="1">
        <v>2014</v>
      </c>
      <c r="T15" s="1">
        <v>2015</v>
      </c>
      <c r="U15" s="1">
        <v>2016</v>
      </c>
      <c r="V15" s="1">
        <v>2017</v>
      </c>
      <c r="W15" s="1">
        <v>2018</v>
      </c>
      <c r="X15" s="1">
        <v>2019</v>
      </c>
      <c r="Y15" s="1">
        <v>2020</v>
      </c>
      <c r="Z15" s="1">
        <v>2021</v>
      </c>
      <c r="AA15" s="1">
        <v>2022</v>
      </c>
      <c r="AB15" s="1">
        <v>2023</v>
      </c>
      <c r="AC15" s="1">
        <v>2024</v>
      </c>
      <c r="AD15" s="1">
        <v>2025</v>
      </c>
      <c r="AE15" s="1">
        <v>2026</v>
      </c>
      <c r="AF15" s="1">
        <v>2027</v>
      </c>
      <c r="AG15" s="1">
        <v>2028</v>
      </c>
      <c r="AH15" s="1">
        <v>2029</v>
      </c>
      <c r="AI15" s="1">
        <v>2030</v>
      </c>
      <c r="AJ15" s="1">
        <v>2031</v>
      </c>
      <c r="AK15" s="1">
        <v>2032</v>
      </c>
      <c r="AL15" s="1">
        <v>2033</v>
      </c>
      <c r="AM15" s="1">
        <v>2034</v>
      </c>
      <c r="AN15" s="1">
        <v>2035</v>
      </c>
      <c r="AO15" s="1">
        <v>2036</v>
      </c>
      <c r="AP15" s="1">
        <v>2037</v>
      </c>
      <c r="AQ15" s="1">
        <v>2038</v>
      </c>
      <c r="AR15" s="1">
        <v>2039</v>
      </c>
      <c r="AS15" s="1">
        <v>2040</v>
      </c>
      <c r="AT15" s="1">
        <v>2041</v>
      </c>
      <c r="AU15" s="1">
        <v>2042</v>
      </c>
      <c r="AV15" s="1">
        <v>2043</v>
      </c>
      <c r="AW15" s="1">
        <v>2044</v>
      </c>
      <c r="AX15" s="1">
        <v>2045</v>
      </c>
      <c r="AY15" s="1">
        <v>2046</v>
      </c>
      <c r="AZ15" s="1">
        <v>2047</v>
      </c>
      <c r="BA15" s="1">
        <v>2048</v>
      </c>
      <c r="BB15" s="1">
        <v>2049</v>
      </c>
      <c r="BC15" s="1">
        <v>2050</v>
      </c>
    </row>
    <row r="16" spans="1:55">
      <c r="A16" s="1" t="str">
        <f>'Population Definitions'!$A$2</f>
        <v>PWID_males</v>
      </c>
      <c r="C16" t="s">
        <v>34</v>
      </c>
      <c r="D16" s="3"/>
      <c r="E16" s="3">
        <v>0.153</v>
      </c>
      <c r="F16" s="3"/>
      <c r="G16" s="3"/>
      <c r="H16" s="3"/>
      <c r="I16" s="3"/>
      <c r="J16" s="3"/>
      <c r="K16" s="3"/>
      <c r="L16" s="3"/>
      <c r="M16" s="3"/>
      <c r="N16" s="3"/>
      <c r="O16" s="3">
        <v>0.153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</row>
    <row r="17" spans="1:57">
      <c r="A17" s="1" t="str">
        <f>'Population Definitions'!$A$3</f>
        <v>PWID_females</v>
      </c>
      <c r="C17" t="s">
        <v>34</v>
      </c>
      <c r="D17" s="3"/>
      <c r="E17" s="3">
        <v>0.153</v>
      </c>
      <c r="F17" s="3"/>
      <c r="G17" s="3"/>
      <c r="H17" s="3"/>
      <c r="I17" s="3"/>
      <c r="J17" s="3"/>
      <c r="K17" s="3"/>
      <c r="L17" s="3"/>
      <c r="M17" s="3"/>
      <c r="N17" s="3"/>
      <c r="O17" s="3">
        <v>0.153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</row>
    <row r="18" spans="1:57">
      <c r="A18" s="1" t="str">
        <f>'Population Definitions'!$A$4</f>
        <v>0-9_males</v>
      </c>
      <c r="C18" t="s">
        <v>34</v>
      </c>
      <c r="D18" s="3"/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</row>
    <row r="19" spans="1:57">
      <c r="A19" s="1" t="str">
        <f>'Population Definitions'!$A$5</f>
        <v>0-9_females</v>
      </c>
      <c r="C19" t="s">
        <v>34</v>
      </c>
      <c r="D19" s="3"/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</row>
    <row r="20" spans="1:57">
      <c r="A20" s="1" t="str">
        <f>'Population Definitions'!$A$6</f>
        <v>10-17_males</v>
      </c>
      <c r="C20" t="s">
        <v>34</v>
      </c>
      <c r="D20" s="3"/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>
        <v>0</v>
      </c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</row>
    <row r="21" spans="1:57">
      <c r="A21" s="1" t="str">
        <f>'Population Definitions'!$A$7</f>
        <v>10-17_females</v>
      </c>
      <c r="C21" t="s">
        <v>34</v>
      </c>
      <c r="D21" s="3"/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>
        <v>0</v>
      </c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</row>
    <row r="22" spans="1:57">
      <c r="A22" s="1" t="str">
        <f>'Population Definitions'!$A$8</f>
        <v>18-64_males</v>
      </c>
      <c r="C22" t="s">
        <v>34</v>
      </c>
      <c r="D22" s="3"/>
      <c r="E22" s="3">
        <v>0.04842971801491493</v>
      </c>
      <c r="F22" s="3"/>
      <c r="G22" s="3"/>
      <c r="H22" s="3"/>
      <c r="I22" s="3"/>
      <c r="J22" s="3"/>
      <c r="K22" s="3"/>
      <c r="L22" s="3"/>
      <c r="M22" s="3"/>
      <c r="N22" s="3"/>
      <c r="O22" s="3">
        <v>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</row>
    <row r="23" spans="1:57">
      <c r="A23" s="1" t="str">
        <f>'Population Definitions'!$A$9</f>
        <v>18-64_females</v>
      </c>
      <c r="C23" t="s">
        <v>34</v>
      </c>
      <c r="D23" s="3"/>
      <c r="E23" s="3">
        <v>0.04842971801491493</v>
      </c>
      <c r="F23" s="3"/>
      <c r="G23" s="3"/>
      <c r="H23" s="3"/>
      <c r="I23" s="3"/>
      <c r="J23" s="3"/>
      <c r="K23" s="3"/>
      <c r="L23" s="3"/>
      <c r="M23" s="3"/>
      <c r="N23" s="3"/>
      <c r="O23" s="3">
        <v>0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</row>
    <row r="24" spans="1:57">
      <c r="A24" s="1" t="str">
        <f>'Population Definitions'!$A$10</f>
        <v>65+_males</v>
      </c>
      <c r="C24" t="s">
        <v>34</v>
      </c>
      <c r="D24" s="3"/>
      <c r="E24" s="3">
        <v>0.04842971801491493</v>
      </c>
      <c r="F24" s="3"/>
      <c r="G24" s="3"/>
      <c r="H24" s="3"/>
      <c r="I24" s="3"/>
      <c r="J24" s="3"/>
      <c r="K24" s="3"/>
      <c r="L24" s="3"/>
      <c r="M24" s="3"/>
      <c r="N24" s="3"/>
      <c r="O24" s="3">
        <v>0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</row>
    <row r="25" spans="1:57">
      <c r="A25" s="1" t="str">
        <f>'Population Definitions'!$A$11</f>
        <v>65+_females</v>
      </c>
      <c r="C25" t="s">
        <v>34</v>
      </c>
      <c r="D25" s="3"/>
      <c r="E25" s="3">
        <v>0.04842971801491494</v>
      </c>
      <c r="F25" s="3"/>
      <c r="G25" s="3"/>
      <c r="H25" s="3"/>
      <c r="I25" s="3"/>
      <c r="J25" s="3"/>
      <c r="K25" s="3"/>
      <c r="L25" s="3"/>
      <c r="M25" s="3"/>
      <c r="N25" s="3"/>
      <c r="O25" s="3">
        <v>0</v>
      </c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</row>
    <row r="26" spans="1:57">
      <c r="A26" s="1" t="str">
        <f>'Population Definitions'!$A$12</f>
        <v>Prisoners_males</v>
      </c>
      <c r="C26" t="s">
        <v>34</v>
      </c>
      <c r="D26" s="3"/>
      <c r="E26" s="3">
        <v>0.1208135642968469</v>
      </c>
      <c r="F26" s="3"/>
      <c r="G26" s="3"/>
      <c r="H26" s="3"/>
      <c r="I26" s="3"/>
      <c r="J26" s="3"/>
      <c r="K26" s="3"/>
      <c r="L26" s="3"/>
      <c r="M26" s="3"/>
      <c r="N26" s="3"/>
      <c r="O26" s="3">
        <v>0.1208135642968469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</row>
    <row r="27" spans="1:57">
      <c r="A27" s="1" t="str">
        <f>'Population Definitions'!$A$13</f>
        <v>Prisoners_females</v>
      </c>
      <c r="C27" t="s">
        <v>34</v>
      </c>
      <c r="D27" s="3"/>
      <c r="E27" s="3">
        <v>0.1208135642968469</v>
      </c>
      <c r="F27" s="3"/>
      <c r="G27" s="3"/>
      <c r="H27" s="3"/>
      <c r="I27" s="3"/>
      <c r="J27" s="3"/>
      <c r="K27" s="3"/>
      <c r="L27" s="3"/>
      <c r="M27" s="3"/>
      <c r="N27" s="3"/>
      <c r="O27" s="3">
        <v>0.1208135642968469</v>
      </c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</row>
    <row r="29" spans="1:57">
      <c r="A29" s="1" t="s">
        <v>35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34</v>
      </c>
      <c r="D30" s="3"/>
      <c r="E30" s="3">
        <v>0.945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34</v>
      </c>
      <c r="D31" s="3"/>
      <c r="E31" s="3">
        <v>0.945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34</v>
      </c>
      <c r="D32" s="3"/>
      <c r="E32" s="3">
        <v>0.945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34</v>
      </c>
      <c r="D33" s="3"/>
      <c r="E33" s="3">
        <v>0.945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34</v>
      </c>
      <c r="D34" s="3"/>
      <c r="E34" s="3">
        <v>0.945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34</v>
      </c>
      <c r="D35" s="3"/>
      <c r="E35" s="3">
        <v>0.945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34</v>
      </c>
      <c r="D36" s="3"/>
      <c r="E36" s="3">
        <v>0.945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34</v>
      </c>
      <c r="D37" s="3"/>
      <c r="E37" s="3">
        <v>0.945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34</v>
      </c>
      <c r="D38" s="3"/>
      <c r="E38" s="3">
        <v>0.945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34</v>
      </c>
      <c r="D39" s="3"/>
      <c r="E39" s="3">
        <v>0.945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34</v>
      </c>
      <c r="D40" s="3"/>
      <c r="E40" s="3">
        <v>0.945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34</v>
      </c>
      <c r="D41" s="3"/>
      <c r="E41" s="3">
        <v>0.945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38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34</v>
      </c>
      <c r="D44" s="3"/>
      <c r="E44" s="3">
        <v>0.03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34</v>
      </c>
      <c r="D45" s="3"/>
      <c r="E45" s="3">
        <v>0.03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34</v>
      </c>
      <c r="D46" s="3"/>
      <c r="E46" s="3">
        <v>0.03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34</v>
      </c>
      <c r="D47" s="3"/>
      <c r="E47" s="3">
        <v>0.03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34</v>
      </c>
      <c r="D48" s="3"/>
      <c r="E48" s="3">
        <v>0.03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34</v>
      </c>
      <c r="D49" s="3"/>
      <c r="E49" s="3">
        <v>0.03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34</v>
      </c>
      <c r="D50" s="3"/>
      <c r="E50" s="3">
        <v>0.03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34</v>
      </c>
      <c r="D51" s="3"/>
      <c r="E51" s="3">
        <v>0.03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34</v>
      </c>
      <c r="D52" s="3"/>
      <c r="E52" s="3">
        <v>0.03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34</v>
      </c>
      <c r="D53" s="3"/>
      <c r="E53" s="3">
        <v>0.03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34</v>
      </c>
      <c r="D54" s="3"/>
      <c r="E54" s="3">
        <v>0.03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34</v>
      </c>
      <c r="D55" s="3"/>
      <c r="E55" s="3">
        <v>0.03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39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34</v>
      </c>
      <c r="D58" s="3"/>
      <c r="E58" s="3">
        <v>0.02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34</v>
      </c>
      <c r="D59" s="3"/>
      <c r="E59" s="3">
        <v>0.02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34</v>
      </c>
      <c r="D60" s="3"/>
      <c r="E60" s="3">
        <v>0.02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34</v>
      </c>
      <c r="D61" s="3"/>
      <c r="E61" s="3">
        <v>0.02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34</v>
      </c>
      <c r="D62" s="3"/>
      <c r="E62" s="3">
        <v>0.02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34</v>
      </c>
      <c r="D63" s="3"/>
      <c r="E63" s="3">
        <v>0.02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34</v>
      </c>
      <c r="D64" s="3"/>
      <c r="E64" s="3">
        <v>0.02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34</v>
      </c>
      <c r="D65" s="3"/>
      <c r="E65" s="3">
        <v>0.02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34</v>
      </c>
      <c r="D66" s="3"/>
      <c r="E66" s="3">
        <v>0.02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34</v>
      </c>
      <c r="D67" s="3"/>
      <c r="E67" s="3">
        <v>0.02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34</v>
      </c>
      <c r="D68" s="3"/>
      <c r="E68" s="3">
        <v>0.02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34</v>
      </c>
      <c r="D69" s="3"/>
      <c r="E69" s="3">
        <v>0.02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40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34</v>
      </c>
      <c r="D72" s="3"/>
      <c r="E72" s="3">
        <v>0.0045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34</v>
      </c>
      <c r="D73" s="3"/>
      <c r="E73" s="3">
        <v>0.0045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34</v>
      </c>
      <c r="D74" s="3"/>
      <c r="E74" s="3">
        <v>0.0045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34</v>
      </c>
      <c r="D75" s="3"/>
      <c r="E75" s="3">
        <v>0.0045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34</v>
      </c>
      <c r="D76" s="3"/>
      <c r="E76" s="3">
        <v>0.0045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34</v>
      </c>
      <c r="D77" s="3"/>
      <c r="E77" s="3">
        <v>0.0045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34</v>
      </c>
      <c r="D78" s="3"/>
      <c r="E78" s="3">
        <v>0.0045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34</v>
      </c>
      <c r="D79" s="3"/>
      <c r="E79" s="3">
        <v>0.0045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34</v>
      </c>
      <c r="D80" s="3"/>
      <c r="E80" s="3">
        <v>0.0045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34</v>
      </c>
      <c r="D81" s="3"/>
      <c r="E81" s="3">
        <v>0.0045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34</v>
      </c>
      <c r="D82" s="3"/>
      <c r="E82" s="3">
        <v>0.0045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34</v>
      </c>
      <c r="D83" s="3"/>
      <c r="E83" s="3">
        <v>0.0045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41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34</v>
      </c>
      <c r="D86" s="3"/>
      <c r="E86" s="3">
        <v>0.000500000000000056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34</v>
      </c>
      <c r="D87" s="3"/>
      <c r="E87" s="3">
        <v>0.000500000000000056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34</v>
      </c>
      <c r="D88" s="3"/>
      <c r="E88" s="3">
        <v>0.000500000000000056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34</v>
      </c>
      <c r="D89" s="3"/>
      <c r="E89" s="3">
        <v>0.000500000000000056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34</v>
      </c>
      <c r="D90" s="3"/>
      <c r="E90" s="3">
        <v>0.000500000000000056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34</v>
      </c>
      <c r="D91" s="3"/>
      <c r="E91" s="3">
        <v>0.000500000000000056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34</v>
      </c>
      <c r="D92" s="3"/>
      <c r="E92" s="3">
        <v>0.000500000000000056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34</v>
      </c>
      <c r="D93" s="3"/>
      <c r="E93" s="3">
        <v>0.000500000000000056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34</v>
      </c>
      <c r="D94" s="3"/>
      <c r="E94" s="3">
        <v>0.000500000000000056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34</v>
      </c>
      <c r="D95" s="3"/>
      <c r="E95" s="3">
        <v>0.000500000000000056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34</v>
      </c>
      <c r="D96" s="3"/>
      <c r="E96" s="3">
        <v>0.000500000000000056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34</v>
      </c>
      <c r="D97" s="3"/>
      <c r="E97" s="3">
        <v>0.000500000000000056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42</v>
      </c>
      <c r="B99" s="1" t="s">
        <v>29</v>
      </c>
      <c r="C99" s="1" t="s">
        <v>30</v>
      </c>
      <c r="D99" s="1" t="s">
        <v>31</v>
      </c>
      <c r="E99" s="1">
        <v>2000</v>
      </c>
      <c r="F99" s="1">
        <v>2001</v>
      </c>
      <c r="G99" s="1">
        <v>2002</v>
      </c>
      <c r="H99" s="1">
        <v>2003</v>
      </c>
      <c r="I99" s="1">
        <v>2004</v>
      </c>
      <c r="J99" s="1">
        <v>2005</v>
      </c>
      <c r="K99" s="1">
        <v>2006</v>
      </c>
      <c r="L99" s="1">
        <v>2007</v>
      </c>
      <c r="M99" s="1">
        <v>2008</v>
      </c>
      <c r="N99" s="1">
        <v>2009</v>
      </c>
      <c r="O99" s="1">
        <v>2010</v>
      </c>
      <c r="P99" s="1">
        <v>2011</v>
      </c>
      <c r="Q99" s="1">
        <v>2012</v>
      </c>
      <c r="R99" s="1">
        <v>2013</v>
      </c>
      <c r="S99" s="1">
        <v>2014</v>
      </c>
      <c r="T99" s="1">
        <v>2015</v>
      </c>
      <c r="U99" s="1">
        <v>2016</v>
      </c>
      <c r="V99" s="1">
        <v>2017</v>
      </c>
      <c r="W99" s="1">
        <v>2018</v>
      </c>
      <c r="X99" s="1">
        <v>2019</v>
      </c>
      <c r="Y99" s="1">
        <v>2020</v>
      </c>
      <c r="Z99" s="1">
        <v>2021</v>
      </c>
      <c r="AA99" s="1">
        <v>2022</v>
      </c>
      <c r="AB99" s="1">
        <v>2023</v>
      </c>
      <c r="AC99" s="1">
        <v>2024</v>
      </c>
      <c r="AD99" s="1">
        <v>2025</v>
      </c>
      <c r="AE99" s="1">
        <v>2026</v>
      </c>
      <c r="AF99" s="1">
        <v>2027</v>
      </c>
      <c r="AG99" s="1">
        <v>2028</v>
      </c>
      <c r="AH99" s="1">
        <v>2029</v>
      </c>
      <c r="AI99" s="1">
        <v>2030</v>
      </c>
      <c r="AJ99" s="1">
        <v>2031</v>
      </c>
      <c r="AK99" s="1">
        <v>2032</v>
      </c>
      <c r="AL99" s="1">
        <v>2033</v>
      </c>
      <c r="AM99" s="1">
        <v>2034</v>
      </c>
      <c r="AN99" s="1">
        <v>2035</v>
      </c>
      <c r="AO99" s="1">
        <v>2036</v>
      </c>
      <c r="AP99" s="1">
        <v>2037</v>
      </c>
      <c r="AQ99" s="1">
        <v>2038</v>
      </c>
      <c r="AR99" s="1">
        <v>2039</v>
      </c>
      <c r="AS99" s="1">
        <v>2040</v>
      </c>
      <c r="AT99" s="1">
        <v>2041</v>
      </c>
      <c r="AU99" s="1">
        <v>2042</v>
      </c>
      <c r="AV99" s="1">
        <v>2043</v>
      </c>
      <c r="AW99" s="1">
        <v>2044</v>
      </c>
      <c r="AX99" s="1">
        <v>2045</v>
      </c>
      <c r="AY99" s="1">
        <v>2046</v>
      </c>
      <c r="AZ99" s="1">
        <v>2047</v>
      </c>
      <c r="BA99" s="1">
        <v>2048</v>
      </c>
      <c r="BB99" s="1">
        <v>2049</v>
      </c>
      <c r="BC99" s="1">
        <v>2050</v>
      </c>
    </row>
    <row r="100" spans="1:57">
      <c r="A100" s="1" t="str">
        <f>'Population Definitions'!$A$2</f>
        <v>PWID_males</v>
      </c>
      <c r="C100" t="s">
        <v>34</v>
      </c>
      <c r="D100" s="3"/>
      <c r="E100" s="3">
        <v>0.9061524381178919</v>
      </c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</row>
    <row r="101" spans="1:57">
      <c r="A101" s="1" t="str">
        <f>'Population Definitions'!$A$3</f>
        <v>PWID_females</v>
      </c>
      <c r="C101" t="s">
        <v>34</v>
      </c>
      <c r="D101" s="3"/>
      <c r="E101" s="3">
        <v>0.9061524381178919</v>
      </c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</row>
    <row r="102" spans="1:57">
      <c r="A102" s="1" t="str">
        <f>'Population Definitions'!$A$4</f>
        <v>0-9_males</v>
      </c>
      <c r="C102" t="s">
        <v>34</v>
      </c>
      <c r="D102" s="3"/>
      <c r="E102" s="3">
        <v>0.9061524381178919</v>
      </c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</row>
    <row r="103" spans="1:57">
      <c r="A103" s="1" t="str">
        <f>'Population Definitions'!$A$5</f>
        <v>0-9_females</v>
      </c>
      <c r="C103" t="s">
        <v>34</v>
      </c>
      <c r="D103" s="3"/>
      <c r="E103" s="3">
        <v>0.9061524381178919</v>
      </c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</row>
    <row r="104" spans="1:57">
      <c r="A104" s="1" t="str">
        <f>'Population Definitions'!$A$6</f>
        <v>10-17_males</v>
      </c>
      <c r="C104" t="s">
        <v>34</v>
      </c>
      <c r="D104" s="3"/>
      <c r="E104" s="3">
        <v>0.9061524381178919</v>
      </c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</row>
    <row r="105" spans="1:57">
      <c r="A105" s="1" t="str">
        <f>'Population Definitions'!$A$7</f>
        <v>10-17_females</v>
      </c>
      <c r="C105" t="s">
        <v>34</v>
      </c>
      <c r="D105" s="3"/>
      <c r="E105" s="3">
        <v>0.9061524381178919</v>
      </c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</row>
    <row r="106" spans="1:57">
      <c r="A106" s="1" t="str">
        <f>'Population Definitions'!$A$8</f>
        <v>18-64_males</v>
      </c>
      <c r="C106" t="s">
        <v>34</v>
      </c>
      <c r="D106" s="3"/>
      <c r="E106" s="3">
        <v>0.9061524381178919</v>
      </c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</row>
    <row r="107" spans="1:57">
      <c r="A107" s="1" t="str">
        <f>'Population Definitions'!$A$9</f>
        <v>18-64_females</v>
      </c>
      <c r="C107" t="s">
        <v>34</v>
      </c>
      <c r="D107" s="3"/>
      <c r="E107" s="3">
        <v>0.9061524381178919</v>
      </c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</row>
    <row r="108" spans="1:57">
      <c r="A108" s="1" t="str">
        <f>'Population Definitions'!$A$10</f>
        <v>65+_males</v>
      </c>
      <c r="C108" t="s">
        <v>34</v>
      </c>
      <c r="D108" s="3"/>
      <c r="E108" s="3">
        <v>0.9061524381178919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</row>
    <row r="109" spans="1:57">
      <c r="A109" s="1" t="str">
        <f>'Population Definitions'!$A$11</f>
        <v>65+_females</v>
      </c>
      <c r="C109" t="s">
        <v>34</v>
      </c>
      <c r="D109" s="3"/>
      <c r="E109" s="3">
        <v>0.9061524381178919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</row>
    <row r="110" spans="1:57">
      <c r="A110" s="1" t="str">
        <f>'Population Definitions'!$A$12</f>
        <v>Prisoners_males</v>
      </c>
      <c r="C110" t="s">
        <v>34</v>
      </c>
      <c r="D110" s="3"/>
      <c r="E110" s="3">
        <v>0.9061524381178919</v>
      </c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</row>
    <row r="111" spans="1:57">
      <c r="A111" s="1" t="str">
        <f>'Population Definitions'!$A$13</f>
        <v>Prisoners_females</v>
      </c>
      <c r="C111" t="s">
        <v>34</v>
      </c>
      <c r="D111" s="3"/>
      <c r="E111" s="3">
        <v>0.9061524381178919</v>
      </c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</row>
    <row r="113" spans="1:57">
      <c r="A113" s="1" t="s">
        <v>43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34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34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34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34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34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34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34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34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34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34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34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34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44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34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34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34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34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34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34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34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34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34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34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34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34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45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34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34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34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34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34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34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34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34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34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34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34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34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46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34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34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34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34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34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34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34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34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34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34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34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34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47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48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48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48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48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48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48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48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48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48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48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48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48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</sheetData>
  <conditionalFormatting sqref="E114">
    <cfRule type="expression" dxfId="0" priority="121">
      <formula>COUNTIF(G114:BE114,"&lt;&gt;" &amp; "")&gt;0</formula>
    </cfRule>
    <cfRule type="expression" dxfId="1" priority="122">
      <formula>AND(COUNTIF(G114:BE114,"&lt;&gt;" &amp; "")&gt;0,NOT(ISBLANK(E114)))</formula>
    </cfRule>
  </conditionalFormatting>
  <conditionalFormatting sqref="E115">
    <cfRule type="expression" dxfId="0" priority="123">
      <formula>COUNTIF(G115:BE115,"&lt;&gt;" &amp; "")&gt;0</formula>
    </cfRule>
    <cfRule type="expression" dxfId="1" priority="124">
      <formula>AND(COUNTIF(G115:BE115,"&lt;&gt;" &amp; "")&gt;0,NOT(ISBLANK(E115)))</formula>
    </cfRule>
  </conditionalFormatting>
  <conditionalFormatting sqref="E116">
    <cfRule type="expression" dxfId="0" priority="125">
      <formula>COUNTIF(G116:BE116,"&lt;&gt;" &amp; "")&gt;0</formula>
    </cfRule>
    <cfRule type="expression" dxfId="1" priority="126">
      <formula>AND(COUNTIF(G116:BE116,"&lt;&gt;" &amp; "")&gt;0,NOT(ISBLANK(E116)))</formula>
    </cfRule>
  </conditionalFormatting>
  <conditionalFormatting sqref="E117">
    <cfRule type="expression" dxfId="0" priority="127">
      <formula>COUNTIF(G117:BE117,"&lt;&gt;" &amp; "")&gt;0</formula>
    </cfRule>
    <cfRule type="expression" dxfId="1" priority="128">
      <formula>AND(COUNTIF(G117:BE117,"&lt;&gt;" &amp; "")&gt;0,NOT(ISBLANK(E117)))</formula>
    </cfRule>
  </conditionalFormatting>
  <conditionalFormatting sqref="E118">
    <cfRule type="expression" dxfId="0" priority="129">
      <formula>COUNTIF(G118:BE118,"&lt;&gt;" &amp; "")&gt;0</formula>
    </cfRule>
    <cfRule type="expression" dxfId="1" priority="130">
      <formula>AND(COUNTIF(G118:BE118,"&lt;&gt;" &amp; "")&gt;0,NOT(ISBLANK(E118)))</formula>
    </cfRule>
  </conditionalFormatting>
  <conditionalFormatting sqref="E119">
    <cfRule type="expression" dxfId="0" priority="131">
      <formula>COUNTIF(G119:BE119,"&lt;&gt;" &amp; "")&gt;0</formula>
    </cfRule>
    <cfRule type="expression" dxfId="1" priority="132">
      <formula>AND(COUNTIF(G119:BE119,"&lt;&gt;" &amp; "")&gt;0,NOT(ISBLANK(E119)))</formula>
    </cfRule>
  </conditionalFormatting>
  <conditionalFormatting sqref="E120">
    <cfRule type="expression" dxfId="0" priority="133">
      <formula>COUNTIF(G120:BE120,"&lt;&gt;" &amp; "")&gt;0</formula>
    </cfRule>
    <cfRule type="expression" dxfId="1" priority="134">
      <formula>AND(COUNTIF(G120:BE120,"&lt;&gt;" &amp; "")&gt;0,NOT(ISBLANK(E120)))</formula>
    </cfRule>
  </conditionalFormatting>
  <conditionalFormatting sqref="E121">
    <cfRule type="expression" dxfId="0" priority="135">
      <formula>COUNTIF(G121:BE121,"&lt;&gt;" &amp; "")&gt;0</formula>
    </cfRule>
    <cfRule type="expression" dxfId="1" priority="136">
      <formula>AND(COUNTIF(G121:BE121,"&lt;&gt;" &amp; "")&gt;0,NOT(ISBLANK(E121)))</formula>
    </cfRule>
  </conditionalFormatting>
  <conditionalFormatting sqref="E122">
    <cfRule type="expression" dxfId="0" priority="137">
      <formula>COUNTIF(G122:BE122,"&lt;&gt;" &amp; "")&gt;0</formula>
    </cfRule>
    <cfRule type="expression" dxfId="1" priority="138">
      <formula>AND(COUNTIF(G122:BE122,"&lt;&gt;" &amp; "")&gt;0,NOT(ISBLANK(E122)))</formula>
    </cfRule>
  </conditionalFormatting>
  <conditionalFormatting sqref="E123">
    <cfRule type="expression" dxfId="0" priority="139">
      <formula>COUNTIF(G123:BE123,"&lt;&gt;" &amp; "")&gt;0</formula>
    </cfRule>
    <cfRule type="expression" dxfId="1" priority="140">
      <formula>AND(COUNTIF(G123:BE123,"&lt;&gt;" &amp; "")&gt;0,NOT(ISBLANK(E123)))</formula>
    </cfRule>
  </conditionalFormatting>
  <conditionalFormatting sqref="E124">
    <cfRule type="expression" dxfId="0" priority="141">
      <formula>COUNTIF(G124:BE124,"&lt;&gt;" &amp; "")&gt;0</formula>
    </cfRule>
    <cfRule type="expression" dxfId="1" priority="142">
      <formula>AND(COUNTIF(G124:BE124,"&lt;&gt;" &amp; "")&gt;0,NOT(ISBLANK(E124)))</formula>
    </cfRule>
  </conditionalFormatting>
  <conditionalFormatting sqref="E125">
    <cfRule type="expression" dxfId="0" priority="143">
      <formula>COUNTIF(G125:BE125,"&lt;&gt;" &amp; "")&gt;0</formula>
    </cfRule>
    <cfRule type="expression" dxfId="1" priority="144">
      <formula>AND(COUNTIF(G125:BE125,"&lt;&gt;" &amp; "")&gt;0,NOT(ISBLANK(E125)))</formula>
    </cfRule>
  </conditionalFormatting>
  <conditionalFormatting sqref="E128">
    <cfRule type="expression" dxfId="0" priority="145">
      <formula>COUNTIF(G128:BE128,"&lt;&gt;" &amp; "")&gt;0</formula>
    </cfRule>
    <cfRule type="expression" dxfId="1" priority="146">
      <formula>AND(COUNTIF(G128:BE128,"&lt;&gt;" &amp; "")&gt;0,NOT(ISBLANK(E128)))</formula>
    </cfRule>
  </conditionalFormatting>
  <conditionalFormatting sqref="E129">
    <cfRule type="expression" dxfId="0" priority="147">
      <formula>COUNTIF(G129:BE129,"&lt;&gt;" &amp; "")&gt;0</formula>
    </cfRule>
    <cfRule type="expression" dxfId="1" priority="148">
      <formula>AND(COUNTIF(G129:BE129,"&lt;&gt;" &amp; "")&gt;0,NOT(ISBLANK(E129)))</formula>
    </cfRule>
  </conditionalFormatting>
  <conditionalFormatting sqref="E130">
    <cfRule type="expression" dxfId="0" priority="149">
      <formula>COUNTIF(G130:BE130,"&lt;&gt;" &amp; "")&gt;0</formula>
    </cfRule>
    <cfRule type="expression" dxfId="1" priority="150">
      <formula>AND(COUNTIF(G130:BE130,"&lt;&gt;" &amp; "")&gt;0,NOT(ISBLANK(E130)))</formula>
    </cfRule>
  </conditionalFormatting>
  <conditionalFormatting sqref="E131">
    <cfRule type="expression" dxfId="0" priority="151">
      <formula>COUNTIF(G131:BE131,"&lt;&gt;" &amp; "")&gt;0</formula>
    </cfRule>
    <cfRule type="expression" dxfId="1" priority="152">
      <formula>AND(COUNTIF(G131:BE131,"&lt;&gt;" &amp; "")&gt;0,NOT(ISBLANK(E131)))</formula>
    </cfRule>
  </conditionalFormatting>
  <conditionalFormatting sqref="E132">
    <cfRule type="expression" dxfId="0" priority="153">
      <formula>COUNTIF(G132:BE132,"&lt;&gt;" &amp; "")&gt;0</formula>
    </cfRule>
    <cfRule type="expression" dxfId="1" priority="154">
      <formula>AND(COUNTIF(G132:BE132,"&lt;&gt;" &amp; "")&gt;0,NOT(ISBLANK(E132)))</formula>
    </cfRule>
  </conditionalFormatting>
  <conditionalFormatting sqref="E133">
    <cfRule type="expression" dxfId="0" priority="155">
      <formula>COUNTIF(G133:BE133,"&lt;&gt;" &amp; "")&gt;0</formula>
    </cfRule>
    <cfRule type="expression" dxfId="1" priority="156">
      <formula>AND(COUNTIF(G133:BE133,"&lt;&gt;" &amp; "")&gt;0,NOT(ISBLANK(E133)))</formula>
    </cfRule>
  </conditionalFormatting>
  <conditionalFormatting sqref="E134">
    <cfRule type="expression" dxfId="0" priority="157">
      <formula>COUNTIF(G134:BE134,"&lt;&gt;" &amp; "")&gt;0</formula>
    </cfRule>
    <cfRule type="expression" dxfId="1" priority="158">
      <formula>AND(COUNTIF(G134:BE134,"&lt;&gt;" &amp; "")&gt;0,NOT(ISBLANK(E134)))</formula>
    </cfRule>
  </conditionalFormatting>
  <conditionalFormatting sqref="E135">
    <cfRule type="expression" dxfId="0" priority="159">
      <formula>COUNTIF(G135:BE135,"&lt;&gt;" &amp; "")&gt;0</formula>
    </cfRule>
    <cfRule type="expression" dxfId="1" priority="160">
      <formula>AND(COUNTIF(G135:BE135,"&lt;&gt;" &amp; "")&gt;0,NOT(ISBLANK(E135)))</formula>
    </cfRule>
  </conditionalFormatting>
  <conditionalFormatting sqref="E136">
    <cfRule type="expression" dxfId="0" priority="161">
      <formula>COUNTIF(G136:BE136,"&lt;&gt;" &amp; "")&gt;0</formula>
    </cfRule>
    <cfRule type="expression" dxfId="1" priority="162">
      <formula>AND(COUNTIF(G136:BE136,"&lt;&gt;" &amp; "")&gt;0,NOT(ISBLANK(E136)))</formula>
    </cfRule>
  </conditionalFormatting>
  <conditionalFormatting sqref="E137">
    <cfRule type="expression" dxfId="0" priority="163">
      <formula>COUNTIF(G137:BE137,"&lt;&gt;" &amp; "")&gt;0</formula>
    </cfRule>
    <cfRule type="expression" dxfId="1" priority="164">
      <formula>AND(COUNTIF(G137:BE137,"&lt;&gt;" &amp; "")&gt;0,NOT(ISBLANK(E137)))</formula>
    </cfRule>
  </conditionalFormatting>
  <conditionalFormatting sqref="E138">
    <cfRule type="expression" dxfId="0" priority="165">
      <formula>COUNTIF(G138:BE138,"&lt;&gt;" &amp; "")&gt;0</formula>
    </cfRule>
    <cfRule type="expression" dxfId="1" priority="166">
      <formula>AND(COUNTIF(G138:BE138,"&lt;&gt;" &amp; "")&gt;0,NOT(ISBLANK(E138)))</formula>
    </cfRule>
  </conditionalFormatting>
  <conditionalFormatting sqref="E139">
    <cfRule type="expression" dxfId="0" priority="167">
      <formula>COUNTIF(G139:BE139,"&lt;&gt;" &amp; "")&gt;0</formula>
    </cfRule>
    <cfRule type="expression" dxfId="1" priority="168">
      <formula>AND(COUNTIF(G139:BE139,"&lt;&gt;" &amp; "")&gt;0,NOT(ISBLANK(E139)))</formula>
    </cfRule>
  </conditionalFormatting>
  <conditionalFormatting sqref="E142">
    <cfRule type="expression" dxfId="0" priority="169">
      <formula>COUNTIF(G142:BE142,"&lt;&gt;" &amp; "")&gt;0</formula>
    </cfRule>
    <cfRule type="expression" dxfId="1" priority="170">
      <formula>AND(COUNTIF(G142:BE142,"&lt;&gt;" &amp; "")&gt;0,NOT(ISBLANK(E142)))</formula>
    </cfRule>
  </conditionalFormatting>
  <conditionalFormatting sqref="E143">
    <cfRule type="expression" dxfId="0" priority="171">
      <formula>COUNTIF(G143:BE143,"&lt;&gt;" &amp; "")&gt;0</formula>
    </cfRule>
    <cfRule type="expression" dxfId="1" priority="172">
      <formula>AND(COUNTIF(G143:BE143,"&lt;&gt;" &amp; "")&gt;0,NOT(ISBLANK(E143)))</formula>
    </cfRule>
  </conditionalFormatting>
  <conditionalFormatting sqref="E144">
    <cfRule type="expression" dxfId="0" priority="173">
      <formula>COUNTIF(G144:BE144,"&lt;&gt;" &amp; "")&gt;0</formula>
    </cfRule>
    <cfRule type="expression" dxfId="1" priority="174">
      <formula>AND(COUNTIF(G144:BE144,"&lt;&gt;" &amp; "")&gt;0,NOT(ISBLANK(E144)))</formula>
    </cfRule>
  </conditionalFormatting>
  <conditionalFormatting sqref="E145">
    <cfRule type="expression" dxfId="0" priority="175">
      <formula>COUNTIF(G145:BE145,"&lt;&gt;" &amp; "")&gt;0</formula>
    </cfRule>
    <cfRule type="expression" dxfId="1" priority="176">
      <formula>AND(COUNTIF(G145:BE145,"&lt;&gt;" &amp; "")&gt;0,NOT(ISBLANK(E145)))</formula>
    </cfRule>
  </conditionalFormatting>
  <conditionalFormatting sqref="E146">
    <cfRule type="expression" dxfId="0" priority="177">
      <formula>COUNTIF(G146:BE146,"&lt;&gt;" &amp; "")&gt;0</formula>
    </cfRule>
    <cfRule type="expression" dxfId="1" priority="178">
      <formula>AND(COUNTIF(G146:BE146,"&lt;&gt;" &amp; "")&gt;0,NOT(ISBLANK(E146)))</formula>
    </cfRule>
  </conditionalFormatting>
  <conditionalFormatting sqref="E147">
    <cfRule type="expression" dxfId="0" priority="179">
      <formula>COUNTIF(G147:BE147,"&lt;&gt;" &amp; "")&gt;0</formula>
    </cfRule>
    <cfRule type="expression" dxfId="1" priority="180">
      <formula>AND(COUNTIF(G147:BE147,"&lt;&gt;" &amp; "")&gt;0,NOT(ISBLANK(E147)))</formula>
    </cfRule>
  </conditionalFormatting>
  <conditionalFormatting sqref="E148">
    <cfRule type="expression" dxfId="0" priority="181">
      <formula>COUNTIF(G148:BE148,"&lt;&gt;" &amp; "")&gt;0</formula>
    </cfRule>
    <cfRule type="expression" dxfId="1" priority="182">
      <formula>AND(COUNTIF(G148:BE148,"&lt;&gt;" &amp; "")&gt;0,NOT(ISBLANK(E148)))</formula>
    </cfRule>
  </conditionalFormatting>
  <conditionalFormatting sqref="E149">
    <cfRule type="expression" dxfId="0" priority="183">
      <formula>COUNTIF(G149:BE149,"&lt;&gt;" &amp; "")&gt;0</formula>
    </cfRule>
    <cfRule type="expression" dxfId="1" priority="184">
      <formula>AND(COUNTIF(G149:BE149,"&lt;&gt;" &amp; "")&gt;0,NOT(ISBLANK(E149)))</formula>
    </cfRule>
  </conditionalFormatting>
  <conditionalFormatting sqref="E150">
    <cfRule type="expression" dxfId="0" priority="185">
      <formula>COUNTIF(G150:BE150,"&lt;&gt;" &amp; "")&gt;0</formula>
    </cfRule>
    <cfRule type="expression" dxfId="1" priority="186">
      <formula>AND(COUNTIF(G150:BE150,"&lt;&gt;" &amp; "")&gt;0,NOT(ISBLANK(E150)))</formula>
    </cfRule>
  </conditionalFormatting>
  <conditionalFormatting sqref="E151">
    <cfRule type="expression" dxfId="0" priority="187">
      <formula>COUNTIF(G151:BE151,"&lt;&gt;" &amp; "")&gt;0</formula>
    </cfRule>
    <cfRule type="expression" dxfId="1" priority="188">
      <formula>AND(COUNTIF(G151:BE151,"&lt;&gt;" &amp; "")&gt;0,NOT(ISBLANK(E151)))</formula>
    </cfRule>
  </conditionalFormatting>
  <conditionalFormatting sqref="E152">
    <cfRule type="expression" dxfId="0" priority="189">
      <formula>COUNTIF(G152:BE152,"&lt;&gt;" &amp; "")&gt;0</formula>
    </cfRule>
    <cfRule type="expression" dxfId="1" priority="190">
      <formula>AND(COUNTIF(G152:BE152,"&lt;&gt;" &amp; "")&gt;0,NOT(ISBLANK(E152)))</formula>
    </cfRule>
  </conditionalFormatting>
  <conditionalFormatting sqref="E153">
    <cfRule type="expression" dxfId="0" priority="191">
      <formula>COUNTIF(G153:BE153,"&lt;&gt;" &amp; "")&gt;0</formula>
    </cfRule>
    <cfRule type="expression" dxfId="1" priority="192">
      <formula>AND(COUNTIF(G153:BE153,"&lt;&gt;" &amp; "")&gt;0,NOT(ISBLANK(E153)))</formula>
    </cfRule>
  </conditionalFormatting>
  <conditionalFormatting sqref="E156">
    <cfRule type="expression" dxfId="0" priority="193">
      <formula>COUNTIF(G156:BE156,"&lt;&gt;" &amp; "")&gt;0</formula>
    </cfRule>
    <cfRule type="expression" dxfId="1" priority="194">
      <formula>AND(COUNTIF(G156:BE156,"&lt;&gt;" &amp; "")&gt;0,NOT(ISBLANK(E156)))</formula>
    </cfRule>
  </conditionalFormatting>
  <conditionalFormatting sqref="E157">
    <cfRule type="expression" dxfId="0" priority="195">
      <formula>COUNTIF(G157:BE157,"&lt;&gt;" &amp; "")&gt;0</formula>
    </cfRule>
    <cfRule type="expression" dxfId="1" priority="196">
      <formula>AND(COUNTIF(G157:BE157,"&lt;&gt;" &amp; "")&gt;0,NOT(ISBLANK(E157)))</formula>
    </cfRule>
  </conditionalFormatting>
  <conditionalFormatting sqref="E158">
    <cfRule type="expression" dxfId="0" priority="197">
      <formula>COUNTIF(G158:BE158,"&lt;&gt;" &amp; "")&gt;0</formula>
    </cfRule>
    <cfRule type="expression" dxfId="1" priority="198">
      <formula>AND(COUNTIF(G158:BE158,"&lt;&gt;" &amp; "")&gt;0,NOT(ISBLANK(E158)))</formula>
    </cfRule>
  </conditionalFormatting>
  <conditionalFormatting sqref="E159">
    <cfRule type="expression" dxfId="0" priority="199">
      <formula>COUNTIF(G159:BE159,"&lt;&gt;" &amp; "")&gt;0</formula>
    </cfRule>
    <cfRule type="expression" dxfId="1" priority="200">
      <formula>AND(COUNTIF(G159:BE159,"&lt;&gt;" &amp; "")&gt;0,NOT(ISBLANK(E159)))</formula>
    </cfRule>
  </conditionalFormatting>
  <conditionalFormatting sqref="E160">
    <cfRule type="expression" dxfId="0" priority="201">
      <formula>COUNTIF(G160:BE160,"&lt;&gt;" &amp; "")&gt;0</formula>
    </cfRule>
    <cfRule type="expression" dxfId="1" priority="202">
      <formula>AND(COUNTIF(G160:BE160,"&lt;&gt;" &amp; "")&gt;0,NOT(ISBLANK(E160)))</formula>
    </cfRule>
  </conditionalFormatting>
  <conditionalFormatting sqref="E161">
    <cfRule type="expression" dxfId="0" priority="203">
      <formula>COUNTIF(G161:BE161,"&lt;&gt;" &amp; "")&gt;0</formula>
    </cfRule>
    <cfRule type="expression" dxfId="1" priority="204">
      <formula>AND(COUNTIF(G161:BE161,"&lt;&gt;" &amp; "")&gt;0,NOT(ISBLANK(E161)))</formula>
    </cfRule>
  </conditionalFormatting>
  <conditionalFormatting sqref="E162">
    <cfRule type="expression" dxfId="0" priority="205">
      <formula>COUNTIF(G162:BE162,"&lt;&gt;" &amp; "")&gt;0</formula>
    </cfRule>
    <cfRule type="expression" dxfId="1" priority="206">
      <formula>AND(COUNTIF(G162:BE162,"&lt;&gt;" &amp; "")&gt;0,NOT(ISBLANK(E162)))</formula>
    </cfRule>
  </conditionalFormatting>
  <conditionalFormatting sqref="E163">
    <cfRule type="expression" dxfId="0" priority="207">
      <formula>COUNTIF(G163:BE163,"&lt;&gt;" &amp; "")&gt;0</formula>
    </cfRule>
    <cfRule type="expression" dxfId="1" priority="208">
      <formula>AND(COUNTIF(G163:BE163,"&lt;&gt;" &amp; "")&gt;0,NOT(ISBLANK(E163)))</formula>
    </cfRule>
  </conditionalFormatting>
  <conditionalFormatting sqref="E164">
    <cfRule type="expression" dxfId="0" priority="209">
      <formula>COUNTIF(G164:BE164,"&lt;&gt;" &amp; "")&gt;0</formula>
    </cfRule>
    <cfRule type="expression" dxfId="1" priority="210">
      <formula>AND(COUNTIF(G164:BE164,"&lt;&gt;" &amp; "")&gt;0,NOT(ISBLANK(E164)))</formula>
    </cfRule>
  </conditionalFormatting>
  <conditionalFormatting sqref="E165">
    <cfRule type="expression" dxfId="0" priority="211">
      <formula>COUNTIF(G165:BE165,"&lt;&gt;" &amp; "")&gt;0</formula>
    </cfRule>
    <cfRule type="expression" dxfId="1" priority="212">
      <formula>AND(COUNTIF(G165:BE165,"&lt;&gt;" &amp; "")&gt;0,NOT(ISBLANK(E165)))</formula>
    </cfRule>
  </conditionalFormatting>
  <conditionalFormatting sqref="E166">
    <cfRule type="expression" dxfId="0" priority="213">
      <formula>COUNTIF(G166:BE166,"&lt;&gt;" &amp; "")&gt;0</formula>
    </cfRule>
    <cfRule type="expression" dxfId="1" priority="214">
      <formula>AND(COUNTIF(G166:BE166,"&lt;&gt;" &amp; "")&gt;0,NOT(ISBLANK(E166)))</formula>
    </cfRule>
  </conditionalFormatting>
  <conditionalFormatting sqref="E167">
    <cfRule type="expression" dxfId="0" priority="215">
      <formula>COUNTIF(G167:BE167,"&lt;&gt;" &amp; "")&gt;0</formula>
    </cfRule>
    <cfRule type="expression" dxfId="1" priority="216">
      <formula>AND(COUNTIF(G167:BE167,"&lt;&gt;" &amp; "")&gt;0,NOT(ISBLANK(E167)))</formula>
    </cfRule>
  </conditionalFormatting>
  <conditionalFormatting sqref="E170">
    <cfRule type="expression" dxfId="0" priority="217">
      <formula>COUNTIF(G170:BE170,"&lt;&gt;" &amp; "")&gt;0</formula>
    </cfRule>
    <cfRule type="expression" dxfId="1" priority="218">
      <formula>AND(COUNTIF(G170:BE170,"&lt;&gt;" &amp; "")&gt;0,NOT(ISBLANK(E170)))</formula>
    </cfRule>
  </conditionalFormatting>
  <conditionalFormatting sqref="E171">
    <cfRule type="expression" dxfId="0" priority="219">
      <formula>COUNTIF(G171:BE171,"&lt;&gt;" &amp; "")&gt;0</formula>
    </cfRule>
    <cfRule type="expression" dxfId="1" priority="220">
      <formula>AND(COUNTIF(G171:BE171,"&lt;&gt;" &amp; "")&gt;0,NOT(ISBLANK(E171)))</formula>
    </cfRule>
  </conditionalFormatting>
  <conditionalFormatting sqref="E172">
    <cfRule type="expression" dxfId="0" priority="221">
      <formula>COUNTIF(G172:BE172,"&lt;&gt;" &amp; "")&gt;0</formula>
    </cfRule>
    <cfRule type="expression" dxfId="1" priority="222">
      <formula>AND(COUNTIF(G172:BE172,"&lt;&gt;" &amp; "")&gt;0,NOT(ISBLANK(E172)))</formula>
    </cfRule>
  </conditionalFormatting>
  <conditionalFormatting sqref="E173">
    <cfRule type="expression" dxfId="0" priority="223">
      <formula>COUNTIF(G173:BE173,"&lt;&gt;" &amp; "")&gt;0</formula>
    </cfRule>
    <cfRule type="expression" dxfId="1" priority="224">
      <formula>AND(COUNTIF(G173:BE173,"&lt;&gt;" &amp; "")&gt;0,NOT(ISBLANK(E173)))</formula>
    </cfRule>
  </conditionalFormatting>
  <conditionalFormatting sqref="E174">
    <cfRule type="expression" dxfId="0" priority="225">
      <formula>COUNTIF(G174:BE174,"&lt;&gt;" &amp; "")&gt;0</formula>
    </cfRule>
    <cfRule type="expression" dxfId="1" priority="226">
      <formula>AND(COUNTIF(G174:BE174,"&lt;&gt;" &amp; "")&gt;0,NOT(ISBLANK(E174)))</formula>
    </cfRule>
  </conditionalFormatting>
  <conditionalFormatting sqref="E175">
    <cfRule type="expression" dxfId="0" priority="227">
      <formula>COUNTIF(G175:BE175,"&lt;&gt;" &amp; "")&gt;0</formula>
    </cfRule>
    <cfRule type="expression" dxfId="1" priority="228">
      <formula>AND(COUNTIF(G175:BE175,"&lt;&gt;" &amp; "")&gt;0,NOT(ISBLANK(E175)))</formula>
    </cfRule>
  </conditionalFormatting>
  <conditionalFormatting sqref="E176">
    <cfRule type="expression" dxfId="0" priority="229">
      <formula>COUNTIF(G176:BE176,"&lt;&gt;" &amp; "")&gt;0</formula>
    </cfRule>
    <cfRule type="expression" dxfId="1" priority="230">
      <formula>AND(COUNTIF(G176:BE176,"&lt;&gt;" &amp; "")&gt;0,NOT(ISBLANK(E176)))</formula>
    </cfRule>
  </conditionalFormatting>
  <conditionalFormatting sqref="E177">
    <cfRule type="expression" dxfId="0" priority="231">
      <formula>COUNTIF(G177:BE177,"&lt;&gt;" &amp; "")&gt;0</formula>
    </cfRule>
    <cfRule type="expression" dxfId="1" priority="232">
      <formula>AND(COUNTIF(G177:BE177,"&lt;&gt;" &amp; "")&gt;0,NOT(ISBLANK(E177)))</formula>
    </cfRule>
  </conditionalFormatting>
  <conditionalFormatting sqref="E178">
    <cfRule type="expression" dxfId="0" priority="233">
      <formula>COUNTIF(G178:BE178,"&lt;&gt;" &amp; "")&gt;0</formula>
    </cfRule>
    <cfRule type="expression" dxfId="1" priority="234">
      <formula>AND(COUNTIF(G178:BE178,"&lt;&gt;" &amp; "")&gt;0,NOT(ISBLANK(E178)))</formula>
    </cfRule>
  </conditionalFormatting>
  <conditionalFormatting sqref="E179">
    <cfRule type="expression" dxfId="0" priority="235">
      <formula>COUNTIF(G179:BE179,"&lt;&gt;" &amp; "")&gt;0</formula>
    </cfRule>
    <cfRule type="expression" dxfId="1" priority="236">
      <formula>AND(COUNTIF(G179:BE179,"&lt;&gt;" &amp; "")&gt;0,NOT(ISBLANK(E179)))</formula>
    </cfRule>
  </conditionalFormatting>
  <conditionalFormatting sqref="E180">
    <cfRule type="expression" dxfId="0" priority="237">
      <formula>COUNTIF(G180:BE180,"&lt;&gt;" &amp; "")&gt;0</formula>
    </cfRule>
    <cfRule type="expression" dxfId="1" priority="238">
      <formula>AND(COUNTIF(G180:BE180,"&lt;&gt;" &amp; "")&gt;0,NOT(ISBLANK(E180)))</formula>
    </cfRule>
  </conditionalFormatting>
  <conditionalFormatting sqref="E181">
    <cfRule type="expression" dxfId="0" priority="239">
      <formula>COUNTIF(G181:BE181,"&lt;&gt;" &amp; "")&gt;0</formula>
    </cfRule>
    <cfRule type="expression" dxfId="1" priority="240">
      <formula>AND(COUNTIF(G181:BE181,"&lt;&gt;" &amp; "")&gt;0,NOT(ISBLANK(E181)))</formula>
    </cfRule>
  </conditionalFormatting>
  <conditionalFormatting sqref="E30">
    <cfRule type="expression" dxfId="0" priority="1">
      <formula>COUNTIF(G30:BE30,"&lt;&gt;" &amp; "")&gt;0</formula>
    </cfRule>
    <cfRule type="expression" dxfId="1" priority="2">
      <formula>AND(COUNTIF(G30:BE30,"&lt;&gt;" &amp; "")&gt;0,NOT(ISBLANK(E30)))</formula>
    </cfRule>
  </conditionalFormatting>
  <conditionalFormatting sqref="E31">
    <cfRule type="expression" dxfId="0" priority="3">
      <formula>COUNTIF(G31:BE31,"&lt;&gt;" &amp; "")&gt;0</formula>
    </cfRule>
    <cfRule type="expression" dxfId="1" priority="4">
      <formula>AND(COUNTIF(G31:BE31,"&lt;&gt;" &amp; "")&gt;0,NOT(ISBLANK(E31)))</formula>
    </cfRule>
  </conditionalFormatting>
  <conditionalFormatting sqref="E32">
    <cfRule type="expression" dxfId="0" priority="5">
      <formula>COUNTIF(G32:BE32,"&lt;&gt;" &amp; "")&gt;0</formula>
    </cfRule>
    <cfRule type="expression" dxfId="1" priority="6">
      <formula>AND(COUNTIF(G32:BE32,"&lt;&gt;" &amp; "")&gt;0,NOT(ISBLANK(E32)))</formula>
    </cfRule>
  </conditionalFormatting>
  <conditionalFormatting sqref="E33">
    <cfRule type="expression" dxfId="0" priority="7">
      <formula>COUNTIF(G33:BE33,"&lt;&gt;" &amp; "")&gt;0</formula>
    </cfRule>
    <cfRule type="expression" dxfId="1" priority="8">
      <formula>AND(COUNTIF(G33:BE33,"&lt;&gt;" &amp; "")&gt;0,NOT(ISBLANK(E33)))</formula>
    </cfRule>
  </conditionalFormatting>
  <conditionalFormatting sqref="E34">
    <cfRule type="expression" dxfId="0" priority="9">
      <formula>COUNTIF(G34:BE34,"&lt;&gt;" &amp; "")&gt;0</formula>
    </cfRule>
    <cfRule type="expression" dxfId="1" priority="10">
      <formula>AND(COUNTIF(G34:BE34,"&lt;&gt;" &amp; "")&gt;0,NOT(ISBLANK(E34)))</formula>
    </cfRule>
  </conditionalFormatting>
  <conditionalFormatting sqref="E35">
    <cfRule type="expression" dxfId="0" priority="11">
      <formula>COUNTIF(G35:BE35,"&lt;&gt;" &amp; "")&gt;0</formula>
    </cfRule>
    <cfRule type="expression" dxfId="1" priority="12">
      <formula>AND(COUNTIF(G35:BE35,"&lt;&gt;" &amp; "")&gt;0,NOT(ISBLANK(E35)))</formula>
    </cfRule>
  </conditionalFormatting>
  <conditionalFormatting sqref="E36">
    <cfRule type="expression" dxfId="0" priority="13">
      <formula>COUNTIF(G36:BE36,"&lt;&gt;" &amp; "")&gt;0</formula>
    </cfRule>
    <cfRule type="expression" dxfId="1" priority="14">
      <formula>AND(COUNTIF(G36:BE36,"&lt;&gt;" &amp; "")&gt;0,NOT(ISBLANK(E36)))</formula>
    </cfRule>
  </conditionalFormatting>
  <conditionalFormatting sqref="E37">
    <cfRule type="expression" dxfId="0" priority="15">
      <formula>COUNTIF(G37:BE37,"&lt;&gt;" &amp; "")&gt;0</formula>
    </cfRule>
    <cfRule type="expression" dxfId="1" priority="16">
      <formula>AND(COUNTIF(G37:BE37,"&lt;&gt;" &amp; "")&gt;0,NOT(ISBLANK(E37)))</formula>
    </cfRule>
  </conditionalFormatting>
  <conditionalFormatting sqref="E38">
    <cfRule type="expression" dxfId="0" priority="17">
      <formula>COUNTIF(G38:BE38,"&lt;&gt;" &amp; "")&gt;0</formula>
    </cfRule>
    <cfRule type="expression" dxfId="1" priority="18">
      <formula>AND(COUNTIF(G38:BE38,"&lt;&gt;" &amp; "")&gt;0,NOT(ISBLANK(E38)))</formula>
    </cfRule>
  </conditionalFormatting>
  <conditionalFormatting sqref="E39">
    <cfRule type="expression" dxfId="0" priority="19">
      <formula>COUNTIF(G39:BE39,"&lt;&gt;" &amp; "")&gt;0</formula>
    </cfRule>
    <cfRule type="expression" dxfId="1" priority="20">
      <formula>AND(COUNTIF(G39:BE39,"&lt;&gt;" &amp; "")&gt;0,NOT(ISBLANK(E39)))</formula>
    </cfRule>
  </conditionalFormatting>
  <conditionalFormatting sqref="E40">
    <cfRule type="expression" dxfId="0" priority="21">
      <formula>COUNTIF(G40:BE40,"&lt;&gt;" &amp; "")&gt;0</formula>
    </cfRule>
    <cfRule type="expression" dxfId="1" priority="22">
      <formula>AND(COUNTIF(G40:BE40,"&lt;&gt;" &amp; "")&gt;0,NOT(ISBLANK(E40)))</formula>
    </cfRule>
  </conditionalFormatting>
  <conditionalFormatting sqref="E41">
    <cfRule type="expression" dxfId="0" priority="23">
      <formula>COUNTIF(G41:BE41,"&lt;&gt;" &amp; "")&gt;0</formula>
    </cfRule>
    <cfRule type="expression" dxfId="1" priority="24">
      <formula>AND(COUNTIF(G41:BE41,"&lt;&gt;" &amp; "")&gt;0,NOT(ISBLANK(E41)))</formula>
    </cfRule>
  </conditionalFormatting>
  <conditionalFormatting sqref="E44">
    <cfRule type="expression" dxfId="0" priority="25">
      <formula>COUNTIF(G44:BE44,"&lt;&gt;" &amp; "")&gt;0</formula>
    </cfRule>
    <cfRule type="expression" dxfId="1" priority="26">
      <formula>AND(COUNTIF(G44:BE44,"&lt;&gt;" &amp; "")&gt;0,NOT(ISBLANK(E44)))</formula>
    </cfRule>
  </conditionalFormatting>
  <conditionalFormatting sqref="E45">
    <cfRule type="expression" dxfId="0" priority="27">
      <formula>COUNTIF(G45:BE45,"&lt;&gt;" &amp; "")&gt;0</formula>
    </cfRule>
    <cfRule type="expression" dxfId="1" priority="28">
      <formula>AND(COUNTIF(G45:BE45,"&lt;&gt;" &amp; "")&gt;0,NOT(ISBLANK(E45)))</formula>
    </cfRule>
  </conditionalFormatting>
  <conditionalFormatting sqref="E46">
    <cfRule type="expression" dxfId="0" priority="29">
      <formula>COUNTIF(G46:BE46,"&lt;&gt;" &amp; "")&gt;0</formula>
    </cfRule>
    <cfRule type="expression" dxfId="1" priority="30">
      <formula>AND(COUNTIF(G46:BE46,"&lt;&gt;" &amp; "")&gt;0,NOT(ISBLANK(E46)))</formula>
    </cfRule>
  </conditionalFormatting>
  <conditionalFormatting sqref="E47">
    <cfRule type="expression" dxfId="0" priority="31">
      <formula>COUNTIF(G47:BE47,"&lt;&gt;" &amp; "")&gt;0</formula>
    </cfRule>
    <cfRule type="expression" dxfId="1" priority="32">
      <formula>AND(COUNTIF(G47:BE47,"&lt;&gt;" &amp; "")&gt;0,NOT(ISBLANK(E47)))</formula>
    </cfRule>
  </conditionalFormatting>
  <conditionalFormatting sqref="E48">
    <cfRule type="expression" dxfId="0" priority="33">
      <formula>COUNTIF(G48:BE48,"&lt;&gt;" &amp; "")&gt;0</formula>
    </cfRule>
    <cfRule type="expression" dxfId="1" priority="34">
      <formula>AND(COUNTIF(G48:BE48,"&lt;&gt;" &amp; "")&gt;0,NOT(ISBLANK(E48)))</formula>
    </cfRule>
  </conditionalFormatting>
  <conditionalFormatting sqref="E49">
    <cfRule type="expression" dxfId="0" priority="35">
      <formula>COUNTIF(G49:BE49,"&lt;&gt;" &amp; "")&gt;0</formula>
    </cfRule>
    <cfRule type="expression" dxfId="1" priority="36">
      <formula>AND(COUNTIF(G49:BE49,"&lt;&gt;" &amp; "")&gt;0,NOT(ISBLANK(E49)))</formula>
    </cfRule>
  </conditionalFormatting>
  <conditionalFormatting sqref="E50">
    <cfRule type="expression" dxfId="0" priority="37">
      <formula>COUNTIF(G50:BE50,"&lt;&gt;" &amp; "")&gt;0</formula>
    </cfRule>
    <cfRule type="expression" dxfId="1" priority="38">
      <formula>AND(COUNTIF(G50:BE50,"&lt;&gt;" &amp; "")&gt;0,NOT(ISBLANK(E50)))</formula>
    </cfRule>
  </conditionalFormatting>
  <conditionalFormatting sqref="E51">
    <cfRule type="expression" dxfId="0" priority="39">
      <formula>COUNTIF(G51:BE51,"&lt;&gt;" &amp; "")&gt;0</formula>
    </cfRule>
    <cfRule type="expression" dxfId="1" priority="40">
      <formula>AND(COUNTIF(G51:BE51,"&lt;&gt;" &amp; "")&gt;0,NOT(ISBLANK(E51)))</formula>
    </cfRule>
  </conditionalFormatting>
  <conditionalFormatting sqref="E52">
    <cfRule type="expression" dxfId="0" priority="41">
      <formula>COUNTIF(G52:BE52,"&lt;&gt;" &amp; "")&gt;0</formula>
    </cfRule>
    <cfRule type="expression" dxfId="1" priority="42">
      <formula>AND(COUNTIF(G52:BE52,"&lt;&gt;" &amp; "")&gt;0,NOT(ISBLANK(E52)))</formula>
    </cfRule>
  </conditionalFormatting>
  <conditionalFormatting sqref="E53">
    <cfRule type="expression" dxfId="0" priority="43">
      <formula>COUNTIF(G53:BE53,"&lt;&gt;" &amp; "")&gt;0</formula>
    </cfRule>
    <cfRule type="expression" dxfId="1" priority="44">
      <formula>AND(COUNTIF(G53:BE53,"&lt;&gt;" &amp; "")&gt;0,NOT(ISBLANK(E53)))</formula>
    </cfRule>
  </conditionalFormatting>
  <conditionalFormatting sqref="E54">
    <cfRule type="expression" dxfId="0" priority="45">
      <formula>COUNTIF(G54:BE54,"&lt;&gt;" &amp; "")&gt;0</formula>
    </cfRule>
    <cfRule type="expression" dxfId="1" priority="46">
      <formula>AND(COUNTIF(G54:BE54,"&lt;&gt;" &amp; "")&gt;0,NOT(ISBLANK(E54)))</formula>
    </cfRule>
  </conditionalFormatting>
  <conditionalFormatting sqref="E55">
    <cfRule type="expression" dxfId="0" priority="47">
      <formula>COUNTIF(G55:BE55,"&lt;&gt;" &amp; "")&gt;0</formula>
    </cfRule>
    <cfRule type="expression" dxfId="1" priority="48">
      <formula>AND(COUNTIF(G55:BE55,"&lt;&gt;" &amp; "")&gt;0,NOT(ISBLANK(E55)))</formula>
    </cfRule>
  </conditionalFormatting>
  <conditionalFormatting sqref="E58">
    <cfRule type="expression" dxfId="0" priority="49">
      <formula>COUNTIF(G58:BE58,"&lt;&gt;" &amp; "")&gt;0</formula>
    </cfRule>
    <cfRule type="expression" dxfId="1" priority="50">
      <formula>AND(COUNTIF(G58:BE58,"&lt;&gt;" &amp; "")&gt;0,NOT(ISBLANK(E58)))</formula>
    </cfRule>
  </conditionalFormatting>
  <conditionalFormatting sqref="E59">
    <cfRule type="expression" dxfId="0" priority="51">
      <formula>COUNTIF(G59:BE59,"&lt;&gt;" &amp; "")&gt;0</formula>
    </cfRule>
    <cfRule type="expression" dxfId="1" priority="52">
      <formula>AND(COUNTIF(G59:BE59,"&lt;&gt;" &amp; "")&gt;0,NOT(ISBLANK(E59)))</formula>
    </cfRule>
  </conditionalFormatting>
  <conditionalFormatting sqref="E60">
    <cfRule type="expression" dxfId="0" priority="53">
      <formula>COUNTIF(G60:BE60,"&lt;&gt;" &amp; "")&gt;0</formula>
    </cfRule>
    <cfRule type="expression" dxfId="1" priority="54">
      <formula>AND(COUNTIF(G60:BE60,"&lt;&gt;" &amp; "")&gt;0,NOT(ISBLANK(E60)))</formula>
    </cfRule>
  </conditionalFormatting>
  <conditionalFormatting sqref="E61">
    <cfRule type="expression" dxfId="0" priority="55">
      <formula>COUNTIF(G61:BE61,"&lt;&gt;" &amp; "")&gt;0</formula>
    </cfRule>
    <cfRule type="expression" dxfId="1" priority="56">
      <formula>AND(COUNTIF(G61:BE61,"&lt;&gt;" &amp; "")&gt;0,NOT(ISBLANK(E61)))</formula>
    </cfRule>
  </conditionalFormatting>
  <conditionalFormatting sqref="E62">
    <cfRule type="expression" dxfId="0" priority="57">
      <formula>COUNTIF(G62:BE62,"&lt;&gt;" &amp; "")&gt;0</formula>
    </cfRule>
    <cfRule type="expression" dxfId="1" priority="58">
      <formula>AND(COUNTIF(G62:BE62,"&lt;&gt;" &amp; "")&gt;0,NOT(ISBLANK(E62)))</formula>
    </cfRule>
  </conditionalFormatting>
  <conditionalFormatting sqref="E63">
    <cfRule type="expression" dxfId="0" priority="59">
      <formula>COUNTIF(G63:BE63,"&lt;&gt;" &amp; "")&gt;0</formula>
    </cfRule>
    <cfRule type="expression" dxfId="1" priority="60">
      <formula>AND(COUNTIF(G63:BE63,"&lt;&gt;" &amp; "")&gt;0,NOT(ISBLANK(E63)))</formula>
    </cfRule>
  </conditionalFormatting>
  <conditionalFormatting sqref="E64">
    <cfRule type="expression" dxfId="0" priority="61">
      <formula>COUNTIF(G64:BE64,"&lt;&gt;" &amp; "")&gt;0</formula>
    </cfRule>
    <cfRule type="expression" dxfId="1" priority="62">
      <formula>AND(COUNTIF(G64:BE64,"&lt;&gt;" &amp; "")&gt;0,NOT(ISBLANK(E64)))</formula>
    </cfRule>
  </conditionalFormatting>
  <conditionalFormatting sqref="E65">
    <cfRule type="expression" dxfId="0" priority="63">
      <formula>COUNTIF(G65:BE65,"&lt;&gt;" &amp; "")&gt;0</formula>
    </cfRule>
    <cfRule type="expression" dxfId="1" priority="64">
      <formula>AND(COUNTIF(G65:BE65,"&lt;&gt;" &amp; "")&gt;0,NOT(ISBLANK(E65)))</formula>
    </cfRule>
  </conditionalFormatting>
  <conditionalFormatting sqref="E66">
    <cfRule type="expression" dxfId="0" priority="65">
      <formula>COUNTIF(G66:BE66,"&lt;&gt;" &amp; "")&gt;0</formula>
    </cfRule>
    <cfRule type="expression" dxfId="1" priority="66">
      <formula>AND(COUNTIF(G66:BE66,"&lt;&gt;" &amp; "")&gt;0,NOT(ISBLANK(E66)))</formula>
    </cfRule>
  </conditionalFormatting>
  <conditionalFormatting sqref="E67">
    <cfRule type="expression" dxfId="0" priority="67">
      <formula>COUNTIF(G67:BE67,"&lt;&gt;" &amp; "")&gt;0</formula>
    </cfRule>
    <cfRule type="expression" dxfId="1" priority="68">
      <formula>AND(COUNTIF(G67:BE67,"&lt;&gt;" &amp; "")&gt;0,NOT(ISBLANK(E67)))</formula>
    </cfRule>
  </conditionalFormatting>
  <conditionalFormatting sqref="E68">
    <cfRule type="expression" dxfId="0" priority="69">
      <formula>COUNTIF(G68:BE68,"&lt;&gt;" &amp; "")&gt;0</formula>
    </cfRule>
    <cfRule type="expression" dxfId="1" priority="70">
      <formula>AND(COUNTIF(G68:BE68,"&lt;&gt;" &amp; "")&gt;0,NOT(ISBLANK(E68)))</formula>
    </cfRule>
  </conditionalFormatting>
  <conditionalFormatting sqref="E69">
    <cfRule type="expression" dxfId="0" priority="71">
      <formula>COUNTIF(G69:BE69,"&lt;&gt;" &amp; "")&gt;0</formula>
    </cfRule>
    <cfRule type="expression" dxfId="1" priority="72">
      <formula>AND(COUNTIF(G69:BE69,"&lt;&gt;" &amp; "")&gt;0,NOT(ISBLANK(E69)))</formula>
    </cfRule>
  </conditionalFormatting>
  <conditionalFormatting sqref="E72">
    <cfRule type="expression" dxfId="0" priority="73">
      <formula>COUNTIF(G72:BE72,"&lt;&gt;" &amp; "")&gt;0</formula>
    </cfRule>
    <cfRule type="expression" dxfId="1" priority="74">
      <formula>AND(COUNTIF(G72:BE72,"&lt;&gt;" &amp; "")&gt;0,NOT(ISBLANK(E72)))</formula>
    </cfRule>
  </conditionalFormatting>
  <conditionalFormatting sqref="E73">
    <cfRule type="expression" dxfId="0" priority="75">
      <formula>COUNTIF(G73:BE73,"&lt;&gt;" &amp; "")&gt;0</formula>
    </cfRule>
    <cfRule type="expression" dxfId="1" priority="76">
      <formula>AND(COUNTIF(G73:BE73,"&lt;&gt;" &amp; "")&gt;0,NOT(ISBLANK(E73)))</formula>
    </cfRule>
  </conditionalFormatting>
  <conditionalFormatting sqref="E74">
    <cfRule type="expression" dxfId="0" priority="77">
      <formula>COUNTIF(G74:BE74,"&lt;&gt;" &amp; "")&gt;0</formula>
    </cfRule>
    <cfRule type="expression" dxfId="1" priority="78">
      <formula>AND(COUNTIF(G74:BE74,"&lt;&gt;" &amp; "")&gt;0,NOT(ISBLANK(E74)))</formula>
    </cfRule>
  </conditionalFormatting>
  <conditionalFormatting sqref="E75">
    <cfRule type="expression" dxfId="0" priority="79">
      <formula>COUNTIF(G75:BE75,"&lt;&gt;" &amp; "")&gt;0</formula>
    </cfRule>
    <cfRule type="expression" dxfId="1" priority="80">
      <formula>AND(COUNTIF(G75:BE75,"&lt;&gt;" &amp; "")&gt;0,NOT(ISBLANK(E75)))</formula>
    </cfRule>
  </conditionalFormatting>
  <conditionalFormatting sqref="E76">
    <cfRule type="expression" dxfId="0" priority="81">
      <formula>COUNTIF(G76:BE76,"&lt;&gt;" &amp; "")&gt;0</formula>
    </cfRule>
    <cfRule type="expression" dxfId="1" priority="82">
      <formula>AND(COUNTIF(G76:BE76,"&lt;&gt;" &amp; "")&gt;0,NOT(ISBLANK(E76)))</formula>
    </cfRule>
  </conditionalFormatting>
  <conditionalFormatting sqref="E77">
    <cfRule type="expression" dxfId="0" priority="83">
      <formula>COUNTIF(G77:BE77,"&lt;&gt;" &amp; "")&gt;0</formula>
    </cfRule>
    <cfRule type="expression" dxfId="1" priority="84">
      <formula>AND(COUNTIF(G77:BE77,"&lt;&gt;" &amp; "")&gt;0,NOT(ISBLANK(E77)))</formula>
    </cfRule>
  </conditionalFormatting>
  <conditionalFormatting sqref="E78">
    <cfRule type="expression" dxfId="0" priority="85">
      <formula>COUNTIF(G78:BE78,"&lt;&gt;" &amp; "")&gt;0</formula>
    </cfRule>
    <cfRule type="expression" dxfId="1" priority="86">
      <formula>AND(COUNTIF(G78:BE78,"&lt;&gt;" &amp; "")&gt;0,NOT(ISBLANK(E78)))</formula>
    </cfRule>
  </conditionalFormatting>
  <conditionalFormatting sqref="E79">
    <cfRule type="expression" dxfId="0" priority="87">
      <formula>COUNTIF(G79:BE79,"&lt;&gt;" &amp; "")&gt;0</formula>
    </cfRule>
    <cfRule type="expression" dxfId="1" priority="88">
      <formula>AND(COUNTIF(G79:BE79,"&lt;&gt;" &amp; "")&gt;0,NOT(ISBLANK(E79)))</formula>
    </cfRule>
  </conditionalFormatting>
  <conditionalFormatting sqref="E80">
    <cfRule type="expression" dxfId="0" priority="89">
      <formula>COUNTIF(G80:BE80,"&lt;&gt;" &amp; "")&gt;0</formula>
    </cfRule>
    <cfRule type="expression" dxfId="1" priority="90">
      <formula>AND(COUNTIF(G80:BE80,"&lt;&gt;" &amp; "")&gt;0,NOT(ISBLANK(E80)))</formula>
    </cfRule>
  </conditionalFormatting>
  <conditionalFormatting sqref="E81">
    <cfRule type="expression" dxfId="0" priority="91">
      <formula>COUNTIF(G81:BE81,"&lt;&gt;" &amp; "")&gt;0</formula>
    </cfRule>
    <cfRule type="expression" dxfId="1" priority="92">
      <formula>AND(COUNTIF(G81:BE81,"&lt;&gt;" &amp; "")&gt;0,NOT(ISBLANK(E81)))</formula>
    </cfRule>
  </conditionalFormatting>
  <conditionalFormatting sqref="E82">
    <cfRule type="expression" dxfId="0" priority="93">
      <formula>COUNTIF(G82:BE82,"&lt;&gt;" &amp; "")&gt;0</formula>
    </cfRule>
    <cfRule type="expression" dxfId="1" priority="94">
      <formula>AND(COUNTIF(G82:BE82,"&lt;&gt;" &amp; "")&gt;0,NOT(ISBLANK(E82)))</formula>
    </cfRule>
  </conditionalFormatting>
  <conditionalFormatting sqref="E83">
    <cfRule type="expression" dxfId="0" priority="95">
      <formula>COUNTIF(G83:BE83,"&lt;&gt;" &amp; "")&gt;0</formula>
    </cfRule>
    <cfRule type="expression" dxfId="1" priority="96">
      <formula>AND(COUNTIF(G83:BE83,"&lt;&gt;" &amp; "")&gt;0,NOT(ISBLANK(E83)))</formula>
    </cfRule>
  </conditionalFormatting>
  <conditionalFormatting sqref="E86">
    <cfRule type="expression" dxfId="0" priority="97">
      <formula>COUNTIF(G86:BE86,"&lt;&gt;" &amp; "")&gt;0</formula>
    </cfRule>
    <cfRule type="expression" dxfId="1" priority="98">
      <formula>AND(COUNTIF(G86:BE86,"&lt;&gt;" &amp; "")&gt;0,NOT(ISBLANK(E86)))</formula>
    </cfRule>
  </conditionalFormatting>
  <conditionalFormatting sqref="E87">
    <cfRule type="expression" dxfId="0" priority="99">
      <formula>COUNTIF(G87:BE87,"&lt;&gt;" &amp; "")&gt;0</formula>
    </cfRule>
    <cfRule type="expression" dxfId="1" priority="100">
      <formula>AND(COUNTIF(G87:BE87,"&lt;&gt;" &amp; "")&gt;0,NOT(ISBLANK(E87)))</formula>
    </cfRule>
  </conditionalFormatting>
  <conditionalFormatting sqref="E88">
    <cfRule type="expression" dxfId="0" priority="101">
      <formula>COUNTIF(G88:BE88,"&lt;&gt;" &amp; "")&gt;0</formula>
    </cfRule>
    <cfRule type="expression" dxfId="1" priority="102">
      <formula>AND(COUNTIF(G88:BE88,"&lt;&gt;" &amp; "")&gt;0,NOT(ISBLANK(E88)))</formula>
    </cfRule>
  </conditionalFormatting>
  <conditionalFormatting sqref="E89">
    <cfRule type="expression" dxfId="0" priority="103">
      <formula>COUNTIF(G89:BE89,"&lt;&gt;" &amp; "")&gt;0</formula>
    </cfRule>
    <cfRule type="expression" dxfId="1" priority="104">
      <formula>AND(COUNTIF(G89:BE89,"&lt;&gt;" &amp; "")&gt;0,NOT(ISBLANK(E89)))</formula>
    </cfRule>
  </conditionalFormatting>
  <conditionalFormatting sqref="E90">
    <cfRule type="expression" dxfId="0" priority="105">
      <formula>COUNTIF(G90:BE90,"&lt;&gt;" &amp; "")&gt;0</formula>
    </cfRule>
    <cfRule type="expression" dxfId="1" priority="106">
      <formula>AND(COUNTIF(G90:BE90,"&lt;&gt;" &amp; "")&gt;0,NOT(ISBLANK(E90)))</formula>
    </cfRule>
  </conditionalFormatting>
  <conditionalFormatting sqref="E91">
    <cfRule type="expression" dxfId="0" priority="107">
      <formula>COUNTIF(G91:BE91,"&lt;&gt;" &amp; "")&gt;0</formula>
    </cfRule>
    <cfRule type="expression" dxfId="1" priority="108">
      <formula>AND(COUNTIF(G91:BE91,"&lt;&gt;" &amp; "")&gt;0,NOT(ISBLANK(E91)))</formula>
    </cfRule>
  </conditionalFormatting>
  <conditionalFormatting sqref="E92">
    <cfRule type="expression" dxfId="0" priority="109">
      <formula>COUNTIF(G92:BE92,"&lt;&gt;" &amp; "")&gt;0</formula>
    </cfRule>
    <cfRule type="expression" dxfId="1" priority="110">
      <formula>AND(COUNTIF(G92:BE92,"&lt;&gt;" &amp; "")&gt;0,NOT(ISBLANK(E92)))</formula>
    </cfRule>
  </conditionalFormatting>
  <conditionalFormatting sqref="E93">
    <cfRule type="expression" dxfId="0" priority="111">
      <formula>COUNTIF(G93:BE93,"&lt;&gt;" &amp; "")&gt;0</formula>
    </cfRule>
    <cfRule type="expression" dxfId="1" priority="112">
      <formula>AND(COUNTIF(G93:BE93,"&lt;&gt;" &amp; "")&gt;0,NOT(ISBLANK(E93)))</formula>
    </cfRule>
  </conditionalFormatting>
  <conditionalFormatting sqref="E94">
    <cfRule type="expression" dxfId="0" priority="113">
      <formula>COUNTIF(G94:BE94,"&lt;&gt;" &amp; "")&gt;0</formula>
    </cfRule>
    <cfRule type="expression" dxfId="1" priority="114">
      <formula>AND(COUNTIF(G94:BE94,"&lt;&gt;" &amp; "")&gt;0,NOT(ISBLANK(E94)))</formula>
    </cfRule>
  </conditionalFormatting>
  <conditionalFormatting sqref="E95">
    <cfRule type="expression" dxfId="0" priority="115">
      <formula>COUNTIF(G95:BE95,"&lt;&gt;" &amp; "")&gt;0</formula>
    </cfRule>
    <cfRule type="expression" dxfId="1" priority="116">
      <formula>AND(COUNTIF(G95:BE95,"&lt;&gt;" &amp; "")&gt;0,NOT(ISBLANK(E95)))</formula>
    </cfRule>
  </conditionalFormatting>
  <conditionalFormatting sqref="E96">
    <cfRule type="expression" dxfId="0" priority="117">
      <formula>COUNTIF(G96:BE96,"&lt;&gt;" &amp; "")&gt;0</formula>
    </cfRule>
    <cfRule type="expression" dxfId="1" priority="118">
      <formula>AND(COUNTIF(G96:BE96,"&lt;&gt;" &amp; "")&gt;0,NOT(ISBLANK(E96)))</formula>
    </cfRule>
  </conditionalFormatting>
  <conditionalFormatting sqref="E97">
    <cfRule type="expression" dxfId="0" priority="119">
      <formula>COUNTIF(G97:BE97,"&lt;&gt;" &amp; "")&gt;0</formula>
    </cfRule>
    <cfRule type="expression" dxfId="1" priority="120">
      <formula>AND(COUNTIF(G97:BE97,"&lt;&gt;" &amp; "")&gt;0,NOT(ISBLANK(E97)))</formula>
    </cfRule>
  </conditionalFormatting>
  <dataValidations count="15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"Fraction"</formula1>
    </dataValidation>
    <dataValidation type="list" allowBlank="1" showInputMessage="1" showErrorMessage="1" sqref="C17">
      <formula1>"Fraction"</formula1>
    </dataValidation>
    <dataValidation type="list" allowBlank="1" showInputMessage="1" showErrorMessage="1" sqref="C18">
      <formula1>"Fraction"</formula1>
    </dataValidation>
    <dataValidation type="list" allowBlank="1" showInputMessage="1" showErrorMessage="1" sqref="C19">
      <formula1>"Fraction"</formula1>
    </dataValidation>
    <dataValidation type="list" allowBlank="1" showInputMessage="1" showErrorMessage="1" sqref="C20">
      <formula1>"Fraction"</formula1>
    </dataValidation>
    <dataValidation type="list" allowBlank="1" showInputMessage="1" showErrorMessage="1" sqref="C21">
      <formula1>"Fraction"</formula1>
    </dataValidation>
    <dataValidation type="list" allowBlank="1" showInputMessage="1" showErrorMessage="1" sqref="C22">
      <formula1>"Fraction"</formula1>
    </dataValidation>
    <dataValidation type="list" allowBlank="1" showInputMessage="1" showErrorMessage="1" sqref="C23">
      <formula1>"Fraction"</formula1>
    </dataValidation>
    <dataValidation type="list" allowBlank="1" showInputMessage="1" showErrorMessage="1" sqref="C24">
      <formula1>"Fraction"</formula1>
    </dataValidation>
    <dataValidation type="list" allowBlank="1" showInputMessage="1" showErrorMessage="1" sqref="C25">
      <formula1>"Fraction"</formula1>
    </dataValidation>
    <dataValidation type="list" allowBlank="1" showInputMessage="1" showErrorMessage="1" sqref="C26">
      <formula1>"Fraction"</formula1>
    </dataValidation>
    <dataValidation type="list" allowBlank="1" showInputMessage="1" showErrorMessage="1" sqref="C27">
      <formula1>"Fraction"</formula1>
    </dataValidation>
    <dataValidation type="list" allowBlank="1" showInputMessage="1" showErrorMessage="1" sqref="C30">
      <formula1>"Fraction"</formula1>
    </dataValidation>
    <dataValidation type="list" allowBlank="1" showInputMessage="1" showErrorMessage="1" sqref="C31">
      <formula1>"Fraction"</formula1>
    </dataValidation>
    <dataValidation type="list" allowBlank="1" showInputMessage="1" showErrorMessage="1" sqref="C32">
      <formula1>"Fraction"</formula1>
    </dataValidation>
    <dataValidation type="list" allowBlank="1" showInputMessage="1" showErrorMessage="1" sqref="C33">
      <formula1>"Fraction"</formula1>
    </dataValidation>
    <dataValidation type="list" allowBlank="1" showInputMessage="1" showErrorMessage="1" sqref="C34">
      <formula1>"Fraction"</formula1>
    </dataValidation>
    <dataValidation type="list" allowBlank="1" showInputMessage="1" showErrorMessage="1" sqref="C35">
      <formula1>"Fraction"</formula1>
    </dataValidation>
    <dataValidation type="list" allowBlank="1" showInputMessage="1" showErrorMessage="1" sqref="C36">
      <formula1>"Fraction"</formula1>
    </dataValidation>
    <dataValidation type="list" allowBlank="1" showInputMessage="1" showErrorMessage="1" sqref="C37">
      <formula1>"Fraction"</formula1>
    </dataValidation>
    <dataValidation type="list" allowBlank="1" showInputMessage="1" showErrorMessage="1" sqref="C38">
      <formula1>"Fraction"</formula1>
    </dataValidation>
    <dataValidation type="list" allowBlank="1" showInputMessage="1" showErrorMessage="1" sqref="C39">
      <formula1>"Fraction"</formula1>
    </dataValidation>
    <dataValidation type="list" allowBlank="1" showInputMessage="1" showErrorMessage="1" sqref="C40">
      <formula1>"Fraction"</formula1>
    </dataValidation>
    <dataValidation type="list" allowBlank="1" showInputMessage="1" showErrorMessage="1" sqref="C41">
      <formula1>"Fraction"</formula1>
    </dataValidation>
    <dataValidation type="list" allowBlank="1" showInputMessage="1" showErrorMessage="1" sqref="C44">
      <formula1>"Fraction"</formula1>
    </dataValidation>
    <dataValidation type="list" allowBlank="1" showInputMessage="1" showErrorMessage="1" sqref="C45">
      <formula1>"Fraction"</formula1>
    </dataValidation>
    <dataValidation type="list" allowBlank="1" showInputMessage="1" showErrorMessage="1" sqref="C46">
      <formula1>"Fraction"</formula1>
    </dataValidation>
    <dataValidation type="list" allowBlank="1" showInputMessage="1" showErrorMessage="1" sqref="C47">
      <formula1>"Fraction"</formula1>
    </dataValidation>
    <dataValidation type="list" allowBlank="1" showInputMessage="1" showErrorMessage="1" sqref="C48">
      <formula1>"Fraction"</formula1>
    </dataValidation>
    <dataValidation type="list" allowBlank="1" showInputMessage="1" showErrorMessage="1" sqref="C49">
      <formula1>"Fraction"</formula1>
    </dataValidation>
    <dataValidation type="list" allowBlank="1" showInputMessage="1" showErrorMessage="1" sqref="C50">
      <formula1>"Fraction"</formula1>
    </dataValidation>
    <dataValidation type="list" allowBlank="1" showInputMessage="1" showErrorMessage="1" sqref="C51">
      <formula1>"Fraction"</formula1>
    </dataValidation>
    <dataValidation type="list" allowBlank="1" showInputMessage="1" showErrorMessage="1" sqref="C52">
      <formula1>"Fraction"</formula1>
    </dataValidation>
    <dataValidation type="list" allowBlank="1" showInputMessage="1" showErrorMessage="1" sqref="C53">
      <formula1>"Fraction"</formula1>
    </dataValidation>
    <dataValidation type="list" allowBlank="1" showInputMessage="1" showErrorMessage="1" sqref="C54">
      <formula1>"Fraction"</formula1>
    </dataValidation>
    <dataValidation type="list" allowBlank="1" showInputMessage="1" showErrorMessage="1" sqref="C55">
      <formula1>"Fraction"</formula1>
    </dataValidation>
    <dataValidation type="list" allowBlank="1" showInputMessage="1" showErrorMessage="1" sqref="C58">
      <formula1>"Fraction"</formula1>
    </dataValidation>
    <dataValidation type="list" allowBlank="1" showInputMessage="1" showErrorMessage="1" sqref="C59">
      <formula1>"Fraction"</formula1>
    </dataValidation>
    <dataValidation type="list" allowBlank="1" showInputMessage="1" showErrorMessage="1" sqref="C60">
      <formula1>"Fraction"</formula1>
    </dataValidation>
    <dataValidation type="list" allowBlank="1" showInputMessage="1" showErrorMessage="1" sqref="C61">
      <formula1>"Fraction"</formula1>
    </dataValidation>
    <dataValidation type="list" allowBlank="1" showInputMessage="1" showErrorMessage="1" sqref="C62">
      <formula1>"Fraction"</formula1>
    </dataValidation>
    <dataValidation type="list" allowBlank="1" showInputMessage="1" showErrorMessage="1" sqref="C63">
      <formula1>"Fraction"</formula1>
    </dataValidation>
    <dataValidation type="list" allowBlank="1" showInputMessage="1" showErrorMessage="1" sqref="C64">
      <formula1>"Fraction"</formula1>
    </dataValidation>
    <dataValidation type="list" allowBlank="1" showInputMessage="1" showErrorMessage="1" sqref="C65">
      <formula1>"Fraction"</formula1>
    </dataValidation>
    <dataValidation type="list" allowBlank="1" showInputMessage="1" showErrorMessage="1" sqref="C66">
      <formula1>"Fraction"</formula1>
    </dataValidation>
    <dataValidation type="list" allowBlank="1" showInputMessage="1" showErrorMessage="1" sqref="C67">
      <formula1>"Fraction"</formula1>
    </dataValidation>
    <dataValidation type="list" allowBlank="1" showInputMessage="1" showErrorMessage="1" sqref="C68">
      <formula1>"Fraction"</formula1>
    </dataValidation>
    <dataValidation type="list" allowBlank="1" showInputMessage="1" showErrorMessage="1" sqref="C69">
      <formula1>"Fraction"</formula1>
    </dataValidation>
    <dataValidation type="list" allowBlank="1" showInputMessage="1" showErrorMessage="1" sqref="C72">
      <formula1>"Fraction"</formula1>
    </dataValidation>
    <dataValidation type="list" allowBlank="1" showInputMessage="1" showErrorMessage="1" sqref="C73">
      <formula1>"Fraction"</formula1>
    </dataValidation>
    <dataValidation type="list" allowBlank="1" showInputMessage="1" showErrorMessage="1" sqref="C74">
      <formula1>"Fraction"</formula1>
    </dataValidation>
    <dataValidation type="list" allowBlank="1" showInputMessage="1" showErrorMessage="1" sqref="C75">
      <formula1>"Fraction"</formula1>
    </dataValidation>
    <dataValidation type="list" allowBlank="1" showInputMessage="1" showErrorMessage="1" sqref="C76">
      <formula1>"Fraction"</formula1>
    </dataValidation>
    <dataValidation type="list" allowBlank="1" showInputMessage="1" showErrorMessage="1" sqref="C77">
      <formula1>"Fraction"</formula1>
    </dataValidation>
    <dataValidation type="list" allowBlank="1" showInputMessage="1" showErrorMessage="1" sqref="C78">
      <formula1>"Fraction"</formula1>
    </dataValidation>
    <dataValidation type="list" allowBlank="1" showInputMessage="1" showErrorMessage="1" sqref="C79">
      <formula1>"Fraction"</formula1>
    </dataValidation>
    <dataValidation type="list" allowBlank="1" showInputMessage="1" showErrorMessage="1" sqref="C80">
      <formula1>"Fraction"</formula1>
    </dataValidation>
    <dataValidation type="list" allowBlank="1" showInputMessage="1" showErrorMessage="1" sqref="C81">
      <formula1>"Fraction"</formula1>
    </dataValidation>
    <dataValidation type="list" allowBlank="1" showInputMessage="1" showErrorMessage="1" sqref="C82">
      <formula1>"Fraction"</formula1>
    </dataValidation>
    <dataValidation type="list" allowBlank="1" showInputMessage="1" showErrorMessage="1" sqref="C83">
      <formula1>"Fraction"</formula1>
    </dataValidation>
    <dataValidation type="list" allowBlank="1" showInputMessage="1" showErrorMessage="1" sqref="C86">
      <formula1>"Fraction"</formula1>
    </dataValidation>
    <dataValidation type="list" allowBlank="1" showInputMessage="1" showErrorMessage="1" sqref="C87">
      <formula1>"Fraction"</formula1>
    </dataValidation>
    <dataValidation type="list" allowBlank="1" showInputMessage="1" showErrorMessage="1" sqref="C88">
      <formula1>"Fraction"</formula1>
    </dataValidation>
    <dataValidation type="list" allowBlank="1" showInputMessage="1" showErrorMessage="1" sqref="C89">
      <formula1>"Fraction"</formula1>
    </dataValidation>
    <dataValidation type="list" allowBlank="1" showInputMessage="1" showErrorMessage="1" sqref="C90">
      <formula1>"Fraction"</formula1>
    </dataValidation>
    <dataValidation type="list" allowBlank="1" showInputMessage="1" showErrorMessage="1" sqref="C91">
      <formula1>"Fraction"</formula1>
    </dataValidation>
    <dataValidation type="list" allowBlank="1" showInputMessage="1" showErrorMessage="1" sqref="C92">
      <formula1>"Fraction"</formula1>
    </dataValidation>
    <dataValidation type="list" allowBlank="1" showInputMessage="1" showErrorMessage="1" sqref="C93">
      <formula1>"Fraction"</formula1>
    </dataValidation>
    <dataValidation type="list" allowBlank="1" showInputMessage="1" showErrorMessage="1" sqref="C94">
      <formula1>"Fraction"</formula1>
    </dataValidation>
    <dataValidation type="list" allowBlank="1" showInputMessage="1" showErrorMessage="1" sqref="C95">
      <formula1>"Fraction"</formula1>
    </dataValidation>
    <dataValidation type="list" allowBlank="1" showInputMessage="1" showErrorMessage="1" sqref="C96">
      <formula1>"Fraction"</formula1>
    </dataValidation>
    <dataValidation type="list" allowBlank="1" showInputMessage="1" showErrorMessage="1" sqref="C97">
      <formula1>"Fraction"</formula1>
    </dataValidation>
    <dataValidation type="list" allowBlank="1" showInputMessage="1" showErrorMessage="1" sqref="C100">
      <formula1>"Fraction"</formula1>
    </dataValidation>
    <dataValidation type="list" allowBlank="1" showInputMessage="1" showErrorMessage="1" sqref="C101">
      <formula1>"Fraction"</formula1>
    </dataValidation>
    <dataValidation type="list" allowBlank="1" showInputMessage="1" showErrorMessage="1" sqref="C102">
      <formula1>"Fraction"</formula1>
    </dataValidation>
    <dataValidation type="list" allowBlank="1" showInputMessage="1" showErrorMessage="1" sqref="C103">
      <formula1>"Fraction"</formula1>
    </dataValidation>
    <dataValidation type="list" allowBlank="1" showInputMessage="1" showErrorMessage="1" sqref="C104">
      <formula1>"Fraction"</formula1>
    </dataValidation>
    <dataValidation type="list" allowBlank="1" showInputMessage="1" showErrorMessage="1" sqref="C105">
      <formula1>"Fraction"</formula1>
    </dataValidation>
    <dataValidation type="list" allowBlank="1" showInputMessage="1" showErrorMessage="1" sqref="C106">
      <formula1>"Fraction"</formula1>
    </dataValidation>
    <dataValidation type="list" allowBlank="1" showInputMessage="1" showErrorMessage="1" sqref="C107">
      <formula1>"Fraction"</formula1>
    </dataValidation>
    <dataValidation type="list" allowBlank="1" showInputMessage="1" showErrorMessage="1" sqref="C108">
      <formula1>"Fraction"</formula1>
    </dataValidation>
    <dataValidation type="list" allowBlank="1" showInputMessage="1" showErrorMessage="1" sqref="C109">
      <formula1>"Fraction"</formula1>
    </dataValidation>
    <dataValidation type="list" allowBlank="1" showInputMessage="1" showErrorMessage="1" sqref="C110">
      <formula1>"Fraction"</formula1>
    </dataValidation>
    <dataValidation type="list" allowBlank="1" showInputMessage="1" showErrorMessage="1" sqref="C111">
      <formula1>"Fraction"</formula1>
    </dataValidation>
    <dataValidation type="list" allowBlank="1" showInputMessage="1" showErrorMessage="1" sqref="C114">
      <formula1>"Fraction"</formula1>
    </dataValidation>
    <dataValidation type="list" allowBlank="1" showInputMessage="1" showErrorMessage="1" sqref="C115">
      <formula1>"Fraction"</formula1>
    </dataValidation>
    <dataValidation type="list" allowBlank="1" showInputMessage="1" showErrorMessage="1" sqref="C116">
      <formula1>"Fraction"</formula1>
    </dataValidation>
    <dataValidation type="list" allowBlank="1" showInputMessage="1" showErrorMessage="1" sqref="C117">
      <formula1>"Fraction"</formula1>
    </dataValidation>
    <dataValidation type="list" allowBlank="1" showInputMessage="1" showErrorMessage="1" sqref="C118">
      <formula1>"Fraction"</formula1>
    </dataValidation>
    <dataValidation type="list" allowBlank="1" showInputMessage="1" showErrorMessage="1" sqref="C119">
      <formula1>"Fraction"</formula1>
    </dataValidation>
    <dataValidation type="list" allowBlank="1" showInputMessage="1" showErrorMessage="1" sqref="C120">
      <formula1>"Fraction"</formula1>
    </dataValidation>
    <dataValidation type="list" allowBlank="1" showInputMessage="1" showErrorMessage="1" sqref="C121">
      <formula1>"Fraction"</formula1>
    </dataValidation>
    <dataValidation type="list" allowBlank="1" showInputMessage="1" showErrorMessage="1" sqref="C122">
      <formula1>"Fraction"</formula1>
    </dataValidation>
    <dataValidation type="list" allowBlank="1" showInputMessage="1" showErrorMessage="1" sqref="C123">
      <formula1>"Fraction"</formula1>
    </dataValidation>
    <dataValidation type="list" allowBlank="1" showInputMessage="1" showErrorMessage="1" sqref="C124">
      <formula1>"Fraction"</formula1>
    </dataValidation>
    <dataValidation type="list" allowBlank="1" showInputMessage="1" showErrorMessage="1" sqref="C125">
      <formula1>"Fraction"</formula1>
    </dataValidation>
    <dataValidation type="list" allowBlank="1" showInputMessage="1" showErrorMessage="1" sqref="C128">
      <formula1>"Fraction"</formula1>
    </dataValidation>
    <dataValidation type="list" allowBlank="1" showInputMessage="1" showErrorMessage="1" sqref="C129">
      <formula1>"Fraction"</formula1>
    </dataValidation>
    <dataValidation type="list" allowBlank="1" showInputMessage="1" showErrorMessage="1" sqref="C130">
      <formula1>"Fraction"</formula1>
    </dataValidation>
    <dataValidation type="list" allowBlank="1" showInputMessage="1" showErrorMessage="1" sqref="C131">
      <formula1>"Fraction"</formula1>
    </dataValidation>
    <dataValidation type="list" allowBlank="1" showInputMessage="1" showErrorMessage="1" sqref="C132">
      <formula1>"Fraction"</formula1>
    </dataValidation>
    <dataValidation type="list" allowBlank="1" showInputMessage="1" showErrorMessage="1" sqref="C133">
      <formula1>"Fraction"</formula1>
    </dataValidation>
    <dataValidation type="list" allowBlank="1" showInputMessage="1" showErrorMessage="1" sqref="C134">
      <formula1>"Fraction"</formula1>
    </dataValidation>
    <dataValidation type="list" allowBlank="1" showInputMessage="1" showErrorMessage="1" sqref="C135">
      <formula1>"Fraction"</formula1>
    </dataValidation>
    <dataValidation type="list" allowBlank="1" showInputMessage="1" showErrorMessage="1" sqref="C136">
      <formula1>"Fraction"</formula1>
    </dataValidation>
    <dataValidation type="list" allowBlank="1" showInputMessage="1" showErrorMessage="1" sqref="C137">
      <formula1>"Fraction"</formula1>
    </dataValidation>
    <dataValidation type="list" allowBlank="1" showInputMessage="1" showErrorMessage="1" sqref="C138">
      <formula1>"Fraction"</formula1>
    </dataValidation>
    <dataValidation type="list" allowBlank="1" showInputMessage="1" showErrorMessage="1" sqref="C139">
      <formula1>"Fraction"</formula1>
    </dataValidation>
    <dataValidation type="list" allowBlank="1" showInputMessage="1" showErrorMessage="1" sqref="C142">
      <formula1>"Fraction"</formula1>
    </dataValidation>
    <dataValidation type="list" allowBlank="1" showInputMessage="1" showErrorMessage="1" sqref="C143">
      <formula1>"Fraction"</formula1>
    </dataValidation>
    <dataValidation type="list" allowBlank="1" showInputMessage="1" showErrorMessage="1" sqref="C144">
      <formula1>"Fraction"</formula1>
    </dataValidation>
    <dataValidation type="list" allowBlank="1" showInputMessage="1" showErrorMessage="1" sqref="C145">
      <formula1>"Fraction"</formula1>
    </dataValidation>
    <dataValidation type="list" allowBlank="1" showInputMessage="1" showErrorMessage="1" sqref="C146">
      <formula1>"Fraction"</formula1>
    </dataValidation>
    <dataValidation type="list" allowBlank="1" showInputMessage="1" showErrorMessage="1" sqref="C147">
      <formula1>"Fraction"</formula1>
    </dataValidation>
    <dataValidation type="list" allowBlank="1" showInputMessage="1" showErrorMessage="1" sqref="C148">
      <formula1>"Fraction"</formula1>
    </dataValidation>
    <dataValidation type="list" allowBlank="1" showInputMessage="1" showErrorMessage="1" sqref="C149">
      <formula1>"Fraction"</formula1>
    </dataValidation>
    <dataValidation type="list" allowBlank="1" showInputMessage="1" showErrorMessage="1" sqref="C150">
      <formula1>"Fraction"</formula1>
    </dataValidation>
    <dataValidation type="list" allowBlank="1" showInputMessage="1" showErrorMessage="1" sqref="C151">
      <formula1>"Fraction"</formula1>
    </dataValidation>
    <dataValidation type="list" allowBlank="1" showInputMessage="1" showErrorMessage="1" sqref="C152">
      <formula1>"Fraction"</formula1>
    </dataValidation>
    <dataValidation type="list" allowBlank="1" showInputMessage="1" showErrorMessage="1" sqref="C153">
      <formula1>"Fraction"</formula1>
    </dataValidation>
    <dataValidation type="list" allowBlank="1" showInputMessage="1" showErrorMessage="1" sqref="C156">
      <formula1>"Fraction"</formula1>
    </dataValidation>
    <dataValidation type="list" allowBlank="1" showInputMessage="1" showErrorMessage="1" sqref="C157">
      <formula1>"Fraction"</formula1>
    </dataValidation>
    <dataValidation type="list" allowBlank="1" showInputMessage="1" showErrorMessage="1" sqref="C158">
      <formula1>"Fraction"</formula1>
    </dataValidation>
    <dataValidation type="list" allowBlank="1" showInputMessage="1" showErrorMessage="1" sqref="C159">
      <formula1>"Fraction"</formula1>
    </dataValidation>
    <dataValidation type="list" allowBlank="1" showInputMessage="1" showErrorMessage="1" sqref="C160">
      <formula1>"Fraction"</formula1>
    </dataValidation>
    <dataValidation type="list" allowBlank="1" showInputMessage="1" showErrorMessage="1" sqref="C161">
      <formula1>"Fraction"</formula1>
    </dataValidation>
    <dataValidation type="list" allowBlank="1" showInputMessage="1" showErrorMessage="1" sqref="C162">
      <formula1>"Fraction"</formula1>
    </dataValidation>
    <dataValidation type="list" allowBlank="1" showInputMessage="1" showErrorMessage="1" sqref="C163">
      <formula1>"Fraction"</formula1>
    </dataValidation>
    <dataValidation type="list" allowBlank="1" showInputMessage="1" showErrorMessage="1" sqref="C164">
      <formula1>"Fraction"</formula1>
    </dataValidation>
    <dataValidation type="list" allowBlank="1" showInputMessage="1" showErrorMessage="1" sqref="C165">
      <formula1>"Fraction"</formula1>
    </dataValidation>
    <dataValidation type="list" allowBlank="1" showInputMessage="1" showErrorMessage="1" sqref="C166">
      <formula1>"Fraction"</formula1>
    </dataValidation>
    <dataValidation type="list" allowBlank="1" showInputMessage="1" showErrorMessage="1" sqref="C167">
      <formula1>"Fraction"</formula1>
    </dataValidation>
    <dataValidation type="list" allowBlank="1" showInputMessage="1" showErrorMessage="1" sqref="C170">
      <formula1>"Proportion"</formula1>
    </dataValidation>
    <dataValidation type="list" allowBlank="1" showInputMessage="1" showErrorMessage="1" sqref="C171">
      <formula1>"Proportion"</formula1>
    </dataValidation>
    <dataValidation type="list" allowBlank="1" showInputMessage="1" showErrorMessage="1" sqref="C172">
      <formula1>"Proportion"</formula1>
    </dataValidation>
    <dataValidation type="list" allowBlank="1" showInputMessage="1" showErrorMessage="1" sqref="C173">
      <formula1>"Proportion"</formula1>
    </dataValidation>
    <dataValidation type="list" allowBlank="1" showInputMessage="1" showErrorMessage="1" sqref="C174">
      <formula1>"Proportion"</formula1>
    </dataValidation>
    <dataValidation type="list" allowBlank="1" showInputMessage="1" showErrorMessage="1" sqref="C175">
      <formula1>"Proportion"</formula1>
    </dataValidation>
    <dataValidation type="list" allowBlank="1" showInputMessage="1" showErrorMessage="1" sqref="C176">
      <formula1>"Proportion"</formula1>
    </dataValidation>
    <dataValidation type="list" allowBlank="1" showInputMessage="1" showErrorMessage="1" sqref="C177">
      <formula1>"Proportion"</formula1>
    </dataValidation>
    <dataValidation type="list" allowBlank="1" showInputMessage="1" showErrorMessage="1" sqref="C178">
      <formula1>"Proportion"</formula1>
    </dataValidation>
    <dataValidation type="list" allowBlank="1" showInputMessage="1" showErrorMessage="1" sqref="C179">
      <formula1>"Proportion"</formula1>
    </dataValidation>
    <dataValidation type="list" allowBlank="1" showInputMessage="1" showErrorMessage="1" sqref="C180">
      <formula1>"Proportion"</formula1>
    </dataValidation>
    <dataValidation type="list" allowBlank="1" showInputMessage="1" showErrorMessage="1" sqref="C181">
      <formula1>"Proportion"</formula1>
    </dataValidation>
  </dataValidation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24.85546875" customWidth="1"/>
    <col min="2" max="2" width="12.7109375" customWidth="1"/>
    <col min="3" max="3" width="20.42578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49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6691.315363199999</v>
      </c>
      <c r="F2" s="3"/>
      <c r="G2" s="3"/>
      <c r="H2" s="3"/>
      <c r="I2" s="3"/>
      <c r="J2" s="3"/>
      <c r="K2" s="3"/>
      <c r="L2" s="3"/>
      <c r="M2" s="3"/>
      <c r="N2" s="3"/>
      <c r="O2" s="3">
        <v>6691.315363199999</v>
      </c>
      <c r="P2" s="3"/>
      <c r="Q2" s="3"/>
      <c r="R2" s="3"/>
      <c r="S2" s="3"/>
      <c r="T2" s="3">
        <v>6691.315363199999</v>
      </c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954.992526</v>
      </c>
      <c r="F3" s="3"/>
      <c r="G3" s="3"/>
      <c r="H3" s="3"/>
      <c r="I3" s="3"/>
      <c r="J3" s="3"/>
      <c r="K3" s="3"/>
      <c r="L3" s="3"/>
      <c r="M3" s="3"/>
      <c r="N3" s="3"/>
      <c r="O3" s="3">
        <v>954.992526</v>
      </c>
      <c r="P3" s="3"/>
      <c r="Q3" s="3"/>
      <c r="R3" s="3"/>
      <c r="S3" s="3"/>
      <c r="T3" s="3">
        <v>954.992526</v>
      </c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2013505.5</v>
      </c>
      <c r="F4" s="3">
        <v>2067222.5</v>
      </c>
      <c r="G4" s="3">
        <v>2123633</v>
      </c>
      <c r="H4" s="3">
        <v>2184419.5</v>
      </c>
      <c r="I4" s="3">
        <v>2249629.5</v>
      </c>
      <c r="J4" s="3">
        <v>2318255</v>
      </c>
      <c r="K4" s="3">
        <v>2391704.5</v>
      </c>
      <c r="L4" s="3">
        <v>2469433.5</v>
      </c>
      <c r="M4" s="3">
        <v>2550105</v>
      </c>
      <c r="N4" s="3">
        <v>2633166.5</v>
      </c>
      <c r="O4" s="3">
        <v>2717301.5</v>
      </c>
      <c r="P4" s="3">
        <v>2802432</v>
      </c>
      <c r="Q4" s="3">
        <v>2889076.5</v>
      </c>
      <c r="R4" s="3">
        <v>2975111.5</v>
      </c>
      <c r="S4" s="3">
        <v>3058342.5</v>
      </c>
      <c r="T4" s="3">
        <v>3137578.5</v>
      </c>
      <c r="U4" s="3">
        <v>3209125.5</v>
      </c>
      <c r="V4" s="3">
        <v>3270885.5</v>
      </c>
      <c r="W4" s="3">
        <v>3320535.5</v>
      </c>
      <c r="X4" s="3">
        <v>3355409</v>
      </c>
      <c r="Y4" s="3">
        <v>3375763.5</v>
      </c>
      <c r="Z4" s="3">
        <v>3387971</v>
      </c>
      <c r="AA4" s="3">
        <v>3397698</v>
      </c>
      <c r="AB4" s="3">
        <v>3404699.5</v>
      </c>
      <c r="AC4" s="3">
        <v>3407959</v>
      </c>
      <c r="AD4" s="3">
        <v>3407534</v>
      </c>
      <c r="AE4" s="3">
        <v>3406873</v>
      </c>
      <c r="AF4" s="3">
        <v>3408415</v>
      </c>
      <c r="AG4" s="3">
        <v>3415873</v>
      </c>
      <c r="AH4" s="3">
        <v>3432634.5</v>
      </c>
      <c r="AI4" s="3">
        <v>3459631.999999999</v>
      </c>
      <c r="AJ4" s="3">
        <v>3491958</v>
      </c>
      <c r="AK4" s="3">
        <v>3523722.5</v>
      </c>
      <c r="AL4" s="3">
        <v>3556406.5</v>
      </c>
      <c r="AM4" s="3">
        <v>3590155</v>
      </c>
      <c r="AN4" s="3">
        <v>3623218</v>
      </c>
      <c r="AO4" s="3">
        <v>3654803.5</v>
      </c>
      <c r="AP4" s="3">
        <v>3684567</v>
      </c>
      <c r="AQ4" s="3">
        <v>3712213.5</v>
      </c>
      <c r="AR4" s="3">
        <v>3738023</v>
      </c>
      <c r="AS4" s="3">
        <v>3761416.5</v>
      </c>
      <c r="AT4" s="3">
        <v>3781512</v>
      </c>
      <c r="AU4" s="3">
        <v>3798742.5</v>
      </c>
      <c r="AV4" s="3">
        <v>3812241</v>
      </c>
      <c r="AW4" s="3">
        <v>3822296</v>
      </c>
      <c r="AX4" s="3">
        <v>3830131</v>
      </c>
      <c r="AY4" s="3">
        <v>3835898</v>
      </c>
      <c r="AZ4" s="3">
        <v>3839954</v>
      </c>
      <c r="BA4" s="3">
        <v>3842429</v>
      </c>
      <c r="BB4" s="3">
        <v>3843065</v>
      </c>
      <c r="BC4" s="3">
        <v>3842153</v>
      </c>
    </row>
    <row r="5" spans="1:57">
      <c r="A5" s="1" t="str">
        <f>'Population Definitions'!$A$5</f>
        <v>0-9_females</v>
      </c>
      <c r="C5" t="s">
        <v>32</v>
      </c>
      <c r="D5" s="3"/>
      <c r="E5" s="3">
        <v>1962967.5</v>
      </c>
      <c r="F5" s="3">
        <v>2014660.5</v>
      </c>
      <c r="G5" s="3">
        <v>2068748.5</v>
      </c>
      <c r="H5" s="3">
        <v>2126950.5</v>
      </c>
      <c r="I5" s="3">
        <v>2189279</v>
      </c>
      <c r="J5" s="3">
        <v>2254722.5</v>
      </c>
      <c r="K5" s="3">
        <v>2324974.5</v>
      </c>
      <c r="L5" s="3">
        <v>2399504</v>
      </c>
      <c r="M5" s="3">
        <v>2476788</v>
      </c>
      <c r="N5" s="3">
        <v>2556475.5</v>
      </c>
      <c r="O5" s="3">
        <v>2637475</v>
      </c>
      <c r="P5" s="3">
        <v>2719589.5</v>
      </c>
      <c r="Q5" s="3">
        <v>2803105</v>
      </c>
      <c r="R5" s="3">
        <v>2885860.5</v>
      </c>
      <c r="S5" s="3">
        <v>2965924.5</v>
      </c>
      <c r="T5" s="3">
        <v>3042311.5</v>
      </c>
      <c r="U5" s="3">
        <v>3111238</v>
      </c>
      <c r="V5" s="3">
        <v>3170666</v>
      </c>
      <c r="W5" s="3">
        <v>3218537.5</v>
      </c>
      <c r="X5" s="3">
        <v>3252233.5</v>
      </c>
      <c r="Y5" s="3">
        <v>3271816</v>
      </c>
      <c r="Z5" s="3">
        <v>3283447.5</v>
      </c>
      <c r="AA5" s="3">
        <v>3292716.5</v>
      </c>
      <c r="AB5" s="3">
        <v>3299327.5</v>
      </c>
      <c r="AC5" s="3">
        <v>3303991</v>
      </c>
      <c r="AD5" s="3">
        <v>3306755.5</v>
      </c>
      <c r="AE5" s="3">
        <v>3309276.5</v>
      </c>
      <c r="AF5" s="3">
        <v>3313928</v>
      </c>
      <c r="AG5" s="3">
        <v>3324214.5</v>
      </c>
      <c r="AH5" s="3">
        <v>3343379.5</v>
      </c>
      <c r="AI5" s="3">
        <v>3372350</v>
      </c>
      <c r="AJ5" s="3">
        <v>3406141.5</v>
      </c>
      <c r="AK5" s="3">
        <v>3439303.5</v>
      </c>
      <c r="AL5" s="3">
        <v>3473067.5</v>
      </c>
      <c r="AM5" s="3">
        <v>3506844</v>
      </c>
      <c r="AN5" s="3">
        <v>3539437</v>
      </c>
      <c r="AO5" s="3">
        <v>3570576.5</v>
      </c>
      <c r="AP5" s="3">
        <v>3599975.5</v>
      </c>
      <c r="AQ5" s="3">
        <v>3627393</v>
      </c>
      <c r="AR5" s="3">
        <v>3653033</v>
      </c>
      <c r="AS5" s="3">
        <v>3676285.5</v>
      </c>
      <c r="AT5" s="3">
        <v>3696280</v>
      </c>
      <c r="AU5" s="3">
        <v>3713459.5</v>
      </c>
      <c r="AV5" s="3">
        <v>3726988.5</v>
      </c>
      <c r="AW5" s="3">
        <v>3737146.5</v>
      </c>
      <c r="AX5" s="3">
        <v>3745077.5</v>
      </c>
      <c r="AY5" s="3">
        <v>3750945.5</v>
      </c>
      <c r="AZ5" s="3">
        <v>3755126</v>
      </c>
      <c r="BA5" s="3">
        <v>3757701</v>
      </c>
      <c r="BB5" s="3">
        <v>3758456</v>
      </c>
      <c r="BC5" s="3">
        <v>3757684</v>
      </c>
    </row>
    <row r="6" spans="1:57">
      <c r="A6" s="1" t="str">
        <f>'Population Definitions'!$A$6</f>
        <v>10-17_males</v>
      </c>
      <c r="C6" t="s">
        <v>32</v>
      </c>
      <c r="D6" s="3"/>
      <c r="E6" s="3">
        <v>1221938.5</v>
      </c>
      <c r="F6" s="3">
        <v>1254492.5</v>
      </c>
      <c r="G6" s="3">
        <v>1286074</v>
      </c>
      <c r="H6" s="3">
        <v>1315889</v>
      </c>
      <c r="I6" s="3">
        <v>1345214</v>
      </c>
      <c r="J6" s="3">
        <v>1375883</v>
      </c>
      <c r="K6" s="3">
        <v>1408744</v>
      </c>
      <c r="L6" s="3">
        <v>1443473.5</v>
      </c>
      <c r="M6" s="3">
        <v>1479634.5</v>
      </c>
      <c r="N6" s="3">
        <v>1517892.5</v>
      </c>
      <c r="O6" s="3">
        <v>1559926</v>
      </c>
      <c r="P6" s="3">
        <v>1606439.5</v>
      </c>
      <c r="Q6" s="3">
        <v>1656143.5</v>
      </c>
      <c r="R6" s="3">
        <v>1708384.5</v>
      </c>
      <c r="S6" s="3">
        <v>1763085</v>
      </c>
      <c r="T6" s="3">
        <v>1820696.5</v>
      </c>
      <c r="U6" s="3">
        <v>1883516</v>
      </c>
      <c r="V6" s="3">
        <v>1951064.5</v>
      </c>
      <c r="W6" s="3">
        <v>2020066</v>
      </c>
      <c r="X6" s="3">
        <v>2089718.5</v>
      </c>
      <c r="Y6" s="3">
        <v>2161385</v>
      </c>
      <c r="Z6" s="3">
        <v>2233687.5</v>
      </c>
      <c r="AA6" s="3">
        <v>2304816</v>
      </c>
      <c r="AB6" s="3">
        <v>2374373.5</v>
      </c>
      <c r="AC6" s="3">
        <v>2439039.5</v>
      </c>
      <c r="AD6" s="3">
        <v>2497638.5</v>
      </c>
      <c r="AE6" s="3">
        <v>2550110.5</v>
      </c>
      <c r="AF6" s="3">
        <v>2595002.5</v>
      </c>
      <c r="AG6" s="3">
        <v>2628807.5</v>
      </c>
      <c r="AH6" s="3">
        <v>2648139</v>
      </c>
      <c r="AI6" s="3">
        <v>2652951.5</v>
      </c>
      <c r="AJ6" s="3">
        <v>2649393</v>
      </c>
      <c r="AK6" s="3">
        <v>2644653.5</v>
      </c>
      <c r="AL6" s="3">
        <v>2638956</v>
      </c>
      <c r="AM6" s="3">
        <v>2633341</v>
      </c>
      <c r="AN6" s="3">
        <v>2629756.5</v>
      </c>
      <c r="AO6" s="3">
        <v>2631713.5</v>
      </c>
      <c r="AP6" s="3">
        <v>2642810</v>
      </c>
      <c r="AQ6" s="3">
        <v>2663654</v>
      </c>
      <c r="AR6" s="3">
        <v>2688727.5</v>
      </c>
      <c r="AS6" s="3">
        <v>2712746</v>
      </c>
      <c r="AT6" s="3">
        <v>2737280.5</v>
      </c>
      <c r="AU6" s="3">
        <v>2762686</v>
      </c>
      <c r="AV6" s="3">
        <v>2789637.5</v>
      </c>
      <c r="AW6" s="3">
        <v>2817796</v>
      </c>
      <c r="AX6" s="3">
        <v>2845217.5</v>
      </c>
      <c r="AY6" s="3">
        <v>2870956</v>
      </c>
      <c r="AZ6" s="3">
        <v>2894850.5</v>
      </c>
      <c r="BA6" s="3">
        <v>2916302.5</v>
      </c>
      <c r="BB6" s="3">
        <v>2935028</v>
      </c>
      <c r="BC6" s="3">
        <v>2951045</v>
      </c>
    </row>
    <row r="7" spans="1:57">
      <c r="A7" s="1" t="str">
        <f>'Population Definitions'!$A$7</f>
        <v>10-17_females</v>
      </c>
      <c r="C7" t="s">
        <v>32</v>
      </c>
      <c r="D7" s="3"/>
      <c r="E7" s="3">
        <v>1191258.5</v>
      </c>
      <c r="F7" s="3">
        <v>1222393.5</v>
      </c>
      <c r="G7" s="3">
        <v>1252875</v>
      </c>
      <c r="H7" s="3">
        <v>1281942</v>
      </c>
      <c r="I7" s="3">
        <v>1310806</v>
      </c>
      <c r="J7" s="3">
        <v>1341256.5</v>
      </c>
      <c r="K7" s="3">
        <v>1374048.5</v>
      </c>
      <c r="L7" s="3">
        <v>1408857</v>
      </c>
      <c r="M7" s="3">
        <v>1445106</v>
      </c>
      <c r="N7" s="3">
        <v>1482867</v>
      </c>
      <c r="O7" s="3">
        <v>1523581</v>
      </c>
      <c r="P7" s="3">
        <v>1568119.5</v>
      </c>
      <c r="Q7" s="3">
        <v>1615355</v>
      </c>
      <c r="R7" s="3">
        <v>1665059</v>
      </c>
      <c r="S7" s="3">
        <v>1717185.5</v>
      </c>
      <c r="T7" s="3">
        <v>1772059.5</v>
      </c>
      <c r="U7" s="3">
        <v>1832132</v>
      </c>
      <c r="V7" s="3">
        <v>1897109</v>
      </c>
      <c r="W7" s="3">
        <v>1963858</v>
      </c>
      <c r="X7" s="3">
        <v>2031402.5</v>
      </c>
      <c r="Y7" s="3">
        <v>2100739</v>
      </c>
      <c r="Z7" s="3">
        <v>2170456</v>
      </c>
      <c r="AA7" s="3">
        <v>2239176.5</v>
      </c>
      <c r="AB7" s="3">
        <v>2306532.5</v>
      </c>
      <c r="AC7" s="3">
        <v>2368878.5</v>
      </c>
      <c r="AD7" s="3">
        <v>2425232.5</v>
      </c>
      <c r="AE7" s="3">
        <v>2475947.5</v>
      </c>
      <c r="AF7" s="3">
        <v>2519566.5</v>
      </c>
      <c r="AG7" s="3">
        <v>2552575</v>
      </c>
      <c r="AH7" s="3">
        <v>2571749.5</v>
      </c>
      <c r="AI7" s="3">
        <v>2577103.5</v>
      </c>
      <c r="AJ7" s="3">
        <v>2574778</v>
      </c>
      <c r="AK7" s="3">
        <v>2571446.5</v>
      </c>
      <c r="AL7" s="3">
        <v>2567507.5</v>
      </c>
      <c r="AM7" s="3">
        <v>2564702.5</v>
      </c>
      <c r="AN7" s="3">
        <v>2564364.5</v>
      </c>
      <c r="AO7" s="3">
        <v>2569358</v>
      </c>
      <c r="AP7" s="3">
        <v>2583156.5</v>
      </c>
      <c r="AQ7" s="3">
        <v>2606287.5</v>
      </c>
      <c r="AR7" s="3">
        <v>2633166.5</v>
      </c>
      <c r="AS7" s="3">
        <v>2658967</v>
      </c>
      <c r="AT7" s="3">
        <v>2684953</v>
      </c>
      <c r="AU7" s="3">
        <v>2710715</v>
      </c>
      <c r="AV7" s="3">
        <v>2737508.5</v>
      </c>
      <c r="AW7" s="3">
        <v>2765512.5</v>
      </c>
      <c r="AX7" s="3">
        <v>2792756.5</v>
      </c>
      <c r="AY7" s="3">
        <v>2818376</v>
      </c>
      <c r="AZ7" s="3">
        <v>2842280</v>
      </c>
      <c r="BA7" s="3">
        <v>2863830</v>
      </c>
      <c r="BB7" s="3">
        <v>2882701.5</v>
      </c>
      <c r="BC7" s="3">
        <v>2898917.5</v>
      </c>
    </row>
    <row r="8" spans="1:57">
      <c r="A8" s="1" t="str">
        <f>'Population Definitions'!$A$8</f>
        <v>18-64_males</v>
      </c>
      <c r="C8" t="s">
        <v>32</v>
      </c>
      <c r="D8" s="3"/>
      <c r="E8" s="3">
        <v>2478234.7246368</v>
      </c>
      <c r="F8" s="3">
        <v>2579846.7246368</v>
      </c>
      <c r="G8" s="3">
        <v>2688477.724636801</v>
      </c>
      <c r="H8" s="3">
        <v>2802399.7246368</v>
      </c>
      <c r="I8" s="3">
        <v>2920457.7246368</v>
      </c>
      <c r="J8" s="3">
        <v>3038873.3346368</v>
      </c>
      <c r="K8" s="3">
        <v>3154521.334636801</v>
      </c>
      <c r="L8" s="3">
        <v>3261489.334636799</v>
      </c>
      <c r="M8" s="3">
        <v>3360726.3346368</v>
      </c>
      <c r="N8" s="3">
        <v>3459282.3346368</v>
      </c>
      <c r="O8" s="3">
        <v>3557921.6446368</v>
      </c>
      <c r="P8" s="3">
        <v>3662639.644636799</v>
      </c>
      <c r="Q8" s="3">
        <v>3776981.1446368</v>
      </c>
      <c r="R8" s="3">
        <v>3897913.6446368</v>
      </c>
      <c r="S8" s="3">
        <v>4026429.1446368</v>
      </c>
      <c r="T8" s="3">
        <v>4161003.3446368</v>
      </c>
      <c r="U8" s="3">
        <v>4304915.8446368</v>
      </c>
      <c r="V8" s="3">
        <v>4454447.344636798</v>
      </c>
      <c r="W8" s="3">
        <v>4604697.3446368</v>
      </c>
      <c r="X8" s="3">
        <v>4757019.844636801</v>
      </c>
      <c r="Y8" s="3">
        <v>4918731.4996368</v>
      </c>
      <c r="Z8" s="3">
        <v>5088564.9996368</v>
      </c>
      <c r="AA8" s="3">
        <v>5258366.499636801</v>
      </c>
      <c r="AB8" s="3">
        <v>5430922.499636801</v>
      </c>
      <c r="AC8" s="3">
        <v>5602830.2925644</v>
      </c>
      <c r="AD8" s="3">
        <v>5799269.2925644</v>
      </c>
      <c r="AE8" s="3">
        <v>6002050.792564398</v>
      </c>
      <c r="AF8" s="3">
        <v>6210567.7925644</v>
      </c>
      <c r="AG8" s="3">
        <v>6424544.292564402</v>
      </c>
      <c r="AH8" s="3">
        <v>6643824.792564403</v>
      </c>
      <c r="AI8" s="3">
        <v>6868160.292564401</v>
      </c>
      <c r="AJ8" s="3">
        <v>7097223.792564399</v>
      </c>
      <c r="AK8" s="3">
        <v>7329155.7925644</v>
      </c>
      <c r="AL8" s="3">
        <v>7562466.7925644</v>
      </c>
      <c r="AM8" s="3">
        <v>7796031.292564403</v>
      </c>
      <c r="AN8" s="3">
        <v>8027284.7925644</v>
      </c>
      <c r="AO8" s="3">
        <v>8252139.7925644</v>
      </c>
      <c r="AP8" s="3">
        <v>8467246.7925644</v>
      </c>
      <c r="AQ8" s="3">
        <v>8671893.292564398</v>
      </c>
      <c r="AR8" s="3">
        <v>8871146.2925644</v>
      </c>
      <c r="AS8" s="3">
        <v>9070223.7925644</v>
      </c>
      <c r="AT8" s="3">
        <v>9268445.292564396</v>
      </c>
      <c r="AU8" s="3">
        <v>9465093.2925644</v>
      </c>
      <c r="AV8" s="3">
        <v>9659339.792564401</v>
      </c>
      <c r="AW8" s="3">
        <v>9851373.292564398</v>
      </c>
      <c r="AX8" s="3">
        <v>10042107.2925644</v>
      </c>
      <c r="AY8" s="3">
        <v>10231178.7925644</v>
      </c>
      <c r="AZ8" s="3">
        <v>10419110.7925644</v>
      </c>
      <c r="BA8" s="3">
        <v>10606096.7925644</v>
      </c>
      <c r="BB8" s="3">
        <v>10792685.2925644</v>
      </c>
      <c r="BC8" s="3">
        <v>10979412.2925644</v>
      </c>
    </row>
    <row r="9" spans="1:57">
      <c r="A9" s="1" t="str">
        <f>'Population Definitions'!$A$9</f>
        <v>18-64_females</v>
      </c>
      <c r="C9" t="s">
        <v>32</v>
      </c>
      <c r="D9" s="3"/>
      <c r="E9" s="3">
        <v>2696741.967474</v>
      </c>
      <c r="F9" s="3">
        <v>2790118.467474</v>
      </c>
      <c r="G9" s="3">
        <v>2888605.967473999</v>
      </c>
      <c r="H9" s="3">
        <v>2991504.967474</v>
      </c>
      <c r="I9" s="3">
        <v>3098143.467474</v>
      </c>
      <c r="J9" s="3">
        <v>3206873.357474001</v>
      </c>
      <c r="K9" s="3">
        <v>3314832.357474</v>
      </c>
      <c r="L9" s="3">
        <v>3419535.357474</v>
      </c>
      <c r="M9" s="3">
        <v>3521704.357474</v>
      </c>
      <c r="N9" s="3">
        <v>3625053.357474</v>
      </c>
      <c r="O9" s="3">
        <v>3730638.547474</v>
      </c>
      <c r="P9" s="3">
        <v>3839831.047474</v>
      </c>
      <c r="Q9" s="3">
        <v>3955773.047474</v>
      </c>
      <c r="R9" s="3">
        <v>4077770.047473999</v>
      </c>
      <c r="S9" s="3">
        <v>4206318.047473999</v>
      </c>
      <c r="T9" s="3">
        <v>4341092.847473999</v>
      </c>
      <c r="U9" s="3">
        <v>4481155.847474001</v>
      </c>
      <c r="V9" s="3">
        <v>4625849.847473999</v>
      </c>
      <c r="W9" s="3">
        <v>4773244.347474</v>
      </c>
      <c r="X9" s="3">
        <v>4924523.347473999</v>
      </c>
      <c r="Y9" s="3">
        <v>5083233.692473997</v>
      </c>
      <c r="Z9" s="3">
        <v>5248552.192473998</v>
      </c>
      <c r="AA9" s="3">
        <v>5416965.692473999</v>
      </c>
      <c r="AB9" s="3">
        <v>5591213.692473998</v>
      </c>
      <c r="AC9" s="3">
        <v>5773480.606045002</v>
      </c>
      <c r="AD9" s="3">
        <v>5963796.106045001</v>
      </c>
      <c r="AE9" s="3">
        <v>6160254.106045001</v>
      </c>
      <c r="AF9" s="3">
        <v>6362312.106044999</v>
      </c>
      <c r="AG9" s="3">
        <v>6569875.606045001</v>
      </c>
      <c r="AH9" s="3">
        <v>6782769.606045004</v>
      </c>
      <c r="AI9" s="3">
        <v>7000719.606044998</v>
      </c>
      <c r="AJ9" s="3">
        <v>7223468.106045002</v>
      </c>
      <c r="AK9" s="3">
        <v>7449267.106045001</v>
      </c>
      <c r="AL9" s="3">
        <v>7676768.606044996</v>
      </c>
      <c r="AM9" s="3">
        <v>7904909.606045001</v>
      </c>
      <c r="AN9" s="3">
        <v>8131307.606045001</v>
      </c>
      <c r="AO9" s="3">
        <v>8352088.606044999</v>
      </c>
      <c r="AP9" s="3">
        <v>8564002.106045</v>
      </c>
      <c r="AQ9" s="3">
        <v>8766322.606045002</v>
      </c>
      <c r="AR9" s="3">
        <v>8964168.106044995</v>
      </c>
      <c r="AS9" s="3">
        <v>9162329.606044995</v>
      </c>
      <c r="AT9" s="3">
        <v>9360342.106045002</v>
      </c>
      <c r="AU9" s="3">
        <v>9558168.606045004</v>
      </c>
      <c r="AV9" s="3">
        <v>9754375.606045</v>
      </c>
      <c r="AW9" s="3">
        <v>9948620.106045002</v>
      </c>
      <c r="AX9" s="3">
        <v>10141848.606045</v>
      </c>
      <c r="AY9" s="3">
        <v>10333657.606045</v>
      </c>
      <c r="AZ9" s="3">
        <v>10524492.106045</v>
      </c>
      <c r="BA9" s="3">
        <v>10714590.106045</v>
      </c>
      <c r="BB9" s="3">
        <v>10904397.606045</v>
      </c>
      <c r="BC9" s="3">
        <v>11094362.106045</v>
      </c>
    </row>
    <row r="10" spans="1:57">
      <c r="A10" s="1" t="str">
        <f>'Population Definitions'!$A$10</f>
        <v>65+_males</v>
      </c>
      <c r="C10" t="s">
        <v>32</v>
      </c>
      <c r="D10" s="3"/>
      <c r="E10" s="3">
        <v>147505.5</v>
      </c>
      <c r="F10" s="3">
        <v>149196</v>
      </c>
      <c r="G10" s="3">
        <v>151365.4999999999</v>
      </c>
      <c r="H10" s="3">
        <v>153940.5</v>
      </c>
      <c r="I10" s="3">
        <v>156859.5</v>
      </c>
      <c r="J10" s="3">
        <v>160062.5</v>
      </c>
      <c r="K10" s="3">
        <v>163431</v>
      </c>
      <c r="L10" s="3">
        <v>166939.4999999999</v>
      </c>
      <c r="M10" s="3">
        <v>170791</v>
      </c>
      <c r="N10" s="3">
        <v>175268.5</v>
      </c>
      <c r="O10" s="3">
        <v>180333.5</v>
      </c>
      <c r="P10" s="3">
        <v>185779.4999999999</v>
      </c>
      <c r="Q10" s="3">
        <v>191163.4999999999</v>
      </c>
      <c r="R10" s="3">
        <v>194560</v>
      </c>
      <c r="S10" s="3">
        <v>196445.5000000001</v>
      </c>
      <c r="T10" s="3">
        <v>198963.4999999999</v>
      </c>
      <c r="U10" s="3">
        <v>202361</v>
      </c>
      <c r="V10" s="3">
        <v>206600.4999999999</v>
      </c>
      <c r="W10" s="3">
        <v>211500.5</v>
      </c>
      <c r="X10" s="3">
        <v>217063.5</v>
      </c>
      <c r="Y10" s="3">
        <v>222989.4999999999</v>
      </c>
      <c r="Z10" s="3">
        <v>229213.9999999999</v>
      </c>
      <c r="AA10" s="3">
        <v>236280.5</v>
      </c>
      <c r="AB10" s="3">
        <v>244569.9999999999</v>
      </c>
      <c r="AC10" s="3">
        <v>253655</v>
      </c>
      <c r="AD10" s="3">
        <v>263134</v>
      </c>
      <c r="AE10" s="3">
        <v>273137.0000000001</v>
      </c>
      <c r="AF10" s="3">
        <v>283661.4999999999</v>
      </c>
      <c r="AG10" s="3">
        <v>294655.4999999998</v>
      </c>
      <c r="AH10" s="3">
        <v>306173.9999999998</v>
      </c>
      <c r="AI10" s="3">
        <v>318270.4999999999</v>
      </c>
      <c r="AJ10" s="3">
        <v>330940.5</v>
      </c>
      <c r="AK10" s="3">
        <v>344190.0000000001</v>
      </c>
      <c r="AL10" s="3">
        <v>358078.4999999999</v>
      </c>
      <c r="AM10" s="3">
        <v>372582</v>
      </c>
      <c r="AN10" s="3">
        <v>387668.4999999999</v>
      </c>
      <c r="AO10" s="3">
        <v>403492.4999999998</v>
      </c>
      <c r="AP10" s="3">
        <v>420246</v>
      </c>
      <c r="AQ10" s="3">
        <v>438211.5</v>
      </c>
      <c r="AR10" s="3">
        <v>457627.5000000001</v>
      </c>
      <c r="AS10" s="3">
        <v>478634.0000000001</v>
      </c>
      <c r="AT10" s="3">
        <v>501251.9999999998</v>
      </c>
      <c r="AU10" s="3">
        <v>525657.5</v>
      </c>
      <c r="AV10" s="3">
        <v>552137</v>
      </c>
      <c r="AW10" s="3">
        <v>580529.9999999999</v>
      </c>
      <c r="AX10" s="3">
        <v>610333.9999999999</v>
      </c>
      <c r="AY10" s="3">
        <v>641204</v>
      </c>
      <c r="AZ10" s="3">
        <v>672891.5</v>
      </c>
      <c r="BA10" s="3">
        <v>705148.4999999999</v>
      </c>
      <c r="BB10" s="3">
        <v>738178.5000000001</v>
      </c>
      <c r="BC10" s="3">
        <v>772160.0000000001</v>
      </c>
    </row>
    <row r="11" spans="1:57">
      <c r="A11" s="1" t="str">
        <f>'Population Definitions'!$A$11</f>
        <v>65+_females</v>
      </c>
      <c r="C11" t="s">
        <v>32</v>
      </c>
      <c r="D11" s="3"/>
      <c r="E11" s="3">
        <v>203542.9999999999</v>
      </c>
      <c r="F11" s="3">
        <v>207220.4999999999</v>
      </c>
      <c r="G11" s="3">
        <v>211266.5</v>
      </c>
      <c r="H11" s="3">
        <v>215635.5</v>
      </c>
      <c r="I11" s="3">
        <v>220294</v>
      </c>
      <c r="J11" s="3">
        <v>225236</v>
      </c>
      <c r="K11" s="3">
        <v>230489.5</v>
      </c>
      <c r="L11" s="3">
        <v>236113.0000000001</v>
      </c>
      <c r="M11" s="3">
        <v>242276.5</v>
      </c>
      <c r="N11" s="3">
        <v>249098.5</v>
      </c>
      <c r="O11" s="3">
        <v>256476.4999999999</v>
      </c>
      <c r="P11" s="3">
        <v>264232.9999999999</v>
      </c>
      <c r="Q11" s="3">
        <v>271844.9999999999</v>
      </c>
      <c r="R11" s="3">
        <v>277905.5000000001</v>
      </c>
      <c r="S11" s="3">
        <v>282886.5</v>
      </c>
      <c r="T11" s="3">
        <v>288591</v>
      </c>
      <c r="U11" s="3">
        <v>295221</v>
      </c>
      <c r="V11" s="3">
        <v>302593.9999999999</v>
      </c>
      <c r="W11" s="3">
        <v>310658.4999999999</v>
      </c>
      <c r="X11" s="3">
        <v>319391.9999999999</v>
      </c>
      <c r="Y11" s="3">
        <v>328764.0000000001</v>
      </c>
      <c r="Z11" s="3">
        <v>338082.5000000001</v>
      </c>
      <c r="AA11" s="3">
        <v>347751.4999999999</v>
      </c>
      <c r="AB11" s="3">
        <v>358869.5</v>
      </c>
      <c r="AC11" s="3">
        <v>370804.9999999999</v>
      </c>
      <c r="AD11" s="3">
        <v>383078.0000000001</v>
      </c>
      <c r="AE11" s="3">
        <v>395908.4999999999</v>
      </c>
      <c r="AF11" s="3">
        <v>409315.5000000002</v>
      </c>
      <c r="AG11" s="3">
        <v>423253.5000000002</v>
      </c>
      <c r="AH11" s="3">
        <v>437793.9999999999</v>
      </c>
      <c r="AI11" s="3">
        <v>452994.9999999998</v>
      </c>
      <c r="AJ11" s="3">
        <v>468818.5</v>
      </c>
      <c r="AK11" s="3">
        <v>485289.0000000001</v>
      </c>
      <c r="AL11" s="3">
        <v>502456.9999999999</v>
      </c>
      <c r="AM11" s="3">
        <v>520240.5</v>
      </c>
      <c r="AN11" s="3">
        <v>538567.0000000002</v>
      </c>
      <c r="AO11" s="3">
        <v>557562.9999999999</v>
      </c>
      <c r="AP11" s="3">
        <v>577414</v>
      </c>
      <c r="AQ11" s="3">
        <v>598407.5000000001</v>
      </c>
      <c r="AR11" s="3">
        <v>620838</v>
      </c>
      <c r="AS11" s="3">
        <v>644900.4999999999</v>
      </c>
      <c r="AT11" s="3">
        <v>670631.0000000001</v>
      </c>
      <c r="AU11" s="3">
        <v>698283.5</v>
      </c>
      <c r="AV11" s="3">
        <v>728228.0000000002</v>
      </c>
      <c r="AW11" s="3">
        <v>760319.5</v>
      </c>
      <c r="AX11" s="3">
        <v>794075.9999999999</v>
      </c>
      <c r="AY11" s="3">
        <v>829144.5</v>
      </c>
      <c r="AZ11" s="3">
        <v>865330.9999999999</v>
      </c>
      <c r="BA11" s="3">
        <v>902466.0000000001</v>
      </c>
      <c r="BB11" s="3">
        <v>940778.0000000001</v>
      </c>
      <c r="BC11" s="3">
        <v>980506.9999999999</v>
      </c>
    </row>
    <row r="12" spans="1:57">
      <c r="A12" s="1" t="str">
        <f>'Population Definitions'!$A$12</f>
        <v>Prisoners_males</v>
      </c>
      <c r="C12" t="s">
        <v>32</v>
      </c>
      <c r="D12" s="3"/>
      <c r="E12" s="3">
        <v>2181.96</v>
      </c>
      <c r="F12" s="3"/>
      <c r="G12" s="3"/>
      <c r="H12" s="3"/>
      <c r="I12" s="3"/>
      <c r="J12" s="3">
        <v>3281.85</v>
      </c>
      <c r="K12" s="3"/>
      <c r="L12" s="3"/>
      <c r="M12" s="3"/>
      <c r="N12" s="3"/>
      <c r="O12" s="3">
        <v>5094.04</v>
      </c>
      <c r="P12" s="3"/>
      <c r="Q12" s="3"/>
      <c r="R12" s="3"/>
      <c r="S12" s="3"/>
      <c r="T12" s="3">
        <v>7430.84</v>
      </c>
      <c r="U12" s="3"/>
      <c r="V12" s="3"/>
      <c r="W12" s="3"/>
      <c r="X12" s="3"/>
      <c r="Y12" s="3">
        <v>7506.684999999999</v>
      </c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22.04000000000002</v>
      </c>
      <c r="F13" s="3"/>
      <c r="G13" s="3"/>
      <c r="H13" s="3"/>
      <c r="I13" s="3"/>
      <c r="J13" s="3">
        <v>33.15000000000003</v>
      </c>
      <c r="K13" s="3"/>
      <c r="L13" s="3"/>
      <c r="M13" s="3"/>
      <c r="N13" s="3"/>
      <c r="O13" s="3">
        <v>103.9600000000001</v>
      </c>
      <c r="P13" s="3"/>
      <c r="Q13" s="3"/>
      <c r="R13" s="3"/>
      <c r="S13" s="3"/>
      <c r="T13" s="3">
        <v>113.1600000000001</v>
      </c>
      <c r="U13" s="3"/>
      <c r="V13" s="3"/>
      <c r="W13" s="3"/>
      <c r="X13" s="3"/>
      <c r="Y13" s="3">
        <v>114.3150000000001</v>
      </c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50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51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51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51</v>
      </c>
      <c r="D18" s="3"/>
      <c r="E18" s="3"/>
      <c r="F18" s="4" t="s">
        <v>37</v>
      </c>
      <c r="G18" s="3">
        <v>275684.7970660147</v>
      </c>
      <c r="H18" s="3">
        <v>282139.2689486553</v>
      </c>
      <c r="I18" s="3">
        <v>288249.8361858191</v>
      </c>
      <c r="J18" s="3">
        <v>297289.2152641879</v>
      </c>
      <c r="K18" s="3">
        <v>304118.9916789036</v>
      </c>
      <c r="L18" s="3">
        <v>313372.2344591287</v>
      </c>
      <c r="M18" s="3">
        <v>325518.860920666</v>
      </c>
      <c r="N18" s="3">
        <v>334105.4103819784</v>
      </c>
      <c r="O18" s="3">
        <v>342145.3524229075</v>
      </c>
      <c r="P18" s="3">
        <v>348976.1600587372</v>
      </c>
      <c r="Q18" s="3">
        <v>356766.7523250122</v>
      </c>
      <c r="R18" s="3">
        <v>363732.8487518355</v>
      </c>
      <c r="S18" s="3">
        <v>370664.2295643661</v>
      </c>
      <c r="T18" s="3">
        <v>376744.5673029858</v>
      </c>
      <c r="U18" s="3">
        <v>380280.4547234459</v>
      </c>
      <c r="V18" s="3">
        <v>383867.9050416055</v>
      </c>
      <c r="W18" s="3">
        <v>384224.2506118453</v>
      </c>
      <c r="X18" s="3">
        <v>383172.5717082721</v>
      </c>
      <c r="Y18" s="3">
        <v>375519.042115573</v>
      </c>
      <c r="Z18" s="3">
        <v>367155.486777669</v>
      </c>
      <c r="AA18" s="3">
        <v>358817.4456415279</v>
      </c>
      <c r="AB18" s="3">
        <v>363835.5788442704</v>
      </c>
      <c r="AC18" s="3">
        <v>367872.3645271925</v>
      </c>
      <c r="AD18" s="3">
        <v>371799.0714985309</v>
      </c>
      <c r="AE18" s="3">
        <v>376545.7335945152</v>
      </c>
      <c r="AF18" s="3">
        <v>378295.6256736894</v>
      </c>
      <c r="AG18" s="3">
        <v>381468.6099951004</v>
      </c>
      <c r="AH18" s="3">
        <v>383882.6487016169</v>
      </c>
      <c r="AI18" s="3">
        <v>387155.0916217541</v>
      </c>
      <c r="AJ18" s="3">
        <v>389593.102400784</v>
      </c>
      <c r="AK18" s="3">
        <v>393578.5869671729</v>
      </c>
      <c r="AL18" s="3">
        <v>397305.4791768741</v>
      </c>
      <c r="AM18" s="3">
        <v>400988.5075943165</v>
      </c>
      <c r="AN18" s="3">
        <v>405961.4375306222</v>
      </c>
      <c r="AO18" s="3">
        <v>408712.1053405193</v>
      </c>
      <c r="AP18" s="3">
        <v>409841.8530132287</v>
      </c>
      <c r="AQ18" s="3">
        <v>410878.2626163645</v>
      </c>
      <c r="AR18" s="3">
        <v>411687.7025967663</v>
      </c>
      <c r="AS18" s="3">
        <v>412140.1117099461</v>
      </c>
      <c r="AT18" s="3">
        <v>413513.1504164625</v>
      </c>
      <c r="AU18" s="3">
        <v>413513.1504164625</v>
      </c>
      <c r="AV18" s="3">
        <v>414123.673199412</v>
      </c>
      <c r="AW18" s="3">
        <v>414701.0431161195</v>
      </c>
      <c r="AX18" s="3">
        <v>414846.9157275845</v>
      </c>
      <c r="AY18" s="3">
        <v>415027.9813816756</v>
      </c>
      <c r="AZ18" s="3">
        <v>413800.3052425281</v>
      </c>
      <c r="BA18" s="3">
        <v>413038.2993630573</v>
      </c>
      <c r="BB18" s="3">
        <v>412112.5693287604</v>
      </c>
      <c r="BC18" s="3">
        <v>411121.5536501714</v>
      </c>
      <c r="BD18" s="3">
        <v>410114.2165605095</v>
      </c>
      <c r="BE18" s="3">
        <v>408895.2111709946</v>
      </c>
    </row>
    <row r="19" spans="1:57">
      <c r="A19" s="1" t="str">
        <f>'Population Definitions'!$A$5</f>
        <v>0-9_females</v>
      </c>
      <c r="C19" t="s">
        <v>51</v>
      </c>
      <c r="D19" s="3"/>
      <c r="E19" s="3"/>
      <c r="F19" s="4" t="s">
        <v>37</v>
      </c>
      <c r="G19" s="3">
        <v>263813.2029339853</v>
      </c>
      <c r="H19" s="3">
        <v>269989.7310513447</v>
      </c>
      <c r="I19" s="3">
        <v>275837.1638141809</v>
      </c>
      <c r="J19" s="3">
        <v>284759.7847358121</v>
      </c>
      <c r="K19" s="3">
        <v>291581.0083210964</v>
      </c>
      <c r="L19" s="3">
        <v>300452.7655408712</v>
      </c>
      <c r="M19" s="3">
        <v>312398.139079334</v>
      </c>
      <c r="N19" s="3">
        <v>320638.5896180216</v>
      </c>
      <c r="O19" s="3">
        <v>328039.6475770925</v>
      </c>
      <c r="P19" s="3">
        <v>334588.8399412628</v>
      </c>
      <c r="Q19" s="3">
        <v>342058.2476749878</v>
      </c>
      <c r="R19" s="3">
        <v>348737.1512481644</v>
      </c>
      <c r="S19" s="3">
        <v>355382.7704356338</v>
      </c>
      <c r="T19" s="3">
        <v>361212.4326970142</v>
      </c>
      <c r="U19" s="3">
        <v>364602.5452765541</v>
      </c>
      <c r="V19" s="3">
        <v>368042.0949583945</v>
      </c>
      <c r="W19" s="3">
        <v>368383.7493881547</v>
      </c>
      <c r="X19" s="3">
        <v>367375.4282917278</v>
      </c>
      <c r="Y19" s="3">
        <v>360382.957884427</v>
      </c>
      <c r="Z19" s="3">
        <v>352356.5132223311</v>
      </c>
      <c r="AA19" s="3">
        <v>344354.5543584721</v>
      </c>
      <c r="AB19" s="3">
        <v>349170.4211557297</v>
      </c>
      <c r="AC19" s="3">
        <v>353383.6354728075</v>
      </c>
      <c r="AD19" s="3">
        <v>356812.9285014691</v>
      </c>
      <c r="AE19" s="3">
        <v>361368.2664054848</v>
      </c>
      <c r="AF19" s="3">
        <v>363396.3743263106</v>
      </c>
      <c r="AG19" s="3">
        <v>366444.3900048996</v>
      </c>
      <c r="AH19" s="3">
        <v>368763.3512983831</v>
      </c>
      <c r="AI19" s="3">
        <v>371906.9083782459</v>
      </c>
      <c r="AJ19" s="3">
        <v>374248.8975992161</v>
      </c>
      <c r="AK19" s="3">
        <v>378077.4130328271</v>
      </c>
      <c r="AL19" s="3">
        <v>381657.5208231259</v>
      </c>
      <c r="AM19" s="3">
        <v>385195.4924056835</v>
      </c>
      <c r="AN19" s="3">
        <v>389972.5624693778</v>
      </c>
      <c r="AO19" s="3">
        <v>392614.8946594807</v>
      </c>
      <c r="AP19" s="3">
        <v>393700.1469867712</v>
      </c>
      <c r="AQ19" s="3">
        <v>394695.7373836355</v>
      </c>
      <c r="AR19" s="3">
        <v>395473.2974032337</v>
      </c>
      <c r="AS19" s="3">
        <v>395907.8882900539</v>
      </c>
      <c r="AT19" s="3">
        <v>397226.8495835375</v>
      </c>
      <c r="AU19" s="3">
        <v>397226.8495835375</v>
      </c>
      <c r="AV19" s="3">
        <v>397813.3268005879</v>
      </c>
      <c r="AW19" s="3">
        <v>398367.9568838805</v>
      </c>
      <c r="AX19" s="3">
        <v>398508.0842724155</v>
      </c>
      <c r="AY19" s="3">
        <v>398682.0186183244</v>
      </c>
      <c r="AZ19" s="3">
        <v>397502.6947574719</v>
      </c>
      <c r="BA19" s="3">
        <v>396770.7006369427</v>
      </c>
      <c r="BB19" s="3">
        <v>395881.4306712396</v>
      </c>
      <c r="BC19" s="3">
        <v>394929.4463498285</v>
      </c>
      <c r="BD19" s="3">
        <v>393961.7834394905</v>
      </c>
      <c r="BE19" s="3">
        <v>392790.7888290054</v>
      </c>
    </row>
    <row r="20" spans="1:57">
      <c r="A20" s="1" t="str">
        <f>'Population Definitions'!$A$6</f>
        <v>10-17_males</v>
      </c>
      <c r="C20" t="s">
        <v>51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51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51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51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51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51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51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51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52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/>
      <c r="F32" s="4" t="s">
        <v>37</v>
      </c>
      <c r="G32" s="3">
        <v>0.001821054342282704</v>
      </c>
      <c r="H32" s="3">
        <v>0.001759719164891478</v>
      </c>
      <c r="I32" s="3">
        <v>0.002499802844550053</v>
      </c>
      <c r="J32" s="3">
        <v>0.002047585061299686</v>
      </c>
      <c r="K32" s="3">
        <v>0.002505749645039926</v>
      </c>
      <c r="L32" s="3">
        <v>0.002814947251648918</v>
      </c>
      <c r="M32" s="3">
        <v>0.001834732961088438</v>
      </c>
      <c r="N32" s="3">
        <v>0.001558895843124359</v>
      </c>
      <c r="O32" s="3">
        <v>0.001133540609932826</v>
      </c>
      <c r="P32" s="3">
        <v>0.001240840615761455</v>
      </c>
      <c r="Q32" s="3">
        <v>0.001127496405896642</v>
      </c>
      <c r="R32" s="3">
        <v>0.001169752289498801</v>
      </c>
      <c r="S32" s="3">
        <v>0.001004220703617284</v>
      </c>
      <c r="T32" s="3">
        <v>0.000589198992042747</v>
      </c>
      <c r="U32" s="3">
        <v>0.0006470973334586557</v>
      </c>
      <c r="V32" s="3">
        <v>0.0001861610660561549</v>
      </c>
      <c r="W32" s="3">
        <v>3.505437276862023E-06</v>
      </c>
      <c r="X32" s="3">
        <v>-0.001004948570737779</v>
      </c>
      <c r="Y32" s="3">
        <v>-0.001132661317902719</v>
      </c>
      <c r="Z32" s="3">
        <v>-0.001003301468664117</v>
      </c>
      <c r="AA32" s="3">
        <v>0.0009267694133406485</v>
      </c>
      <c r="AB32" s="3">
        <v>0.0006503660024626249</v>
      </c>
      <c r="AC32" s="3">
        <v>0.0005643925601414349</v>
      </c>
      <c r="AD32" s="3">
        <v>-0.0002129619658152707</v>
      </c>
      <c r="AE32" s="3">
        <v>-0.0003021555114115838</v>
      </c>
      <c r="AF32" s="3">
        <v>-0.0001165434222196962</v>
      </c>
      <c r="AG32" s="3">
        <v>-0.0002514358460385302</v>
      </c>
      <c r="AH32" s="3">
        <v>-0.0001661032185389352</v>
      </c>
      <c r="AI32" s="3">
        <v>-0.000321467344293557</v>
      </c>
      <c r="AJ32" s="3">
        <v>-0.0001167040652839706</v>
      </c>
      <c r="AK32" s="3">
        <v>-0.0001519199056930868</v>
      </c>
      <c r="AL32" s="3">
        <v>-0.0001703855478427715</v>
      </c>
      <c r="AM32" s="3">
        <v>-1.404979941420192E-05</v>
      </c>
      <c r="AN32" s="3">
        <v>-0.0003213742665869257</v>
      </c>
      <c r="AO32" s="3">
        <v>-0.0005534873398278125</v>
      </c>
      <c r="AP32" s="3">
        <v>-0.0005882486268363698</v>
      </c>
      <c r="AQ32" s="3">
        <v>-0.0006448397612525281</v>
      </c>
      <c r="AR32" s="3">
        <v>-0.0006930807871768965</v>
      </c>
      <c r="AS32" s="3">
        <v>-0.0005864726557203876</v>
      </c>
      <c r="AT32" s="3">
        <v>-0.0007892274650162112</v>
      </c>
      <c r="AU32" s="3">
        <v>-0.0007125375284717249</v>
      </c>
      <c r="AV32" s="3">
        <v>-0.0007078314704310239</v>
      </c>
      <c r="AW32" s="3">
        <v>-0.0007918523343237945</v>
      </c>
      <c r="AX32" s="3">
        <v>-0.0007959663955096279</v>
      </c>
      <c r="AY32" s="3">
        <v>-0.0009626364315257197</v>
      </c>
      <c r="AZ32" s="3">
        <v>-0.0009363400997323439</v>
      </c>
      <c r="BA32" s="3">
        <v>-0.000978988326346914</v>
      </c>
      <c r="BB32" s="3">
        <v>-0.001025290753160213</v>
      </c>
      <c r="BC32" s="3">
        <v>-0.00104271377562763</v>
      </c>
      <c r="BD32" s="3">
        <v>-0.001041412664243392</v>
      </c>
      <c r="BE32" s="3">
        <v>-0.001036843449751848</v>
      </c>
    </row>
    <row r="33" spans="1:57">
      <c r="A33" s="1" t="str">
        <f>'Population Definitions'!$A$5</f>
        <v>0-9_females</v>
      </c>
      <c r="C33" t="s">
        <v>53</v>
      </c>
      <c r="D33" s="3"/>
      <c r="E33" s="3"/>
      <c r="F33" s="4" t="s">
        <v>37</v>
      </c>
      <c r="G33" s="3">
        <v>0.00179666605077006</v>
      </c>
      <c r="H33" s="3">
        <v>0.001757005187055496</v>
      </c>
      <c r="I33" s="3">
        <v>0.002589409097248308</v>
      </c>
      <c r="J33" s="3">
        <v>0.002083365486967286</v>
      </c>
      <c r="K33" s="3">
        <v>0.002464506204510419</v>
      </c>
      <c r="L33" s="3">
        <v>0.002864536305079281</v>
      </c>
      <c r="M33" s="3">
        <v>0.001770712289818946</v>
      </c>
      <c r="N33" s="3">
        <v>0.00145338802601619</v>
      </c>
      <c r="O33" s="3">
        <v>0.001117718764346327</v>
      </c>
      <c r="P33" s="3">
        <v>0.001258631290906691</v>
      </c>
      <c r="Q33" s="3">
        <v>0.001158400487213355</v>
      </c>
      <c r="R33" s="3">
        <v>0.001148463307361364</v>
      </c>
      <c r="S33" s="3">
        <v>0.0009704344162514394</v>
      </c>
      <c r="T33" s="3">
        <v>0.0005556634851147808</v>
      </c>
      <c r="U33" s="3">
        <v>0.000639582944018457</v>
      </c>
      <c r="V33" s="3">
        <v>0.0001881480714930371</v>
      </c>
      <c r="W33" s="3">
        <v>2.450812565444952E-05</v>
      </c>
      <c r="X33" s="3">
        <v>-0.0009650743067000354</v>
      </c>
      <c r="Y33" s="3">
        <v>-0.001180181335288942</v>
      </c>
      <c r="Z33" s="3">
        <v>-0.001038828614959871</v>
      </c>
      <c r="AA33" s="3">
        <v>0.000917363825327549</v>
      </c>
      <c r="AB33" s="3">
        <v>0.000669137802346461</v>
      </c>
      <c r="AC33" s="3">
        <v>0.000483753923908386</v>
      </c>
      <c r="AD33" s="3">
        <v>0.0003341806772837127</v>
      </c>
      <c r="AE33" s="3">
        <v>-0.0002052870015340157</v>
      </c>
      <c r="AF33" s="3">
        <v>-0.0001163903186403219</v>
      </c>
      <c r="AG33" s="3">
        <v>-0.0002347612854045551</v>
      </c>
      <c r="AH33" s="3">
        <v>-0.000150984360065477</v>
      </c>
      <c r="AI33" s="3">
        <v>-0.0003081655465513236</v>
      </c>
      <c r="AJ33" s="3">
        <v>-9.792415106227413E-05</v>
      </c>
      <c r="AK33" s="3">
        <v>-0.0001282230589431239</v>
      </c>
      <c r="AL33" s="3">
        <v>-0.0001548734317483704</v>
      </c>
      <c r="AM33" s="3">
        <v>1.59938180262563E-05</v>
      </c>
      <c r="AN33" s="3">
        <v>-0.0002754229422196175</v>
      </c>
      <c r="AO33" s="3">
        <v>-0.0005052676022888242</v>
      </c>
      <c r="AP33" s="3">
        <v>-0.0005408054972503697</v>
      </c>
      <c r="AQ33" s="3">
        <v>-0.000570562592241149</v>
      </c>
      <c r="AR33" s="3">
        <v>-0.0006055033994629551</v>
      </c>
      <c r="AS33" s="3">
        <v>-0.0005022583133545706</v>
      </c>
      <c r="AT33" s="3">
        <v>-0.0007023888323859458</v>
      </c>
      <c r="AU33" s="3">
        <v>-0.000633478978587706</v>
      </c>
      <c r="AV33" s="3">
        <v>-0.000636674386298928</v>
      </c>
      <c r="AW33" s="3">
        <v>-0.0007075496269398449</v>
      </c>
      <c r="AX33" s="3">
        <v>-0.0007044787694984641</v>
      </c>
      <c r="AY33" s="3">
        <v>-0.0008869116097868254</v>
      </c>
      <c r="AZ33" s="3">
        <v>-0.0008698604387950995</v>
      </c>
      <c r="BA33" s="3">
        <v>-0.0009028925205505667</v>
      </c>
      <c r="BB33" s="3">
        <v>-0.000944557032504196</v>
      </c>
      <c r="BC33" s="3">
        <v>-0.0009709251347644624</v>
      </c>
      <c r="BD33" s="3">
        <v>-0.0009742786504591611</v>
      </c>
      <c r="BE33" s="3">
        <v>-0.0009567831752235357</v>
      </c>
    </row>
    <row r="34" spans="1:57">
      <c r="A34" s="1" t="str">
        <f>'Population Definitions'!$A$6</f>
        <v>10-17_males</v>
      </c>
      <c r="C34" t="s">
        <v>53</v>
      </c>
      <c r="D34" s="3"/>
      <c r="E34" s="3"/>
      <c r="F34" s="4" t="s">
        <v>37</v>
      </c>
      <c r="G34" s="3">
        <v>0.0002536952555304096</v>
      </c>
      <c r="H34" s="3">
        <v>0.0004575555453698144</v>
      </c>
      <c r="I34" s="3">
        <v>0.0005652862899025166</v>
      </c>
      <c r="J34" s="3">
        <v>0.0005984547328839355</v>
      </c>
      <c r="K34" s="3">
        <v>0.0004898848807701472</v>
      </c>
      <c r="L34" s="3">
        <v>9.448477813875289E-05</v>
      </c>
      <c r="M34" s="3">
        <v>-0.0005096738655141368</v>
      </c>
      <c r="N34" s="3">
        <v>-0.001041584760648397</v>
      </c>
      <c r="O34" s="3">
        <v>-0.001225640521358468</v>
      </c>
      <c r="P34" s="3">
        <v>-0.001222747987752603</v>
      </c>
      <c r="Q34" s="3">
        <v>-0.001082743668609971</v>
      </c>
      <c r="R34" s="3">
        <v>-0.000772204617727517</v>
      </c>
      <c r="S34" s="3">
        <v>-0.0007511426395112862</v>
      </c>
      <c r="T34" s="3">
        <v>-0.0006904183455190657</v>
      </c>
      <c r="U34" s="3">
        <v>-0.0004962891749403873</v>
      </c>
      <c r="V34" s="3">
        <v>-0.0003559077528846301</v>
      </c>
      <c r="W34" s="3">
        <v>-0.0002861669346053947</v>
      </c>
      <c r="X34" s="3">
        <v>-0.0004641056202909102</v>
      </c>
      <c r="Y34" s="3">
        <v>-0.0005801790634563552</v>
      </c>
      <c r="Z34" s="3">
        <v>-0.0003361696802702721</v>
      </c>
      <c r="AA34" s="3">
        <v>-0.0001966331773377634</v>
      </c>
      <c r="AB34" s="3">
        <v>-0.0004002350373540516</v>
      </c>
      <c r="AC34" s="3">
        <v>-0.0005173948809795031</v>
      </c>
      <c r="AD34" s="3">
        <v>-0.0004689658135084415</v>
      </c>
      <c r="AE34" s="3">
        <v>-0.0004956869292194049</v>
      </c>
      <c r="AF34" s="3">
        <v>-0.0004998721792605892</v>
      </c>
      <c r="AG34" s="3">
        <v>-0.0004980176349220875</v>
      </c>
      <c r="AH34" s="3">
        <v>-0.0005005775524300953</v>
      </c>
      <c r="AI34" s="3">
        <v>-0.0005032700188204424</v>
      </c>
      <c r="AJ34" s="3">
        <v>-0.0004975192012202189</v>
      </c>
      <c r="AK34" s="3">
        <v>-0.000488889450108519</v>
      </c>
      <c r="AL34" s="3">
        <v>-0.0004969062724933241</v>
      </c>
      <c r="AM34" s="3">
        <v>-0.0005081951189448848</v>
      </c>
      <c r="AN34" s="3">
        <v>-0.0005075870912586602</v>
      </c>
      <c r="AO34" s="3">
        <v>-0.0005223402514146693</v>
      </c>
      <c r="AP34" s="3">
        <v>-0.0005481496100492387</v>
      </c>
      <c r="AQ34" s="3">
        <v>-0.0005675009836748926</v>
      </c>
      <c r="AR34" s="3">
        <v>-0.0005789292457646562</v>
      </c>
      <c r="AS34" s="3">
        <v>-0.0005903544529432945</v>
      </c>
      <c r="AT34" s="3">
        <v>-0.0006034453100955547</v>
      </c>
      <c r="AU34" s="3">
        <v>-0.0006040005219804863</v>
      </c>
      <c r="AV34" s="3">
        <v>-0.0006015094178325452</v>
      </c>
      <c r="AW34" s="3">
        <v>-0.0006140763011069715</v>
      </c>
      <c r="AX34" s="3">
        <v>-0.0006171052690538128</v>
      </c>
      <c r="AY34" s="3">
        <v>-0.000609518928978606</v>
      </c>
      <c r="AZ34" s="3">
        <v>-0.0006273685579395599</v>
      </c>
      <c r="BA34" s="3">
        <v>-0.0006341093350090581</v>
      </c>
      <c r="BB34" s="3">
        <v>-0.0006497744874909129</v>
      </c>
      <c r="BC34" s="3">
        <v>-0.0006568248664187464</v>
      </c>
      <c r="BD34" s="3">
        <v>-0.0006340655012490089</v>
      </c>
      <c r="BE34" s="3">
        <v>-0.000638079053352223</v>
      </c>
    </row>
    <row r="35" spans="1:57">
      <c r="A35" s="1" t="str">
        <f>'Population Definitions'!$A$7</f>
        <v>10-17_females</v>
      </c>
      <c r="C35" t="s">
        <v>53</v>
      </c>
      <c r="D35" s="3"/>
      <c r="E35" s="3"/>
      <c r="F35" s="4" t="s">
        <v>37</v>
      </c>
      <c r="G35" s="3">
        <v>0.0001687291213454084</v>
      </c>
      <c r="H35" s="3">
        <v>0.0002789609074327493</v>
      </c>
      <c r="I35" s="3">
        <v>0.000364761049586038</v>
      </c>
      <c r="J35" s="3">
        <v>0.0003896432131874127</v>
      </c>
      <c r="K35" s="3">
        <v>0.0003272795516650518</v>
      </c>
      <c r="L35" s="3">
        <v>6.93379677935184E-05</v>
      </c>
      <c r="M35" s="3">
        <v>-0.0003129438298572495</v>
      </c>
      <c r="N35" s="3">
        <v>-0.0006267492016579862</v>
      </c>
      <c r="O35" s="3">
        <v>-0.000761535831973579</v>
      </c>
      <c r="P35" s="3">
        <v>-0.0007532705225754986</v>
      </c>
      <c r="Q35" s="3">
        <v>-0.0006556920833222855</v>
      </c>
      <c r="R35" s="3">
        <v>-0.0004795552889942079</v>
      </c>
      <c r="S35" s="3">
        <v>-0.0004639846968625181</v>
      </c>
      <c r="T35" s="3">
        <v>-0.0004237087094209886</v>
      </c>
      <c r="U35" s="3">
        <v>-0.0003002005316258505</v>
      </c>
      <c r="V35" s="3">
        <v>-0.000217261327850314</v>
      </c>
      <c r="W35" s="3">
        <v>-0.000174386998316873</v>
      </c>
      <c r="X35" s="3">
        <v>-0.0002885970178833544</v>
      </c>
      <c r="Y35" s="3">
        <v>-0.0003551682453619309</v>
      </c>
      <c r="Z35" s="3">
        <v>-0.0002168452583866081</v>
      </c>
      <c r="AA35" s="3">
        <v>-0.0001251940388596203</v>
      </c>
      <c r="AB35" s="3">
        <v>-0.0002471830804218837</v>
      </c>
      <c r="AC35" s="3">
        <v>-0.000313284816985025</v>
      </c>
      <c r="AD35" s="3">
        <v>-0.0003576797638883161</v>
      </c>
      <c r="AE35" s="3">
        <v>-0.0004533790990123024</v>
      </c>
      <c r="AF35" s="3">
        <v>-0.000458306574730455</v>
      </c>
      <c r="AG35" s="3">
        <v>-0.0004561889943143008</v>
      </c>
      <c r="AH35" s="3">
        <v>-0.0004601982126688093</v>
      </c>
      <c r="AI35" s="3">
        <v>-0.0004660000195878664</v>
      </c>
      <c r="AJ35" s="3">
        <v>-0.0004599981452314826</v>
      </c>
      <c r="AK35" s="3">
        <v>-0.0004534160153056414</v>
      </c>
      <c r="AL35" s="3">
        <v>-0.0004602338531708329</v>
      </c>
      <c r="AM35" s="3">
        <v>-0.000469774502405762</v>
      </c>
      <c r="AN35" s="3">
        <v>-0.0004708847004342879</v>
      </c>
      <c r="AO35" s="3">
        <v>-0.0004840717393148278</v>
      </c>
      <c r="AP35" s="3">
        <v>-0.0005073381728689236</v>
      </c>
      <c r="AQ35" s="3">
        <v>-0.0005236716720676358</v>
      </c>
      <c r="AR35" s="3">
        <v>-0.0005332623091166176</v>
      </c>
      <c r="AS35" s="3">
        <v>-0.0005434933789920776</v>
      </c>
      <c r="AT35" s="3">
        <v>-0.0005546553930409198</v>
      </c>
      <c r="AU35" s="3">
        <v>-0.0005545386610665954</v>
      </c>
      <c r="AV35" s="3">
        <v>-0.0005517787462200899</v>
      </c>
      <c r="AW35" s="3">
        <v>-0.0005616599310514149</v>
      </c>
      <c r="AX35" s="3">
        <v>-0.000564929752729507</v>
      </c>
      <c r="AY35" s="3">
        <v>-0.0005583051965956848</v>
      </c>
      <c r="AZ35" s="3">
        <v>-0.0005752381204735621</v>
      </c>
      <c r="BA35" s="3">
        <v>-0.0005820727965326235</v>
      </c>
      <c r="BB35" s="3">
        <v>-0.0005961763091601134</v>
      </c>
      <c r="BC35" s="3">
        <v>-0.0006026894054465918</v>
      </c>
      <c r="BD35" s="3">
        <v>-0.0005834804609496487</v>
      </c>
      <c r="BE35" s="3">
        <v>-0.0005862533169706492</v>
      </c>
    </row>
    <row r="36" spans="1:57">
      <c r="A36" s="1" t="str">
        <f>'Population Definitions'!$A$8</f>
        <v>18-64_males</v>
      </c>
      <c r="C36" t="s">
        <v>53</v>
      </c>
      <c r="D36" s="3"/>
      <c r="E36" s="3"/>
      <c r="F36" s="4" t="s">
        <v>37</v>
      </c>
      <c r="G36" s="3">
        <v>0.001530894516844419</v>
      </c>
      <c r="H36" s="3">
        <v>0.002750780308415357</v>
      </c>
      <c r="I36" s="3">
        <v>0.003191835248730741</v>
      </c>
      <c r="J36" s="3">
        <v>0.003245149083706935</v>
      </c>
      <c r="K36" s="3">
        <v>0.002578233733231165</v>
      </c>
      <c r="L36" s="3">
        <v>0.0004231108388045538</v>
      </c>
      <c r="M36" s="3">
        <v>-0.002921477664126817</v>
      </c>
      <c r="N36" s="3">
        <v>-0.005894611355012856</v>
      </c>
      <c r="O36" s="3">
        <v>-0.006757054433360015</v>
      </c>
      <c r="P36" s="3">
        <v>-0.006677225127985333</v>
      </c>
      <c r="Q36" s="3">
        <v>-0.005929898448248028</v>
      </c>
      <c r="R36" s="3">
        <v>-0.004186233220163593</v>
      </c>
      <c r="S36" s="3">
        <v>-0.004075996765702033</v>
      </c>
      <c r="T36" s="3">
        <v>-0.003756810946315726</v>
      </c>
      <c r="U36" s="3">
        <v>-0.002698098379865789</v>
      </c>
      <c r="V36" s="3">
        <v>-0.001910481493310742</v>
      </c>
      <c r="W36" s="3">
        <v>-0.001524182005345254</v>
      </c>
      <c r="X36" s="3">
        <v>-0.002498338674154659</v>
      </c>
      <c r="Y36" s="3">
        <v>-0.003160006577437923</v>
      </c>
      <c r="Z36" s="3">
        <v>-0.001846832477423792</v>
      </c>
      <c r="AA36" s="3">
        <v>-0.001419643236336666</v>
      </c>
      <c r="AB36" s="3">
        <v>-0.002096903187547395</v>
      </c>
      <c r="AC36" s="3">
        <v>-0.002853355326426062</v>
      </c>
      <c r="AD36" s="3">
        <v>-0.001912905325052233</v>
      </c>
      <c r="AE36" s="3">
        <v>-0.001823984922103771</v>
      </c>
      <c r="AF36" s="3">
        <v>-0.001844359251659193</v>
      </c>
      <c r="AG36" s="3">
        <v>-0.00183647989028365</v>
      </c>
      <c r="AH36" s="3">
        <v>-0.001849797263822651</v>
      </c>
      <c r="AI36" s="3">
        <v>-0.001861839597039134</v>
      </c>
      <c r="AJ36" s="3">
        <v>-0.001824920653505492</v>
      </c>
      <c r="AK36" s="3">
        <v>-0.001755245376472734</v>
      </c>
      <c r="AL36" s="3">
        <v>-0.001721476633482935</v>
      </c>
      <c r="AM36" s="3">
        <v>-0.001703087567589927</v>
      </c>
      <c r="AN36" s="3">
        <v>-0.001640122128287065</v>
      </c>
      <c r="AO36" s="3">
        <v>-0.001623238516799228</v>
      </c>
      <c r="AP36" s="3">
        <v>-0.001631386186570211</v>
      </c>
      <c r="AQ36" s="3">
        <v>-0.001616368767138716</v>
      </c>
      <c r="AR36" s="3">
        <v>-0.001581909450003577</v>
      </c>
      <c r="AS36" s="3">
        <v>-0.001571478653980813</v>
      </c>
      <c r="AT36" s="3">
        <v>-0.00158197323738666</v>
      </c>
      <c r="AU36" s="3">
        <v>-0.001553728740112612</v>
      </c>
      <c r="AV36" s="3">
        <v>-0.001520325743359125</v>
      </c>
      <c r="AW36" s="3">
        <v>-0.001520908461506996</v>
      </c>
      <c r="AX36" s="3">
        <v>-0.00150537758743587</v>
      </c>
      <c r="AY36" s="3">
        <v>-0.001466039270901196</v>
      </c>
      <c r="AZ36" s="3">
        <v>-0.001494729786373697</v>
      </c>
      <c r="BA36" s="3">
        <v>-0.001496278776082811</v>
      </c>
      <c r="BB36" s="3">
        <v>-0.001523400078098722</v>
      </c>
      <c r="BC36" s="3">
        <v>-0.001523037565532639</v>
      </c>
      <c r="BD36" s="3">
        <v>-0.001445797609131077</v>
      </c>
      <c r="BE36" s="3">
        <v>-0.001439621944891972</v>
      </c>
    </row>
    <row r="37" spans="1:57">
      <c r="A37" s="1" t="str">
        <f>'Population Definitions'!$A$9</f>
        <v>18-64_females</v>
      </c>
      <c r="C37" t="s">
        <v>53</v>
      </c>
      <c r="D37" s="3"/>
      <c r="E37" s="3"/>
      <c r="F37" s="4" t="s">
        <v>37</v>
      </c>
      <c r="G37" s="3">
        <v>0.0007007772121562269</v>
      </c>
      <c r="H37" s="3">
        <v>0.001241448026410698</v>
      </c>
      <c r="I37" s="3">
        <v>0.001477375801283676</v>
      </c>
      <c r="J37" s="3">
        <v>0.001519307384304891</v>
      </c>
      <c r="K37" s="3">
        <v>0.001228735700983844</v>
      </c>
      <c r="L37" s="3">
        <v>0.0002065238789140365</v>
      </c>
      <c r="M37" s="3">
        <v>-0.001391058412239335</v>
      </c>
      <c r="N37" s="3">
        <v>-0.002776329412734555</v>
      </c>
      <c r="O37" s="3">
        <v>-0.003217567244373297</v>
      </c>
      <c r="P37" s="3">
        <v>-0.00317536354727353</v>
      </c>
      <c r="Q37" s="3">
        <v>-0.002795778596737688</v>
      </c>
      <c r="R37" s="3">
        <v>-0.001992376766843021</v>
      </c>
      <c r="S37" s="3">
        <v>-0.001942463061358445</v>
      </c>
      <c r="T37" s="3">
        <v>-0.001787768008906346</v>
      </c>
      <c r="U37" s="3">
        <v>-0.001273834030085626</v>
      </c>
      <c r="V37" s="3">
        <v>-0.0009094549925713728</v>
      </c>
      <c r="W37" s="3">
        <v>-0.000720624404314084</v>
      </c>
      <c r="X37" s="3">
        <v>-0.001193126828701012</v>
      </c>
      <c r="Y37" s="3">
        <v>-0.00146974040765066</v>
      </c>
      <c r="Z37" s="3">
        <v>-0.0008663934067613866</v>
      </c>
      <c r="AA37" s="3">
        <v>-0.0007864401472529836</v>
      </c>
      <c r="AB37" s="3">
        <v>-0.0009242571107267358</v>
      </c>
      <c r="AC37" s="3">
        <v>-0.001220645492323395</v>
      </c>
      <c r="AD37" s="3">
        <v>-0.001367777703667451</v>
      </c>
      <c r="AE37" s="3">
        <v>-0.00155947498368193</v>
      </c>
      <c r="AF37" s="3">
        <v>-0.001581553830329138</v>
      </c>
      <c r="AG37" s="3">
        <v>-0.00157900442630852</v>
      </c>
      <c r="AH37" s="3">
        <v>-0.001594553110285755</v>
      </c>
      <c r="AI37" s="3">
        <v>-0.001609546679858776</v>
      </c>
      <c r="AJ37" s="3">
        <v>-0.001578274104388352</v>
      </c>
      <c r="AK37" s="3">
        <v>-0.00151815281910026</v>
      </c>
      <c r="AL37" s="3">
        <v>-0.001488648870700241</v>
      </c>
      <c r="AM37" s="3">
        <v>-0.001476752786645146</v>
      </c>
      <c r="AN37" s="3">
        <v>-0.001422709181324954</v>
      </c>
      <c r="AO37" s="3">
        <v>-0.001408913065213434</v>
      </c>
      <c r="AP37" s="3">
        <v>-0.001420412715227147</v>
      </c>
      <c r="AQ37" s="3">
        <v>-0.001410105800132308</v>
      </c>
      <c r="AR37" s="3">
        <v>-0.00138280799977389</v>
      </c>
      <c r="AS37" s="3">
        <v>-0.001375306695332487</v>
      </c>
      <c r="AT37" s="3">
        <v>-0.001387174331352293</v>
      </c>
      <c r="AU37" s="3">
        <v>-0.001363343290734885</v>
      </c>
      <c r="AV37" s="3">
        <v>-0.00133333233638241</v>
      </c>
      <c r="AW37" s="3">
        <v>-0.001337226966701443</v>
      </c>
      <c r="AX37" s="3">
        <v>-0.00132340219633887</v>
      </c>
      <c r="AY37" s="3">
        <v>-0.00128605972165312</v>
      </c>
      <c r="AZ37" s="3">
        <v>-0.001316325407431545</v>
      </c>
      <c r="BA37" s="3">
        <v>-0.001317246235497636</v>
      </c>
      <c r="BB37" s="3">
        <v>-0.001342006180486991</v>
      </c>
      <c r="BC37" s="3">
        <v>-0.001342742202641603</v>
      </c>
      <c r="BD37" s="3">
        <v>-0.001270225507894131</v>
      </c>
      <c r="BE37" s="3">
        <v>-0.001266323368753734</v>
      </c>
    </row>
    <row r="38" spans="1:57">
      <c r="A38" s="1" t="str">
        <f>'Population Definitions'!$A$10</f>
        <v>65+_males</v>
      </c>
      <c r="C38" t="s">
        <v>53</v>
      </c>
      <c r="D38" s="3"/>
      <c r="E38" s="3"/>
      <c r="F38" s="4" t="s">
        <v>37</v>
      </c>
      <c r="G38" s="3">
        <v>-0.001501638921938256</v>
      </c>
      <c r="H38" s="3">
        <v>-0.0008143649963813451</v>
      </c>
      <c r="I38" s="3">
        <v>-0.0005582513848926142</v>
      </c>
      <c r="J38" s="3">
        <v>-0.0002695846771966117</v>
      </c>
      <c r="K38" s="3">
        <v>-0.0008128293154060857</v>
      </c>
      <c r="L38" s="3">
        <v>-0.002380320187427142</v>
      </c>
      <c r="M38" s="3">
        <v>-0.004209727652648968</v>
      </c>
      <c r="N38" s="3">
        <v>-0.005957247985048065</v>
      </c>
      <c r="O38" s="3">
        <v>-0.006490388837819112</v>
      </c>
      <c r="P38" s="3">
        <v>-0.006803846669538587</v>
      </c>
      <c r="Q38" s="3">
        <v>-0.00637984622934726</v>
      </c>
      <c r="R38" s="3">
        <v>-0.005363885681682072</v>
      </c>
      <c r="S38" s="3">
        <v>-0.004972183497372103</v>
      </c>
      <c r="T38" s="3">
        <v>-0.004417660361841798</v>
      </c>
      <c r="U38" s="3">
        <v>-0.003957840724272721</v>
      </c>
      <c r="V38" s="3">
        <v>-0.003553415576223749</v>
      </c>
      <c r="W38" s="3">
        <v>-0.003513522862607129</v>
      </c>
      <c r="X38" s="3">
        <v>-0.004218286015764301</v>
      </c>
      <c r="Y38" s="3">
        <v>-0.004799043028267277</v>
      </c>
      <c r="Z38" s="3">
        <v>-0.006484277642257016</v>
      </c>
      <c r="AA38" s="3">
        <v>-0.003744570932711988</v>
      </c>
      <c r="AB38" s="3">
        <v>-0.002942664933206253</v>
      </c>
      <c r="AC38" s="3">
        <v>-0.003607999813780982</v>
      </c>
      <c r="AD38" s="3">
        <v>-0.005650733941202486</v>
      </c>
      <c r="AE38" s="3">
        <v>-0.004900356783820523</v>
      </c>
      <c r="AF38" s="3">
        <v>-0.004911946004696863</v>
      </c>
      <c r="AG38" s="3">
        <v>-0.004887657109803004</v>
      </c>
      <c r="AH38" s="3">
        <v>-0.004912545410639352</v>
      </c>
      <c r="AI38" s="3">
        <v>-0.004924394759303546</v>
      </c>
      <c r="AJ38" s="3">
        <v>-0.004882844395669897</v>
      </c>
      <c r="AK38" s="3">
        <v>-0.004800947621598493</v>
      </c>
      <c r="AL38" s="3">
        <v>-0.004816575789303326</v>
      </c>
      <c r="AM38" s="3">
        <v>-0.004786600424184587</v>
      </c>
      <c r="AN38" s="3">
        <v>-0.004721031840783476</v>
      </c>
      <c r="AO38" s="3">
        <v>-0.004726476319306955</v>
      </c>
      <c r="AP38" s="3">
        <v>-0.004703761074216969</v>
      </c>
      <c r="AQ38" s="3">
        <v>-0.004686580295791991</v>
      </c>
      <c r="AR38" s="3">
        <v>-0.00469011007838267</v>
      </c>
      <c r="AS38" s="3">
        <v>-0.004691798366770215</v>
      </c>
      <c r="AT38" s="3">
        <v>-0.004734199758537204</v>
      </c>
      <c r="AU38" s="3">
        <v>-0.004713413589507457</v>
      </c>
      <c r="AV38" s="3">
        <v>-0.004699233120266412</v>
      </c>
      <c r="AW38" s="3">
        <v>-0.004676999757446763</v>
      </c>
      <c r="AX38" s="3">
        <v>-0.004678186754374519</v>
      </c>
      <c r="AY38" s="3">
        <v>-0.004616471155668207</v>
      </c>
      <c r="AZ38" s="3">
        <v>-0.004522114121120554</v>
      </c>
      <c r="BA38" s="3">
        <v>-0.004474395044322735</v>
      </c>
      <c r="BB38" s="3">
        <v>-0.004439794528538507</v>
      </c>
      <c r="BC38" s="3">
        <v>-0.004334547971100841</v>
      </c>
      <c r="BD38" s="3">
        <v>-0.004217137182944309</v>
      </c>
      <c r="BE38" s="3">
        <v>-0.004136448404475704</v>
      </c>
    </row>
    <row r="39" spans="1:57">
      <c r="A39" s="1" t="str">
        <f>'Population Definitions'!$A$11</f>
        <v>65+_females</v>
      </c>
      <c r="C39" t="s">
        <v>53</v>
      </c>
      <c r="D39" s="3"/>
      <c r="E39" s="3"/>
      <c r="F39" s="4" t="s">
        <v>37</v>
      </c>
      <c r="G39" s="3">
        <v>-0.001903774632387344</v>
      </c>
      <c r="H39" s="3">
        <v>-0.001841034067575031</v>
      </c>
      <c r="I39" s="3">
        <v>-0.0016093417555548</v>
      </c>
      <c r="J39" s="3">
        <v>-0.001504854256372709</v>
      </c>
      <c r="K39" s="3">
        <v>-0.001509346600452041</v>
      </c>
      <c r="L39" s="3">
        <v>-0.001937967287644812</v>
      </c>
      <c r="M39" s="3">
        <v>-0.002481674870221619</v>
      </c>
      <c r="N39" s="3">
        <v>-0.002816448056651047</v>
      </c>
      <c r="O39" s="3">
        <v>-0.003180250664013926</v>
      </c>
      <c r="P39" s="3">
        <v>-0.003235667818152646</v>
      </c>
      <c r="Q39" s="3">
        <v>-0.002941789988556486</v>
      </c>
      <c r="R39" s="3">
        <v>-0.002914094757278761</v>
      </c>
      <c r="S39" s="3">
        <v>-0.002668800235427691</v>
      </c>
      <c r="T39" s="3">
        <v>-0.002432481544985775</v>
      </c>
      <c r="U39" s="3">
        <v>-0.002209366654117464</v>
      </c>
      <c r="V39" s="3">
        <v>-0.002340682834877236</v>
      </c>
      <c r="W39" s="3">
        <v>-0.002230532380826579</v>
      </c>
      <c r="X39" s="3">
        <v>-0.002438911544842263</v>
      </c>
      <c r="Y39" s="3">
        <v>-0.002536547366320288</v>
      </c>
      <c r="Z39" s="3">
        <v>-0.002784978960023506</v>
      </c>
      <c r="AA39" s="3">
        <v>-0.004310082612451575</v>
      </c>
      <c r="AB39" s="3">
        <v>-0.001263005331539129</v>
      </c>
      <c r="AC39" s="3">
        <v>-0.00149388284450245</v>
      </c>
      <c r="AD39" s="3">
        <v>-0.003416283635138036</v>
      </c>
      <c r="AE39" s="3">
        <v>-0.003311713703968111</v>
      </c>
      <c r="AF39" s="3">
        <v>-0.003294368248764257</v>
      </c>
      <c r="AG39" s="3">
        <v>-0.003301267843452908</v>
      </c>
      <c r="AH39" s="3">
        <v>-0.003306740155210336</v>
      </c>
      <c r="AI39" s="3">
        <v>-0.003317160992172154</v>
      </c>
      <c r="AJ39" s="3">
        <v>-0.003285791947811278</v>
      </c>
      <c r="AK39" s="3">
        <v>-0.00326714422896454</v>
      </c>
      <c r="AL39" s="3">
        <v>-0.003217663125494954</v>
      </c>
      <c r="AM39" s="3">
        <v>-0.003253731281772554</v>
      </c>
      <c r="AN39" s="3">
        <v>-0.003196293414162794</v>
      </c>
      <c r="AO39" s="3">
        <v>-0.003199481778138665</v>
      </c>
      <c r="AP39" s="3">
        <v>-0.003149097512473595</v>
      </c>
      <c r="AQ39" s="3">
        <v>-0.003200535186158096</v>
      </c>
      <c r="AR39" s="3">
        <v>-0.003197012888499222</v>
      </c>
      <c r="AS39" s="3">
        <v>-0.003156711772496373</v>
      </c>
      <c r="AT39" s="3">
        <v>-0.00318360023065633</v>
      </c>
      <c r="AU39" s="3">
        <v>-0.003207471540182935</v>
      </c>
      <c r="AV39" s="3">
        <v>-0.003170894277180861</v>
      </c>
      <c r="AW39" s="3">
        <v>-0.003195693439698731</v>
      </c>
      <c r="AX39" s="3">
        <v>-0.003206413376030945</v>
      </c>
      <c r="AY39" s="3">
        <v>-0.003135523947498406</v>
      </c>
      <c r="AZ39" s="3">
        <v>-0.003172870103113405</v>
      </c>
      <c r="BA39" s="3">
        <v>-0.003081489414691967</v>
      </c>
      <c r="BB39" s="3">
        <v>-0.003091302634482906</v>
      </c>
      <c r="BC39" s="3">
        <v>-0.003047206210538679</v>
      </c>
      <c r="BD39" s="3">
        <v>-0.002936399448116636</v>
      </c>
      <c r="BE39" s="3">
        <v>-0.002970911987369695</v>
      </c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54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/>
      <c r="F44" s="4" t="s">
        <v>37</v>
      </c>
      <c r="G44" s="3">
        <v>0.008968282176828695</v>
      </c>
      <c r="H44" s="3">
        <v>0.008856180817420085</v>
      </c>
      <c r="I44" s="3">
        <v>0.008813569412732102</v>
      </c>
      <c r="J44" s="3">
        <v>0.008641444197067288</v>
      </c>
      <c r="K44" s="3">
        <v>0.00840863869126072</v>
      </c>
      <c r="L44" s="3">
        <v>0.008196870849294016</v>
      </c>
      <c r="M44" s="3">
        <v>0.008103810307957393</v>
      </c>
      <c r="N44" s="3">
        <v>0.007949997847855942</v>
      </c>
      <c r="O44" s="3">
        <v>0.007687118405166378</v>
      </c>
      <c r="P44" s="3">
        <v>0.007516577258778548</v>
      </c>
      <c r="Q44" s="3">
        <v>0.007365576792662169</v>
      </c>
      <c r="R44" s="3">
        <v>0.007135602332004332</v>
      </c>
      <c r="S44" s="3">
        <v>0.007015511449113387</v>
      </c>
      <c r="T44" s="3">
        <v>0.006929360955506009</v>
      </c>
      <c r="U44" s="3">
        <v>0.006857503550302346</v>
      </c>
      <c r="V44" s="3">
        <v>0.006783385371086434</v>
      </c>
      <c r="W44" s="3">
        <v>0.006710985578386987</v>
      </c>
      <c r="X44" s="3">
        <v>0.006641185732116646</v>
      </c>
      <c r="Y44" s="3">
        <v>0.006572959126868021</v>
      </c>
      <c r="Z44" s="3">
        <v>0.006712462496471496</v>
      </c>
      <c r="AA44" s="3">
        <v>0.006583623382131826</v>
      </c>
      <c r="AB44" s="3">
        <v>0.007098242452188647</v>
      </c>
      <c r="AC44" s="3">
        <v>0.006917214855422452</v>
      </c>
      <c r="AD44" s="3">
        <v>0.007100932163402225</v>
      </c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/>
      <c r="F45" s="4" t="s">
        <v>37</v>
      </c>
      <c r="G45" s="3">
        <v>0.007514286841347018</v>
      </c>
      <c r="H45" s="3">
        <v>0.007403556342023602</v>
      </c>
      <c r="I45" s="3">
        <v>0.007379230957513569</v>
      </c>
      <c r="J45" s="3">
        <v>0.007247755741678941</v>
      </c>
      <c r="K45" s="3">
        <v>0.007075412817859405</v>
      </c>
      <c r="L45" s="3">
        <v>0.006887471478465463</v>
      </c>
      <c r="M45" s="3">
        <v>0.006769334286531133</v>
      </c>
      <c r="N45" s="3">
        <v>0.006639273694926998</v>
      </c>
      <c r="O45" s="3">
        <v>0.006397916722250555</v>
      </c>
      <c r="P45" s="3">
        <v>0.006260765741142069</v>
      </c>
      <c r="Q45" s="3">
        <v>0.006121803273317631</v>
      </c>
      <c r="R45" s="3">
        <v>0.005891563543426221</v>
      </c>
      <c r="S45" s="3">
        <v>0.005788564163742464</v>
      </c>
      <c r="T45" s="3">
        <v>0.005698615080364123</v>
      </c>
      <c r="U45" s="3">
        <v>0.005608939453797661</v>
      </c>
      <c r="V45" s="3">
        <v>0.005502462884057746</v>
      </c>
      <c r="W45" s="3">
        <v>0.005421766933120846</v>
      </c>
      <c r="X45" s="3">
        <v>0.005333299047730838</v>
      </c>
      <c r="Y45" s="3">
        <v>0.005248636742948705</v>
      </c>
      <c r="Z45" s="3">
        <v>0.005181163906752209</v>
      </c>
      <c r="AA45" s="3">
        <v>0.0050453219768034</v>
      </c>
      <c r="AB45" s="3">
        <v>0.005470579400582165</v>
      </c>
      <c r="AC45" s="3">
        <v>0.005183995974859608</v>
      </c>
      <c r="AD45" s="3">
        <v>0.004938486889681275</v>
      </c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/>
      <c r="F46" s="4" t="s">
        <v>37</v>
      </c>
      <c r="G46" s="3">
        <v>0.02664308590167745</v>
      </c>
      <c r="H46" s="3">
        <v>0.02599091292785368</v>
      </c>
      <c r="I46" s="3">
        <v>0.02533535690959784</v>
      </c>
      <c r="J46" s="3">
        <v>0.0245108597501533</v>
      </c>
      <c r="K46" s="3">
        <v>0.0235069819274685</v>
      </c>
      <c r="L46" s="3">
        <v>0.0225234066140265</v>
      </c>
      <c r="M46" s="3">
        <v>0.02175770459937672</v>
      </c>
      <c r="N46" s="3">
        <v>0.02086186973652054</v>
      </c>
      <c r="O46" s="3">
        <v>0.01975997066787446</v>
      </c>
      <c r="P46" s="3">
        <v>0.01880853337607022</v>
      </c>
      <c r="Q46" s="3">
        <v>0.0179512652534141</v>
      </c>
      <c r="R46" s="3">
        <v>0.01707267116561615</v>
      </c>
      <c r="S46" s="3">
        <v>0.01632563208347028</v>
      </c>
      <c r="T46" s="3">
        <v>0.01561588532060059</v>
      </c>
      <c r="U46" s="3">
        <v>0.01491526864633376</v>
      </c>
      <c r="V46" s="3">
        <v>0.01424920523900836</v>
      </c>
      <c r="W46" s="3">
        <v>0.01358968354462921</v>
      </c>
      <c r="X46" s="3">
        <v>0.01295092720304639</v>
      </c>
      <c r="Y46" s="3">
        <v>0.01226790076480134</v>
      </c>
      <c r="Z46" s="3">
        <v>0.01166325774294579</v>
      </c>
      <c r="AA46" s="3">
        <v>0.01102565390022139</v>
      </c>
      <c r="AB46" s="3">
        <v>0.01061343205121886</v>
      </c>
      <c r="AC46" s="3">
        <v>0.01032875788254283</v>
      </c>
      <c r="AD46" s="3">
        <v>0.01008165331477859</v>
      </c>
      <c r="AE46" s="3">
        <v>0.01112630756414617</v>
      </c>
      <c r="AF46" s="3">
        <v>0.01103290532097405</v>
      </c>
      <c r="AG46" s="3">
        <v>0.01096460008929009</v>
      </c>
      <c r="AH46" s="3">
        <v>0.01087484945348498</v>
      </c>
      <c r="AI46" s="3">
        <v>0.01078435878617267</v>
      </c>
      <c r="AJ46" s="3">
        <v>0.01066731689610414</v>
      </c>
      <c r="AK46" s="3">
        <v>0.01053088883441939</v>
      </c>
      <c r="AL46" s="3">
        <v>0.01038414551377766</v>
      </c>
      <c r="AM46" s="3">
        <v>0.01025336132456514</v>
      </c>
      <c r="AN46" s="3">
        <v>0.01012623275770079</v>
      </c>
      <c r="AO46" s="3">
        <v>0.009982577353902549</v>
      </c>
      <c r="AP46" s="3">
        <v>0.009828831718102527</v>
      </c>
      <c r="AQ46" s="3">
        <v>0.009667277597824342</v>
      </c>
      <c r="AR46" s="3">
        <v>0.009518350460176189</v>
      </c>
      <c r="AS46" s="3">
        <v>0.00935344909445537</v>
      </c>
      <c r="AT46" s="3">
        <v>0.009202458090814316</v>
      </c>
      <c r="AU46" s="3">
        <v>0.009047655318149423</v>
      </c>
      <c r="AV46" s="3">
        <v>0.008917332537884317</v>
      </c>
      <c r="AW46" s="3">
        <v>0.008783169693655203</v>
      </c>
      <c r="AX46" s="3">
        <v>0.00866340821579748</v>
      </c>
      <c r="AY46" s="3">
        <v>0.008538323562591699</v>
      </c>
      <c r="AZ46" s="3">
        <v>0.008410417293821021</v>
      </c>
      <c r="BA46" s="3">
        <v>0.008293755464822057</v>
      </c>
      <c r="BB46" s="3">
        <v>0.008169108275776221</v>
      </c>
      <c r="BC46" s="3">
        <v>0.008054800752336607</v>
      </c>
      <c r="BD46" s="3">
        <v>0.007940797254274908</v>
      </c>
      <c r="BE46" s="3">
        <v>0.007836231404631728</v>
      </c>
    </row>
    <row r="47" spans="1:57">
      <c r="A47" s="1" t="str">
        <f>'Population Definitions'!$A$5</f>
        <v>0-9_females</v>
      </c>
      <c r="C47" t="s">
        <v>53</v>
      </c>
      <c r="D47" s="3"/>
      <c r="E47" s="3"/>
      <c r="F47" s="4" t="s">
        <v>37</v>
      </c>
      <c r="G47" s="3">
        <v>0.02448843396541206</v>
      </c>
      <c r="H47" s="3">
        <v>0.02387796852124713</v>
      </c>
      <c r="I47" s="3">
        <v>0.02332086283083709</v>
      </c>
      <c r="J47" s="3">
        <v>0.02258209582216417</v>
      </c>
      <c r="K47" s="3">
        <v>0.02170303556559031</v>
      </c>
      <c r="L47" s="3">
        <v>0.02079945536534984</v>
      </c>
      <c r="M47" s="3">
        <v>0.02003505844902815</v>
      </c>
      <c r="N47" s="3">
        <v>0.01920646933699632</v>
      </c>
      <c r="O47" s="3">
        <v>0.01816707768286991</v>
      </c>
      <c r="P47" s="3">
        <v>0.01729607813569893</v>
      </c>
      <c r="Q47" s="3">
        <v>0.01648281026360439</v>
      </c>
      <c r="R47" s="3">
        <v>0.01560382550381225</v>
      </c>
      <c r="S47" s="3">
        <v>0.01489455443160352</v>
      </c>
      <c r="T47" s="3">
        <v>0.01421031959098508</v>
      </c>
      <c r="U47" s="3">
        <v>0.013532711301316</v>
      </c>
      <c r="V47" s="3">
        <v>0.01288395353335778</v>
      </c>
      <c r="W47" s="3">
        <v>0.01227196376490645</v>
      </c>
      <c r="X47" s="3">
        <v>0.01167104955236534</v>
      </c>
      <c r="Y47" s="3">
        <v>0.01104135030273844</v>
      </c>
      <c r="Z47" s="3">
        <v>0.01049248155152451</v>
      </c>
      <c r="AA47" s="3">
        <v>0.00994004552823264</v>
      </c>
      <c r="AB47" s="3">
        <v>0.009563728367820714</v>
      </c>
      <c r="AC47" s="3">
        <v>0.009304171798574217</v>
      </c>
      <c r="AD47" s="3">
        <v>0.009083972415590754</v>
      </c>
      <c r="AE47" s="3">
        <v>0.009147119347480063</v>
      </c>
      <c r="AF47" s="3">
        <v>0.009031813812663199</v>
      </c>
      <c r="AG47" s="3">
        <v>0.008939416213785701</v>
      </c>
      <c r="AH47" s="3">
        <v>0.008825780161789877</v>
      </c>
      <c r="AI47" s="3">
        <v>0.008712434170538633</v>
      </c>
      <c r="AJ47" s="3">
        <v>0.008577249456724853</v>
      </c>
      <c r="AK47" s="3">
        <v>0.008426468189837947</v>
      </c>
      <c r="AL47" s="3">
        <v>0.008260960385820731</v>
      </c>
      <c r="AM47" s="3">
        <v>0.008121411791660725</v>
      </c>
      <c r="AN47" s="3">
        <v>0.007977673915062117</v>
      </c>
      <c r="AO47" s="3">
        <v>0.007827836082814062</v>
      </c>
      <c r="AP47" s="3">
        <v>0.007672689187574182</v>
      </c>
      <c r="AQ47" s="3">
        <v>0.007519233938833129</v>
      </c>
      <c r="AR47" s="3">
        <v>0.007365605682594228</v>
      </c>
      <c r="AS47" s="3">
        <v>0.007201039424181499</v>
      </c>
      <c r="AT47" s="3">
        <v>0.007052222085045498</v>
      </c>
      <c r="AU47" s="3">
        <v>0.006900443395922324</v>
      </c>
      <c r="AV47" s="3">
        <v>0.006767073922971203</v>
      </c>
      <c r="AW47" s="3">
        <v>0.006633437095517</v>
      </c>
      <c r="AX47" s="3">
        <v>0.006505788788991437</v>
      </c>
      <c r="AY47" s="3">
        <v>0.006374917333318349</v>
      </c>
      <c r="AZ47" s="3">
        <v>0.006246866720381621</v>
      </c>
      <c r="BA47" s="3">
        <v>0.006122989523574789</v>
      </c>
      <c r="BB47" s="3">
        <v>0.006000863885792381</v>
      </c>
      <c r="BC47" s="3">
        <v>0.005880457226373253</v>
      </c>
      <c r="BD47" s="3">
        <v>0.005761940541541527</v>
      </c>
      <c r="BE47" s="3">
        <v>0.005660933702780755</v>
      </c>
    </row>
    <row r="48" spans="1:57">
      <c r="A48" s="1" t="str">
        <f>'Population Definitions'!$A$6</f>
        <v>10-17_males</v>
      </c>
      <c r="C48" t="s">
        <v>53</v>
      </c>
      <c r="D48" s="3"/>
      <c r="E48" s="3"/>
      <c r="F48" s="4" t="s">
        <v>37</v>
      </c>
      <c r="G48" s="3">
        <v>0.003023883771564608</v>
      </c>
      <c r="H48" s="3">
        <v>0.002997227962702049</v>
      </c>
      <c r="I48" s="3">
        <v>0.002999827381628118</v>
      </c>
      <c r="J48" s="3">
        <v>0.002942497429494433</v>
      </c>
      <c r="K48" s="3">
        <v>0.00285382102773239</v>
      </c>
      <c r="L48" s="3">
        <v>0.002768403999467978</v>
      </c>
      <c r="M48" s="3">
        <v>0.002730091485749007</v>
      </c>
      <c r="N48" s="3">
        <v>0.002669255791671963</v>
      </c>
      <c r="O48" s="3">
        <v>0.002551981587344712</v>
      </c>
      <c r="P48" s="3">
        <v>0.002487000891038068</v>
      </c>
      <c r="Q48" s="3">
        <v>0.002428961373808758</v>
      </c>
      <c r="R48" s="3">
        <v>0.002346182349226348</v>
      </c>
      <c r="S48" s="3">
        <v>0.002296298599728828</v>
      </c>
      <c r="T48" s="3">
        <v>0.00225300569046371</v>
      </c>
      <c r="U48" s="3">
        <v>0.002212031751163444</v>
      </c>
      <c r="V48" s="3">
        <v>0.00216895017923086</v>
      </c>
      <c r="W48" s="3">
        <v>0.002127404280080445</v>
      </c>
      <c r="X48" s="3">
        <v>0.002084503100743209</v>
      </c>
      <c r="Y48" s="3">
        <v>0.002040032355378488</v>
      </c>
      <c r="Z48" s="3">
        <v>0.002032809682261032</v>
      </c>
      <c r="AA48" s="3">
        <v>0.001980674428664953</v>
      </c>
      <c r="AB48" s="3">
        <v>0.001933126276616581</v>
      </c>
      <c r="AC48" s="3">
        <v>0.001924665569832906</v>
      </c>
      <c r="AD48" s="3">
        <v>0.001963044146171611</v>
      </c>
      <c r="AE48" s="3">
        <v>0.001913868143586851</v>
      </c>
      <c r="AF48" s="3">
        <v>0.001890986225588691</v>
      </c>
      <c r="AG48" s="3">
        <v>0.001869330760372933</v>
      </c>
      <c r="AH48" s="3">
        <v>0.001846626351997734</v>
      </c>
      <c r="AI48" s="3">
        <v>0.001826303371395585</v>
      </c>
      <c r="AJ48" s="3">
        <v>0.001806551695360402</v>
      </c>
      <c r="AK48" s="3">
        <v>0.001787443155293265</v>
      </c>
      <c r="AL48" s="3">
        <v>0.001766819796081593</v>
      </c>
      <c r="AM48" s="3">
        <v>0.001748433206845434</v>
      </c>
      <c r="AN48" s="3">
        <v>0.001724924553497671</v>
      </c>
      <c r="AO48" s="3">
        <v>0.001700121632557272</v>
      </c>
      <c r="AP48" s="3">
        <v>0.001676200819353427</v>
      </c>
      <c r="AQ48" s="3">
        <v>0.001651775544716399</v>
      </c>
      <c r="AR48" s="3">
        <v>0.00162970474608466</v>
      </c>
      <c r="AS48" s="3">
        <v>0.001607941571990956</v>
      </c>
      <c r="AT48" s="3">
        <v>0.001586624155850677</v>
      </c>
      <c r="AU48" s="3">
        <v>0.001566678192503095</v>
      </c>
      <c r="AV48" s="3">
        <v>0.001548617322923245</v>
      </c>
      <c r="AW48" s="3">
        <v>0.001528222896123555</v>
      </c>
      <c r="AX48" s="3">
        <v>0.001510949003230706</v>
      </c>
      <c r="AY48" s="3">
        <v>0.001491591300434808</v>
      </c>
      <c r="AZ48" s="3">
        <v>0.001473349576965557</v>
      </c>
      <c r="BA48" s="3">
        <v>0.001456309326928034</v>
      </c>
      <c r="BB48" s="3">
        <v>0.001438070808837969</v>
      </c>
      <c r="BC48" s="3">
        <v>0.001421663219093355</v>
      </c>
      <c r="BD48" s="3">
        <v>0.001405778752366247</v>
      </c>
      <c r="BE48" s="3">
        <v>0.001391371531101695</v>
      </c>
    </row>
    <row r="49" spans="1:57">
      <c r="A49" s="1" t="str">
        <f>'Population Definitions'!$A$7</f>
        <v>10-17_females</v>
      </c>
      <c r="C49" t="s">
        <v>53</v>
      </c>
      <c r="D49" s="3"/>
      <c r="E49" s="3"/>
      <c r="F49" s="4" t="s">
        <v>37</v>
      </c>
      <c r="G49" s="3">
        <v>0.003114353433784523</v>
      </c>
      <c r="H49" s="3">
        <v>0.00306447964587508</v>
      </c>
      <c r="I49" s="3">
        <v>0.003068941434700189</v>
      </c>
      <c r="J49" s="3">
        <v>0.003001695864555495</v>
      </c>
      <c r="K49" s="3">
        <v>0.002908134384493205</v>
      </c>
      <c r="L49" s="3">
        <v>0.002804087063138184</v>
      </c>
      <c r="M49" s="3">
        <v>0.002747355715609748</v>
      </c>
      <c r="N49" s="3">
        <v>0.002683026027481852</v>
      </c>
      <c r="O49" s="3">
        <v>0.002543066044982167</v>
      </c>
      <c r="P49" s="3">
        <v>0.002475609747873545</v>
      </c>
      <c r="Q49" s="3">
        <v>0.002404204305514443</v>
      </c>
      <c r="R49" s="3">
        <v>0.002294467991757006</v>
      </c>
      <c r="S49" s="3">
        <v>0.002239755347895664</v>
      </c>
      <c r="T49" s="3">
        <v>0.002185508141152956</v>
      </c>
      <c r="U49" s="3">
        <v>0.002127318219260528</v>
      </c>
      <c r="V49" s="3">
        <v>0.002064829087285162</v>
      </c>
      <c r="W49" s="3">
        <v>0.002012409586208854</v>
      </c>
      <c r="X49" s="3">
        <v>0.001956661425358269</v>
      </c>
      <c r="Y49" s="3">
        <v>0.001904923879425091</v>
      </c>
      <c r="Z49" s="3">
        <v>0.001862752457969309</v>
      </c>
      <c r="AA49" s="3">
        <v>0.001817931689752987</v>
      </c>
      <c r="AB49" s="3">
        <v>0.001770595672061539</v>
      </c>
      <c r="AC49" s="3">
        <v>0.001735459442344094</v>
      </c>
      <c r="AD49" s="3">
        <v>0.001706891188396435</v>
      </c>
      <c r="AE49" s="3">
        <v>0.00163706158842676</v>
      </c>
      <c r="AF49" s="3">
        <v>0.001611804229079068</v>
      </c>
      <c r="AG49" s="3">
        <v>0.001588078907165843</v>
      </c>
      <c r="AH49" s="3">
        <v>0.001562967280284128</v>
      </c>
      <c r="AI49" s="3">
        <v>0.001538446470720743</v>
      </c>
      <c r="AJ49" s="3">
        <v>0.001516866242221492</v>
      </c>
      <c r="AK49" s="3">
        <v>0.001493537221147696</v>
      </c>
      <c r="AL49" s="3">
        <v>0.001470029649158102</v>
      </c>
      <c r="AM49" s="3">
        <v>0.001449378783497926</v>
      </c>
      <c r="AN49" s="3">
        <v>0.001421222722815805</v>
      </c>
      <c r="AO49" s="3">
        <v>0.001393533947894542</v>
      </c>
      <c r="AP49" s="3">
        <v>0.001366810373486297</v>
      </c>
      <c r="AQ49" s="3">
        <v>0.001340412663396849</v>
      </c>
      <c r="AR49" s="3">
        <v>0.001314670636486794</v>
      </c>
      <c r="AS49" s="3">
        <v>0.001289190083595919</v>
      </c>
      <c r="AT49" s="3">
        <v>0.001265776395074144</v>
      </c>
      <c r="AU49" s="3">
        <v>0.001242963902899133</v>
      </c>
      <c r="AV49" s="3">
        <v>0.001221995319843588</v>
      </c>
      <c r="AW49" s="3">
        <v>0.001200052384702929</v>
      </c>
      <c r="AX49" s="3">
        <v>0.001178078533820078</v>
      </c>
      <c r="AY49" s="3">
        <v>0.001155662829222432</v>
      </c>
      <c r="AZ49" s="3">
        <v>0.001134721197497884</v>
      </c>
      <c r="BA49" s="3">
        <v>0.001113761967885052</v>
      </c>
      <c r="BB49" s="3">
        <v>0.001093488326273273</v>
      </c>
      <c r="BC49" s="3">
        <v>0.001074435284217289</v>
      </c>
      <c r="BD49" s="3">
        <v>0.001054219453523024</v>
      </c>
      <c r="BE49" s="3">
        <v>0.00103762870105824</v>
      </c>
    </row>
    <row r="50" spans="1:57">
      <c r="A50" s="1" t="str">
        <f>'Population Definitions'!$A$8</f>
        <v>18-64_males</v>
      </c>
      <c r="C50" t="s">
        <v>53</v>
      </c>
      <c r="D50" s="3"/>
      <c r="E50" s="3"/>
      <c r="F50" s="4" t="s">
        <v>37</v>
      </c>
      <c r="G50" s="3">
        <v>0.008968282176828695</v>
      </c>
      <c r="H50" s="3">
        <v>0.008856180817420085</v>
      </c>
      <c r="I50" s="3">
        <v>0.008813569412732102</v>
      </c>
      <c r="J50" s="3">
        <v>0.008641444197067288</v>
      </c>
      <c r="K50" s="3">
        <v>0.00840863869126072</v>
      </c>
      <c r="L50" s="3">
        <v>0.008196870849294016</v>
      </c>
      <c r="M50" s="3">
        <v>0.008103810307957393</v>
      </c>
      <c r="N50" s="3">
        <v>0.007949997847855942</v>
      </c>
      <c r="O50" s="3">
        <v>0.007687118405166378</v>
      </c>
      <c r="P50" s="3">
        <v>0.007516577258778548</v>
      </c>
      <c r="Q50" s="3">
        <v>0.007365576792662169</v>
      </c>
      <c r="R50" s="3">
        <v>0.007135602332004332</v>
      </c>
      <c r="S50" s="3">
        <v>0.007015511449113387</v>
      </c>
      <c r="T50" s="3">
        <v>0.006929360955506009</v>
      </c>
      <c r="U50" s="3">
        <v>0.006857503550302346</v>
      </c>
      <c r="V50" s="3">
        <v>0.006783385371086434</v>
      </c>
      <c r="W50" s="3">
        <v>0.006710985578386987</v>
      </c>
      <c r="X50" s="3">
        <v>0.006641185732116646</v>
      </c>
      <c r="Y50" s="3">
        <v>0.006572959126868021</v>
      </c>
      <c r="Z50" s="3">
        <v>0.006712462496471496</v>
      </c>
      <c r="AA50" s="3">
        <v>0.006583623382131826</v>
      </c>
      <c r="AB50" s="3">
        <v>0.007098242452188647</v>
      </c>
      <c r="AC50" s="3">
        <v>0.006917214855422452</v>
      </c>
      <c r="AD50" s="3">
        <v>0.007100932163402225</v>
      </c>
      <c r="AE50" s="3">
        <v>0.006514333371969555</v>
      </c>
      <c r="AF50" s="3">
        <v>0.006466843630176189</v>
      </c>
      <c r="AG50" s="3">
        <v>0.006421998413244222</v>
      </c>
      <c r="AH50" s="3">
        <v>0.0063740446388346</v>
      </c>
      <c r="AI50" s="3">
        <v>0.006330967681481112</v>
      </c>
      <c r="AJ50" s="3">
        <v>0.006291351363263547</v>
      </c>
      <c r="AK50" s="3">
        <v>0.006253442377456801</v>
      </c>
      <c r="AL50" s="3">
        <v>0.006215480277030911</v>
      </c>
      <c r="AM50" s="3">
        <v>0.006188349317636605</v>
      </c>
      <c r="AN50" s="3">
        <v>0.006157672304731977</v>
      </c>
      <c r="AO50" s="3">
        <v>0.006131694652446644</v>
      </c>
      <c r="AP50" s="3">
        <v>0.006116673849533774</v>
      </c>
      <c r="AQ50" s="3">
        <v>0.00610201404996073</v>
      </c>
      <c r="AR50" s="3">
        <v>0.00609641165036016</v>
      </c>
      <c r="AS50" s="3">
        <v>0.006092087993837557</v>
      </c>
      <c r="AT50" s="3">
        <v>0.006088281771506577</v>
      </c>
      <c r="AU50" s="3">
        <v>0.006084319959511151</v>
      </c>
      <c r="AV50" s="3">
        <v>0.006082701567689678</v>
      </c>
      <c r="AW50" s="3">
        <v>0.006078260728022722</v>
      </c>
      <c r="AX50" s="3">
        <v>0.00607116994919028</v>
      </c>
      <c r="AY50" s="3">
        <v>0.006061363484855779</v>
      </c>
      <c r="AZ50" s="3">
        <v>0.006055095739925758</v>
      </c>
      <c r="BA50" s="3">
        <v>0.006046044461272861</v>
      </c>
      <c r="BB50" s="3">
        <v>0.006036830611754316</v>
      </c>
      <c r="BC50" s="3">
        <v>0.006033933623062216</v>
      </c>
      <c r="BD50" s="3">
        <v>0.006026459690621956</v>
      </c>
      <c r="BE50" s="3">
        <v>0.006022343510450581</v>
      </c>
    </row>
    <row r="51" spans="1:57">
      <c r="A51" s="1" t="str">
        <f>'Population Definitions'!$A$9</f>
        <v>18-64_females</v>
      </c>
      <c r="C51" t="s">
        <v>53</v>
      </c>
      <c r="D51" s="3"/>
      <c r="E51" s="3"/>
      <c r="F51" s="4" t="s">
        <v>37</v>
      </c>
      <c r="G51" s="3">
        <v>0.007514286841347018</v>
      </c>
      <c r="H51" s="3">
        <v>0.007403556342023602</v>
      </c>
      <c r="I51" s="3">
        <v>0.007379230957513569</v>
      </c>
      <c r="J51" s="3">
        <v>0.007247755741678941</v>
      </c>
      <c r="K51" s="3">
        <v>0.007075412817859405</v>
      </c>
      <c r="L51" s="3">
        <v>0.006887471478465463</v>
      </c>
      <c r="M51" s="3">
        <v>0.006769334286531133</v>
      </c>
      <c r="N51" s="3">
        <v>0.006639273694926998</v>
      </c>
      <c r="O51" s="3">
        <v>0.006397916722250555</v>
      </c>
      <c r="P51" s="3">
        <v>0.006260765741142069</v>
      </c>
      <c r="Q51" s="3">
        <v>0.006121803273317631</v>
      </c>
      <c r="R51" s="3">
        <v>0.005891563543426221</v>
      </c>
      <c r="S51" s="3">
        <v>0.005788564163742464</v>
      </c>
      <c r="T51" s="3">
        <v>0.005698615080364123</v>
      </c>
      <c r="U51" s="3">
        <v>0.005608939453797661</v>
      </c>
      <c r="V51" s="3">
        <v>0.005502462884057746</v>
      </c>
      <c r="W51" s="3">
        <v>0.005421766933120846</v>
      </c>
      <c r="X51" s="3">
        <v>0.005333299047730838</v>
      </c>
      <c r="Y51" s="3">
        <v>0.005248636742948705</v>
      </c>
      <c r="Z51" s="3">
        <v>0.005181163906752209</v>
      </c>
      <c r="AA51" s="3">
        <v>0.0050453219768034</v>
      </c>
      <c r="AB51" s="3">
        <v>0.005470579400582165</v>
      </c>
      <c r="AC51" s="3">
        <v>0.005183995974859608</v>
      </c>
      <c r="AD51" s="3">
        <v>0.004938486889681275</v>
      </c>
      <c r="AE51" s="3">
        <v>0.004895393877822596</v>
      </c>
      <c r="AF51" s="3">
        <v>0.004842979506938081</v>
      </c>
      <c r="AG51" s="3">
        <v>0.004792597740203582</v>
      </c>
      <c r="AH51" s="3">
        <v>0.004740053665610073</v>
      </c>
      <c r="AI51" s="3">
        <v>0.004690922374334724</v>
      </c>
      <c r="AJ51" s="3">
        <v>0.004644687863960213</v>
      </c>
      <c r="AK51" s="3">
        <v>0.004598801286927456</v>
      </c>
      <c r="AL51" s="3">
        <v>0.004554735441123385</v>
      </c>
      <c r="AM51" s="3">
        <v>0.004516155095682923</v>
      </c>
      <c r="AN51" s="3">
        <v>0.004476376535274666</v>
      </c>
      <c r="AO51" s="3">
        <v>0.004441437335431029</v>
      </c>
      <c r="AP51" s="3">
        <v>0.004413829227708991</v>
      </c>
      <c r="AQ51" s="3">
        <v>0.004387195336733013</v>
      </c>
      <c r="AR51" s="3">
        <v>0.004368433427797096</v>
      </c>
      <c r="AS51" s="3">
        <v>0.004351687768826207</v>
      </c>
      <c r="AT51" s="3">
        <v>0.004333734714536768</v>
      </c>
      <c r="AU51" s="3">
        <v>0.004317062786631785</v>
      </c>
      <c r="AV51" s="3">
        <v>0.004304369570135576</v>
      </c>
      <c r="AW51" s="3">
        <v>0.00428736922260757</v>
      </c>
      <c r="AX51" s="3">
        <v>0.004270332189736576</v>
      </c>
      <c r="AY51" s="3">
        <v>0.004249780908045698</v>
      </c>
      <c r="AZ51" s="3">
        <v>0.004229553072920357</v>
      </c>
      <c r="BA51" s="3">
        <v>0.004211433792145723</v>
      </c>
      <c r="BB51" s="3">
        <v>0.004190087964771531</v>
      </c>
      <c r="BC51" s="3">
        <v>0.004172961694193705</v>
      </c>
      <c r="BD51" s="3">
        <v>0.004152967133728759</v>
      </c>
      <c r="BE51" s="3">
        <v>0.004134138891998145</v>
      </c>
    </row>
    <row r="52" spans="1:57">
      <c r="A52" s="1" t="str">
        <f>'Population Definitions'!$A$10</f>
        <v>65+_males</v>
      </c>
      <c r="C52" t="s">
        <v>53</v>
      </c>
      <c r="D52" s="3"/>
      <c r="E52" s="3"/>
      <c r="F52" s="4" t="s">
        <v>37</v>
      </c>
      <c r="G52" s="3">
        <v>0.09114457692269853</v>
      </c>
      <c r="H52" s="3">
        <v>0.09088176932528386</v>
      </c>
      <c r="I52" s="3">
        <v>0.09046965091655175</v>
      </c>
      <c r="J52" s="3">
        <v>0.08982489356771618</v>
      </c>
      <c r="K52" s="3">
        <v>0.08855260697027553</v>
      </c>
      <c r="L52" s="3">
        <v>0.08753370030998842</v>
      </c>
      <c r="M52" s="3">
        <v>0.08693766286481969</v>
      </c>
      <c r="N52" s="3">
        <v>0.0855976805023079</v>
      </c>
      <c r="O52" s="3">
        <v>0.08386757002523765</v>
      </c>
      <c r="P52" s="3">
        <v>0.08206213277009622</v>
      </c>
      <c r="Q52" s="3">
        <v>0.08079424880950263</v>
      </c>
      <c r="R52" s="3">
        <v>0.07955714192069505</v>
      </c>
      <c r="S52" s="3">
        <v>0.07882860099601964</v>
      </c>
      <c r="T52" s="3">
        <v>0.07881164983167863</v>
      </c>
      <c r="U52" s="3">
        <v>0.0790158740592302</v>
      </c>
      <c r="V52" s="3">
        <v>0.07921529148939864</v>
      </c>
      <c r="W52" s="3">
        <v>0.07914305542428991</v>
      </c>
      <c r="X52" s="3">
        <v>0.07906014712246874</v>
      </c>
      <c r="Y52" s="3">
        <v>0.07869083582876681</v>
      </c>
      <c r="Z52" s="3">
        <v>0.07840720064809109</v>
      </c>
      <c r="AA52" s="3">
        <v>0.08267495819182577</v>
      </c>
      <c r="AB52" s="3">
        <v>0.08225530633770559</v>
      </c>
      <c r="AC52" s="3">
        <v>0.07871208277728778</v>
      </c>
      <c r="AD52" s="3">
        <v>0.07561050321431369</v>
      </c>
      <c r="AE52" s="3">
        <v>0.07666318424631882</v>
      </c>
      <c r="AF52" s="3">
        <v>0.07609810970836152</v>
      </c>
      <c r="AG52" s="3">
        <v>0.07550057297253755</v>
      </c>
      <c r="AH52" s="3">
        <v>0.07487445423506546</v>
      </c>
      <c r="AI52" s="3">
        <v>0.07432068975464573</v>
      </c>
      <c r="AJ52" s="3">
        <v>0.07380770411596024</v>
      </c>
      <c r="AK52" s="3">
        <v>0.07331499463506674</v>
      </c>
      <c r="AL52" s="3">
        <v>0.07285297508162347</v>
      </c>
      <c r="AM52" s="3">
        <v>0.07251808594090471</v>
      </c>
      <c r="AN52" s="3">
        <v>0.07217411824502172</v>
      </c>
      <c r="AO52" s="3">
        <v>0.07190363463613379</v>
      </c>
      <c r="AP52" s="3">
        <v>0.07171591191959112</v>
      </c>
      <c r="AQ52" s="3">
        <v>0.07147344746184876</v>
      </c>
      <c r="AR52" s="3">
        <v>0.07122970831370194</v>
      </c>
      <c r="AS52" s="3">
        <v>0.07100680835623896</v>
      </c>
      <c r="AT52" s="3">
        <v>0.07072345958230218</v>
      </c>
      <c r="AU52" s="3">
        <v>0.07041915116769804</v>
      </c>
      <c r="AV52" s="3">
        <v>0.07007453336844542</v>
      </c>
      <c r="AW52" s="3">
        <v>0.06971459553035958</v>
      </c>
      <c r="AX52" s="3">
        <v>0.06925817324323491</v>
      </c>
      <c r="AY52" s="3">
        <v>0.06883709713537631</v>
      </c>
      <c r="AZ52" s="3">
        <v>0.06848709067494194</v>
      </c>
      <c r="BA52" s="3">
        <v>0.06809221402237042</v>
      </c>
      <c r="BB52" s="3">
        <v>0.06781628241700184</v>
      </c>
      <c r="BC52" s="3">
        <v>0.0676680160278296</v>
      </c>
      <c r="BD52" s="3">
        <v>0.06751348081798643</v>
      </c>
      <c r="BE52" s="3">
        <v>0.06739794861168669</v>
      </c>
    </row>
    <row r="53" spans="1:57">
      <c r="A53" s="1" t="str">
        <f>'Population Definitions'!$A$11</f>
        <v>65+_females</v>
      </c>
      <c r="C53" t="s">
        <v>53</v>
      </c>
      <c r="D53" s="3"/>
      <c r="E53" s="3"/>
      <c r="F53" s="4" t="s">
        <v>37</v>
      </c>
      <c r="G53" s="3">
        <v>0.08090631292528824</v>
      </c>
      <c r="H53" s="3">
        <v>0.0805703470184093</v>
      </c>
      <c r="I53" s="3">
        <v>0.08044204704010163</v>
      </c>
      <c r="J53" s="3">
        <v>0.07987340325585562</v>
      </c>
      <c r="K53" s="3">
        <v>0.07908664790639121</v>
      </c>
      <c r="L53" s="3">
        <v>0.07812693796807753</v>
      </c>
      <c r="M53" s="3">
        <v>0.07727699895841465</v>
      </c>
      <c r="N53" s="3">
        <v>0.0763146466550278</v>
      </c>
      <c r="O53" s="3">
        <v>0.07492692785005929</v>
      </c>
      <c r="P53" s="3">
        <v>0.07391081441200008</v>
      </c>
      <c r="Q53" s="3">
        <v>0.07300103114396962</v>
      </c>
      <c r="R53" s="3">
        <v>0.07178802193982207</v>
      </c>
      <c r="S53" s="3">
        <v>0.07137473649039991</v>
      </c>
      <c r="T53" s="3">
        <v>0.07118709202091759</v>
      </c>
      <c r="U53" s="3">
        <v>0.07110247300372265</v>
      </c>
      <c r="V53" s="3">
        <v>0.07075243081333121</v>
      </c>
      <c r="W53" s="3">
        <v>0.07067924798538938</v>
      </c>
      <c r="X53" s="3">
        <v>0.07036953803984347</v>
      </c>
      <c r="Y53" s="3">
        <v>0.07001478540622265</v>
      </c>
      <c r="Z53" s="3">
        <v>0.06953489210643972</v>
      </c>
      <c r="AA53" s="3">
        <v>0.06984417394055353</v>
      </c>
      <c r="AB53" s="3">
        <v>0.07331598367245422</v>
      </c>
      <c r="AC53" s="3">
        <v>0.07036932555122535</v>
      </c>
      <c r="AD53" s="3">
        <v>0.06765431085101739</v>
      </c>
      <c r="AE53" s="3">
        <v>0.0682407195156484</v>
      </c>
      <c r="AF53" s="3">
        <v>0.0679078412229363</v>
      </c>
      <c r="AG53" s="3">
        <v>0.06749034183403493</v>
      </c>
      <c r="AH53" s="3">
        <v>0.06707539782881418</v>
      </c>
      <c r="AI53" s="3">
        <v>0.06668107883337052</v>
      </c>
      <c r="AJ53" s="3">
        <v>0.06630515722006242</v>
      </c>
      <c r="AK53" s="3">
        <v>0.06591684234925332</v>
      </c>
      <c r="AL53" s="3">
        <v>0.06559041505401345</v>
      </c>
      <c r="AM53" s="3">
        <v>0.0652353546031334</v>
      </c>
      <c r="AN53" s="3">
        <v>0.06498864579456552</v>
      </c>
      <c r="AO53" s="3">
        <v>0.06473352228440502</v>
      </c>
      <c r="AP53" s="3">
        <v>0.0645564990056947</v>
      </c>
      <c r="AQ53" s="3">
        <v>0.06429049273355658</v>
      </c>
      <c r="AR53" s="3">
        <v>0.06413595790888339</v>
      </c>
      <c r="AS53" s="3">
        <v>0.06398816859748582</v>
      </c>
      <c r="AT53" s="3">
        <v>0.06372032639754655</v>
      </c>
      <c r="AU53" s="3">
        <v>0.06342683871387914</v>
      </c>
      <c r="AV53" s="3">
        <v>0.06316141067144226</v>
      </c>
      <c r="AW53" s="3">
        <v>0.06280686855696861</v>
      </c>
      <c r="AX53" s="3">
        <v>0.0624241309040575</v>
      </c>
      <c r="AY53" s="3">
        <v>0.06204891496272292</v>
      </c>
      <c r="AZ53" s="3">
        <v>0.0616263430704366</v>
      </c>
      <c r="BA53" s="3">
        <v>0.06131259388441941</v>
      </c>
      <c r="BB53" s="3">
        <v>0.06094084229040681</v>
      </c>
      <c r="BC53" s="3">
        <v>0.06069813156395918</v>
      </c>
      <c r="BD53" s="3">
        <v>0.06045847160541595</v>
      </c>
      <c r="BE53" s="3">
        <v>0.06016275253516804</v>
      </c>
    </row>
    <row r="54" spans="1:57">
      <c r="A54" s="1" t="str">
        <f>'Population Definitions'!$A$12</f>
        <v>Prisoners_males</v>
      </c>
      <c r="C54" t="s">
        <v>53</v>
      </c>
      <c r="D54" s="3"/>
      <c r="E54" s="3"/>
      <c r="F54" s="4" t="s">
        <v>37</v>
      </c>
      <c r="G54" s="3">
        <v>0.008968282176828695</v>
      </c>
      <c r="H54" s="3">
        <v>0.008856180817420085</v>
      </c>
      <c r="I54" s="3">
        <v>0.008813569412732102</v>
      </c>
      <c r="J54" s="3">
        <v>0.008641444197067288</v>
      </c>
      <c r="K54" s="3">
        <v>0.00840863869126072</v>
      </c>
      <c r="L54" s="3">
        <v>0.008196870849294016</v>
      </c>
      <c r="M54" s="3">
        <v>0.008103810307957393</v>
      </c>
      <c r="N54" s="3">
        <v>0.007949997847855942</v>
      </c>
      <c r="O54" s="3">
        <v>0.007687118405166378</v>
      </c>
      <c r="P54" s="3">
        <v>0.007516577258778548</v>
      </c>
      <c r="Q54" s="3">
        <v>0.007365576792662169</v>
      </c>
      <c r="R54" s="3">
        <v>0.007135602332004332</v>
      </c>
      <c r="S54" s="3">
        <v>0.007015511449113387</v>
      </c>
      <c r="T54" s="3">
        <v>0.006929360955506009</v>
      </c>
      <c r="U54" s="3">
        <v>0.006857503550302346</v>
      </c>
      <c r="V54" s="3">
        <v>0.006783385371086434</v>
      </c>
      <c r="W54" s="3">
        <v>0.006710985578386987</v>
      </c>
      <c r="X54" s="3">
        <v>0.006641185732116646</v>
      </c>
      <c r="Y54" s="3">
        <v>0.006572959126868021</v>
      </c>
      <c r="Z54" s="3">
        <v>0.006712462496471496</v>
      </c>
      <c r="AA54" s="3">
        <v>0.006583623382131826</v>
      </c>
      <c r="AB54" s="3">
        <v>0.007098242452188647</v>
      </c>
      <c r="AC54" s="3">
        <v>0.006917214855422452</v>
      </c>
      <c r="AD54" s="3">
        <v>0.007100932163402225</v>
      </c>
      <c r="AE54" s="3">
        <v>0.003259301291610586</v>
      </c>
      <c r="AF54" s="3">
        <v>0.003362251756097388</v>
      </c>
      <c r="AG54" s="3">
        <v>0.003515553772655994</v>
      </c>
      <c r="AH54" s="3">
        <v>0.00360553786925298</v>
      </c>
      <c r="AI54" s="3">
        <v>0.003646244257810482</v>
      </c>
      <c r="AJ54" s="3">
        <v>0.003673518769041254</v>
      </c>
      <c r="AK54" s="3">
        <v>0.003714745670102715</v>
      </c>
      <c r="AL54" s="3">
        <v>0.003810748914401285</v>
      </c>
      <c r="AM54" s="3">
        <v>0.003929183497429312</v>
      </c>
      <c r="AN54" s="3">
        <v>0.004049712644791759</v>
      </c>
      <c r="AO54" s="3">
        <v>0.00414189324604182</v>
      </c>
      <c r="AP54" s="3">
        <v>0.004222107479048338</v>
      </c>
      <c r="AQ54" s="3">
        <v>0.004338219225757368</v>
      </c>
      <c r="AR54" s="3">
        <v>0.004493793493352844</v>
      </c>
      <c r="AS54" s="3">
        <v>0.004640805086186381</v>
      </c>
      <c r="AT54" s="3">
        <v>0.004736690672197816</v>
      </c>
      <c r="AU54" s="3">
        <v>0.004806690287619842</v>
      </c>
      <c r="AV54" s="3">
        <v>0.004880984807879869</v>
      </c>
      <c r="AW54" s="3">
        <v>0.004988169373268621</v>
      </c>
      <c r="AX54" s="3">
        <v>0.005145168922994127</v>
      </c>
      <c r="AY54" s="3">
        <v>0.005316843413182304</v>
      </c>
      <c r="AZ54" s="3">
        <v>0.005501029564276374</v>
      </c>
      <c r="BA54" s="3">
        <v>0.005633117974767356</v>
      </c>
      <c r="BB54" s="3">
        <v>0.005716558398515179</v>
      </c>
      <c r="BC54" s="3">
        <v>0.005817598918264643</v>
      </c>
      <c r="BD54" s="3">
        <v>0.005960965291798866</v>
      </c>
      <c r="BE54" s="3">
        <v>0.006088476473141489</v>
      </c>
    </row>
    <row r="55" spans="1:57">
      <c r="A55" s="1" t="str">
        <f>'Population Definitions'!$A$13</f>
        <v>Prisoners_females</v>
      </c>
      <c r="C55" t="s">
        <v>53</v>
      </c>
      <c r="D55" s="3"/>
      <c r="E55" s="3"/>
      <c r="F55" s="4" t="s">
        <v>37</v>
      </c>
      <c r="G55" s="3">
        <v>0.007514286841347018</v>
      </c>
      <c r="H55" s="3">
        <v>0.007403556342023602</v>
      </c>
      <c r="I55" s="3">
        <v>0.007379230957513569</v>
      </c>
      <c r="J55" s="3">
        <v>0.007247755741678941</v>
      </c>
      <c r="K55" s="3">
        <v>0.007075412817859405</v>
      </c>
      <c r="L55" s="3">
        <v>0.006887471478465463</v>
      </c>
      <c r="M55" s="3">
        <v>0.006769334286531133</v>
      </c>
      <c r="N55" s="3">
        <v>0.006639273694926998</v>
      </c>
      <c r="O55" s="3">
        <v>0.006397916722250555</v>
      </c>
      <c r="P55" s="3">
        <v>0.006260765741142069</v>
      </c>
      <c r="Q55" s="3">
        <v>0.006121803273317631</v>
      </c>
      <c r="R55" s="3">
        <v>0.005891563543426221</v>
      </c>
      <c r="S55" s="3">
        <v>0.005788564163742464</v>
      </c>
      <c r="T55" s="3">
        <v>0.005698615080364123</v>
      </c>
      <c r="U55" s="3">
        <v>0.005608939453797661</v>
      </c>
      <c r="V55" s="3">
        <v>0.005502462884057746</v>
      </c>
      <c r="W55" s="3">
        <v>0.005421766933120846</v>
      </c>
      <c r="X55" s="3">
        <v>0.005333299047730838</v>
      </c>
      <c r="Y55" s="3">
        <v>0.005248636742948705</v>
      </c>
      <c r="Z55" s="3">
        <v>0.005181163906752209</v>
      </c>
      <c r="AA55" s="3">
        <v>0.0050453219768034</v>
      </c>
      <c r="AB55" s="3">
        <v>0.005470579400582165</v>
      </c>
      <c r="AC55" s="3">
        <v>0.005183995974859608</v>
      </c>
      <c r="AD55" s="3">
        <v>0.004938486889681275</v>
      </c>
      <c r="AE55" s="3">
        <v>0.002340512881285632</v>
      </c>
      <c r="AF55" s="3">
        <v>0.002406915987376678</v>
      </c>
      <c r="AG55" s="3">
        <v>0.002405801467581933</v>
      </c>
      <c r="AH55" s="3">
        <v>0.002429744920017293</v>
      </c>
      <c r="AI55" s="3">
        <v>0.002503913755070092</v>
      </c>
      <c r="AJ55" s="3">
        <v>0.002600018309988099</v>
      </c>
      <c r="AK55" s="3">
        <v>0.002659303392233352</v>
      </c>
      <c r="AL55" s="3">
        <v>0.002655433210988766</v>
      </c>
      <c r="AM55" s="3">
        <v>0.002648799532781194</v>
      </c>
      <c r="AN55" s="3">
        <v>0.00264122318792897</v>
      </c>
      <c r="AO55" s="3">
        <v>0.002641416310974217</v>
      </c>
      <c r="AP55" s="3">
        <v>0.002661255599629898</v>
      </c>
      <c r="AQ55" s="3">
        <v>0.002668167797091102</v>
      </c>
      <c r="AR55" s="3">
        <v>0.002687447153728375</v>
      </c>
      <c r="AS55" s="3">
        <v>0.002717827941291244</v>
      </c>
      <c r="AT55" s="3">
        <v>0.00278169968863664</v>
      </c>
      <c r="AU55" s="3">
        <v>0.002835273465931525</v>
      </c>
      <c r="AV55" s="3">
        <v>0.002880706013835097</v>
      </c>
      <c r="AW55" s="3">
        <v>0.00289726418269348</v>
      </c>
      <c r="AX55" s="3">
        <v>0.002915222574539734</v>
      </c>
      <c r="AY55" s="3">
        <v>0.002910697430778278</v>
      </c>
      <c r="AZ55" s="3">
        <v>0.002908942636645716</v>
      </c>
      <c r="BA55" s="3">
        <v>0.002923018772836084</v>
      </c>
      <c r="BB55" s="3">
        <v>0.002972045170944375</v>
      </c>
      <c r="BC55" s="3">
        <v>0.003037149129350583</v>
      </c>
      <c r="BD55" s="3">
        <v>0.003068619556464776</v>
      </c>
      <c r="BE55" s="3">
        <v>0.003092005195901011</v>
      </c>
    </row>
  </sheetData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dataValidations count="48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 (per year)"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7"/>
  <sheetViews>
    <sheetView workbookViewId="0"/>
  </sheetViews>
  <sheetFormatPr defaultRowHeight="15"/>
  <cols>
    <col min="1" max="1" width="45.7109375" customWidth="1"/>
    <col min="2" max="2" width="12.710937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0.1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0.1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0.1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0.1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57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2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"Probability (per year)"</formula1>
    </dataValidation>
    <dataValidation type="list" allowBlank="1" showInputMessage="1" showErrorMessage="1" sqref="C17">
      <formula1>"Probability (per year)"</formula1>
    </dataValidation>
    <dataValidation type="list" allowBlank="1" showInputMessage="1" showErrorMessage="1" sqref="C18">
      <formula1>"Probability (per year)"</formula1>
    </dataValidation>
    <dataValidation type="list" allowBlank="1" showInputMessage="1" showErrorMessage="1" sqref="C19">
      <formula1>"Probability (per year)"</formula1>
    </dataValidation>
    <dataValidation type="list" allowBlank="1" showInputMessage="1" showErrorMessage="1" sqref="C20">
      <formula1>"Probability (per year)"</formula1>
    </dataValidation>
    <dataValidation type="list" allowBlank="1" showInputMessage="1" showErrorMessage="1" sqref="C21">
      <formula1>"Probability (per year)"</formula1>
    </dataValidation>
    <dataValidation type="list" allowBlank="1" showInputMessage="1" showErrorMessage="1" sqref="C22">
      <formula1>"Probability (per year)"</formula1>
    </dataValidation>
    <dataValidation type="list" allowBlank="1" showInputMessage="1" showErrorMessage="1" sqref="C23">
      <formula1>"Probability (per year)"</formula1>
    </dataValidation>
    <dataValidation type="list" allowBlank="1" showInputMessage="1" showErrorMessage="1" sqref="C24">
      <formula1>"Probability (per year)"</formula1>
    </dataValidation>
    <dataValidation type="list" allowBlank="1" showInputMessage="1" showErrorMessage="1" sqref="C25">
      <formula1>"Probability (per year)"</formula1>
    </dataValidation>
    <dataValidation type="list" allowBlank="1" showInputMessage="1" showErrorMessage="1" sqref="C26">
      <formula1>"Probability (per year)"</formula1>
    </dataValidation>
    <dataValidation type="list" allowBlank="1" showInputMessage="1" showErrorMessage="1" sqref="C27">
      <formula1>"Probability (per year)"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1"/>
  <sheetViews>
    <sheetView workbookViewId="0"/>
  </sheetViews>
  <sheetFormatPr defaultRowHeight="15"/>
  <cols>
    <col min="1" max="1" width="67.7109375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59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48</v>
      </c>
      <c r="D2" s="3">
        <v>0.02806122448979592</v>
      </c>
      <c r="E2" s="3">
        <v>0.1988950276243094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48</v>
      </c>
      <c r="D3" s="3">
        <v>0.03316326530612245</v>
      </c>
      <c r="E3" s="3">
        <v>0.4210526315789473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48</v>
      </c>
      <c r="D4" s="3">
        <v>0.02806122448979592</v>
      </c>
      <c r="E4" s="3">
        <v>0.1988950276243094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48</v>
      </c>
      <c r="D5" s="3">
        <v>0.03316326530612245</v>
      </c>
      <c r="E5" s="3">
        <v>0.4210526315789473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48</v>
      </c>
      <c r="D6" s="3">
        <v>0.02806122448979592</v>
      </c>
      <c r="E6" s="3">
        <v>0.1988950276243094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48</v>
      </c>
      <c r="D7" s="3">
        <v>0.03316326530612245</v>
      </c>
      <c r="E7" s="3">
        <v>0.4210526315789473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48</v>
      </c>
      <c r="D8" s="3">
        <v>0.02806122448979592</v>
      </c>
      <c r="E8" s="3">
        <v>0.1988950276243094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48</v>
      </c>
      <c r="D9" s="3">
        <v>0.03316326530612245</v>
      </c>
      <c r="E9" s="3">
        <v>0.4210526315789473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48</v>
      </c>
      <c r="D10" s="3">
        <v>0.02806122448979592</v>
      </c>
      <c r="E10" s="3">
        <v>0.1988950276243094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48</v>
      </c>
      <c r="D11" s="3">
        <v>0.03316326530612245</v>
      </c>
      <c r="E11" s="3">
        <v>0.4210526315789473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48</v>
      </c>
      <c r="D12" s="3">
        <v>0.02806122448979592</v>
      </c>
      <c r="E12" s="3">
        <v>0.1988950276243094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48</v>
      </c>
      <c r="D13" s="3">
        <v>0.03316326530612245</v>
      </c>
      <c r="E13" s="3">
        <v>0.4210526315789473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60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63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>
        <v>0.09438775510204081</v>
      </c>
      <c r="E30" s="3">
        <v>0.39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>
        <v>0.09438775510204081</v>
      </c>
      <c r="E31" s="3">
        <v>0.39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>
        <v>0.09438775510204081</v>
      </c>
      <c r="E32" s="3">
        <v>0.39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>
        <v>0.09438775510204081</v>
      </c>
      <c r="E33" s="3">
        <v>0.39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>
        <v>0.09438775510204081</v>
      </c>
      <c r="E34" s="3">
        <v>0.39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>
        <v>0.09438775510204081</v>
      </c>
      <c r="E35" s="3">
        <v>0.39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>
        <v>0.09438775510204081</v>
      </c>
      <c r="E36" s="3">
        <v>0.39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>
        <v>0.09438775510204081</v>
      </c>
      <c r="E37" s="3">
        <v>0.39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>
        <v>0.09438775510204081</v>
      </c>
      <c r="E38" s="3">
        <v>0.39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>
        <v>0.09438775510204081</v>
      </c>
      <c r="E39" s="3">
        <v>0.39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>
        <v>0.09438775510204081</v>
      </c>
      <c r="E40" s="3">
        <v>0.39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>
        <v>0.09438775510204081</v>
      </c>
      <c r="E41" s="3">
        <v>0.39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64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>
        <v>0.03061224489795919</v>
      </c>
      <c r="E44" s="3">
        <v>0.13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>
        <v>0.03061224489795919</v>
      </c>
      <c r="E45" s="3">
        <v>0.13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>
        <v>0.03061224489795919</v>
      </c>
      <c r="E46" s="3">
        <v>0.13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>
        <v>0.03061224489795919</v>
      </c>
      <c r="E47" s="3">
        <v>0.13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>
        <v>0.03061224489795919</v>
      </c>
      <c r="E48" s="3">
        <v>0.13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>
        <v>0.03061224489795919</v>
      </c>
      <c r="E49" s="3">
        <v>0.13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>
        <v>0.03061224489795919</v>
      </c>
      <c r="E50" s="3">
        <v>0.13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>
        <v>0.03061224489795919</v>
      </c>
      <c r="E51" s="3">
        <v>0.13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>
        <v>0.03061224489795919</v>
      </c>
      <c r="E52" s="3">
        <v>0.13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>
        <v>0.03061224489795919</v>
      </c>
      <c r="E53" s="3">
        <v>0.13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>
        <v>0.03061224489795919</v>
      </c>
      <c r="E54" s="3">
        <v>0.13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>
        <v>0.03061224489795919</v>
      </c>
      <c r="E55" s="3">
        <v>0.13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65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53</v>
      </c>
      <c r="D58" s="3">
        <v>0.01530612244897959</v>
      </c>
      <c r="E58" s="3">
        <v>0.05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53</v>
      </c>
      <c r="D59" s="3">
        <v>0.01530612244897959</v>
      </c>
      <c r="E59" s="3">
        <v>0.05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53</v>
      </c>
      <c r="D60" s="3">
        <v>0.01530612244897959</v>
      </c>
      <c r="E60" s="3">
        <v>0.05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53</v>
      </c>
      <c r="D61" s="3">
        <v>0.01530612244897959</v>
      </c>
      <c r="E61" s="3">
        <v>0.05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53</v>
      </c>
      <c r="D62" s="3">
        <v>0.01530612244897959</v>
      </c>
      <c r="E62" s="3">
        <v>0.05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53</v>
      </c>
      <c r="D63" s="3">
        <v>0.01530612244897959</v>
      </c>
      <c r="E63" s="3">
        <v>0.05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53</v>
      </c>
      <c r="D64" s="3">
        <v>0.01530612244897959</v>
      </c>
      <c r="E64" s="3">
        <v>0.05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53</v>
      </c>
      <c r="D65" s="3">
        <v>0.01530612244897959</v>
      </c>
      <c r="E65" s="3">
        <v>0.05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53</v>
      </c>
      <c r="D66" s="3">
        <v>0.01530612244897959</v>
      </c>
      <c r="E66" s="3">
        <v>0.05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53</v>
      </c>
      <c r="D67" s="3">
        <v>0.01530612244897959</v>
      </c>
      <c r="E67" s="3">
        <v>0.05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53</v>
      </c>
      <c r="D68" s="3">
        <v>0.01530612244897959</v>
      </c>
      <c r="E68" s="3">
        <v>0.05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53</v>
      </c>
      <c r="D69" s="3">
        <v>0.01530612244897959</v>
      </c>
      <c r="E69" s="3">
        <v>0.05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66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53</v>
      </c>
      <c r="D72" s="3">
        <v>0.05102040816326531</v>
      </c>
      <c r="E72" s="3">
        <v>0.12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53</v>
      </c>
      <c r="D73" s="3">
        <v>0.05102040816326531</v>
      </c>
      <c r="E73" s="3">
        <v>0.12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53</v>
      </c>
      <c r="D74" s="3">
        <v>0.05102040816326531</v>
      </c>
      <c r="E74" s="3">
        <v>0.12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53</v>
      </c>
      <c r="D75" s="3">
        <v>0.05102040816326531</v>
      </c>
      <c r="E75" s="3">
        <v>0.12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53</v>
      </c>
      <c r="D76" s="3">
        <v>0.05102040816326531</v>
      </c>
      <c r="E76" s="3">
        <v>0.12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53</v>
      </c>
      <c r="D77" s="3">
        <v>0.05102040816326531</v>
      </c>
      <c r="E77" s="3">
        <v>0.12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53</v>
      </c>
      <c r="D78" s="3">
        <v>0.05102040816326531</v>
      </c>
      <c r="E78" s="3">
        <v>0.12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53</v>
      </c>
      <c r="D79" s="3">
        <v>0.05102040816326531</v>
      </c>
      <c r="E79" s="3">
        <v>0.12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53</v>
      </c>
      <c r="D80" s="3">
        <v>0.05102040816326531</v>
      </c>
      <c r="E80" s="3">
        <v>0.12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53</v>
      </c>
      <c r="D81" s="3">
        <v>0.05102040816326531</v>
      </c>
      <c r="E81" s="3">
        <v>0.12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53</v>
      </c>
      <c r="D82" s="3">
        <v>0.05102040816326531</v>
      </c>
      <c r="E82" s="3">
        <v>0.12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53</v>
      </c>
      <c r="D83" s="3">
        <v>0.05102040816326531</v>
      </c>
      <c r="E83" s="3">
        <v>0.12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67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C86" t="s">
        <v>53</v>
      </c>
      <c r="D86" s="3">
        <v>0.003571428571428571</v>
      </c>
      <c r="E86" s="3">
        <v>0.055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C87" t="s">
        <v>53</v>
      </c>
      <c r="D87" s="3">
        <v>0.003571428571428571</v>
      </c>
      <c r="E87" s="3">
        <v>0.055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C88" t="s">
        <v>53</v>
      </c>
      <c r="D88" s="3">
        <v>0.003571428571428571</v>
      </c>
      <c r="E88" s="3">
        <v>0.055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C89" t="s">
        <v>53</v>
      </c>
      <c r="D89" s="3">
        <v>0.003571428571428571</v>
      </c>
      <c r="E89" s="3">
        <v>0.055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C90" t="s">
        <v>53</v>
      </c>
      <c r="D90" s="3">
        <v>0.003571428571428571</v>
      </c>
      <c r="E90" s="3">
        <v>0.055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C91" t="s">
        <v>53</v>
      </c>
      <c r="D91" s="3">
        <v>0.003571428571428571</v>
      </c>
      <c r="E91" s="3">
        <v>0.055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C92" t="s">
        <v>53</v>
      </c>
      <c r="D92" s="3">
        <v>0.003571428571428571</v>
      </c>
      <c r="E92" s="3">
        <v>0.055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C93" t="s">
        <v>53</v>
      </c>
      <c r="D93" s="3">
        <v>0.003571428571428571</v>
      </c>
      <c r="E93" s="3">
        <v>0.055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C94" t="s">
        <v>53</v>
      </c>
      <c r="D94" s="3">
        <v>0.003571428571428571</v>
      </c>
      <c r="E94" s="3">
        <v>0.055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C95" t="s">
        <v>53</v>
      </c>
      <c r="D95" s="3">
        <v>0.003571428571428571</v>
      </c>
      <c r="E95" s="3">
        <v>0.055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C96" t="s">
        <v>53</v>
      </c>
      <c r="D96" s="3">
        <v>0.003571428571428571</v>
      </c>
      <c r="E96" s="3">
        <v>0.055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C97" t="s">
        <v>53</v>
      </c>
      <c r="D97" s="3">
        <v>0.003571428571428571</v>
      </c>
      <c r="E97" s="3">
        <v>0.055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68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C100" t="s">
        <v>53</v>
      </c>
      <c r="D100" s="3"/>
      <c r="E100" s="3">
        <v>0.015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C101" t="s">
        <v>53</v>
      </c>
      <c r="D101" s="3"/>
      <c r="E101" s="3">
        <v>0.015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C102" t="s">
        <v>53</v>
      </c>
      <c r="D102" s="3"/>
      <c r="E102" s="3">
        <v>0.015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C103" t="s">
        <v>53</v>
      </c>
      <c r="D103" s="3"/>
      <c r="E103" s="3">
        <v>0.015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C104" t="s">
        <v>53</v>
      </c>
      <c r="D104" s="3"/>
      <c r="E104" s="3">
        <v>0.015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C105" t="s">
        <v>53</v>
      </c>
      <c r="D105" s="3"/>
      <c r="E105" s="3">
        <v>0.015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C106" t="s">
        <v>53</v>
      </c>
      <c r="D106" s="3"/>
      <c r="E106" s="3">
        <v>0.015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C107" t="s">
        <v>53</v>
      </c>
      <c r="D107" s="3"/>
      <c r="E107" s="3">
        <v>0.015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C108" t="s">
        <v>53</v>
      </c>
      <c r="D108" s="3"/>
      <c r="E108" s="3">
        <v>0.015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C109" t="s">
        <v>53</v>
      </c>
      <c r="D109" s="3"/>
      <c r="E109" s="3">
        <v>0.015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C110" t="s">
        <v>53</v>
      </c>
      <c r="D110" s="3"/>
      <c r="E110" s="3">
        <v>0.015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C111" t="s">
        <v>53</v>
      </c>
      <c r="D111" s="3"/>
      <c r="E111" s="3">
        <v>0.015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69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C114" t="s">
        <v>53</v>
      </c>
      <c r="D114" s="3"/>
      <c r="E114" s="3">
        <v>0.02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C115" t="s">
        <v>53</v>
      </c>
      <c r="D115" s="3"/>
      <c r="E115" s="3">
        <v>0.02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C116" t="s">
        <v>53</v>
      </c>
      <c r="D116" s="3"/>
      <c r="E116" s="3">
        <v>0.02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C117" t="s">
        <v>53</v>
      </c>
      <c r="D117" s="3"/>
      <c r="E117" s="3">
        <v>0.02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C118" t="s">
        <v>53</v>
      </c>
      <c r="D118" s="3"/>
      <c r="E118" s="3">
        <v>0.02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C119" t="s">
        <v>53</v>
      </c>
      <c r="D119" s="3"/>
      <c r="E119" s="3">
        <v>0.02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C120" t="s">
        <v>53</v>
      </c>
      <c r="D120" s="3"/>
      <c r="E120" s="3">
        <v>0.02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C121" t="s">
        <v>53</v>
      </c>
      <c r="D121" s="3"/>
      <c r="E121" s="3">
        <v>0.02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C122" t="s">
        <v>53</v>
      </c>
      <c r="D122" s="3"/>
      <c r="E122" s="3">
        <v>0.02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C123" t="s">
        <v>53</v>
      </c>
      <c r="D123" s="3"/>
      <c r="E123" s="3">
        <v>0.02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C124" t="s">
        <v>53</v>
      </c>
      <c r="D124" s="3"/>
      <c r="E124" s="3">
        <v>0.02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C125" t="s">
        <v>53</v>
      </c>
      <c r="D125" s="3"/>
      <c r="E125" s="3">
        <v>0.02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70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C128" t="s">
        <v>53</v>
      </c>
      <c r="D128" s="3">
        <v>0.02551020408163265</v>
      </c>
      <c r="E128" s="3">
        <v>0.183258146374831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C129" t="s">
        <v>53</v>
      </c>
      <c r="D129" s="3">
        <v>0.02551020408163265</v>
      </c>
      <c r="E129" s="3">
        <v>0.183258146374831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C130" t="s">
        <v>53</v>
      </c>
      <c r="D130" s="3">
        <v>0.02551020408163265</v>
      </c>
      <c r="E130" s="3">
        <v>0.183258146374831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C131" t="s">
        <v>53</v>
      </c>
      <c r="D131" s="3">
        <v>0.02551020408163265</v>
      </c>
      <c r="E131" s="3">
        <v>0.183258146374831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C132" t="s">
        <v>53</v>
      </c>
      <c r="D132" s="3">
        <v>0.02551020408163265</v>
      </c>
      <c r="E132" s="3">
        <v>0.183258146374831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C133" t="s">
        <v>53</v>
      </c>
      <c r="D133" s="3">
        <v>0.02551020408163265</v>
      </c>
      <c r="E133" s="3">
        <v>0.183258146374831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C134" t="s">
        <v>53</v>
      </c>
      <c r="D134" s="3">
        <v>0.02551020408163265</v>
      </c>
      <c r="E134" s="3">
        <v>0.183258146374831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C135" t="s">
        <v>53</v>
      </c>
      <c r="D135" s="3">
        <v>0.02551020408163265</v>
      </c>
      <c r="E135" s="3">
        <v>0.183258146374831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C136" t="s">
        <v>53</v>
      </c>
      <c r="D136" s="3">
        <v>0.02551020408163265</v>
      </c>
      <c r="E136" s="3">
        <v>0.183258146374831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C137" t="s">
        <v>53</v>
      </c>
      <c r="D137" s="3">
        <v>0.02551020408163265</v>
      </c>
      <c r="E137" s="3">
        <v>0.183258146374831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C138" t="s">
        <v>53</v>
      </c>
      <c r="D138" s="3">
        <v>0.02551020408163265</v>
      </c>
      <c r="E138" s="3">
        <v>0.183258146374831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C139" t="s">
        <v>53</v>
      </c>
      <c r="D139" s="3">
        <v>0.02551020408163265</v>
      </c>
      <c r="E139" s="3">
        <v>0.183258146374831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71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C142" t="s">
        <v>53</v>
      </c>
      <c r="D142" s="3"/>
      <c r="E142" s="3">
        <v>0.04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C143" t="s">
        <v>53</v>
      </c>
      <c r="D143" s="3"/>
      <c r="E143" s="3">
        <v>0.04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C144" t="s">
        <v>53</v>
      </c>
      <c r="D144" s="3"/>
      <c r="E144" s="3">
        <v>0.04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C145" t="s">
        <v>53</v>
      </c>
      <c r="D145" s="3"/>
      <c r="E145" s="3">
        <v>0.04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C146" t="s">
        <v>53</v>
      </c>
      <c r="D146" s="3"/>
      <c r="E146" s="3">
        <v>0.04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C147" t="s">
        <v>53</v>
      </c>
      <c r="D147" s="3"/>
      <c r="E147" s="3">
        <v>0.04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C148" t="s">
        <v>53</v>
      </c>
      <c r="D148" s="3"/>
      <c r="E148" s="3">
        <v>0.04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C149" t="s">
        <v>53</v>
      </c>
      <c r="D149" s="3"/>
      <c r="E149" s="3">
        <v>0.04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C150" t="s">
        <v>53</v>
      </c>
      <c r="D150" s="3"/>
      <c r="E150" s="3">
        <v>0.04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C151" t="s">
        <v>53</v>
      </c>
      <c r="D151" s="3"/>
      <c r="E151" s="3">
        <v>0.04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C152" t="s">
        <v>53</v>
      </c>
      <c r="D152" s="3"/>
      <c r="E152" s="3">
        <v>0.04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C153" t="s">
        <v>53</v>
      </c>
      <c r="D153" s="3"/>
      <c r="E153" s="3">
        <v>0.04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72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C156" t="s">
        <v>53</v>
      </c>
      <c r="D156" s="3"/>
      <c r="E156" s="3">
        <v>0.026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C157" t="s">
        <v>53</v>
      </c>
      <c r="D157" s="3"/>
      <c r="E157" s="3">
        <v>0.026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C158" t="s">
        <v>53</v>
      </c>
      <c r="D158" s="3"/>
      <c r="E158" s="3">
        <v>0.026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C159" t="s">
        <v>53</v>
      </c>
      <c r="D159" s="3"/>
      <c r="E159" s="3">
        <v>0.026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C160" t="s">
        <v>53</v>
      </c>
      <c r="D160" s="3"/>
      <c r="E160" s="3">
        <v>0.026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C161" t="s">
        <v>53</v>
      </c>
      <c r="D161" s="3"/>
      <c r="E161" s="3">
        <v>0.026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C162" t="s">
        <v>53</v>
      </c>
      <c r="D162" s="3"/>
      <c r="E162" s="3">
        <v>0.026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C163" t="s">
        <v>53</v>
      </c>
      <c r="D163" s="3"/>
      <c r="E163" s="3">
        <v>0.026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C164" t="s">
        <v>53</v>
      </c>
      <c r="D164" s="3"/>
      <c r="E164" s="3">
        <v>0.026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C165" t="s">
        <v>53</v>
      </c>
      <c r="D165" s="3"/>
      <c r="E165" s="3">
        <v>0.026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C166" t="s">
        <v>53</v>
      </c>
      <c r="D166" s="3"/>
      <c r="E166" s="3">
        <v>0.026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C167" t="s">
        <v>53</v>
      </c>
      <c r="D167" s="3"/>
      <c r="E167" s="3">
        <v>0.026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73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C170" t="s">
        <v>53</v>
      </c>
      <c r="D170" s="3"/>
      <c r="E170" s="3">
        <v>0.06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C171" t="s">
        <v>53</v>
      </c>
      <c r="D171" s="3"/>
      <c r="E171" s="3">
        <v>0.06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C172" t="s">
        <v>53</v>
      </c>
      <c r="D172" s="3"/>
      <c r="E172" s="3">
        <v>0.06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C173" t="s">
        <v>53</v>
      </c>
      <c r="D173" s="3"/>
      <c r="E173" s="3">
        <v>0.06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C174" t="s">
        <v>53</v>
      </c>
      <c r="D174" s="3"/>
      <c r="E174" s="3">
        <v>0.06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C175" t="s">
        <v>53</v>
      </c>
      <c r="D175" s="3"/>
      <c r="E175" s="3">
        <v>0.06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C176" t="s">
        <v>53</v>
      </c>
      <c r="D176" s="3"/>
      <c r="E176" s="3">
        <v>0.06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C177" t="s">
        <v>53</v>
      </c>
      <c r="D177" s="3"/>
      <c r="E177" s="3">
        <v>0.06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C178" t="s">
        <v>53</v>
      </c>
      <c r="D178" s="3"/>
      <c r="E178" s="3">
        <v>0.06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C179" t="s">
        <v>53</v>
      </c>
      <c r="D179" s="3"/>
      <c r="E179" s="3">
        <v>0.06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C180" t="s">
        <v>53</v>
      </c>
      <c r="D180" s="3"/>
      <c r="E180" s="3">
        <v>0.06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C181" t="s">
        <v>53</v>
      </c>
      <c r="D181" s="3"/>
      <c r="E181" s="3">
        <v>0.06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74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C184" t="s">
        <v>53</v>
      </c>
      <c r="D184" s="3"/>
      <c r="E184" s="3">
        <v>0.07000000000000001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C185" t="s">
        <v>53</v>
      </c>
      <c r="D185" s="3"/>
      <c r="E185" s="3">
        <v>0.07000000000000001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C186" t="s">
        <v>53</v>
      </c>
      <c r="D186" s="3"/>
      <c r="E186" s="3">
        <v>0.07000000000000001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C187" t="s">
        <v>53</v>
      </c>
      <c r="D187" s="3"/>
      <c r="E187" s="3">
        <v>0.07000000000000001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C188" t="s">
        <v>53</v>
      </c>
      <c r="D188" s="3"/>
      <c r="E188" s="3">
        <v>0.07000000000000001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C189" t="s">
        <v>53</v>
      </c>
      <c r="D189" s="3"/>
      <c r="E189" s="3">
        <v>0.07000000000000001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C190" t="s">
        <v>53</v>
      </c>
      <c r="D190" s="3"/>
      <c r="E190" s="3">
        <v>0.07000000000000001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C191" t="s">
        <v>53</v>
      </c>
      <c r="D191" s="3"/>
      <c r="E191" s="3">
        <v>0.07000000000000001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C192" t="s">
        <v>53</v>
      </c>
      <c r="D192" s="3"/>
      <c r="E192" s="3">
        <v>0.07000000000000001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C193" t="s">
        <v>53</v>
      </c>
      <c r="D193" s="3"/>
      <c r="E193" s="3">
        <v>0.07000000000000001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C194" t="s">
        <v>53</v>
      </c>
      <c r="D194" s="3"/>
      <c r="E194" s="3">
        <v>0.07000000000000001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C195" t="s">
        <v>53</v>
      </c>
      <c r="D195" s="3"/>
      <c r="E195" s="3">
        <v>0.07000000000000001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75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C198" t="s">
        <v>53</v>
      </c>
      <c r="D198" s="3"/>
      <c r="E198" s="3">
        <v>0.05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C199" t="s">
        <v>53</v>
      </c>
      <c r="D199" s="3"/>
      <c r="E199" s="3">
        <v>0.05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C200" t="s">
        <v>53</v>
      </c>
      <c r="D200" s="3"/>
      <c r="E200" s="3">
        <v>0.05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C201" t="s">
        <v>53</v>
      </c>
      <c r="D201" s="3"/>
      <c r="E201" s="3">
        <v>0.05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C202" t="s">
        <v>53</v>
      </c>
      <c r="D202" s="3"/>
      <c r="E202" s="3">
        <v>0.05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C203" t="s">
        <v>53</v>
      </c>
      <c r="D203" s="3"/>
      <c r="E203" s="3">
        <v>0.05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C204" t="s">
        <v>53</v>
      </c>
      <c r="D204" s="3"/>
      <c r="E204" s="3">
        <v>0.05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C205" t="s">
        <v>53</v>
      </c>
      <c r="D205" s="3"/>
      <c r="E205" s="3">
        <v>0.05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C206" t="s">
        <v>53</v>
      </c>
      <c r="D206" s="3"/>
      <c r="E206" s="3">
        <v>0.05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C207" t="s">
        <v>53</v>
      </c>
      <c r="D207" s="3"/>
      <c r="E207" s="3">
        <v>0.05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C208" t="s">
        <v>53</v>
      </c>
      <c r="D208" s="3"/>
      <c r="E208" s="3">
        <v>0.05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C209" t="s">
        <v>53</v>
      </c>
      <c r="D209" s="3"/>
      <c r="E209" s="3">
        <v>0.05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76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53</v>
      </c>
      <c r="D212" s="3"/>
      <c r="E212" s="3">
        <v>0.03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53</v>
      </c>
      <c r="D213" s="3"/>
      <c r="E213" s="3">
        <v>0.03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53</v>
      </c>
      <c r="D214" s="3"/>
      <c r="E214" s="3">
        <v>0.03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53</v>
      </c>
      <c r="D215" s="3"/>
      <c r="E215" s="3">
        <v>0.03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53</v>
      </c>
      <c r="D216" s="3"/>
      <c r="E216" s="3">
        <v>0.03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53</v>
      </c>
      <c r="D217" s="3"/>
      <c r="E217" s="3">
        <v>0.03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53</v>
      </c>
      <c r="D218" s="3"/>
      <c r="E218" s="3">
        <v>0.03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53</v>
      </c>
      <c r="D219" s="3"/>
      <c r="E219" s="3">
        <v>0.03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53</v>
      </c>
      <c r="D220" s="3"/>
      <c r="E220" s="3">
        <v>0.03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53</v>
      </c>
      <c r="D221" s="3"/>
      <c r="E221" s="3">
        <v>0.03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53</v>
      </c>
      <c r="D222" s="3"/>
      <c r="E222" s="3">
        <v>0.03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53</v>
      </c>
      <c r="D223" s="3"/>
      <c r="E223" s="3">
        <v>0.03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77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C226" t="s">
        <v>56</v>
      </c>
      <c r="D226" s="3"/>
      <c r="E226" s="3">
        <v>0.5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C227" t="s">
        <v>56</v>
      </c>
      <c r="D227" s="3"/>
      <c r="E227" s="3">
        <v>0.5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C228" t="s">
        <v>56</v>
      </c>
      <c r="D228" s="3"/>
      <c r="E228" s="3">
        <v>0.5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C229" t="s">
        <v>56</v>
      </c>
      <c r="D229" s="3"/>
      <c r="E229" s="3">
        <v>0.5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C230" t="s">
        <v>56</v>
      </c>
      <c r="D230" s="3"/>
      <c r="E230" s="3">
        <v>0.5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C231" t="s">
        <v>56</v>
      </c>
      <c r="D231" s="3"/>
      <c r="E231" s="3">
        <v>0.5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C232" t="s">
        <v>56</v>
      </c>
      <c r="D232" s="3"/>
      <c r="E232" s="3">
        <v>0.5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C233" t="s">
        <v>56</v>
      </c>
      <c r="D233" s="3"/>
      <c r="E233" s="3">
        <v>0.5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C234" t="s">
        <v>56</v>
      </c>
      <c r="D234" s="3"/>
      <c r="E234" s="3">
        <v>0.5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C235" t="s">
        <v>56</v>
      </c>
      <c r="D235" s="3"/>
      <c r="E235" s="3">
        <v>0.5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C236" t="s">
        <v>56</v>
      </c>
      <c r="D236" s="3"/>
      <c r="E236" s="3">
        <v>0.5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C237" t="s">
        <v>56</v>
      </c>
      <c r="D237" s="3"/>
      <c r="E237" s="3">
        <v>0.5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78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C240" t="s">
        <v>56</v>
      </c>
      <c r="D240" s="3"/>
      <c r="E240" s="3">
        <v>0.5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C241" t="s">
        <v>56</v>
      </c>
      <c r="D241" s="3"/>
      <c r="E241" s="3">
        <v>0.5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C242" t="s">
        <v>56</v>
      </c>
      <c r="D242" s="3"/>
      <c r="E242" s="3">
        <v>0.5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C243" t="s">
        <v>56</v>
      </c>
      <c r="D243" s="3"/>
      <c r="E243" s="3">
        <v>0.5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C244" t="s">
        <v>56</v>
      </c>
      <c r="D244" s="3"/>
      <c r="E244" s="3">
        <v>0.5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C245" t="s">
        <v>56</v>
      </c>
      <c r="D245" s="3"/>
      <c r="E245" s="3">
        <v>0.5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C246" t="s">
        <v>56</v>
      </c>
      <c r="D246" s="3"/>
      <c r="E246" s="3">
        <v>0.5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C247" t="s">
        <v>56</v>
      </c>
      <c r="D247" s="3"/>
      <c r="E247" s="3">
        <v>0.5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C248" t="s">
        <v>56</v>
      </c>
      <c r="D248" s="3"/>
      <c r="E248" s="3">
        <v>0.5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C249" t="s">
        <v>56</v>
      </c>
      <c r="D249" s="3"/>
      <c r="E249" s="3">
        <v>0.5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C250" t="s">
        <v>56</v>
      </c>
      <c r="D250" s="3"/>
      <c r="E250" s="3">
        <v>0.5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C251" t="s">
        <v>56</v>
      </c>
      <c r="D251" s="3"/>
      <c r="E251" s="3">
        <v>0.5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14">
    <cfRule type="expression" dxfId="0" priority="193">
      <formula>COUNTIF(G114:BE114,"&lt;&gt;" &amp; "")&gt;0</formula>
    </cfRule>
    <cfRule type="expression" dxfId="1" priority="194">
      <formula>AND(COUNTIF(G114:BE114,"&lt;&gt;" &amp; "")&gt;0,NOT(ISBLANK(E114)))</formula>
    </cfRule>
  </conditionalFormatting>
  <conditionalFormatting sqref="E115">
    <cfRule type="expression" dxfId="0" priority="195">
      <formula>COUNTIF(G115:BE115,"&lt;&gt;" &amp; "")&gt;0</formula>
    </cfRule>
    <cfRule type="expression" dxfId="1" priority="196">
      <formula>AND(COUNTIF(G115:BE115,"&lt;&gt;" &amp; "")&gt;0,NOT(ISBLANK(E115)))</formula>
    </cfRule>
  </conditionalFormatting>
  <conditionalFormatting sqref="E116">
    <cfRule type="expression" dxfId="0" priority="197">
      <formula>COUNTIF(G116:BE116,"&lt;&gt;" &amp; "")&gt;0</formula>
    </cfRule>
    <cfRule type="expression" dxfId="1" priority="198">
      <formula>AND(COUNTIF(G116:BE116,"&lt;&gt;" &amp; "")&gt;0,NOT(ISBLANK(E116)))</formula>
    </cfRule>
  </conditionalFormatting>
  <conditionalFormatting sqref="E117">
    <cfRule type="expression" dxfId="0" priority="199">
      <formula>COUNTIF(G117:BE117,"&lt;&gt;" &amp; "")&gt;0</formula>
    </cfRule>
    <cfRule type="expression" dxfId="1" priority="200">
      <formula>AND(COUNTIF(G117:BE117,"&lt;&gt;" &amp; "")&gt;0,NOT(ISBLANK(E117)))</formula>
    </cfRule>
  </conditionalFormatting>
  <conditionalFormatting sqref="E118">
    <cfRule type="expression" dxfId="0" priority="201">
      <formula>COUNTIF(G118:BE118,"&lt;&gt;" &amp; "")&gt;0</formula>
    </cfRule>
    <cfRule type="expression" dxfId="1" priority="202">
      <formula>AND(COUNTIF(G118:BE118,"&lt;&gt;" &amp; "")&gt;0,NOT(ISBLANK(E118)))</formula>
    </cfRule>
  </conditionalFormatting>
  <conditionalFormatting sqref="E119">
    <cfRule type="expression" dxfId="0" priority="203">
      <formula>COUNTIF(G119:BE119,"&lt;&gt;" &amp; "")&gt;0</formula>
    </cfRule>
    <cfRule type="expression" dxfId="1" priority="204">
      <formula>AND(COUNTIF(G119:BE119,"&lt;&gt;" &amp; "")&gt;0,NOT(ISBLANK(E119)))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20">
    <cfRule type="expression" dxfId="0" priority="205">
      <formula>COUNTIF(G120:BE120,"&lt;&gt;" &amp; "")&gt;0</formula>
    </cfRule>
    <cfRule type="expression" dxfId="1" priority="206">
      <formula>AND(COUNTIF(G120:BE120,"&lt;&gt;" &amp; "")&gt;0,NOT(ISBLANK(E120)))</formula>
    </cfRule>
  </conditionalFormatting>
  <conditionalFormatting sqref="E121">
    <cfRule type="expression" dxfId="0" priority="207">
      <formula>COUNTIF(G121:BE121,"&lt;&gt;" &amp; "")&gt;0</formula>
    </cfRule>
    <cfRule type="expression" dxfId="1" priority="208">
      <formula>AND(COUNTIF(G121:BE121,"&lt;&gt;" &amp; "")&gt;0,NOT(ISBLANK(E121)))</formula>
    </cfRule>
  </conditionalFormatting>
  <conditionalFormatting sqref="E122">
    <cfRule type="expression" dxfId="0" priority="209">
      <formula>COUNTIF(G122:BE122,"&lt;&gt;" &amp; "")&gt;0</formula>
    </cfRule>
    <cfRule type="expression" dxfId="1" priority="210">
      <formula>AND(COUNTIF(G122:BE122,"&lt;&gt;" &amp; "")&gt;0,NOT(ISBLANK(E122)))</formula>
    </cfRule>
  </conditionalFormatting>
  <conditionalFormatting sqref="E123">
    <cfRule type="expression" dxfId="0" priority="211">
      <formula>COUNTIF(G123:BE123,"&lt;&gt;" &amp; "")&gt;0</formula>
    </cfRule>
    <cfRule type="expression" dxfId="1" priority="212">
      <formula>AND(COUNTIF(G123:BE123,"&lt;&gt;" &amp; "")&gt;0,NOT(ISBLANK(E123)))</formula>
    </cfRule>
  </conditionalFormatting>
  <conditionalFormatting sqref="E124">
    <cfRule type="expression" dxfId="0" priority="213">
      <formula>COUNTIF(G124:BE124,"&lt;&gt;" &amp; "")&gt;0</formula>
    </cfRule>
    <cfRule type="expression" dxfId="1" priority="214">
      <formula>AND(COUNTIF(G124:BE124,"&lt;&gt;" &amp; "")&gt;0,NOT(ISBLANK(E124)))</formula>
    </cfRule>
  </conditionalFormatting>
  <conditionalFormatting sqref="E125">
    <cfRule type="expression" dxfId="0" priority="215">
      <formula>COUNTIF(G125:BE125,"&lt;&gt;" &amp; "")&gt;0</formula>
    </cfRule>
    <cfRule type="expression" dxfId="1" priority="216">
      <formula>AND(COUNTIF(G125:BE125,"&lt;&gt;" &amp; "")&gt;0,NOT(ISBLANK(E125)))</formula>
    </cfRule>
  </conditionalFormatting>
  <conditionalFormatting sqref="E128">
    <cfRule type="expression" dxfId="0" priority="217">
      <formula>COUNTIF(G128:BE128,"&lt;&gt;" &amp; "")&gt;0</formula>
    </cfRule>
    <cfRule type="expression" dxfId="1" priority="218">
      <formula>AND(COUNTIF(G128:BE128,"&lt;&gt;" &amp; "")&gt;0,NOT(ISBLANK(E128)))</formula>
    </cfRule>
  </conditionalFormatting>
  <conditionalFormatting sqref="E129">
    <cfRule type="expression" dxfId="0" priority="219">
      <formula>COUNTIF(G129:BE129,"&lt;&gt;" &amp; "")&gt;0</formula>
    </cfRule>
    <cfRule type="expression" dxfId="1" priority="220">
      <formula>AND(COUNTIF(G129:BE129,"&lt;&gt;" &amp; "")&gt;0,NOT(ISBLANK(E129)))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30">
    <cfRule type="expression" dxfId="0" priority="221">
      <formula>COUNTIF(G130:BE130,"&lt;&gt;" &amp; "")&gt;0</formula>
    </cfRule>
    <cfRule type="expression" dxfId="1" priority="222">
      <formula>AND(COUNTIF(G130:BE130,"&lt;&gt;" &amp; "")&gt;0,NOT(ISBLANK(E130)))</formula>
    </cfRule>
  </conditionalFormatting>
  <conditionalFormatting sqref="E131">
    <cfRule type="expression" dxfId="0" priority="223">
      <formula>COUNTIF(G131:BE131,"&lt;&gt;" &amp; "")&gt;0</formula>
    </cfRule>
    <cfRule type="expression" dxfId="1" priority="224">
      <formula>AND(COUNTIF(G131:BE131,"&lt;&gt;" &amp; "")&gt;0,NOT(ISBLANK(E131)))</formula>
    </cfRule>
  </conditionalFormatting>
  <conditionalFormatting sqref="E132">
    <cfRule type="expression" dxfId="0" priority="225">
      <formula>COUNTIF(G132:BE132,"&lt;&gt;" &amp; "")&gt;0</formula>
    </cfRule>
    <cfRule type="expression" dxfId="1" priority="226">
      <formula>AND(COUNTIF(G132:BE132,"&lt;&gt;" &amp; "")&gt;0,NOT(ISBLANK(E132)))</formula>
    </cfRule>
  </conditionalFormatting>
  <conditionalFormatting sqref="E133">
    <cfRule type="expression" dxfId="0" priority="227">
      <formula>COUNTIF(G133:BE133,"&lt;&gt;" &amp; "")&gt;0</formula>
    </cfRule>
    <cfRule type="expression" dxfId="1" priority="228">
      <formula>AND(COUNTIF(G133:BE133,"&lt;&gt;" &amp; "")&gt;0,NOT(ISBLANK(E133)))</formula>
    </cfRule>
  </conditionalFormatting>
  <conditionalFormatting sqref="E134">
    <cfRule type="expression" dxfId="0" priority="229">
      <formula>COUNTIF(G134:BE134,"&lt;&gt;" &amp; "")&gt;0</formula>
    </cfRule>
    <cfRule type="expression" dxfId="1" priority="230">
      <formula>AND(COUNTIF(G134:BE134,"&lt;&gt;" &amp; "")&gt;0,NOT(ISBLANK(E134)))</formula>
    </cfRule>
  </conditionalFormatting>
  <conditionalFormatting sqref="E135">
    <cfRule type="expression" dxfId="0" priority="231">
      <formula>COUNTIF(G135:BE135,"&lt;&gt;" &amp; "")&gt;0</formula>
    </cfRule>
    <cfRule type="expression" dxfId="1" priority="232">
      <formula>AND(COUNTIF(G135:BE135,"&lt;&gt;" &amp; "")&gt;0,NOT(ISBLANK(E135)))</formula>
    </cfRule>
  </conditionalFormatting>
  <conditionalFormatting sqref="E136">
    <cfRule type="expression" dxfId="0" priority="233">
      <formula>COUNTIF(G136:BE136,"&lt;&gt;" &amp; "")&gt;0</formula>
    </cfRule>
    <cfRule type="expression" dxfId="1" priority="234">
      <formula>AND(COUNTIF(G136:BE136,"&lt;&gt;" &amp; "")&gt;0,NOT(ISBLANK(E136)))</formula>
    </cfRule>
  </conditionalFormatting>
  <conditionalFormatting sqref="E137">
    <cfRule type="expression" dxfId="0" priority="235">
      <formula>COUNTIF(G137:BE137,"&lt;&gt;" &amp; "")&gt;0</formula>
    </cfRule>
    <cfRule type="expression" dxfId="1" priority="236">
      <formula>AND(COUNTIF(G137:BE137,"&lt;&gt;" &amp; "")&gt;0,NOT(ISBLANK(E137)))</formula>
    </cfRule>
  </conditionalFormatting>
  <conditionalFormatting sqref="E138">
    <cfRule type="expression" dxfId="0" priority="237">
      <formula>COUNTIF(G138:BE138,"&lt;&gt;" &amp; "")&gt;0</formula>
    </cfRule>
    <cfRule type="expression" dxfId="1" priority="238">
      <formula>AND(COUNTIF(G138:BE138,"&lt;&gt;" &amp; "")&gt;0,NOT(ISBLANK(E138)))</formula>
    </cfRule>
  </conditionalFormatting>
  <conditionalFormatting sqref="E139">
    <cfRule type="expression" dxfId="0" priority="239">
      <formula>COUNTIF(G139:BE139,"&lt;&gt;" &amp; "")&gt;0</formula>
    </cfRule>
    <cfRule type="expression" dxfId="1" priority="240">
      <formula>AND(COUNTIF(G139:BE139,"&lt;&gt;" &amp; "")&gt;0,NOT(ISBLANK(E139)))</formula>
    </cfRule>
  </conditionalFormatting>
  <conditionalFormatting sqref="E142">
    <cfRule type="expression" dxfId="0" priority="241">
      <formula>COUNTIF(G142:BE142,"&lt;&gt;" &amp; "")&gt;0</formula>
    </cfRule>
    <cfRule type="expression" dxfId="1" priority="242">
      <formula>AND(COUNTIF(G142:BE142,"&lt;&gt;" &amp; "")&gt;0,NOT(ISBLANK(E142)))</formula>
    </cfRule>
  </conditionalFormatting>
  <conditionalFormatting sqref="E143">
    <cfRule type="expression" dxfId="0" priority="243">
      <formula>COUNTIF(G143:BE143,"&lt;&gt;" &amp; "")&gt;0</formula>
    </cfRule>
    <cfRule type="expression" dxfId="1" priority="244">
      <formula>AND(COUNTIF(G143:BE143,"&lt;&gt;" &amp; "")&gt;0,NOT(ISBLANK(E143)))</formula>
    </cfRule>
  </conditionalFormatting>
  <conditionalFormatting sqref="E144">
    <cfRule type="expression" dxfId="0" priority="245">
      <formula>COUNTIF(G144:BE144,"&lt;&gt;" &amp; "")&gt;0</formula>
    </cfRule>
    <cfRule type="expression" dxfId="1" priority="246">
      <formula>AND(COUNTIF(G144:BE144,"&lt;&gt;" &amp; "")&gt;0,NOT(ISBLANK(E144)))</formula>
    </cfRule>
  </conditionalFormatting>
  <conditionalFormatting sqref="E145">
    <cfRule type="expression" dxfId="0" priority="247">
      <formula>COUNTIF(G145:BE145,"&lt;&gt;" &amp; "")&gt;0</formula>
    </cfRule>
    <cfRule type="expression" dxfId="1" priority="248">
      <formula>AND(COUNTIF(G145:BE145,"&lt;&gt;" &amp; "")&gt;0,NOT(ISBLANK(E145)))</formula>
    </cfRule>
  </conditionalFormatting>
  <conditionalFormatting sqref="E146">
    <cfRule type="expression" dxfId="0" priority="249">
      <formula>COUNTIF(G146:BE146,"&lt;&gt;" &amp; "")&gt;0</formula>
    </cfRule>
    <cfRule type="expression" dxfId="1" priority="250">
      <formula>AND(COUNTIF(G146:BE146,"&lt;&gt;" &amp; "")&gt;0,NOT(ISBLANK(E146)))</formula>
    </cfRule>
  </conditionalFormatting>
  <conditionalFormatting sqref="E147">
    <cfRule type="expression" dxfId="0" priority="251">
      <formula>COUNTIF(G147:BE147,"&lt;&gt;" &amp; "")&gt;0</formula>
    </cfRule>
    <cfRule type="expression" dxfId="1" priority="252">
      <formula>AND(COUNTIF(G147:BE147,"&lt;&gt;" &amp; "")&gt;0,NOT(ISBLANK(E147)))</formula>
    </cfRule>
  </conditionalFormatting>
  <conditionalFormatting sqref="E148">
    <cfRule type="expression" dxfId="0" priority="253">
      <formula>COUNTIF(G148:BE148,"&lt;&gt;" &amp; "")&gt;0</formula>
    </cfRule>
    <cfRule type="expression" dxfId="1" priority="254">
      <formula>AND(COUNTIF(G148:BE148,"&lt;&gt;" &amp; "")&gt;0,NOT(ISBLANK(E148)))</formula>
    </cfRule>
  </conditionalFormatting>
  <conditionalFormatting sqref="E149">
    <cfRule type="expression" dxfId="0" priority="255">
      <formula>COUNTIF(G149:BE149,"&lt;&gt;" &amp; "")&gt;0</formula>
    </cfRule>
    <cfRule type="expression" dxfId="1" priority="256">
      <formula>AND(COUNTIF(G149:BE149,"&lt;&gt;" &amp; "")&gt;0,NOT(ISBLANK(E149)))</formula>
    </cfRule>
  </conditionalFormatting>
  <conditionalFormatting sqref="E150">
    <cfRule type="expression" dxfId="0" priority="257">
      <formula>COUNTIF(G150:BE150,"&lt;&gt;" &amp; "")&gt;0</formula>
    </cfRule>
    <cfRule type="expression" dxfId="1" priority="258">
      <formula>AND(COUNTIF(G150:BE150,"&lt;&gt;" &amp; "")&gt;0,NOT(ISBLANK(E150)))</formula>
    </cfRule>
  </conditionalFormatting>
  <conditionalFormatting sqref="E151">
    <cfRule type="expression" dxfId="0" priority="259">
      <formula>COUNTIF(G151:BE151,"&lt;&gt;" &amp; "")&gt;0</formula>
    </cfRule>
    <cfRule type="expression" dxfId="1" priority="260">
      <formula>AND(COUNTIF(G151:BE151,"&lt;&gt;" &amp; "")&gt;0,NOT(ISBLANK(E151)))</formula>
    </cfRule>
  </conditionalFormatting>
  <conditionalFormatting sqref="E152">
    <cfRule type="expression" dxfId="0" priority="261">
      <formula>COUNTIF(G152:BE152,"&lt;&gt;" &amp; "")&gt;0</formula>
    </cfRule>
    <cfRule type="expression" dxfId="1" priority="262">
      <formula>AND(COUNTIF(G152:BE152,"&lt;&gt;" &amp; "")&gt;0,NOT(ISBLANK(E152)))</formula>
    </cfRule>
  </conditionalFormatting>
  <conditionalFormatting sqref="E153">
    <cfRule type="expression" dxfId="0" priority="263">
      <formula>COUNTIF(G153:BE153,"&lt;&gt;" &amp; "")&gt;0</formula>
    </cfRule>
    <cfRule type="expression" dxfId="1" priority="264">
      <formula>AND(COUNTIF(G153:BE153,"&lt;&gt;" &amp; "")&gt;0,NOT(ISBLANK(E153)))</formula>
    </cfRule>
  </conditionalFormatting>
  <conditionalFormatting sqref="E156">
    <cfRule type="expression" dxfId="0" priority="265">
      <formula>COUNTIF(G156:BE156,"&lt;&gt;" &amp; "")&gt;0</formula>
    </cfRule>
    <cfRule type="expression" dxfId="1" priority="266">
      <formula>AND(COUNTIF(G156:BE156,"&lt;&gt;" &amp; "")&gt;0,NOT(ISBLANK(E156)))</formula>
    </cfRule>
  </conditionalFormatting>
  <conditionalFormatting sqref="E157">
    <cfRule type="expression" dxfId="0" priority="267">
      <formula>COUNTIF(G157:BE157,"&lt;&gt;" &amp; "")&gt;0</formula>
    </cfRule>
    <cfRule type="expression" dxfId="1" priority="268">
      <formula>AND(COUNTIF(G157:BE157,"&lt;&gt;" &amp; "")&gt;0,NOT(ISBLANK(E157)))</formula>
    </cfRule>
  </conditionalFormatting>
  <conditionalFormatting sqref="E158">
    <cfRule type="expression" dxfId="0" priority="269">
      <formula>COUNTIF(G158:BE158,"&lt;&gt;" &amp; "")&gt;0</formula>
    </cfRule>
    <cfRule type="expression" dxfId="1" priority="270">
      <formula>AND(COUNTIF(G158:BE158,"&lt;&gt;" &amp; "")&gt;0,NOT(ISBLANK(E158)))</formula>
    </cfRule>
  </conditionalFormatting>
  <conditionalFormatting sqref="E159">
    <cfRule type="expression" dxfId="0" priority="271">
      <formula>COUNTIF(G159:BE159,"&lt;&gt;" &amp; "")&gt;0</formula>
    </cfRule>
    <cfRule type="expression" dxfId="1" priority="272">
      <formula>AND(COUNTIF(G159:BE159,"&lt;&gt;" &amp; "")&gt;0,NOT(ISBLANK(E159)))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60">
    <cfRule type="expression" dxfId="0" priority="273">
      <formula>COUNTIF(G160:BE160,"&lt;&gt;" &amp; "")&gt;0</formula>
    </cfRule>
    <cfRule type="expression" dxfId="1" priority="274">
      <formula>AND(COUNTIF(G160:BE160,"&lt;&gt;" &amp; "")&gt;0,NOT(ISBLANK(E160)))</formula>
    </cfRule>
  </conditionalFormatting>
  <conditionalFormatting sqref="E161">
    <cfRule type="expression" dxfId="0" priority="275">
      <formula>COUNTIF(G161:BE161,"&lt;&gt;" &amp; "")&gt;0</formula>
    </cfRule>
    <cfRule type="expression" dxfId="1" priority="276">
      <formula>AND(COUNTIF(G161:BE161,"&lt;&gt;" &amp; "")&gt;0,NOT(ISBLANK(E161)))</formula>
    </cfRule>
  </conditionalFormatting>
  <conditionalFormatting sqref="E162">
    <cfRule type="expression" dxfId="0" priority="277">
      <formula>COUNTIF(G162:BE162,"&lt;&gt;" &amp; "")&gt;0</formula>
    </cfRule>
    <cfRule type="expression" dxfId="1" priority="278">
      <formula>AND(COUNTIF(G162:BE162,"&lt;&gt;" &amp; "")&gt;0,NOT(ISBLANK(E162)))</formula>
    </cfRule>
  </conditionalFormatting>
  <conditionalFormatting sqref="E163">
    <cfRule type="expression" dxfId="0" priority="279">
      <formula>COUNTIF(G163:BE163,"&lt;&gt;" &amp; "")&gt;0</formula>
    </cfRule>
    <cfRule type="expression" dxfId="1" priority="280">
      <formula>AND(COUNTIF(G163:BE163,"&lt;&gt;" &amp; "")&gt;0,NOT(ISBLANK(E163)))</formula>
    </cfRule>
  </conditionalFormatting>
  <conditionalFormatting sqref="E164">
    <cfRule type="expression" dxfId="0" priority="281">
      <formula>COUNTIF(G164:BE164,"&lt;&gt;" &amp; "")&gt;0</formula>
    </cfRule>
    <cfRule type="expression" dxfId="1" priority="282">
      <formula>AND(COUNTIF(G164:BE164,"&lt;&gt;" &amp; "")&gt;0,NOT(ISBLANK(E164)))</formula>
    </cfRule>
  </conditionalFormatting>
  <conditionalFormatting sqref="E165">
    <cfRule type="expression" dxfId="0" priority="283">
      <formula>COUNTIF(G165:BE165,"&lt;&gt;" &amp; "")&gt;0</formula>
    </cfRule>
    <cfRule type="expression" dxfId="1" priority="284">
      <formula>AND(COUNTIF(G165:BE165,"&lt;&gt;" &amp; "")&gt;0,NOT(ISBLANK(E165)))</formula>
    </cfRule>
  </conditionalFormatting>
  <conditionalFormatting sqref="E166">
    <cfRule type="expression" dxfId="0" priority="285">
      <formula>COUNTIF(G166:BE166,"&lt;&gt;" &amp; "")&gt;0</formula>
    </cfRule>
    <cfRule type="expression" dxfId="1" priority="286">
      <formula>AND(COUNTIF(G166:BE166,"&lt;&gt;" &amp; "")&gt;0,NOT(ISBLANK(E166)))</formula>
    </cfRule>
  </conditionalFormatting>
  <conditionalFormatting sqref="E167">
    <cfRule type="expression" dxfId="0" priority="287">
      <formula>COUNTIF(G167:BE167,"&lt;&gt;" &amp; "")&gt;0</formula>
    </cfRule>
    <cfRule type="expression" dxfId="1" priority="288">
      <formula>AND(COUNTIF(G167:BE167,"&lt;&gt;" &amp; "")&gt;0,NOT(ISBLANK(E167)))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70">
    <cfRule type="expression" dxfId="0" priority="289">
      <formula>COUNTIF(G170:BE170,"&lt;&gt;" &amp; "")&gt;0</formula>
    </cfRule>
    <cfRule type="expression" dxfId="1" priority="290">
      <formula>AND(COUNTIF(G170:BE170,"&lt;&gt;" &amp; "")&gt;0,NOT(ISBLANK(E170)))</formula>
    </cfRule>
  </conditionalFormatting>
  <conditionalFormatting sqref="E171">
    <cfRule type="expression" dxfId="0" priority="291">
      <formula>COUNTIF(G171:BE171,"&lt;&gt;" &amp; "")&gt;0</formula>
    </cfRule>
    <cfRule type="expression" dxfId="1" priority="292">
      <formula>AND(COUNTIF(G171:BE171,"&lt;&gt;" &amp; "")&gt;0,NOT(ISBLANK(E171)))</formula>
    </cfRule>
  </conditionalFormatting>
  <conditionalFormatting sqref="E172">
    <cfRule type="expression" dxfId="0" priority="293">
      <formula>COUNTIF(G172:BE172,"&lt;&gt;" &amp; "")&gt;0</formula>
    </cfRule>
    <cfRule type="expression" dxfId="1" priority="294">
      <formula>AND(COUNTIF(G172:BE172,"&lt;&gt;" &amp; "")&gt;0,NOT(ISBLANK(E172)))</formula>
    </cfRule>
  </conditionalFormatting>
  <conditionalFormatting sqref="E173">
    <cfRule type="expression" dxfId="0" priority="295">
      <formula>COUNTIF(G173:BE173,"&lt;&gt;" &amp; "")&gt;0</formula>
    </cfRule>
    <cfRule type="expression" dxfId="1" priority="296">
      <formula>AND(COUNTIF(G173:BE173,"&lt;&gt;" &amp; "")&gt;0,NOT(ISBLANK(E173)))</formula>
    </cfRule>
  </conditionalFormatting>
  <conditionalFormatting sqref="E174">
    <cfRule type="expression" dxfId="0" priority="297">
      <formula>COUNTIF(G174:BE174,"&lt;&gt;" &amp; "")&gt;0</formula>
    </cfRule>
    <cfRule type="expression" dxfId="1" priority="298">
      <formula>AND(COUNTIF(G174:BE174,"&lt;&gt;" &amp; "")&gt;0,NOT(ISBLANK(E174)))</formula>
    </cfRule>
  </conditionalFormatting>
  <conditionalFormatting sqref="E175">
    <cfRule type="expression" dxfId="0" priority="299">
      <formula>COUNTIF(G175:BE175,"&lt;&gt;" &amp; "")&gt;0</formula>
    </cfRule>
    <cfRule type="expression" dxfId="1" priority="300">
      <formula>AND(COUNTIF(G175:BE175,"&lt;&gt;" &amp; "")&gt;0,NOT(ISBLANK(E175)))</formula>
    </cfRule>
  </conditionalFormatting>
  <conditionalFormatting sqref="E176">
    <cfRule type="expression" dxfId="0" priority="301">
      <formula>COUNTIF(G176:BE176,"&lt;&gt;" &amp; "")&gt;0</formula>
    </cfRule>
    <cfRule type="expression" dxfId="1" priority="302">
      <formula>AND(COUNTIF(G176:BE176,"&lt;&gt;" &amp; "")&gt;0,NOT(ISBLANK(E176)))</formula>
    </cfRule>
  </conditionalFormatting>
  <conditionalFormatting sqref="E177">
    <cfRule type="expression" dxfId="0" priority="303">
      <formula>COUNTIF(G177:BE177,"&lt;&gt;" &amp; "")&gt;0</formula>
    </cfRule>
    <cfRule type="expression" dxfId="1" priority="304">
      <formula>AND(COUNTIF(G177:BE177,"&lt;&gt;" &amp; "")&gt;0,NOT(ISBLANK(E177)))</formula>
    </cfRule>
  </conditionalFormatting>
  <conditionalFormatting sqref="E178">
    <cfRule type="expression" dxfId="0" priority="305">
      <formula>COUNTIF(G178:BE178,"&lt;&gt;" &amp; "")&gt;0</formula>
    </cfRule>
    <cfRule type="expression" dxfId="1" priority="306">
      <formula>AND(COUNTIF(G178:BE178,"&lt;&gt;" &amp; "")&gt;0,NOT(ISBLANK(E178)))</formula>
    </cfRule>
  </conditionalFormatting>
  <conditionalFormatting sqref="E179">
    <cfRule type="expression" dxfId="0" priority="307">
      <formula>COUNTIF(G179:BE179,"&lt;&gt;" &amp; "")&gt;0</formula>
    </cfRule>
    <cfRule type="expression" dxfId="1" priority="308">
      <formula>AND(COUNTIF(G179:BE179,"&lt;&gt;" &amp; "")&gt;0,NOT(ISBLANK(E179)))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80">
    <cfRule type="expression" dxfId="0" priority="309">
      <formula>COUNTIF(G180:BE180,"&lt;&gt;" &amp; "")&gt;0</formula>
    </cfRule>
    <cfRule type="expression" dxfId="1" priority="310">
      <formula>AND(COUNTIF(G180:BE180,"&lt;&gt;" &amp; "")&gt;0,NOT(ISBLANK(E180)))</formula>
    </cfRule>
  </conditionalFormatting>
  <conditionalFormatting sqref="E181">
    <cfRule type="expression" dxfId="0" priority="311">
      <formula>COUNTIF(G181:BE181,"&lt;&gt;" &amp; "")&gt;0</formula>
    </cfRule>
    <cfRule type="expression" dxfId="1" priority="312">
      <formula>AND(COUNTIF(G181:BE181,"&lt;&gt;" &amp; "")&gt;0,NOT(ISBLANK(E181)))</formula>
    </cfRule>
  </conditionalFormatting>
  <conditionalFormatting sqref="E184">
    <cfRule type="expression" dxfId="0" priority="313">
      <formula>COUNTIF(G184:BE184,"&lt;&gt;" &amp; "")&gt;0</formula>
    </cfRule>
    <cfRule type="expression" dxfId="1" priority="314">
      <formula>AND(COUNTIF(G184:BE184,"&lt;&gt;" &amp; "")&gt;0,NOT(ISBLANK(E184)))</formula>
    </cfRule>
  </conditionalFormatting>
  <conditionalFormatting sqref="E185">
    <cfRule type="expression" dxfId="0" priority="315">
      <formula>COUNTIF(G185:BE185,"&lt;&gt;" &amp; "")&gt;0</formula>
    </cfRule>
    <cfRule type="expression" dxfId="1" priority="316">
      <formula>AND(COUNTIF(G185:BE185,"&lt;&gt;" &amp; "")&gt;0,NOT(ISBLANK(E185)))</formula>
    </cfRule>
  </conditionalFormatting>
  <conditionalFormatting sqref="E186">
    <cfRule type="expression" dxfId="0" priority="317">
      <formula>COUNTIF(G186:BE186,"&lt;&gt;" &amp; "")&gt;0</formula>
    </cfRule>
    <cfRule type="expression" dxfId="1" priority="318">
      <formula>AND(COUNTIF(G186:BE186,"&lt;&gt;" &amp; "")&gt;0,NOT(ISBLANK(E186)))</formula>
    </cfRule>
  </conditionalFormatting>
  <conditionalFormatting sqref="E187">
    <cfRule type="expression" dxfId="0" priority="319">
      <formula>COUNTIF(G187:BE187,"&lt;&gt;" &amp; "")&gt;0</formula>
    </cfRule>
    <cfRule type="expression" dxfId="1" priority="320">
      <formula>AND(COUNTIF(G187:BE187,"&lt;&gt;" &amp; "")&gt;0,NOT(ISBLANK(E187)))</formula>
    </cfRule>
  </conditionalFormatting>
  <conditionalFormatting sqref="E188">
    <cfRule type="expression" dxfId="0" priority="321">
      <formula>COUNTIF(G188:BE188,"&lt;&gt;" &amp; "")&gt;0</formula>
    </cfRule>
    <cfRule type="expression" dxfId="1" priority="322">
      <formula>AND(COUNTIF(G188:BE188,"&lt;&gt;" &amp; "")&gt;0,NOT(ISBLANK(E188)))</formula>
    </cfRule>
  </conditionalFormatting>
  <conditionalFormatting sqref="E189">
    <cfRule type="expression" dxfId="0" priority="323">
      <formula>COUNTIF(G189:BE189,"&lt;&gt;" &amp; "")&gt;0</formula>
    </cfRule>
    <cfRule type="expression" dxfId="1" priority="324">
      <formula>AND(COUNTIF(G189:BE189,"&lt;&gt;" &amp; "")&gt;0,NOT(ISBLANK(E189)))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190">
    <cfRule type="expression" dxfId="0" priority="325">
      <formula>COUNTIF(G190:BE190,"&lt;&gt;" &amp; "")&gt;0</formula>
    </cfRule>
    <cfRule type="expression" dxfId="1" priority="326">
      <formula>AND(COUNTIF(G190:BE190,"&lt;&gt;" &amp; "")&gt;0,NOT(ISBLANK(E190)))</formula>
    </cfRule>
  </conditionalFormatting>
  <conditionalFormatting sqref="E191">
    <cfRule type="expression" dxfId="0" priority="327">
      <formula>COUNTIF(G191:BE191,"&lt;&gt;" &amp; "")&gt;0</formula>
    </cfRule>
    <cfRule type="expression" dxfId="1" priority="328">
      <formula>AND(COUNTIF(G191:BE191,"&lt;&gt;" &amp; "")&gt;0,NOT(ISBLANK(E191)))</formula>
    </cfRule>
  </conditionalFormatting>
  <conditionalFormatting sqref="E192">
    <cfRule type="expression" dxfId="0" priority="329">
      <formula>COUNTIF(G192:BE192,"&lt;&gt;" &amp; "")&gt;0</formula>
    </cfRule>
    <cfRule type="expression" dxfId="1" priority="330">
      <formula>AND(COUNTIF(G192:BE192,"&lt;&gt;" &amp; "")&gt;0,NOT(ISBLANK(E192)))</formula>
    </cfRule>
  </conditionalFormatting>
  <conditionalFormatting sqref="E193">
    <cfRule type="expression" dxfId="0" priority="331">
      <formula>COUNTIF(G193:BE193,"&lt;&gt;" &amp; "")&gt;0</formula>
    </cfRule>
    <cfRule type="expression" dxfId="1" priority="332">
      <formula>AND(COUNTIF(G193:BE193,"&lt;&gt;" &amp; "")&gt;0,NOT(ISBLANK(E193)))</formula>
    </cfRule>
  </conditionalFormatting>
  <conditionalFormatting sqref="E194">
    <cfRule type="expression" dxfId="0" priority="333">
      <formula>COUNTIF(G194:BE194,"&lt;&gt;" &amp; "")&gt;0</formula>
    </cfRule>
    <cfRule type="expression" dxfId="1" priority="334">
      <formula>AND(COUNTIF(G194:BE194,"&lt;&gt;" &amp; "")&gt;0,NOT(ISBLANK(E194)))</formula>
    </cfRule>
  </conditionalFormatting>
  <conditionalFormatting sqref="E195">
    <cfRule type="expression" dxfId="0" priority="335">
      <formula>COUNTIF(G195:BE195,"&lt;&gt;" &amp; "")&gt;0</formula>
    </cfRule>
    <cfRule type="expression" dxfId="1" priority="336">
      <formula>AND(COUNTIF(G195:BE195,"&lt;&gt;" &amp; "")&gt;0,NOT(ISBLANK(E195)))</formula>
    </cfRule>
  </conditionalFormatting>
  <conditionalFormatting sqref="E198">
    <cfRule type="expression" dxfId="0" priority="337">
      <formula>COUNTIF(G198:BE198,"&lt;&gt;" &amp; "")&gt;0</formula>
    </cfRule>
    <cfRule type="expression" dxfId="1" priority="338">
      <formula>AND(COUNTIF(G198:BE198,"&lt;&gt;" &amp; "")&gt;0,NOT(ISBLANK(E198)))</formula>
    </cfRule>
  </conditionalFormatting>
  <conditionalFormatting sqref="E199">
    <cfRule type="expression" dxfId="0" priority="339">
      <formula>COUNTIF(G199:BE199,"&lt;&gt;" &amp; "")&gt;0</formula>
    </cfRule>
    <cfRule type="expression" dxfId="1" priority="340">
      <formula>AND(COUNTIF(G199:BE199,"&lt;&gt;" &amp; "")&gt;0,NOT(ISBLANK(E199)))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00">
    <cfRule type="expression" dxfId="0" priority="341">
      <formula>COUNTIF(G200:BE200,"&lt;&gt;" &amp; "")&gt;0</formula>
    </cfRule>
    <cfRule type="expression" dxfId="1" priority="342">
      <formula>AND(COUNTIF(G200:BE200,"&lt;&gt;" &amp; "")&gt;0,NOT(ISBLANK(E200)))</formula>
    </cfRule>
  </conditionalFormatting>
  <conditionalFormatting sqref="E201">
    <cfRule type="expression" dxfId="0" priority="343">
      <formula>COUNTIF(G201:BE201,"&lt;&gt;" &amp; "")&gt;0</formula>
    </cfRule>
    <cfRule type="expression" dxfId="1" priority="344">
      <formula>AND(COUNTIF(G201:BE201,"&lt;&gt;" &amp; "")&gt;0,NOT(ISBLANK(E201)))</formula>
    </cfRule>
  </conditionalFormatting>
  <conditionalFormatting sqref="E202">
    <cfRule type="expression" dxfId="0" priority="345">
      <formula>COUNTIF(G202:BE202,"&lt;&gt;" &amp; "")&gt;0</formula>
    </cfRule>
    <cfRule type="expression" dxfId="1" priority="346">
      <formula>AND(COUNTIF(G202:BE202,"&lt;&gt;" &amp; "")&gt;0,NOT(ISBLANK(E202)))</formula>
    </cfRule>
  </conditionalFormatting>
  <conditionalFormatting sqref="E203">
    <cfRule type="expression" dxfId="0" priority="347">
      <formula>COUNTIF(G203:BE203,"&lt;&gt;" &amp; "")&gt;0</formula>
    </cfRule>
    <cfRule type="expression" dxfId="1" priority="348">
      <formula>AND(COUNTIF(G203:BE203,"&lt;&gt;" &amp; "")&gt;0,NOT(ISBLANK(E203)))</formula>
    </cfRule>
  </conditionalFormatting>
  <conditionalFormatting sqref="E204">
    <cfRule type="expression" dxfId="0" priority="349">
      <formula>COUNTIF(G204:BE204,"&lt;&gt;" &amp; "")&gt;0</formula>
    </cfRule>
    <cfRule type="expression" dxfId="1" priority="350">
      <formula>AND(COUNTIF(G204:BE204,"&lt;&gt;" &amp; "")&gt;0,NOT(ISBLANK(E204)))</formula>
    </cfRule>
  </conditionalFormatting>
  <conditionalFormatting sqref="E205">
    <cfRule type="expression" dxfId="0" priority="351">
      <formula>COUNTIF(G205:BE205,"&lt;&gt;" &amp; "")&gt;0</formula>
    </cfRule>
    <cfRule type="expression" dxfId="1" priority="352">
      <formula>AND(COUNTIF(G205:BE205,"&lt;&gt;" &amp; "")&gt;0,NOT(ISBLANK(E205)))</formula>
    </cfRule>
  </conditionalFormatting>
  <conditionalFormatting sqref="E206">
    <cfRule type="expression" dxfId="0" priority="353">
      <formula>COUNTIF(G206:BE206,"&lt;&gt;" &amp; "")&gt;0</formula>
    </cfRule>
    <cfRule type="expression" dxfId="1" priority="354">
      <formula>AND(COUNTIF(G206:BE206,"&lt;&gt;" &amp; "")&gt;0,NOT(ISBLANK(E206)))</formula>
    </cfRule>
  </conditionalFormatting>
  <conditionalFormatting sqref="E207">
    <cfRule type="expression" dxfId="0" priority="355">
      <formula>COUNTIF(G207:BE207,"&lt;&gt;" &amp; "")&gt;0</formula>
    </cfRule>
    <cfRule type="expression" dxfId="1" priority="356">
      <formula>AND(COUNTIF(G207:BE207,"&lt;&gt;" &amp; "")&gt;0,NOT(ISBLANK(E207)))</formula>
    </cfRule>
  </conditionalFormatting>
  <conditionalFormatting sqref="E208">
    <cfRule type="expression" dxfId="0" priority="357">
      <formula>COUNTIF(G208:BE208,"&lt;&gt;" &amp; "")&gt;0</formula>
    </cfRule>
    <cfRule type="expression" dxfId="1" priority="358">
      <formula>AND(COUNTIF(G208:BE208,"&lt;&gt;" &amp; "")&gt;0,NOT(ISBLANK(E208)))</formula>
    </cfRule>
  </conditionalFormatting>
  <conditionalFormatting sqref="E209">
    <cfRule type="expression" dxfId="0" priority="359">
      <formula>COUNTIF(G209:BE209,"&lt;&gt;" &amp; "")&gt;0</formula>
    </cfRule>
    <cfRule type="expression" dxfId="1" priority="360">
      <formula>AND(COUNTIF(G209:BE209,"&lt;&gt;" &amp; "")&gt;0,NOT(ISBLANK(E209)))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12">
    <cfRule type="expression" dxfId="0" priority="361">
      <formula>COUNTIF(G212:BE212,"&lt;&gt;" &amp; "")&gt;0</formula>
    </cfRule>
    <cfRule type="expression" dxfId="1" priority="362">
      <formula>AND(COUNTIF(G212:BE212,"&lt;&gt;" &amp; "")&gt;0,NOT(ISBLANK(E212)))</formula>
    </cfRule>
  </conditionalFormatting>
  <conditionalFormatting sqref="E213">
    <cfRule type="expression" dxfId="0" priority="363">
      <formula>COUNTIF(G213:BE213,"&lt;&gt;" &amp; "")&gt;0</formula>
    </cfRule>
    <cfRule type="expression" dxfId="1" priority="364">
      <formula>AND(COUNTIF(G213:BE213,"&lt;&gt;" &amp; "")&gt;0,NOT(ISBLANK(E213)))</formula>
    </cfRule>
  </conditionalFormatting>
  <conditionalFormatting sqref="E214">
    <cfRule type="expression" dxfId="0" priority="365">
      <formula>COUNTIF(G214:BE214,"&lt;&gt;" &amp; "")&gt;0</formula>
    </cfRule>
    <cfRule type="expression" dxfId="1" priority="366">
      <formula>AND(COUNTIF(G214:BE214,"&lt;&gt;" &amp; "")&gt;0,NOT(ISBLANK(E214)))</formula>
    </cfRule>
  </conditionalFormatting>
  <conditionalFormatting sqref="E215">
    <cfRule type="expression" dxfId="0" priority="367">
      <formula>COUNTIF(G215:BE215,"&lt;&gt;" &amp; "")&gt;0</formula>
    </cfRule>
    <cfRule type="expression" dxfId="1" priority="368">
      <formula>AND(COUNTIF(G215:BE215,"&lt;&gt;" &amp; "")&gt;0,NOT(ISBLANK(E215)))</formula>
    </cfRule>
  </conditionalFormatting>
  <conditionalFormatting sqref="E216">
    <cfRule type="expression" dxfId="0" priority="369">
      <formula>COUNTIF(G216:BE216,"&lt;&gt;" &amp; "")&gt;0</formula>
    </cfRule>
    <cfRule type="expression" dxfId="1" priority="370">
      <formula>AND(COUNTIF(G216:BE216,"&lt;&gt;" &amp; "")&gt;0,NOT(ISBLANK(E216)))</formula>
    </cfRule>
  </conditionalFormatting>
  <conditionalFormatting sqref="E217">
    <cfRule type="expression" dxfId="0" priority="371">
      <formula>COUNTIF(G217:BE217,"&lt;&gt;" &amp; "")&gt;0</formula>
    </cfRule>
    <cfRule type="expression" dxfId="1" priority="372">
      <formula>AND(COUNTIF(G217:BE217,"&lt;&gt;" &amp; "")&gt;0,NOT(ISBLANK(E217)))</formula>
    </cfRule>
  </conditionalFormatting>
  <conditionalFormatting sqref="E218">
    <cfRule type="expression" dxfId="0" priority="373">
      <formula>COUNTIF(G218:BE218,"&lt;&gt;" &amp; "")&gt;0</formula>
    </cfRule>
    <cfRule type="expression" dxfId="1" priority="374">
      <formula>AND(COUNTIF(G218:BE218,"&lt;&gt;" &amp; "")&gt;0,NOT(ISBLANK(E218)))</formula>
    </cfRule>
  </conditionalFormatting>
  <conditionalFormatting sqref="E219">
    <cfRule type="expression" dxfId="0" priority="375">
      <formula>COUNTIF(G219:BE219,"&lt;&gt;" &amp; "")&gt;0</formula>
    </cfRule>
    <cfRule type="expression" dxfId="1" priority="376">
      <formula>AND(COUNTIF(G219:BE219,"&lt;&gt;" &amp; "")&gt;0,NOT(ISBLANK(E219)))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20">
    <cfRule type="expression" dxfId="0" priority="377">
      <formula>COUNTIF(G220:BE220,"&lt;&gt;" &amp; "")&gt;0</formula>
    </cfRule>
    <cfRule type="expression" dxfId="1" priority="378">
      <formula>AND(COUNTIF(G220:BE220,"&lt;&gt;" &amp; "")&gt;0,NOT(ISBLANK(E220)))</formula>
    </cfRule>
  </conditionalFormatting>
  <conditionalFormatting sqref="E221">
    <cfRule type="expression" dxfId="0" priority="379">
      <formula>COUNTIF(G221:BE221,"&lt;&gt;" &amp; "")&gt;0</formula>
    </cfRule>
    <cfRule type="expression" dxfId="1" priority="380">
      <formula>AND(COUNTIF(G221:BE221,"&lt;&gt;" &amp; "")&gt;0,NOT(ISBLANK(E221)))</formula>
    </cfRule>
  </conditionalFormatting>
  <conditionalFormatting sqref="E222">
    <cfRule type="expression" dxfId="0" priority="381">
      <formula>COUNTIF(G222:BE222,"&lt;&gt;" &amp; "")&gt;0</formula>
    </cfRule>
    <cfRule type="expression" dxfId="1" priority="382">
      <formula>AND(COUNTIF(G222:BE222,"&lt;&gt;" &amp; "")&gt;0,NOT(ISBLANK(E222)))</formula>
    </cfRule>
  </conditionalFormatting>
  <conditionalFormatting sqref="E223">
    <cfRule type="expression" dxfId="0" priority="383">
      <formula>COUNTIF(G223:BE223,"&lt;&gt;" &amp; "")&gt;0</formula>
    </cfRule>
    <cfRule type="expression" dxfId="1" priority="384">
      <formula>AND(COUNTIF(G223:BE223,"&lt;&gt;" &amp; "")&gt;0,NOT(ISBLANK(E223)))</formula>
    </cfRule>
  </conditionalFormatting>
  <conditionalFormatting sqref="E226">
    <cfRule type="expression" dxfId="0" priority="385">
      <formula>COUNTIF(G226:BE226,"&lt;&gt;" &amp; "")&gt;0</formula>
    </cfRule>
    <cfRule type="expression" dxfId="1" priority="386">
      <formula>AND(COUNTIF(G226:BE226,"&lt;&gt;" &amp; "")&gt;0,NOT(ISBLANK(E226)))</formula>
    </cfRule>
  </conditionalFormatting>
  <conditionalFormatting sqref="E227">
    <cfRule type="expression" dxfId="0" priority="387">
      <formula>COUNTIF(G227:BE227,"&lt;&gt;" &amp; "")&gt;0</formula>
    </cfRule>
    <cfRule type="expression" dxfId="1" priority="388">
      <formula>AND(COUNTIF(G227:BE227,"&lt;&gt;" &amp; "")&gt;0,NOT(ISBLANK(E227)))</formula>
    </cfRule>
  </conditionalFormatting>
  <conditionalFormatting sqref="E228">
    <cfRule type="expression" dxfId="0" priority="389">
      <formula>COUNTIF(G228:BE228,"&lt;&gt;" &amp; "")&gt;0</formula>
    </cfRule>
    <cfRule type="expression" dxfId="1" priority="390">
      <formula>AND(COUNTIF(G228:BE228,"&lt;&gt;" &amp; "")&gt;0,NOT(ISBLANK(E228)))</formula>
    </cfRule>
  </conditionalFormatting>
  <conditionalFormatting sqref="E229">
    <cfRule type="expression" dxfId="0" priority="391">
      <formula>COUNTIF(G229:BE229,"&lt;&gt;" &amp; "")&gt;0</formula>
    </cfRule>
    <cfRule type="expression" dxfId="1" priority="392">
      <formula>AND(COUNTIF(G229:BE229,"&lt;&gt;" &amp; "")&gt;0,NOT(ISBLANK(E229)))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30">
    <cfRule type="expression" dxfId="0" priority="393">
      <formula>COUNTIF(G230:BE230,"&lt;&gt;" &amp; "")&gt;0</formula>
    </cfRule>
    <cfRule type="expression" dxfId="1" priority="394">
      <formula>AND(COUNTIF(G230:BE230,"&lt;&gt;" &amp; "")&gt;0,NOT(ISBLANK(E230)))</formula>
    </cfRule>
  </conditionalFormatting>
  <conditionalFormatting sqref="E231">
    <cfRule type="expression" dxfId="0" priority="395">
      <formula>COUNTIF(G231:BE231,"&lt;&gt;" &amp; "")&gt;0</formula>
    </cfRule>
    <cfRule type="expression" dxfId="1" priority="396">
      <formula>AND(COUNTIF(G231:BE231,"&lt;&gt;" &amp; "")&gt;0,NOT(ISBLANK(E231)))</formula>
    </cfRule>
  </conditionalFormatting>
  <conditionalFormatting sqref="E232">
    <cfRule type="expression" dxfId="0" priority="397">
      <formula>COUNTIF(G232:BE232,"&lt;&gt;" &amp; "")&gt;0</formula>
    </cfRule>
    <cfRule type="expression" dxfId="1" priority="398">
      <formula>AND(COUNTIF(G232:BE232,"&lt;&gt;" &amp; "")&gt;0,NOT(ISBLANK(E232)))</formula>
    </cfRule>
  </conditionalFormatting>
  <conditionalFormatting sqref="E233">
    <cfRule type="expression" dxfId="0" priority="399">
      <formula>COUNTIF(G233:BE233,"&lt;&gt;" &amp; "")&gt;0</formula>
    </cfRule>
    <cfRule type="expression" dxfId="1" priority="400">
      <formula>AND(COUNTIF(G233:BE233,"&lt;&gt;" &amp; "")&gt;0,NOT(ISBLANK(E233)))</formula>
    </cfRule>
  </conditionalFormatting>
  <conditionalFormatting sqref="E234">
    <cfRule type="expression" dxfId="0" priority="401">
      <formula>COUNTIF(G234:BE234,"&lt;&gt;" &amp; "")&gt;0</formula>
    </cfRule>
    <cfRule type="expression" dxfId="1" priority="402">
      <formula>AND(COUNTIF(G234:BE234,"&lt;&gt;" &amp; "")&gt;0,NOT(ISBLANK(E234)))</formula>
    </cfRule>
  </conditionalFormatting>
  <conditionalFormatting sqref="E235">
    <cfRule type="expression" dxfId="0" priority="403">
      <formula>COUNTIF(G235:BE235,"&lt;&gt;" &amp; "")&gt;0</formula>
    </cfRule>
    <cfRule type="expression" dxfId="1" priority="404">
      <formula>AND(COUNTIF(G235:BE235,"&lt;&gt;" &amp; "")&gt;0,NOT(ISBLANK(E235)))</formula>
    </cfRule>
  </conditionalFormatting>
  <conditionalFormatting sqref="E236">
    <cfRule type="expression" dxfId="0" priority="405">
      <formula>COUNTIF(G236:BE236,"&lt;&gt;" &amp; "")&gt;0</formula>
    </cfRule>
    <cfRule type="expression" dxfId="1" priority="406">
      <formula>AND(COUNTIF(G236:BE236,"&lt;&gt;" &amp; "")&gt;0,NOT(ISBLANK(E236)))</formula>
    </cfRule>
  </conditionalFormatting>
  <conditionalFormatting sqref="E237">
    <cfRule type="expression" dxfId="0" priority="407">
      <formula>COUNTIF(G237:BE237,"&lt;&gt;" &amp; "")&gt;0</formula>
    </cfRule>
    <cfRule type="expression" dxfId="1" priority="408">
      <formula>AND(COUNTIF(G237:BE237,"&lt;&gt;" &amp; "")&gt;0,NOT(ISBLANK(E237)))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40">
    <cfRule type="expression" dxfId="0" priority="409">
      <formula>COUNTIF(G240:BE240,"&lt;&gt;" &amp; "")&gt;0</formula>
    </cfRule>
    <cfRule type="expression" dxfId="1" priority="410">
      <formula>AND(COUNTIF(G240:BE240,"&lt;&gt;" &amp; "")&gt;0,NOT(ISBLANK(E240)))</formula>
    </cfRule>
  </conditionalFormatting>
  <conditionalFormatting sqref="E241">
    <cfRule type="expression" dxfId="0" priority="411">
      <formula>COUNTIF(G241:BE241,"&lt;&gt;" &amp; "")&gt;0</formula>
    </cfRule>
    <cfRule type="expression" dxfId="1" priority="412">
      <formula>AND(COUNTIF(G241:BE241,"&lt;&gt;" &amp; "")&gt;0,NOT(ISBLANK(E241)))</formula>
    </cfRule>
  </conditionalFormatting>
  <conditionalFormatting sqref="E242">
    <cfRule type="expression" dxfId="0" priority="413">
      <formula>COUNTIF(G242:BE242,"&lt;&gt;" &amp; "")&gt;0</formula>
    </cfRule>
    <cfRule type="expression" dxfId="1" priority="414">
      <formula>AND(COUNTIF(G242:BE242,"&lt;&gt;" &amp; "")&gt;0,NOT(ISBLANK(E242)))</formula>
    </cfRule>
  </conditionalFormatting>
  <conditionalFormatting sqref="E243">
    <cfRule type="expression" dxfId="0" priority="415">
      <formula>COUNTIF(G243:BE243,"&lt;&gt;" &amp; "")&gt;0</formula>
    </cfRule>
    <cfRule type="expression" dxfId="1" priority="416">
      <formula>AND(COUNTIF(G243:BE243,"&lt;&gt;" &amp; "")&gt;0,NOT(ISBLANK(E243)))</formula>
    </cfRule>
  </conditionalFormatting>
  <conditionalFormatting sqref="E244">
    <cfRule type="expression" dxfId="0" priority="417">
      <formula>COUNTIF(G244:BE244,"&lt;&gt;" &amp; "")&gt;0</formula>
    </cfRule>
    <cfRule type="expression" dxfId="1" priority="418">
      <formula>AND(COUNTIF(G244:BE244,"&lt;&gt;" &amp; "")&gt;0,NOT(ISBLANK(E244)))</formula>
    </cfRule>
  </conditionalFormatting>
  <conditionalFormatting sqref="E245">
    <cfRule type="expression" dxfId="0" priority="419">
      <formula>COUNTIF(G245:BE245,"&lt;&gt;" &amp; "")&gt;0</formula>
    </cfRule>
    <cfRule type="expression" dxfId="1" priority="420">
      <formula>AND(COUNTIF(G245:BE245,"&lt;&gt;" &amp; "")&gt;0,NOT(ISBLANK(E245)))</formula>
    </cfRule>
  </conditionalFormatting>
  <conditionalFormatting sqref="E246">
    <cfRule type="expression" dxfId="0" priority="421">
      <formula>COUNTIF(G246:BE246,"&lt;&gt;" &amp; "")&gt;0</formula>
    </cfRule>
    <cfRule type="expression" dxfId="1" priority="422">
      <formula>AND(COUNTIF(G246:BE246,"&lt;&gt;" &amp; "")&gt;0,NOT(ISBLANK(E246)))</formula>
    </cfRule>
  </conditionalFormatting>
  <conditionalFormatting sqref="E247">
    <cfRule type="expression" dxfId="0" priority="423">
      <formula>COUNTIF(G247:BE247,"&lt;&gt;" &amp; "")&gt;0</formula>
    </cfRule>
    <cfRule type="expression" dxfId="1" priority="424">
      <formula>AND(COUNTIF(G247:BE247,"&lt;&gt;" &amp; "")&gt;0,NOT(ISBLANK(E247)))</formula>
    </cfRule>
  </conditionalFormatting>
  <conditionalFormatting sqref="E248">
    <cfRule type="expression" dxfId="0" priority="425">
      <formula>COUNTIF(G248:BE248,"&lt;&gt;" &amp; "")&gt;0</formula>
    </cfRule>
    <cfRule type="expression" dxfId="1" priority="426">
      <formula>AND(COUNTIF(G248:BE248,"&lt;&gt;" &amp; "")&gt;0,NOT(ISBLANK(E248)))</formula>
    </cfRule>
  </conditionalFormatting>
  <conditionalFormatting sqref="E249">
    <cfRule type="expression" dxfId="0" priority="427">
      <formula>COUNTIF(G249:BE249,"&lt;&gt;" &amp; "")&gt;0</formula>
    </cfRule>
    <cfRule type="expression" dxfId="1" priority="428">
      <formula>AND(COUNTIF(G249:BE249,"&lt;&gt;" &amp; "")&gt;0,NOT(ISBLANK(E249)))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50">
    <cfRule type="expression" dxfId="0" priority="429">
      <formula>COUNTIF(G250:BE250,"&lt;&gt;" &amp; "")&gt;0</formula>
    </cfRule>
    <cfRule type="expression" dxfId="1" priority="430">
      <formula>AND(COUNTIF(G250:BE250,"&lt;&gt;" &amp; "")&gt;0,NOT(ISBLANK(E250)))</formula>
    </cfRule>
  </conditionalFormatting>
  <conditionalFormatting sqref="E251">
    <cfRule type="expression" dxfId="0" priority="431">
      <formula>COUNTIF(G251:BE251,"&lt;&gt;" &amp; "")&gt;0</formula>
    </cfRule>
    <cfRule type="expression" dxfId="1" priority="432">
      <formula>AND(COUNTIF(G251:BE251,"&lt;&gt;" &amp; "")&gt;0,NOT(ISBLANK(E251)))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216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  <dataValidation type="list" allowBlank="1" showInputMessage="1" showErrorMessage="1" sqref="C114">
      <formula1>"Rate (per year)"</formula1>
    </dataValidation>
    <dataValidation type="list" allowBlank="1" showInputMessage="1" showErrorMessage="1" sqref="C115">
      <formula1>"Rate (per year)"</formula1>
    </dataValidation>
    <dataValidation type="list" allowBlank="1" showInputMessage="1" showErrorMessage="1" sqref="C116">
      <formula1>"Rate (per year)"</formula1>
    </dataValidation>
    <dataValidation type="list" allowBlank="1" showInputMessage="1" showErrorMessage="1" sqref="C117">
      <formula1>"Rate (per year)"</formula1>
    </dataValidation>
    <dataValidation type="list" allowBlank="1" showInputMessage="1" showErrorMessage="1" sqref="C118">
      <formula1>"Rate (per year)"</formula1>
    </dataValidation>
    <dataValidation type="list" allowBlank="1" showInputMessage="1" showErrorMessage="1" sqref="C119">
      <formula1>"Rate (per year)"</formula1>
    </dataValidation>
    <dataValidation type="list" allowBlank="1" showInputMessage="1" showErrorMessage="1" sqref="C120">
      <formula1>"Rate (per year)"</formula1>
    </dataValidation>
    <dataValidation type="list" allowBlank="1" showInputMessage="1" showErrorMessage="1" sqref="C121">
      <formula1>"Rate (per year)"</formula1>
    </dataValidation>
    <dataValidation type="list" allowBlank="1" showInputMessage="1" showErrorMessage="1" sqref="C122">
      <formula1>"Rate (per year)"</formula1>
    </dataValidation>
    <dataValidation type="list" allowBlank="1" showInputMessage="1" showErrorMessage="1" sqref="C123">
      <formula1>"Rate (per year)"</formula1>
    </dataValidation>
    <dataValidation type="list" allowBlank="1" showInputMessage="1" showErrorMessage="1" sqref="C124">
      <formula1>"Rate (per year)"</formula1>
    </dataValidation>
    <dataValidation type="list" allowBlank="1" showInputMessage="1" showErrorMessage="1" sqref="C125">
      <formula1>"Rate (per year)"</formula1>
    </dataValidation>
    <dataValidation type="list" allowBlank="1" showInputMessage="1" showErrorMessage="1" sqref="C128">
      <formula1>"Rate (per year)"</formula1>
    </dataValidation>
    <dataValidation type="list" allowBlank="1" showInputMessage="1" showErrorMessage="1" sqref="C129">
      <formula1>"Rate (per year)"</formula1>
    </dataValidation>
    <dataValidation type="list" allowBlank="1" showInputMessage="1" showErrorMessage="1" sqref="C130">
      <formula1>"Rate (per year)"</formula1>
    </dataValidation>
    <dataValidation type="list" allowBlank="1" showInputMessage="1" showErrorMessage="1" sqref="C131">
      <formula1>"Rate (per year)"</formula1>
    </dataValidation>
    <dataValidation type="list" allowBlank="1" showInputMessage="1" showErrorMessage="1" sqref="C132">
      <formula1>"Rate (per year)"</formula1>
    </dataValidation>
    <dataValidation type="list" allowBlank="1" showInputMessage="1" showErrorMessage="1" sqref="C133">
      <formula1>"Rate (per year)"</formula1>
    </dataValidation>
    <dataValidation type="list" allowBlank="1" showInputMessage="1" showErrorMessage="1" sqref="C134">
      <formula1>"Rate (per year)"</formula1>
    </dataValidation>
    <dataValidation type="list" allowBlank="1" showInputMessage="1" showErrorMessage="1" sqref="C135">
      <formula1>"Rate (per year)"</formula1>
    </dataValidation>
    <dataValidation type="list" allowBlank="1" showInputMessage="1" showErrorMessage="1" sqref="C136">
      <formula1>"Rate (per year)"</formula1>
    </dataValidation>
    <dataValidation type="list" allowBlank="1" showInputMessage="1" showErrorMessage="1" sqref="C137">
      <formula1>"Rate (per year)"</formula1>
    </dataValidation>
    <dataValidation type="list" allowBlank="1" showInputMessage="1" showErrorMessage="1" sqref="C138">
      <formula1>"Rate (per year)"</formula1>
    </dataValidation>
    <dataValidation type="list" allowBlank="1" showInputMessage="1" showErrorMessage="1" sqref="C139">
      <formula1>"Rate (per year)"</formula1>
    </dataValidation>
    <dataValidation type="list" allowBlank="1" showInputMessage="1" showErrorMessage="1" sqref="C142">
      <formula1>"Rate (per year)"</formula1>
    </dataValidation>
    <dataValidation type="list" allowBlank="1" showInputMessage="1" showErrorMessage="1" sqref="C143">
      <formula1>"Rate (per year)"</formula1>
    </dataValidation>
    <dataValidation type="list" allowBlank="1" showInputMessage="1" showErrorMessage="1" sqref="C144">
      <formula1>"Rate (per year)"</formula1>
    </dataValidation>
    <dataValidation type="list" allowBlank="1" showInputMessage="1" showErrorMessage="1" sqref="C145">
      <formula1>"Rate (per year)"</formula1>
    </dataValidation>
    <dataValidation type="list" allowBlank="1" showInputMessage="1" showErrorMessage="1" sqref="C146">
      <formula1>"Rate (per year)"</formula1>
    </dataValidation>
    <dataValidation type="list" allowBlank="1" showInputMessage="1" showErrorMessage="1" sqref="C147">
      <formula1>"Rate (per year)"</formula1>
    </dataValidation>
    <dataValidation type="list" allowBlank="1" showInputMessage="1" showErrorMessage="1" sqref="C148">
      <formula1>"Rate (per year)"</formula1>
    </dataValidation>
    <dataValidation type="list" allowBlank="1" showInputMessage="1" showErrorMessage="1" sqref="C149">
      <formula1>"Rate (per year)"</formula1>
    </dataValidation>
    <dataValidation type="list" allowBlank="1" showInputMessage="1" showErrorMessage="1" sqref="C150">
      <formula1>"Rate (per year)"</formula1>
    </dataValidation>
    <dataValidation type="list" allowBlank="1" showInputMessage="1" showErrorMessage="1" sqref="C151">
      <formula1>"Rate (per year)"</formula1>
    </dataValidation>
    <dataValidation type="list" allowBlank="1" showInputMessage="1" showErrorMessage="1" sqref="C152">
      <formula1>"Rate (per year)"</formula1>
    </dataValidation>
    <dataValidation type="list" allowBlank="1" showInputMessage="1" showErrorMessage="1" sqref="C153">
      <formula1>"Rate (per year)"</formula1>
    </dataValidation>
    <dataValidation type="list" allowBlank="1" showInputMessage="1" showErrorMessage="1" sqref="C156">
      <formula1>"Rate (per year)"</formula1>
    </dataValidation>
    <dataValidation type="list" allowBlank="1" showInputMessage="1" showErrorMessage="1" sqref="C157">
      <formula1>"Rate (per year)"</formula1>
    </dataValidation>
    <dataValidation type="list" allowBlank="1" showInputMessage="1" showErrorMessage="1" sqref="C158">
      <formula1>"Rate (per year)"</formula1>
    </dataValidation>
    <dataValidation type="list" allowBlank="1" showInputMessage="1" showErrorMessage="1" sqref="C159">
      <formula1>"Rate (per year)"</formula1>
    </dataValidation>
    <dataValidation type="list" allowBlank="1" showInputMessage="1" showErrorMessage="1" sqref="C160">
      <formula1>"Rate (per year)"</formula1>
    </dataValidation>
    <dataValidation type="list" allowBlank="1" showInputMessage="1" showErrorMessage="1" sqref="C161">
      <formula1>"Rate (per year)"</formula1>
    </dataValidation>
    <dataValidation type="list" allowBlank="1" showInputMessage="1" showErrorMessage="1" sqref="C162">
      <formula1>"Rate (per year)"</formula1>
    </dataValidation>
    <dataValidation type="list" allowBlank="1" showInputMessage="1" showErrorMessage="1" sqref="C163">
      <formula1>"Rate (per year)"</formula1>
    </dataValidation>
    <dataValidation type="list" allowBlank="1" showInputMessage="1" showErrorMessage="1" sqref="C164">
      <formula1>"Rate (per year)"</formula1>
    </dataValidation>
    <dataValidation type="list" allowBlank="1" showInputMessage="1" showErrorMessage="1" sqref="C165">
      <formula1>"Rate (per year)"</formula1>
    </dataValidation>
    <dataValidation type="list" allowBlank="1" showInputMessage="1" showErrorMessage="1" sqref="C166">
      <formula1>"Rate (per year)"</formula1>
    </dataValidation>
    <dataValidation type="list" allowBlank="1" showInputMessage="1" showErrorMessage="1" sqref="C167">
      <formula1>"Rate (per year)"</formula1>
    </dataValidation>
    <dataValidation type="list" allowBlank="1" showInputMessage="1" showErrorMessage="1" sqref="C170">
      <formula1>"Rate (per year)"</formula1>
    </dataValidation>
    <dataValidation type="list" allowBlank="1" showInputMessage="1" showErrorMessage="1" sqref="C171">
      <formula1>"Rate (per year)"</formula1>
    </dataValidation>
    <dataValidation type="list" allowBlank="1" showInputMessage="1" showErrorMessage="1" sqref="C172">
      <formula1>"Rate (per year)"</formula1>
    </dataValidation>
    <dataValidation type="list" allowBlank="1" showInputMessage="1" showErrorMessage="1" sqref="C173">
      <formula1>"Rate (per year)"</formula1>
    </dataValidation>
    <dataValidation type="list" allowBlank="1" showInputMessage="1" showErrorMessage="1" sqref="C174">
      <formula1>"Rate (per year)"</formula1>
    </dataValidation>
    <dataValidation type="list" allowBlank="1" showInputMessage="1" showErrorMessage="1" sqref="C175">
      <formula1>"Rate (per year)"</formula1>
    </dataValidation>
    <dataValidation type="list" allowBlank="1" showInputMessage="1" showErrorMessage="1" sqref="C176">
      <formula1>"Rate (per year)"</formula1>
    </dataValidation>
    <dataValidation type="list" allowBlank="1" showInputMessage="1" showErrorMessage="1" sqref="C177">
      <formula1>"Rate (per year)"</formula1>
    </dataValidation>
    <dataValidation type="list" allowBlank="1" showInputMessage="1" showErrorMessage="1" sqref="C178">
      <formula1>"Rate (per year)"</formula1>
    </dataValidation>
    <dataValidation type="list" allowBlank="1" showInputMessage="1" showErrorMessage="1" sqref="C179">
      <formula1>"Rate (per year)"</formula1>
    </dataValidation>
    <dataValidation type="list" allowBlank="1" showInputMessage="1" showErrorMessage="1" sqref="C180">
      <formula1>"Rate (per year)"</formula1>
    </dataValidation>
    <dataValidation type="list" allowBlank="1" showInputMessage="1" showErrorMessage="1" sqref="C181">
      <formula1>"Rate (per year)"</formula1>
    </dataValidation>
    <dataValidation type="list" allowBlank="1" showInputMessage="1" showErrorMessage="1" sqref="C184">
      <formula1>"Rate (per year)"</formula1>
    </dataValidation>
    <dataValidation type="list" allowBlank="1" showInputMessage="1" showErrorMessage="1" sqref="C185">
      <formula1>"Rate (per year)"</formula1>
    </dataValidation>
    <dataValidation type="list" allowBlank="1" showInputMessage="1" showErrorMessage="1" sqref="C186">
      <formula1>"Rate (per year)"</formula1>
    </dataValidation>
    <dataValidation type="list" allowBlank="1" showInputMessage="1" showErrorMessage="1" sqref="C187">
      <formula1>"Rate (per year)"</formula1>
    </dataValidation>
    <dataValidation type="list" allowBlank="1" showInputMessage="1" showErrorMessage="1" sqref="C188">
      <formula1>"Rate (per year)"</formula1>
    </dataValidation>
    <dataValidation type="list" allowBlank="1" showInputMessage="1" showErrorMessage="1" sqref="C189">
      <formula1>"Rate (per year)"</formula1>
    </dataValidation>
    <dataValidation type="list" allowBlank="1" showInputMessage="1" showErrorMessage="1" sqref="C190">
      <formula1>"Rate (per year)"</formula1>
    </dataValidation>
    <dataValidation type="list" allowBlank="1" showInputMessage="1" showErrorMessage="1" sqref="C191">
      <formula1>"Rate (per year)"</formula1>
    </dataValidation>
    <dataValidation type="list" allowBlank="1" showInputMessage="1" showErrorMessage="1" sqref="C192">
      <formula1>"Rate (per year)"</formula1>
    </dataValidation>
    <dataValidation type="list" allowBlank="1" showInputMessage="1" showErrorMessage="1" sqref="C193">
      <formula1>"Rate (per year)"</formula1>
    </dataValidation>
    <dataValidation type="list" allowBlank="1" showInputMessage="1" showErrorMessage="1" sqref="C194">
      <formula1>"Rate (per year)"</formula1>
    </dataValidation>
    <dataValidation type="list" allowBlank="1" showInputMessage="1" showErrorMessage="1" sqref="C195">
      <formula1>"Rate (per year)"</formula1>
    </dataValidation>
    <dataValidation type="list" allowBlank="1" showInputMessage="1" showErrorMessage="1" sqref="C198">
      <formula1>"Rate (per year)"</formula1>
    </dataValidation>
    <dataValidation type="list" allowBlank="1" showInputMessage="1" showErrorMessage="1" sqref="C199">
      <formula1>"Rate (per year)"</formula1>
    </dataValidation>
    <dataValidation type="list" allowBlank="1" showInputMessage="1" showErrorMessage="1" sqref="C200">
      <formula1>"Rate (per year)"</formula1>
    </dataValidation>
    <dataValidation type="list" allowBlank="1" showInputMessage="1" showErrorMessage="1" sqref="C201">
      <formula1>"Rate (per year)"</formula1>
    </dataValidation>
    <dataValidation type="list" allowBlank="1" showInputMessage="1" showErrorMessage="1" sqref="C202">
      <formula1>"Rate (per year)"</formula1>
    </dataValidation>
    <dataValidation type="list" allowBlank="1" showInputMessage="1" showErrorMessage="1" sqref="C203">
      <formula1>"Rate (per year)"</formula1>
    </dataValidation>
    <dataValidation type="list" allowBlank="1" showInputMessage="1" showErrorMessage="1" sqref="C204">
      <formula1>"Rate (per year)"</formula1>
    </dataValidation>
    <dataValidation type="list" allowBlank="1" showInputMessage="1" showErrorMessage="1" sqref="C205">
      <formula1>"Rate (per year)"</formula1>
    </dataValidation>
    <dataValidation type="list" allowBlank="1" showInputMessage="1" showErrorMessage="1" sqref="C206">
      <formula1>"Rate (per year)"</formula1>
    </dataValidation>
    <dataValidation type="list" allowBlank="1" showInputMessage="1" showErrorMessage="1" sqref="C207">
      <formula1>"Rate (per year)"</formula1>
    </dataValidation>
    <dataValidation type="list" allowBlank="1" showInputMessage="1" showErrorMessage="1" sqref="C208">
      <formula1>"Rate (per year)"</formula1>
    </dataValidation>
    <dataValidation type="list" allowBlank="1" showInputMessage="1" showErrorMessage="1" sqref="C209">
      <formula1>"Rate (per year)"</formula1>
    </dataValidation>
    <dataValidation type="list" allowBlank="1" showInputMessage="1" showErrorMessage="1" sqref="C212">
      <formula1>"Rate (per year)"</formula1>
    </dataValidation>
    <dataValidation type="list" allowBlank="1" showInputMessage="1" showErrorMessage="1" sqref="C213">
      <formula1>"Rate (per year)"</formula1>
    </dataValidation>
    <dataValidation type="list" allowBlank="1" showInputMessage="1" showErrorMessage="1" sqref="C214">
      <formula1>"Rate (per year)"</formula1>
    </dataValidation>
    <dataValidation type="list" allowBlank="1" showInputMessage="1" showErrorMessage="1" sqref="C215">
      <formula1>"Rate (per year)"</formula1>
    </dataValidation>
    <dataValidation type="list" allowBlank="1" showInputMessage="1" showErrorMessage="1" sqref="C216">
      <formula1>"Rate (per year)"</formula1>
    </dataValidation>
    <dataValidation type="list" allowBlank="1" showInputMessage="1" showErrorMessage="1" sqref="C217">
      <formula1>"Rate (per year)"</formula1>
    </dataValidation>
    <dataValidation type="list" allowBlank="1" showInputMessage="1" showErrorMessage="1" sqref="C218">
      <formula1>"Rate (per year)"</formula1>
    </dataValidation>
    <dataValidation type="list" allowBlank="1" showInputMessage="1" showErrorMessage="1" sqref="C219">
      <formula1>"Rate (per year)"</formula1>
    </dataValidation>
    <dataValidation type="list" allowBlank="1" showInputMessage="1" showErrorMessage="1" sqref="C220">
      <formula1>"Rate (per year)"</formula1>
    </dataValidation>
    <dataValidation type="list" allowBlank="1" showInputMessage="1" showErrorMessage="1" sqref="C221">
      <formula1>"Rate (per year)"</formula1>
    </dataValidation>
    <dataValidation type="list" allowBlank="1" showInputMessage="1" showErrorMessage="1" sqref="C222">
      <formula1>"Rate (per year)"</formula1>
    </dataValidation>
    <dataValidation type="list" allowBlank="1" showInputMessage="1" showErrorMessage="1" sqref="C223">
      <formula1>"Rate (per year)"</formula1>
    </dataValidation>
    <dataValidation type="list" allowBlank="1" showInputMessage="1" showErrorMessage="1" sqref="C226">
      <formula1>"N.A."</formula1>
    </dataValidation>
    <dataValidation type="list" allowBlank="1" showInputMessage="1" showErrorMessage="1" sqref="C227">
      <formula1>"N.A."</formula1>
    </dataValidation>
    <dataValidation type="list" allowBlank="1" showInputMessage="1" showErrorMessage="1" sqref="C228">
      <formula1>"N.A."</formula1>
    </dataValidation>
    <dataValidation type="list" allowBlank="1" showInputMessage="1" showErrorMessage="1" sqref="C229">
      <formula1>"N.A."</formula1>
    </dataValidation>
    <dataValidation type="list" allowBlank="1" showInputMessage="1" showErrorMessage="1" sqref="C230">
      <formula1>"N.A."</formula1>
    </dataValidation>
    <dataValidation type="list" allowBlank="1" showInputMessage="1" showErrorMessage="1" sqref="C231">
      <formula1>"N.A."</formula1>
    </dataValidation>
    <dataValidation type="list" allowBlank="1" showInputMessage="1" showErrorMessage="1" sqref="C232">
      <formula1>"N.A."</formula1>
    </dataValidation>
    <dataValidation type="list" allowBlank="1" showInputMessage="1" showErrorMessage="1" sqref="C233">
      <formula1>"N.A."</formula1>
    </dataValidation>
    <dataValidation type="list" allowBlank="1" showInputMessage="1" showErrorMessage="1" sqref="C234">
      <formula1>"N.A."</formula1>
    </dataValidation>
    <dataValidation type="list" allowBlank="1" showInputMessage="1" showErrorMessage="1" sqref="C235">
      <formula1>"N.A."</formula1>
    </dataValidation>
    <dataValidation type="list" allowBlank="1" showInputMessage="1" showErrorMessage="1" sqref="C236">
      <formula1>"N.A."</formula1>
    </dataValidation>
    <dataValidation type="list" allowBlank="1" showInputMessage="1" showErrorMessage="1" sqref="C237">
      <formula1>"N.A."</formula1>
    </dataValidation>
    <dataValidation type="list" allowBlank="1" showInputMessage="1" showErrorMessage="1" sqref="C240">
      <formula1>"N.A."</formula1>
    </dataValidation>
    <dataValidation type="list" allowBlank="1" showInputMessage="1" showErrorMessage="1" sqref="C241">
      <formula1>"N.A."</formula1>
    </dataValidation>
    <dataValidation type="list" allowBlank="1" showInputMessage="1" showErrorMessage="1" sqref="C242">
      <formula1>"N.A."</formula1>
    </dataValidation>
    <dataValidation type="list" allowBlank="1" showInputMessage="1" showErrorMessage="1" sqref="C243">
      <formula1>"N.A."</formula1>
    </dataValidation>
    <dataValidation type="list" allowBlank="1" showInputMessage="1" showErrorMessage="1" sqref="C244">
      <formula1>"N.A."</formula1>
    </dataValidation>
    <dataValidation type="list" allowBlank="1" showInputMessage="1" showErrorMessage="1" sqref="C245">
      <formula1>"N.A."</formula1>
    </dataValidation>
    <dataValidation type="list" allowBlank="1" showInputMessage="1" showErrorMessage="1" sqref="C246">
      <formula1>"N.A."</formula1>
    </dataValidation>
    <dataValidation type="list" allowBlank="1" showInputMessage="1" showErrorMessage="1" sqref="C247">
      <formula1>"N.A."</formula1>
    </dataValidation>
    <dataValidation type="list" allowBlank="1" showInputMessage="1" showErrorMessage="1" sqref="C248">
      <formula1>"N.A."</formula1>
    </dataValidation>
    <dataValidation type="list" allowBlank="1" showInputMessage="1" showErrorMessage="1" sqref="C249">
      <formula1>"N.A."</formula1>
    </dataValidation>
    <dataValidation type="list" allowBlank="1" showInputMessage="1" showErrorMessage="1" sqref="C250">
      <formula1>"N.A."</formula1>
    </dataValidation>
    <dataValidation type="list" allowBlank="1" showInputMessage="1" showErrorMessage="1" sqref="C251">
      <formula1>"N.A."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80.85546875" customWidth="1"/>
    <col min="2" max="2" width="12.710937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79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>
        <v>0.02576530612244899</v>
      </c>
      <c r="E2" s="3"/>
      <c r="F2" s="4" t="s">
        <v>37</v>
      </c>
      <c r="G2" s="3">
        <v>0.02675</v>
      </c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>
        <v>0.05349999999999999</v>
      </c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>
        <v>0.02576530612244899</v>
      </c>
      <c r="E3" s="3"/>
      <c r="F3" s="4" t="s">
        <v>37</v>
      </c>
      <c r="G3" s="3">
        <v>0.02675</v>
      </c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>
        <v>0.05349999999999999</v>
      </c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0.05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0.05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0.05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0.05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>
        <v>0.02576530612244899</v>
      </c>
      <c r="E16" s="3"/>
      <c r="F16" s="4" t="s">
        <v>37</v>
      </c>
      <c r="G16" s="3">
        <v>0.02675</v>
      </c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>
        <v>0.05349999999999999</v>
      </c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>
        <v>0.02576530612244899</v>
      </c>
      <c r="E17" s="3"/>
      <c r="F17" s="4" t="s">
        <v>37</v>
      </c>
      <c r="G17" s="3">
        <v>0.02675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>
        <v>0.05349999999999999</v>
      </c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0.05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0.05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0.05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0.05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53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53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53</v>
      </c>
      <c r="D36" s="3"/>
      <c r="E36" s="3">
        <v>0.3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53</v>
      </c>
      <c r="D37" s="3"/>
      <c r="E37" s="3">
        <v>0.3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53</v>
      </c>
      <c r="D38" s="3"/>
      <c r="E38" s="3">
        <v>0.3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53</v>
      </c>
      <c r="D39" s="3"/>
      <c r="E39" s="3">
        <v>0.3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53</v>
      </c>
      <c r="D44" s="3"/>
      <c r="E44" s="3">
        <v>0.8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53</v>
      </c>
      <c r="D45" s="3"/>
      <c r="E45" s="3">
        <v>0.8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53</v>
      </c>
      <c r="D50" s="3"/>
      <c r="E50" s="3">
        <v>0.3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53</v>
      </c>
      <c r="D51" s="3"/>
      <c r="E51" s="3">
        <v>0.3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53</v>
      </c>
      <c r="D52" s="3"/>
      <c r="E52" s="3">
        <v>0.3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53</v>
      </c>
      <c r="D53" s="3"/>
      <c r="E53" s="3">
        <v>0.3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5.5703125" customWidth="1"/>
    <col min="2" max="2" width="30.28515625" customWidth="1"/>
    <col min="3" max="3" width="12.71093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83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48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48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48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48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48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48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48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48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48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48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48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48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84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48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48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48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48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48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48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48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48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48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48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48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48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85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86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48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48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48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48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48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48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48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48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48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48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48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48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87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48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48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48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48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48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48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48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48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48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48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48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48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88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48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48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48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48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48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48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48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48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48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48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48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48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"Proportion"</formula1>
    </dataValidation>
    <dataValidation type="list" allowBlank="1" showInputMessage="1" showErrorMessage="1" sqref="C3">
      <formula1>"Proportion"</formula1>
    </dataValidation>
    <dataValidation type="list" allowBlank="1" showInputMessage="1" showErrorMessage="1" sqref="C4">
      <formula1>"Proportion"</formula1>
    </dataValidation>
    <dataValidation type="list" allowBlank="1" showInputMessage="1" showErrorMessage="1" sqref="C5">
      <formula1>"Proportion"</formula1>
    </dataValidation>
    <dataValidation type="list" allowBlank="1" showInputMessage="1" showErrorMessage="1" sqref="C6">
      <formula1>"Proportion"</formula1>
    </dataValidation>
    <dataValidation type="list" allowBlank="1" showInputMessage="1" showErrorMessage="1" sqref="C7">
      <formula1>"Proportion"</formula1>
    </dataValidation>
    <dataValidation type="list" allowBlank="1" showInputMessage="1" showErrorMessage="1" sqref="C8">
      <formula1>"Proportion"</formula1>
    </dataValidation>
    <dataValidation type="list" allowBlank="1" showInputMessage="1" showErrorMessage="1" sqref="C9">
      <formula1>"Proportion"</formula1>
    </dataValidation>
    <dataValidation type="list" allowBlank="1" showInputMessage="1" showErrorMessage="1" sqref="C10">
      <formula1>"Proportion"</formula1>
    </dataValidation>
    <dataValidation type="list" allowBlank="1" showInputMessage="1" showErrorMessage="1" sqref="C11">
      <formula1>"Proportion"</formula1>
    </dataValidation>
    <dataValidation type="list" allowBlank="1" showInputMessage="1" showErrorMessage="1" sqref="C12">
      <formula1>"Proportion"</formula1>
    </dataValidation>
    <dataValidation type="list" allowBlank="1" showInputMessage="1" showErrorMessage="1" sqref="C13">
      <formula1>"Proportion"</formula1>
    </dataValidation>
    <dataValidation type="list" allowBlank="1" showInputMessage="1" showErrorMessage="1" sqref="C16">
      <formula1>"Proportion"</formula1>
    </dataValidation>
    <dataValidation type="list" allowBlank="1" showInputMessage="1" showErrorMessage="1" sqref="C17">
      <formula1>"Proportion"</formula1>
    </dataValidation>
    <dataValidation type="list" allowBlank="1" showInputMessage="1" showErrorMessage="1" sqref="C18">
      <formula1>"Proportion"</formula1>
    </dataValidation>
    <dataValidation type="list" allowBlank="1" showInputMessage="1" showErrorMessage="1" sqref="C19">
      <formula1>"Proportion"</formula1>
    </dataValidation>
    <dataValidation type="list" allowBlank="1" showInputMessage="1" showErrorMessage="1" sqref="C20">
      <formula1>"Proportion"</formula1>
    </dataValidation>
    <dataValidation type="list" allowBlank="1" showInputMessage="1" showErrorMessage="1" sqref="C21">
      <formula1>"Proportion"</formula1>
    </dataValidation>
    <dataValidation type="list" allowBlank="1" showInputMessage="1" showErrorMessage="1" sqref="C22">
      <formula1>"Proportion"</formula1>
    </dataValidation>
    <dataValidation type="list" allowBlank="1" showInputMessage="1" showErrorMessage="1" sqref="C23">
      <formula1>"Proportion"</formula1>
    </dataValidation>
    <dataValidation type="list" allowBlank="1" showInputMessage="1" showErrorMessage="1" sqref="C24">
      <formula1>"Proportion"</formula1>
    </dataValidation>
    <dataValidation type="list" allowBlank="1" showInputMessage="1" showErrorMessage="1" sqref="C25">
      <formula1>"Proportion"</formula1>
    </dataValidation>
    <dataValidation type="list" allowBlank="1" showInputMessage="1" showErrorMessage="1" sqref="C26">
      <formula1>"Proportion"</formula1>
    </dataValidation>
    <dataValidation type="list" allowBlank="1" showInputMessage="1" showErrorMessage="1" sqref="C27">
      <formula1>"Proportion"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"Proportion"</formula1>
    </dataValidation>
    <dataValidation type="list" allowBlank="1" showInputMessage="1" showErrorMessage="1" sqref="C45">
      <formula1>"Proportion"</formula1>
    </dataValidation>
    <dataValidation type="list" allowBlank="1" showInputMessage="1" showErrorMessage="1" sqref="C46">
      <formula1>"Proportion"</formula1>
    </dataValidation>
    <dataValidation type="list" allowBlank="1" showInputMessage="1" showErrorMessage="1" sqref="C47">
      <formula1>"Proportion"</formula1>
    </dataValidation>
    <dataValidation type="list" allowBlank="1" showInputMessage="1" showErrorMessage="1" sqref="C48">
      <formula1>"Proportion"</formula1>
    </dataValidation>
    <dataValidation type="list" allowBlank="1" showInputMessage="1" showErrorMessage="1" sqref="C49">
      <formula1>"Proportion"</formula1>
    </dataValidation>
    <dataValidation type="list" allowBlank="1" showInputMessage="1" showErrorMessage="1" sqref="C50">
      <formula1>"Proportion"</formula1>
    </dataValidation>
    <dataValidation type="list" allowBlank="1" showInputMessage="1" showErrorMessage="1" sqref="C51">
      <formula1>"Proportion"</formula1>
    </dataValidation>
    <dataValidation type="list" allowBlank="1" showInputMessage="1" showErrorMessage="1" sqref="C52">
      <formula1>"Proportion"</formula1>
    </dataValidation>
    <dataValidation type="list" allowBlank="1" showInputMessage="1" showErrorMessage="1" sqref="C53">
      <formula1>"Proportion"</formula1>
    </dataValidation>
    <dataValidation type="list" allowBlank="1" showInputMessage="1" showErrorMessage="1" sqref="C54">
      <formula1>"Proportion"</formula1>
    </dataValidation>
    <dataValidation type="list" allowBlank="1" showInputMessage="1" showErrorMessage="1" sqref="C55">
      <formula1>"Proportion"</formula1>
    </dataValidation>
    <dataValidation type="list" allowBlank="1" showInputMessage="1" showErrorMessage="1" sqref="C58">
      <formula1>"Proportion"</formula1>
    </dataValidation>
    <dataValidation type="list" allowBlank="1" showInputMessage="1" showErrorMessage="1" sqref="C59">
      <formula1>"Proportion"</formula1>
    </dataValidation>
    <dataValidation type="list" allowBlank="1" showInputMessage="1" showErrorMessage="1" sqref="C60">
      <formula1>"Proportion"</formula1>
    </dataValidation>
    <dataValidation type="list" allowBlank="1" showInputMessage="1" showErrorMessage="1" sqref="C61">
      <formula1>"Proportion"</formula1>
    </dataValidation>
    <dataValidation type="list" allowBlank="1" showInputMessage="1" showErrorMessage="1" sqref="C62">
      <formula1>"Proportion"</formula1>
    </dataValidation>
    <dataValidation type="list" allowBlank="1" showInputMessage="1" showErrorMessage="1" sqref="C63">
      <formula1>"Proportion"</formula1>
    </dataValidation>
    <dataValidation type="list" allowBlank="1" showInputMessage="1" showErrorMessage="1" sqref="C64">
      <formula1>"Proportion"</formula1>
    </dataValidation>
    <dataValidation type="list" allowBlank="1" showInputMessage="1" showErrorMessage="1" sqref="C65">
      <formula1>"Proportion"</formula1>
    </dataValidation>
    <dataValidation type="list" allowBlank="1" showInputMessage="1" showErrorMessage="1" sqref="C66">
      <formula1>"Proportion"</formula1>
    </dataValidation>
    <dataValidation type="list" allowBlank="1" showInputMessage="1" showErrorMessage="1" sqref="C67">
      <formula1>"Proportion"</formula1>
    </dataValidation>
    <dataValidation type="list" allowBlank="1" showInputMessage="1" showErrorMessage="1" sqref="C68">
      <formula1>"Proportion"</formula1>
    </dataValidation>
    <dataValidation type="list" allowBlank="1" showInputMessage="1" showErrorMessage="1" sqref="C69">
      <formula1>"Proportion"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1"/>
  <sheetViews>
    <sheetView workbookViewId="0"/>
  </sheetViews>
  <sheetFormatPr defaultRowHeight="15"/>
  <cols>
    <col min="1" max="1" width="78.7109375" customWidth="1"/>
    <col min="2" max="2" width="30.28515625" customWidth="1"/>
    <col min="3" max="3" width="18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89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53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53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53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53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53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53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53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53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53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53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53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53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53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53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53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53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53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53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53</v>
      </c>
      <c r="D22" s="3"/>
      <c r="E22" s="3">
        <v>0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53</v>
      </c>
      <c r="D23" s="3"/>
      <c r="E23" s="3">
        <v>0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53</v>
      </c>
      <c r="D24" s="3"/>
      <c r="E24" s="3">
        <v>0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53</v>
      </c>
      <c r="D25" s="3"/>
      <c r="E25" s="3">
        <v>0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53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53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53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53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53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53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53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53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53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53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53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53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53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53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92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53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53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53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53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53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53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53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53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53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53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53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53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93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53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53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53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53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53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53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53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53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53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53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53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53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94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53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53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53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53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53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53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53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53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53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53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53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53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95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53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53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53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53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53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53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53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53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53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53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53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53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96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53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53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53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53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53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53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53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53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53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53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53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53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00">
    <cfRule type="expression" dxfId="0" priority="169">
      <formula>COUNTIF(G100:BE100,"&lt;&gt;" &amp; "")&gt;0</formula>
    </cfRule>
    <cfRule type="expression" dxfId="1" priority="170">
      <formula>AND(COUNTIF(G100:BE100,"&lt;&gt;" &amp; "")&gt;0,NOT(ISBLANK(E100)))</formula>
    </cfRule>
  </conditionalFormatting>
  <conditionalFormatting sqref="E101">
    <cfRule type="expression" dxfId="0" priority="171">
      <formula>COUNTIF(G101:BE101,"&lt;&gt;" &amp; "")&gt;0</formula>
    </cfRule>
    <cfRule type="expression" dxfId="1" priority="172">
      <formula>AND(COUNTIF(G101:BE101,"&lt;&gt;" &amp; "")&gt;0,NOT(ISBLANK(E101)))</formula>
    </cfRule>
  </conditionalFormatting>
  <conditionalFormatting sqref="E102">
    <cfRule type="expression" dxfId="0" priority="173">
      <formula>COUNTIF(G102:BE102,"&lt;&gt;" &amp; "")&gt;0</formula>
    </cfRule>
    <cfRule type="expression" dxfId="1" priority="174">
      <formula>AND(COUNTIF(G102:BE102,"&lt;&gt;" &amp; "")&gt;0,NOT(ISBLANK(E102)))</formula>
    </cfRule>
  </conditionalFormatting>
  <conditionalFormatting sqref="E103">
    <cfRule type="expression" dxfId="0" priority="175">
      <formula>COUNTIF(G103:BE103,"&lt;&gt;" &amp; "")&gt;0</formula>
    </cfRule>
    <cfRule type="expression" dxfId="1" priority="176">
      <formula>AND(COUNTIF(G103:BE103,"&lt;&gt;" &amp; "")&gt;0,NOT(ISBLANK(E103)))</formula>
    </cfRule>
  </conditionalFormatting>
  <conditionalFormatting sqref="E104">
    <cfRule type="expression" dxfId="0" priority="177">
      <formula>COUNTIF(G104:BE104,"&lt;&gt;" &amp; "")&gt;0</formula>
    </cfRule>
    <cfRule type="expression" dxfId="1" priority="178">
      <formula>AND(COUNTIF(G104:BE104,"&lt;&gt;" &amp; "")&gt;0,NOT(ISBLANK(E104)))</formula>
    </cfRule>
  </conditionalFormatting>
  <conditionalFormatting sqref="E105">
    <cfRule type="expression" dxfId="0" priority="179">
      <formula>COUNTIF(G105:BE105,"&lt;&gt;" &amp; "")&gt;0</formula>
    </cfRule>
    <cfRule type="expression" dxfId="1" priority="180">
      <formula>AND(COUNTIF(G105:BE105,"&lt;&gt;" &amp; "")&gt;0,NOT(ISBLANK(E105)))</formula>
    </cfRule>
  </conditionalFormatting>
  <conditionalFormatting sqref="E106">
    <cfRule type="expression" dxfId="0" priority="181">
      <formula>COUNTIF(G106:BE106,"&lt;&gt;" &amp; "")&gt;0</formula>
    </cfRule>
    <cfRule type="expression" dxfId="1" priority="182">
      <formula>AND(COUNTIF(G106:BE106,"&lt;&gt;" &amp; "")&gt;0,NOT(ISBLANK(E106)))</formula>
    </cfRule>
  </conditionalFormatting>
  <conditionalFormatting sqref="E107">
    <cfRule type="expression" dxfId="0" priority="183">
      <formula>COUNTIF(G107:BE107,"&lt;&gt;" &amp; "")&gt;0</formula>
    </cfRule>
    <cfRule type="expression" dxfId="1" priority="184">
      <formula>AND(COUNTIF(G107:BE107,"&lt;&gt;" &amp; "")&gt;0,NOT(ISBLANK(E107)))</formula>
    </cfRule>
  </conditionalFormatting>
  <conditionalFormatting sqref="E108">
    <cfRule type="expression" dxfId="0" priority="185">
      <formula>COUNTIF(G108:BE108,"&lt;&gt;" &amp; "")&gt;0</formula>
    </cfRule>
    <cfRule type="expression" dxfId="1" priority="186">
      <formula>AND(COUNTIF(G108:BE108,"&lt;&gt;" &amp; "")&gt;0,NOT(ISBLANK(E108)))</formula>
    </cfRule>
  </conditionalFormatting>
  <conditionalFormatting sqref="E109">
    <cfRule type="expression" dxfId="0" priority="187">
      <formula>COUNTIF(G109:BE109,"&lt;&gt;" &amp; "")&gt;0</formula>
    </cfRule>
    <cfRule type="expression" dxfId="1" priority="188">
      <formula>AND(COUNTIF(G109:BE109,"&lt;&gt;" &amp; "")&gt;0,NOT(ISBLANK(E109)))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10">
    <cfRule type="expression" dxfId="0" priority="189">
      <formula>COUNTIF(G110:BE110,"&lt;&gt;" &amp; "")&gt;0</formula>
    </cfRule>
    <cfRule type="expression" dxfId="1" priority="190">
      <formula>AND(COUNTIF(G110:BE110,"&lt;&gt;" &amp; "")&gt;0,NOT(ISBLANK(E110)))</formula>
    </cfRule>
  </conditionalFormatting>
  <conditionalFormatting sqref="E111">
    <cfRule type="expression" dxfId="0" priority="191">
      <formula>COUNTIF(G111:BE111,"&lt;&gt;" &amp; "")&gt;0</formula>
    </cfRule>
    <cfRule type="expression" dxfId="1" priority="192">
      <formula>AND(COUNTIF(G111:BE111,"&lt;&gt;" &amp; "")&gt;0,NOT(ISBLANK(E111)))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96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"Rate (per year)"</formula1>
    </dataValidation>
    <dataValidation type="list" allowBlank="1" showInputMessage="1" showErrorMessage="1" sqref="C31">
      <formula1>"Rate (per year)"</formula1>
    </dataValidation>
    <dataValidation type="list" allowBlank="1" showInputMessage="1" showErrorMessage="1" sqref="C32">
      <formula1>"Rate (per year)"</formula1>
    </dataValidation>
    <dataValidation type="list" allowBlank="1" showInputMessage="1" showErrorMessage="1" sqref="C33">
      <formula1>"Rate (per year)"</formula1>
    </dataValidation>
    <dataValidation type="list" allowBlank="1" showInputMessage="1" showErrorMessage="1" sqref="C34">
      <formula1>"Rate (per year)"</formula1>
    </dataValidation>
    <dataValidation type="list" allowBlank="1" showInputMessage="1" showErrorMessage="1" sqref="C35">
      <formula1>"Rate (per year)"</formula1>
    </dataValidation>
    <dataValidation type="list" allowBlank="1" showInputMessage="1" showErrorMessage="1" sqref="C36">
      <formula1>"Rate (per year)"</formula1>
    </dataValidation>
    <dataValidation type="list" allowBlank="1" showInputMessage="1" showErrorMessage="1" sqref="C37">
      <formula1>"Rate (per year)"</formula1>
    </dataValidation>
    <dataValidation type="list" allowBlank="1" showInputMessage="1" showErrorMessage="1" sqref="C38">
      <formula1>"Rate (per year)"</formula1>
    </dataValidation>
    <dataValidation type="list" allowBlank="1" showInputMessage="1" showErrorMessage="1" sqref="C39">
      <formula1>"Rate (per year)"</formula1>
    </dataValidation>
    <dataValidation type="list" allowBlank="1" showInputMessage="1" showErrorMessage="1" sqref="C40">
      <formula1>"Rate (per year)"</formula1>
    </dataValidation>
    <dataValidation type="list" allowBlank="1" showInputMessage="1" showErrorMessage="1" sqref="C41">
      <formula1>"Rate (per year)"</formula1>
    </dataValidation>
    <dataValidation type="list" allowBlank="1" showInputMessage="1" showErrorMessage="1" sqref="C44">
      <formula1>"Rate (per year)"</formula1>
    </dataValidation>
    <dataValidation type="list" allowBlank="1" showInputMessage="1" showErrorMessage="1" sqref="C45">
      <formula1>"Rate (per year)"</formula1>
    </dataValidation>
    <dataValidation type="list" allowBlank="1" showInputMessage="1" showErrorMessage="1" sqref="C46">
      <formula1>"Rate (per year)"</formula1>
    </dataValidation>
    <dataValidation type="list" allowBlank="1" showInputMessage="1" showErrorMessage="1" sqref="C47">
      <formula1>"Rate (per year)"</formula1>
    </dataValidation>
    <dataValidation type="list" allowBlank="1" showInputMessage="1" showErrorMessage="1" sqref="C48">
      <formula1>"Rate (per year)"</formula1>
    </dataValidation>
    <dataValidation type="list" allowBlank="1" showInputMessage="1" showErrorMessage="1" sqref="C49">
      <formula1>"Rate (per year)"</formula1>
    </dataValidation>
    <dataValidation type="list" allowBlank="1" showInputMessage="1" showErrorMessage="1" sqref="C50">
      <formula1>"Rate (per year)"</formula1>
    </dataValidation>
    <dataValidation type="list" allowBlank="1" showInputMessage="1" showErrorMessage="1" sqref="C51">
      <formula1>"Rate (per year)"</formula1>
    </dataValidation>
    <dataValidation type="list" allowBlank="1" showInputMessage="1" showErrorMessage="1" sqref="C52">
      <formula1>"Rate (per year)"</formula1>
    </dataValidation>
    <dataValidation type="list" allowBlank="1" showInputMessage="1" showErrorMessage="1" sqref="C53">
      <formula1>"Rate (per year)"</formula1>
    </dataValidation>
    <dataValidation type="list" allowBlank="1" showInputMessage="1" showErrorMessage="1" sqref="C54">
      <formula1>"Rate (per year)"</formula1>
    </dataValidation>
    <dataValidation type="list" allowBlank="1" showInputMessage="1" showErrorMessage="1" sqref="C55">
      <formula1>"Rate (per year)"</formula1>
    </dataValidation>
    <dataValidation type="list" allowBlank="1" showInputMessage="1" showErrorMessage="1" sqref="C58">
      <formula1>"Rate (per year)"</formula1>
    </dataValidation>
    <dataValidation type="list" allowBlank="1" showInputMessage="1" showErrorMessage="1" sqref="C59">
      <formula1>"Rate (per year)"</formula1>
    </dataValidation>
    <dataValidation type="list" allowBlank="1" showInputMessage="1" showErrorMessage="1" sqref="C60">
      <formula1>"Rate (per year)"</formula1>
    </dataValidation>
    <dataValidation type="list" allowBlank="1" showInputMessage="1" showErrorMessage="1" sqref="C61">
      <formula1>"Rate (per year)"</formula1>
    </dataValidation>
    <dataValidation type="list" allowBlank="1" showInputMessage="1" showErrorMessage="1" sqref="C62">
      <formula1>"Rate (per year)"</formula1>
    </dataValidation>
    <dataValidation type="list" allowBlank="1" showInputMessage="1" showErrorMessage="1" sqref="C63">
      <formula1>"Rate (per year)"</formula1>
    </dataValidation>
    <dataValidation type="list" allowBlank="1" showInputMessage="1" showErrorMessage="1" sqref="C64">
      <formula1>"Rate (per year)"</formula1>
    </dataValidation>
    <dataValidation type="list" allowBlank="1" showInputMessage="1" showErrorMessage="1" sqref="C65">
      <formula1>"Rate (per year)"</formula1>
    </dataValidation>
    <dataValidation type="list" allowBlank="1" showInputMessage="1" showErrorMessage="1" sqref="C66">
      <formula1>"Rate (per year)"</formula1>
    </dataValidation>
    <dataValidation type="list" allowBlank="1" showInputMessage="1" showErrorMessage="1" sqref="C67">
      <formula1>"Rate (per year)"</formula1>
    </dataValidation>
    <dataValidation type="list" allowBlank="1" showInputMessage="1" showErrorMessage="1" sqref="C68">
      <formula1>"Rate (per year)"</formula1>
    </dataValidation>
    <dataValidation type="list" allowBlank="1" showInputMessage="1" showErrorMessage="1" sqref="C69">
      <formula1>"Rate (per year)"</formula1>
    </dataValidation>
    <dataValidation type="list" allowBlank="1" showInputMessage="1" showErrorMessage="1" sqref="C72">
      <formula1>"Rate (per year)"</formula1>
    </dataValidation>
    <dataValidation type="list" allowBlank="1" showInputMessage="1" showErrorMessage="1" sqref="C73">
      <formula1>"Rate (per year)"</formula1>
    </dataValidation>
    <dataValidation type="list" allowBlank="1" showInputMessage="1" showErrorMessage="1" sqref="C74">
      <formula1>"Rate (per year)"</formula1>
    </dataValidation>
    <dataValidation type="list" allowBlank="1" showInputMessage="1" showErrorMessage="1" sqref="C75">
      <formula1>"Rate (per year)"</formula1>
    </dataValidation>
    <dataValidation type="list" allowBlank="1" showInputMessage="1" showErrorMessage="1" sqref="C76">
      <formula1>"Rate (per year)"</formula1>
    </dataValidation>
    <dataValidation type="list" allowBlank="1" showInputMessage="1" showErrorMessage="1" sqref="C77">
      <formula1>"Rate (per year)"</formula1>
    </dataValidation>
    <dataValidation type="list" allowBlank="1" showInputMessage="1" showErrorMessage="1" sqref="C78">
      <formula1>"Rate (per year)"</formula1>
    </dataValidation>
    <dataValidation type="list" allowBlank="1" showInputMessage="1" showErrorMessage="1" sqref="C79">
      <formula1>"Rate (per year)"</formula1>
    </dataValidation>
    <dataValidation type="list" allowBlank="1" showInputMessage="1" showErrorMessage="1" sqref="C80">
      <formula1>"Rate (per year)"</formula1>
    </dataValidation>
    <dataValidation type="list" allowBlank="1" showInputMessage="1" showErrorMessage="1" sqref="C81">
      <formula1>"Rate (per year)"</formula1>
    </dataValidation>
    <dataValidation type="list" allowBlank="1" showInputMessage="1" showErrorMessage="1" sqref="C82">
      <formula1>"Rate (per year)"</formula1>
    </dataValidation>
    <dataValidation type="list" allowBlank="1" showInputMessage="1" showErrorMessage="1" sqref="C83">
      <formula1>"Rate (per year)"</formula1>
    </dataValidation>
    <dataValidation type="list" allowBlank="1" showInputMessage="1" showErrorMessage="1" sqref="C86">
      <formula1>"Rate (per year)"</formula1>
    </dataValidation>
    <dataValidation type="list" allowBlank="1" showInputMessage="1" showErrorMessage="1" sqref="C87">
      <formula1>"Rate (per year)"</formula1>
    </dataValidation>
    <dataValidation type="list" allowBlank="1" showInputMessage="1" showErrorMessage="1" sqref="C88">
      <formula1>"Rate (per year)"</formula1>
    </dataValidation>
    <dataValidation type="list" allowBlank="1" showInputMessage="1" showErrorMessage="1" sqref="C89">
      <formula1>"Rate (per year)"</formula1>
    </dataValidation>
    <dataValidation type="list" allowBlank="1" showInputMessage="1" showErrorMessage="1" sqref="C90">
      <formula1>"Rate (per year)"</formula1>
    </dataValidation>
    <dataValidation type="list" allowBlank="1" showInputMessage="1" showErrorMessage="1" sqref="C91">
      <formula1>"Rate (per year)"</formula1>
    </dataValidation>
    <dataValidation type="list" allowBlank="1" showInputMessage="1" showErrorMessage="1" sqref="C92">
      <formula1>"Rate (per year)"</formula1>
    </dataValidation>
    <dataValidation type="list" allowBlank="1" showInputMessage="1" showErrorMessage="1" sqref="C93">
      <formula1>"Rate (per year)"</formula1>
    </dataValidation>
    <dataValidation type="list" allowBlank="1" showInputMessage="1" showErrorMessage="1" sqref="C94">
      <formula1>"Rate (per year)"</formula1>
    </dataValidation>
    <dataValidation type="list" allowBlank="1" showInputMessage="1" showErrorMessage="1" sqref="C95">
      <formula1>"Rate (per year)"</formula1>
    </dataValidation>
    <dataValidation type="list" allowBlank="1" showInputMessage="1" showErrorMessage="1" sqref="C96">
      <formula1>"Rate (per year)"</formula1>
    </dataValidation>
    <dataValidation type="list" allowBlank="1" showInputMessage="1" showErrorMessage="1" sqref="C97">
      <formula1>"Rate (per year)"</formula1>
    </dataValidation>
    <dataValidation type="list" allowBlank="1" showInputMessage="1" showErrorMessage="1" sqref="C100">
      <formula1>"Rate (per year)"</formula1>
    </dataValidation>
    <dataValidation type="list" allowBlank="1" showInputMessage="1" showErrorMessage="1" sqref="C101">
      <formula1>"Rate (per year)"</formula1>
    </dataValidation>
    <dataValidation type="list" allowBlank="1" showInputMessage="1" showErrorMessage="1" sqref="C102">
      <formula1>"Rate (per year)"</formula1>
    </dataValidation>
    <dataValidation type="list" allowBlank="1" showInputMessage="1" showErrorMessage="1" sqref="C103">
      <formula1>"Rate (per year)"</formula1>
    </dataValidation>
    <dataValidation type="list" allowBlank="1" showInputMessage="1" showErrorMessage="1" sqref="C104">
      <formula1>"Rate (per year)"</formula1>
    </dataValidation>
    <dataValidation type="list" allowBlank="1" showInputMessage="1" showErrorMessage="1" sqref="C105">
      <formula1>"Rate (per year)"</formula1>
    </dataValidation>
    <dataValidation type="list" allowBlank="1" showInputMessage="1" showErrorMessage="1" sqref="C106">
      <formula1>"Rate (per year)"</formula1>
    </dataValidation>
    <dataValidation type="list" allowBlank="1" showInputMessage="1" showErrorMessage="1" sqref="C107">
      <formula1>"Rate (per year)"</formula1>
    </dataValidation>
    <dataValidation type="list" allowBlank="1" showInputMessage="1" showErrorMessage="1" sqref="C108">
      <formula1>"Rate (per year)"</formula1>
    </dataValidation>
    <dataValidation type="list" allowBlank="1" showInputMessage="1" showErrorMessage="1" sqref="C109">
      <formula1>"Rate (per year)"</formula1>
    </dataValidation>
    <dataValidation type="list" allowBlank="1" showInputMessage="1" showErrorMessage="1" sqref="C110">
      <formula1>"Rate (per year)"</formula1>
    </dataValidation>
    <dataValidation type="list" allowBlank="1" showInputMessage="1" showErrorMessage="1" sqref="C111">
      <formula1>"Rate (per year)"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808080"/>
  </sheetPr>
  <dimension ref="A1:BE97"/>
  <sheetViews>
    <sheetView workbookViewId="0"/>
  </sheetViews>
  <sheetFormatPr defaultRowHeight="15"/>
  <cols>
    <col min="1" max="1" width="93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97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56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56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56</v>
      </c>
      <c r="D4" s="3"/>
      <c r="E4" s="3"/>
      <c r="F4" s="4" t="s">
        <v>37</v>
      </c>
      <c r="G4" s="3">
        <v>0</v>
      </c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>
        <v>0</v>
      </c>
      <c r="V4" s="3">
        <v>0</v>
      </c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56</v>
      </c>
      <c r="D5" s="3"/>
      <c r="E5" s="3"/>
      <c r="F5" s="4" t="s">
        <v>37</v>
      </c>
      <c r="G5" s="3">
        <v>0</v>
      </c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>
        <v>0</v>
      </c>
      <c r="V5" s="3">
        <v>0</v>
      </c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56</v>
      </c>
      <c r="D6" s="3"/>
      <c r="E6" s="3"/>
      <c r="F6" s="4" t="s">
        <v>37</v>
      </c>
      <c r="G6" s="3">
        <v>0</v>
      </c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>
        <v>0</v>
      </c>
      <c r="V6" s="3">
        <v>0</v>
      </c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56</v>
      </c>
      <c r="D7" s="3"/>
      <c r="E7" s="3"/>
      <c r="F7" s="4" t="s">
        <v>37</v>
      </c>
      <c r="G7" s="3">
        <v>0</v>
      </c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>
        <v>0</v>
      </c>
      <c r="V7" s="3">
        <v>0</v>
      </c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56</v>
      </c>
      <c r="D8" s="3"/>
      <c r="E8" s="3"/>
      <c r="F8" s="4" t="s">
        <v>37</v>
      </c>
      <c r="G8" s="3">
        <v>0.4465141737912156</v>
      </c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>
        <v>0.4465141737912156</v>
      </c>
      <c r="V8" s="3">
        <v>0</v>
      </c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56</v>
      </c>
      <c r="D9" s="3"/>
      <c r="E9" s="3"/>
      <c r="F9" s="4" t="s">
        <v>37</v>
      </c>
      <c r="G9" s="3">
        <v>0.4858835604085982</v>
      </c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>
        <v>0.4858835604085982</v>
      </c>
      <c r="V9" s="3">
        <v>0</v>
      </c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56</v>
      </c>
      <c r="D10" s="3"/>
      <c r="E10" s="3"/>
      <c r="F10" s="4" t="s">
        <v>37</v>
      </c>
      <c r="G10" s="3">
        <v>0.0265766982471012</v>
      </c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>
        <v>0.0265766982471012</v>
      </c>
      <c r="V10" s="3">
        <v>0</v>
      </c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56</v>
      </c>
      <c r="D11" s="3"/>
      <c r="E11" s="3"/>
      <c r="F11" s="4" t="s">
        <v>37</v>
      </c>
      <c r="G11" s="3">
        <v>0.03667321483815666</v>
      </c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>
        <v>0.03667321483815666</v>
      </c>
      <c r="V11" s="3">
        <v>0</v>
      </c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56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56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98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56</v>
      </c>
      <c r="D16" s="3"/>
      <c r="E16" s="3">
        <v>0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56</v>
      </c>
      <c r="D17" s="3"/>
      <c r="E17" s="3">
        <v>0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56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>
        <v>0</v>
      </c>
      <c r="V18" s="3">
        <v>0</v>
      </c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56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>
        <v>0</v>
      </c>
      <c r="V19" s="3">
        <v>0</v>
      </c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56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>
        <v>0</v>
      </c>
      <c r="V20" s="3">
        <v>0</v>
      </c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56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>
        <v>0</v>
      </c>
      <c r="V21" s="3">
        <v>0</v>
      </c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56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>
        <v>0</v>
      </c>
      <c r="V22" s="3">
        <v>0.4465141737912156</v>
      </c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56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>
        <v>0</v>
      </c>
      <c r="V23" s="3">
        <v>0.4858835604085982</v>
      </c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56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>
        <v>0</v>
      </c>
      <c r="V24" s="3">
        <v>0.0265766982471012</v>
      </c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56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>
        <v>0</v>
      </c>
      <c r="V25" s="3">
        <v>0.03667321483815666</v>
      </c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56</v>
      </c>
      <c r="D26" s="3"/>
      <c r="E26" s="3">
        <v>0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56</v>
      </c>
      <c r="D27" s="3"/>
      <c r="E27" s="3">
        <v>0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99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/>
      <c r="F30" s="4" t="s">
        <v>37</v>
      </c>
      <c r="G30" s="3">
        <v>0.003808761693810427</v>
      </c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>
        <v>0.003808761693810427</v>
      </c>
      <c r="V30" s="3">
        <v>0</v>
      </c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/>
      <c r="F31" s="4" t="s">
        <v>37</v>
      </c>
      <c r="G31" s="3">
        <v>0.0005435910211179417</v>
      </c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>
        <v>0.0005435910211179417</v>
      </c>
      <c r="V31" s="3">
        <v>0</v>
      </c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0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0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0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0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0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0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0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0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100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>
        <v>0</v>
      </c>
      <c r="V44" s="3">
        <v>0.003808761693810427</v>
      </c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/>
      <c r="F45" s="4" t="s">
        <v>37</v>
      </c>
      <c r="G45" s="3">
        <v>0</v>
      </c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>
        <v>0</v>
      </c>
      <c r="V45" s="3">
        <v>0.0005435910211179417</v>
      </c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101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62</v>
      </c>
      <c r="D58" s="3"/>
      <c r="E58" s="3"/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>
        <v>0.46</v>
      </c>
      <c r="W58" s="3">
        <v>0.23</v>
      </c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62</v>
      </c>
      <c r="D59" s="3"/>
      <c r="E59" s="3"/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0.46</v>
      </c>
      <c r="W59" s="3">
        <v>0.23</v>
      </c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62</v>
      </c>
      <c r="D60" s="3"/>
      <c r="E60" s="3"/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>
        <v>0.46</v>
      </c>
      <c r="W60" s="3">
        <v>0.23</v>
      </c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62</v>
      </c>
      <c r="D61" s="3"/>
      <c r="E61" s="3"/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>
        <v>0.46</v>
      </c>
      <c r="W61" s="3">
        <v>0.23</v>
      </c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62</v>
      </c>
      <c r="D62" s="3"/>
      <c r="E62" s="3"/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>
        <v>0.46</v>
      </c>
      <c r="W62" s="3">
        <v>0.23</v>
      </c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62</v>
      </c>
      <c r="D63" s="3"/>
      <c r="E63" s="3"/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>
        <v>0.46</v>
      </c>
      <c r="W63" s="3">
        <v>0.23</v>
      </c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62</v>
      </c>
      <c r="D64" s="3"/>
      <c r="E64" s="3"/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>
        <v>0.46</v>
      </c>
      <c r="W64" s="3">
        <v>0.23</v>
      </c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62</v>
      </c>
      <c r="D65" s="3"/>
      <c r="E65" s="3"/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>
        <v>0.46</v>
      </c>
      <c r="W65" s="3">
        <v>0.23</v>
      </c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62</v>
      </c>
      <c r="D66" s="3"/>
      <c r="E66" s="3"/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>
        <v>0.46</v>
      </c>
      <c r="W66" s="3">
        <v>0.23</v>
      </c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62</v>
      </c>
      <c r="D67" s="3"/>
      <c r="E67" s="3"/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>
        <v>0.46</v>
      </c>
      <c r="W67" s="3">
        <v>0.23</v>
      </c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62</v>
      </c>
      <c r="D68" s="3"/>
      <c r="E68" s="3"/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>
        <v>0.46</v>
      </c>
      <c r="W68" s="3">
        <v>0.23</v>
      </c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62</v>
      </c>
      <c r="D69" s="3"/>
      <c r="E69" s="3"/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>
        <v>0.46</v>
      </c>
      <c r="W69" s="3">
        <v>0.23</v>
      </c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102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48</v>
      </c>
      <c r="D72" s="3"/>
      <c r="E72" s="3"/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>
        <v>0.5</v>
      </c>
      <c r="W72" s="3">
        <v>0.95</v>
      </c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48</v>
      </c>
      <c r="D73" s="3"/>
      <c r="E73" s="3"/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>
        <v>0.5</v>
      </c>
      <c r="W73" s="3">
        <v>0.95</v>
      </c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48</v>
      </c>
      <c r="D74" s="3"/>
      <c r="E74" s="3"/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>
        <v>0.5</v>
      </c>
      <c r="W74" s="3">
        <v>0.95</v>
      </c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48</v>
      </c>
      <c r="D75" s="3"/>
      <c r="E75" s="3"/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>
        <v>0.5</v>
      </c>
      <c r="W75" s="3">
        <v>0.95</v>
      </c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48</v>
      </c>
      <c r="D76" s="3"/>
      <c r="E76" s="3"/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>
        <v>0.5</v>
      </c>
      <c r="W76" s="3">
        <v>0.95</v>
      </c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48</v>
      </c>
      <c r="D77" s="3"/>
      <c r="E77" s="3"/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>
        <v>0.5</v>
      </c>
      <c r="W77" s="3">
        <v>0.95</v>
      </c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48</v>
      </c>
      <c r="D78" s="3"/>
      <c r="E78" s="3"/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>
        <v>0.5</v>
      </c>
      <c r="W78" s="3">
        <v>0.95</v>
      </c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48</v>
      </c>
      <c r="D79" s="3"/>
      <c r="E79" s="3"/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>
        <v>0.5</v>
      </c>
      <c r="W79" s="3">
        <v>0.95</v>
      </c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48</v>
      </c>
      <c r="D80" s="3"/>
      <c r="E80" s="3"/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>
        <v>0.5</v>
      </c>
      <c r="W80" s="3">
        <v>0.95</v>
      </c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48</v>
      </c>
      <c r="D81" s="3"/>
      <c r="E81" s="3"/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>
        <v>0.5</v>
      </c>
      <c r="W81" s="3">
        <v>0.95</v>
      </c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48</v>
      </c>
      <c r="D82" s="3"/>
      <c r="E82" s="3"/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>
        <v>0.5</v>
      </c>
      <c r="W82" s="3">
        <v>0.95</v>
      </c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48</v>
      </c>
      <c r="D83" s="3"/>
      <c r="E83" s="3"/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>
        <v>0.5</v>
      </c>
      <c r="W83" s="3">
        <v>0.95</v>
      </c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103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48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48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48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48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48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48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48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48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48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48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48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48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86">
    <cfRule type="expression" dxfId="0" priority="145">
      <formula>COUNTIF(G86:BE86,"&lt;&gt;" &amp; "")&gt;0</formula>
    </cfRule>
    <cfRule type="expression" dxfId="1" priority="146">
      <formula>AND(COUNTIF(G86:BE86,"&lt;&gt;" &amp; "")&gt;0,NOT(ISBLANK(E86)))</formula>
    </cfRule>
  </conditionalFormatting>
  <conditionalFormatting sqref="E87">
    <cfRule type="expression" dxfId="0" priority="147">
      <formula>COUNTIF(G87:BE87,"&lt;&gt;" &amp; "")&gt;0</formula>
    </cfRule>
    <cfRule type="expression" dxfId="1" priority="148">
      <formula>AND(COUNTIF(G87:BE87,"&lt;&gt;" &amp; "")&gt;0,NOT(ISBLANK(E87)))</formula>
    </cfRule>
  </conditionalFormatting>
  <conditionalFormatting sqref="E88">
    <cfRule type="expression" dxfId="0" priority="149">
      <formula>COUNTIF(G88:BE88,"&lt;&gt;" &amp; "")&gt;0</formula>
    </cfRule>
    <cfRule type="expression" dxfId="1" priority="150">
      <formula>AND(COUNTIF(G88:BE88,"&lt;&gt;" &amp; "")&gt;0,NOT(ISBLANK(E88)))</formula>
    </cfRule>
  </conditionalFormatting>
  <conditionalFormatting sqref="E89">
    <cfRule type="expression" dxfId="0" priority="151">
      <formula>COUNTIF(G89:BE89,"&lt;&gt;" &amp; "")&gt;0</formula>
    </cfRule>
    <cfRule type="expression" dxfId="1" priority="152">
      <formula>AND(COUNTIF(G89:BE89,"&lt;&gt;" &amp; "")&gt;0,NOT(ISBLANK(E89)))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conditionalFormatting sqref="E90">
    <cfRule type="expression" dxfId="0" priority="153">
      <formula>COUNTIF(G90:BE90,"&lt;&gt;" &amp; "")&gt;0</formula>
    </cfRule>
    <cfRule type="expression" dxfId="1" priority="154">
      <formula>AND(COUNTIF(G90:BE90,"&lt;&gt;" &amp; "")&gt;0,NOT(ISBLANK(E90)))</formula>
    </cfRule>
  </conditionalFormatting>
  <conditionalFormatting sqref="E91">
    <cfRule type="expression" dxfId="0" priority="155">
      <formula>COUNTIF(G91:BE91,"&lt;&gt;" &amp; "")&gt;0</formula>
    </cfRule>
    <cfRule type="expression" dxfId="1" priority="156">
      <formula>AND(COUNTIF(G91:BE91,"&lt;&gt;" &amp; "")&gt;0,NOT(ISBLANK(E91)))</formula>
    </cfRule>
  </conditionalFormatting>
  <conditionalFormatting sqref="E92">
    <cfRule type="expression" dxfId="0" priority="157">
      <formula>COUNTIF(G92:BE92,"&lt;&gt;" &amp; "")&gt;0</formula>
    </cfRule>
    <cfRule type="expression" dxfId="1" priority="158">
      <formula>AND(COUNTIF(G92:BE92,"&lt;&gt;" &amp; "")&gt;0,NOT(ISBLANK(E92)))</formula>
    </cfRule>
  </conditionalFormatting>
  <conditionalFormatting sqref="E93">
    <cfRule type="expression" dxfId="0" priority="159">
      <formula>COUNTIF(G93:BE93,"&lt;&gt;" &amp; "")&gt;0</formula>
    </cfRule>
    <cfRule type="expression" dxfId="1" priority="160">
      <formula>AND(COUNTIF(G93:BE93,"&lt;&gt;" &amp; "")&gt;0,NOT(ISBLANK(E93)))</formula>
    </cfRule>
  </conditionalFormatting>
  <conditionalFormatting sqref="E94">
    <cfRule type="expression" dxfId="0" priority="161">
      <formula>COUNTIF(G94:BE94,"&lt;&gt;" &amp; "")&gt;0</formula>
    </cfRule>
    <cfRule type="expression" dxfId="1" priority="162">
      <formula>AND(COUNTIF(G94:BE94,"&lt;&gt;" &amp; "")&gt;0,NOT(ISBLANK(E94)))</formula>
    </cfRule>
  </conditionalFormatting>
  <conditionalFormatting sqref="E95">
    <cfRule type="expression" dxfId="0" priority="163">
      <formula>COUNTIF(G95:BE95,"&lt;&gt;" &amp; "")&gt;0</formula>
    </cfRule>
    <cfRule type="expression" dxfId="1" priority="164">
      <formula>AND(COUNTIF(G95:BE95,"&lt;&gt;" &amp; "")&gt;0,NOT(ISBLANK(E95)))</formula>
    </cfRule>
  </conditionalFormatting>
  <conditionalFormatting sqref="E96">
    <cfRule type="expression" dxfId="0" priority="165">
      <formula>COUNTIF(G96:BE96,"&lt;&gt;" &amp; "")&gt;0</formula>
    </cfRule>
    <cfRule type="expression" dxfId="1" priority="166">
      <formula>AND(COUNTIF(G96:BE96,"&lt;&gt;" &amp; "")&gt;0,NOT(ISBLANK(E96)))</formula>
    </cfRule>
  </conditionalFormatting>
  <conditionalFormatting sqref="E97">
    <cfRule type="expression" dxfId="0" priority="167">
      <formula>COUNTIF(G97:BE97,"&lt;&gt;" &amp; "")&gt;0</formula>
    </cfRule>
    <cfRule type="expression" dxfId="1" priority="168">
      <formula>AND(COUNTIF(G97:BE97,"&lt;&gt;" &amp; "")&gt;0,NOT(ISBLANK(E97)))</formula>
    </cfRule>
  </conditionalFormatting>
  <dataValidations count="84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"Duration (years)"</formula1>
    </dataValidation>
    <dataValidation type="list" allowBlank="1" showInputMessage="1" showErrorMessage="1" sqref="C59">
      <formula1>"Duration (years)"</formula1>
    </dataValidation>
    <dataValidation type="list" allowBlank="1" showInputMessage="1" showErrorMessage="1" sqref="C60">
      <formula1>"Duration (years)"</formula1>
    </dataValidation>
    <dataValidation type="list" allowBlank="1" showInputMessage="1" showErrorMessage="1" sqref="C61">
      <formula1>"Duration (years)"</formula1>
    </dataValidation>
    <dataValidation type="list" allowBlank="1" showInputMessage="1" showErrorMessage="1" sqref="C62">
      <formula1>"Duration (years)"</formula1>
    </dataValidation>
    <dataValidation type="list" allowBlank="1" showInputMessage="1" showErrorMessage="1" sqref="C63">
      <formula1>"Duration (years)"</formula1>
    </dataValidation>
    <dataValidation type="list" allowBlank="1" showInputMessage="1" showErrorMessage="1" sqref="C64">
      <formula1>"Duration (years)"</formula1>
    </dataValidation>
    <dataValidation type="list" allowBlank="1" showInputMessage="1" showErrorMessage="1" sqref="C65">
      <formula1>"Duration (years)"</formula1>
    </dataValidation>
    <dataValidation type="list" allowBlank="1" showInputMessage="1" showErrorMessage="1" sqref="C66">
      <formula1>"Duration (years)"</formula1>
    </dataValidation>
    <dataValidation type="list" allowBlank="1" showInputMessage="1" showErrorMessage="1" sqref="C67">
      <formula1>"Duration (years)"</formula1>
    </dataValidation>
    <dataValidation type="list" allowBlank="1" showInputMessage="1" showErrorMessage="1" sqref="C68">
      <formula1>"Duration (years)"</formula1>
    </dataValidation>
    <dataValidation type="list" allowBlank="1" showInputMessage="1" showErrorMessage="1" sqref="C69">
      <formula1>"Duration (years)"</formula1>
    </dataValidation>
    <dataValidation type="list" allowBlank="1" showInputMessage="1" showErrorMessage="1" sqref="C72">
      <formula1>"Proportion"</formula1>
    </dataValidation>
    <dataValidation type="list" allowBlank="1" showInputMessage="1" showErrorMessage="1" sqref="C73">
      <formula1>"Proportion"</formula1>
    </dataValidation>
    <dataValidation type="list" allowBlank="1" showInputMessage="1" showErrorMessage="1" sqref="C74">
      <formula1>"Proportion"</formula1>
    </dataValidation>
    <dataValidation type="list" allowBlank="1" showInputMessage="1" showErrorMessage="1" sqref="C75">
      <formula1>"Proportion"</formula1>
    </dataValidation>
    <dataValidation type="list" allowBlank="1" showInputMessage="1" showErrorMessage="1" sqref="C76">
      <formula1>"Proportion"</formula1>
    </dataValidation>
    <dataValidation type="list" allowBlank="1" showInputMessage="1" showErrorMessage="1" sqref="C77">
      <formula1>"Proportion"</formula1>
    </dataValidation>
    <dataValidation type="list" allowBlank="1" showInputMessage="1" showErrorMessage="1" sqref="C78">
      <formula1>"Proportion"</formula1>
    </dataValidation>
    <dataValidation type="list" allowBlank="1" showInputMessage="1" showErrorMessage="1" sqref="C79">
      <formula1>"Proportion"</formula1>
    </dataValidation>
    <dataValidation type="list" allowBlank="1" showInputMessage="1" showErrorMessage="1" sqref="C80">
      <formula1>"Proportion"</formula1>
    </dataValidation>
    <dataValidation type="list" allowBlank="1" showInputMessage="1" showErrorMessage="1" sqref="C81">
      <formula1>"Proportion"</formula1>
    </dataValidation>
    <dataValidation type="list" allowBlank="1" showInputMessage="1" showErrorMessage="1" sqref="C82">
      <formula1>"Proportion"</formula1>
    </dataValidation>
    <dataValidation type="list" allowBlank="1" showInputMessage="1" showErrorMessage="1" sqref="C83">
      <formula1>"Proportion"</formula1>
    </dataValidation>
    <dataValidation type="list" allowBlank="1" showInputMessage="1" showErrorMessage="1" sqref="C86">
      <formula1>"Proportion"</formula1>
    </dataValidation>
    <dataValidation type="list" allowBlank="1" showInputMessage="1" showErrorMessage="1" sqref="C87">
      <formula1>"Proportion"</formula1>
    </dataValidation>
    <dataValidation type="list" allowBlank="1" showInputMessage="1" showErrorMessage="1" sqref="C88">
      <formula1>"Proportion"</formula1>
    </dataValidation>
    <dataValidation type="list" allowBlank="1" showInputMessage="1" showErrorMessage="1" sqref="C89">
      <formula1>"Proportion"</formula1>
    </dataValidation>
    <dataValidation type="list" allowBlank="1" showInputMessage="1" showErrorMessage="1" sqref="C90">
      <formula1>"Proportion"</formula1>
    </dataValidation>
    <dataValidation type="list" allowBlank="1" showInputMessage="1" showErrorMessage="1" sqref="C91">
      <formula1>"Proportion"</formula1>
    </dataValidation>
    <dataValidation type="list" allowBlank="1" showInputMessage="1" showErrorMessage="1" sqref="C92">
      <formula1>"Proportion"</formula1>
    </dataValidation>
    <dataValidation type="list" allowBlank="1" showInputMessage="1" showErrorMessage="1" sqref="C93">
      <formula1>"Proportion"</formula1>
    </dataValidation>
    <dataValidation type="list" allowBlank="1" showInputMessage="1" showErrorMessage="1" sqref="C94">
      <formula1>"Proportion"</formula1>
    </dataValidation>
    <dataValidation type="list" allowBlank="1" showInputMessage="1" showErrorMessage="1" sqref="C95">
      <formula1>"Proportion"</formula1>
    </dataValidation>
    <dataValidation type="list" allowBlank="1" showInputMessage="1" showErrorMessage="1" sqref="C96">
      <formula1>"Proportion"</formula1>
    </dataValidation>
    <dataValidation type="list" allowBlank="1" showInputMessage="1" showErrorMessage="1" sqref="C97">
      <formula1>"Proportion"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sheetPr>
    <tabColor rgb="FF808080"/>
  </sheetPr>
  <dimension ref="A1:BE55"/>
  <sheetViews>
    <sheetView workbookViewId="0"/>
  </sheetViews>
  <sheetFormatPr defaultRowHeight="15"/>
  <cols>
    <col min="1" max="1" width="49" customWidth="1"/>
    <col min="2" max="2" width="30.28515625" customWidth="1"/>
    <col min="3" max="3" width="19.285156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104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C2" t="s">
        <v>53</v>
      </c>
      <c r="D2" s="3"/>
      <c r="E2" s="3">
        <v>0.45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C3" t="s">
        <v>53</v>
      </c>
      <c r="D3" s="3"/>
      <c r="E3" s="3">
        <v>0.45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C4" t="s">
        <v>53</v>
      </c>
      <c r="D4" s="3"/>
      <c r="E4" s="3">
        <v>0.45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C5" t="s">
        <v>53</v>
      </c>
      <c r="D5" s="3"/>
      <c r="E5" s="3">
        <v>0.45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C6" t="s">
        <v>53</v>
      </c>
      <c r="D6" s="3"/>
      <c r="E6" s="3">
        <v>0.45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C7" t="s">
        <v>53</v>
      </c>
      <c r="D7" s="3"/>
      <c r="E7" s="3">
        <v>0.45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C8" t="s">
        <v>53</v>
      </c>
      <c r="D8" s="3"/>
      <c r="E8" s="3">
        <v>0.45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C9" t="s">
        <v>53</v>
      </c>
      <c r="D9" s="3"/>
      <c r="E9" s="3">
        <v>0.45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C10" t="s">
        <v>53</v>
      </c>
      <c r="D10" s="3"/>
      <c r="E10" s="3">
        <v>0.45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C11" t="s">
        <v>53</v>
      </c>
      <c r="D11" s="3"/>
      <c r="E11" s="3">
        <v>0.45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C12" t="s">
        <v>53</v>
      </c>
      <c r="D12" s="3"/>
      <c r="E12" s="3">
        <v>0.45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C13" t="s">
        <v>53</v>
      </c>
      <c r="D13" s="3"/>
      <c r="E13" s="3">
        <v>0.45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105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53</v>
      </c>
      <c r="D16" s="3"/>
      <c r="E16" s="3">
        <v>0.328548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53</v>
      </c>
      <c r="D17" s="3"/>
      <c r="E17" s="3">
        <v>0.328548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53</v>
      </c>
      <c r="D18" s="3"/>
      <c r="E18" s="3">
        <v>0.328548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53</v>
      </c>
      <c r="D19" s="3"/>
      <c r="E19" s="3">
        <v>0.328548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53</v>
      </c>
      <c r="D20" s="3"/>
      <c r="E20" s="3">
        <v>0.328548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53</v>
      </c>
      <c r="D21" s="3"/>
      <c r="E21" s="3">
        <v>0.328548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53</v>
      </c>
      <c r="D22" s="3"/>
      <c r="E22" s="3">
        <v>0.328548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53</v>
      </c>
      <c r="D23" s="3"/>
      <c r="E23" s="3">
        <v>0.328548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53</v>
      </c>
      <c r="D24" s="3"/>
      <c r="E24" s="3">
        <v>0.328548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53</v>
      </c>
      <c r="D25" s="3"/>
      <c r="E25" s="3">
        <v>0.328548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53</v>
      </c>
      <c r="D26" s="3"/>
      <c r="E26" s="3">
        <v>0.328548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53</v>
      </c>
      <c r="D27" s="3"/>
      <c r="E27" s="3">
        <v>0.328548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106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62</v>
      </c>
      <c r="D30" s="3"/>
      <c r="E30" s="3">
        <v>1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62</v>
      </c>
      <c r="D31" s="3"/>
      <c r="E31" s="3">
        <v>1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62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62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62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62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62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62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62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62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62</v>
      </c>
      <c r="D40" s="3"/>
      <c r="E40" s="3">
        <v>1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62</v>
      </c>
      <c r="D41" s="3"/>
      <c r="E41" s="3">
        <v>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107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48">
    <dataValidation type="list" allowBlank="1" showInputMessage="1" showErrorMessage="1" sqref="C2">
      <formula1>"Rate (per year)"</formula1>
    </dataValidation>
    <dataValidation type="list" allowBlank="1" showInputMessage="1" showErrorMessage="1" sqref="C3">
      <formula1>"Rate (per year)"</formula1>
    </dataValidation>
    <dataValidation type="list" allowBlank="1" showInputMessage="1" showErrorMessage="1" sqref="C4">
      <formula1>"Rate (per year)"</formula1>
    </dataValidation>
    <dataValidation type="list" allowBlank="1" showInputMessage="1" showErrorMessage="1" sqref="C5">
      <formula1>"Rate (per year)"</formula1>
    </dataValidation>
    <dataValidation type="list" allowBlank="1" showInputMessage="1" showErrorMessage="1" sqref="C6">
      <formula1>"Rate (per year)"</formula1>
    </dataValidation>
    <dataValidation type="list" allowBlank="1" showInputMessage="1" showErrorMessage="1" sqref="C7">
      <formula1>"Rate (per year)"</formula1>
    </dataValidation>
    <dataValidation type="list" allowBlank="1" showInputMessage="1" showErrorMessage="1" sqref="C8">
      <formula1>"Rate (per year)"</formula1>
    </dataValidation>
    <dataValidation type="list" allowBlank="1" showInputMessage="1" showErrorMessage="1" sqref="C9">
      <formula1>"Rate (per year)"</formula1>
    </dataValidation>
    <dataValidation type="list" allowBlank="1" showInputMessage="1" showErrorMessage="1" sqref="C10">
      <formula1>"Rate (per year)"</formula1>
    </dataValidation>
    <dataValidation type="list" allowBlank="1" showInputMessage="1" showErrorMessage="1" sqref="C11">
      <formula1>"Rate (per year)"</formula1>
    </dataValidation>
    <dataValidation type="list" allowBlank="1" showInputMessage="1" showErrorMessage="1" sqref="C12">
      <formula1>"Rate (per year)"</formula1>
    </dataValidation>
    <dataValidation type="list" allowBlank="1" showInputMessage="1" showErrorMessage="1" sqref="C13">
      <formula1>"Rate (per year)"</formula1>
    </dataValidation>
    <dataValidation type="list" allowBlank="1" showInputMessage="1" showErrorMessage="1" sqref="C16">
      <formula1>"Rate (per year)"</formula1>
    </dataValidation>
    <dataValidation type="list" allowBlank="1" showInputMessage="1" showErrorMessage="1" sqref="C17">
      <formula1>"Rate (per year)"</formula1>
    </dataValidation>
    <dataValidation type="list" allowBlank="1" showInputMessage="1" showErrorMessage="1" sqref="C18">
      <formula1>"Rate (per year)"</formula1>
    </dataValidation>
    <dataValidation type="list" allowBlank="1" showInputMessage="1" showErrorMessage="1" sqref="C19">
      <formula1>"Rate (per year)"</formula1>
    </dataValidation>
    <dataValidation type="list" allowBlank="1" showInputMessage="1" showErrorMessage="1" sqref="C20">
      <formula1>"Rate (per year)"</formula1>
    </dataValidation>
    <dataValidation type="list" allowBlank="1" showInputMessage="1" showErrorMessage="1" sqref="C21">
      <formula1>"Rate (per year)"</formula1>
    </dataValidation>
    <dataValidation type="list" allowBlank="1" showInputMessage="1" showErrorMessage="1" sqref="C22">
      <formula1>"Rate (per year)"</formula1>
    </dataValidation>
    <dataValidation type="list" allowBlank="1" showInputMessage="1" showErrorMessage="1" sqref="C23">
      <formula1>"Rate (per year)"</formula1>
    </dataValidation>
    <dataValidation type="list" allowBlank="1" showInputMessage="1" showErrorMessage="1" sqref="C24">
      <formula1>"Rate (per year)"</formula1>
    </dataValidation>
    <dataValidation type="list" allowBlank="1" showInputMessage="1" showErrorMessage="1" sqref="C25">
      <formula1>"Rate (per year)"</formula1>
    </dataValidation>
    <dataValidation type="list" allowBlank="1" showInputMessage="1" showErrorMessage="1" sqref="C26">
      <formula1>"Rate (per year)"</formula1>
    </dataValidation>
    <dataValidation type="list" allowBlank="1" showInputMessage="1" showErrorMessage="1" sqref="C27">
      <formula1>"Rate (per year)"</formula1>
    </dataValidation>
    <dataValidation type="list" allowBlank="1" showInputMessage="1" showErrorMessage="1" sqref="C30">
      <formula1>"Duration (years)"</formula1>
    </dataValidation>
    <dataValidation type="list" allowBlank="1" showInputMessage="1" showErrorMessage="1" sqref="C31">
      <formula1>"Duration (years)"</formula1>
    </dataValidation>
    <dataValidation type="list" allowBlank="1" showInputMessage="1" showErrorMessage="1" sqref="C32">
      <formula1>"Duration (years)"</formula1>
    </dataValidation>
    <dataValidation type="list" allowBlank="1" showInputMessage="1" showErrorMessage="1" sqref="C33">
      <formula1>"Duration (years)"</formula1>
    </dataValidation>
    <dataValidation type="list" allowBlank="1" showInputMessage="1" showErrorMessage="1" sqref="C34">
      <formula1>"Duration (years)"</formula1>
    </dataValidation>
    <dataValidation type="list" allowBlank="1" showInputMessage="1" showErrorMessage="1" sqref="C35">
      <formula1>"Duration (years)"</formula1>
    </dataValidation>
    <dataValidation type="list" allowBlank="1" showInputMessage="1" showErrorMessage="1" sqref="C36">
      <formula1>"Duration (years)"</formula1>
    </dataValidation>
    <dataValidation type="list" allowBlank="1" showInputMessage="1" showErrorMessage="1" sqref="C37">
      <formula1>"Duration (years)"</formula1>
    </dataValidation>
    <dataValidation type="list" allowBlank="1" showInputMessage="1" showErrorMessage="1" sqref="C38">
      <formula1>"Duration (years)"</formula1>
    </dataValidation>
    <dataValidation type="list" allowBlank="1" showInputMessage="1" showErrorMessage="1" sqref="C39">
      <formula1>"Duration (years)"</formula1>
    </dataValidation>
    <dataValidation type="list" allowBlank="1" showInputMessage="1" showErrorMessage="1" sqref="C40">
      <formula1>"Duration (years)"</formula1>
    </dataValidation>
    <dataValidation type="list" allowBlank="1" showInputMessage="1" showErrorMessage="1" sqref="C41">
      <formula1>"Duration (years)"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sheetPr>
    <tabColor rgb="FF808080"/>
  </sheetPr>
  <dimension ref="A1:BE254"/>
  <sheetViews>
    <sheetView workbookViewId="0"/>
  </sheetViews>
  <sheetFormatPr defaultRowHeight="15"/>
  <cols>
    <col min="1" max="1" width="104" customWidth="1"/>
    <col min="2" max="2" width="12.7109375" customWidth="1"/>
    <col min="3" max="3" width="10.57031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108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34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34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34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34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34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34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34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34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34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34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34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34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4" spans="1:57">
      <c r="A14" s="1" t="s">
        <v>109</v>
      </c>
      <c r="C14" t="s">
        <v>34</v>
      </c>
      <c r="D14" s="3"/>
      <c r="E14" s="3">
        <v>0.03128252062736936</v>
      </c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>
        <v>0.09384756188210808</v>
      </c>
      <c r="U14" s="3">
        <v>0.0979891650756352</v>
      </c>
      <c r="V14" s="3">
        <v>0.1033477123661375</v>
      </c>
      <c r="W14" s="3">
        <v>0.1058535837182738</v>
      </c>
      <c r="X14" s="3">
        <v>0.1074570191536748</v>
      </c>
      <c r="Y14" s="3">
        <v>0.1092441208099274</v>
      </c>
      <c r="Z14" s="3">
        <v>0.1061357705394147</v>
      </c>
      <c r="AA14" s="3">
        <v>0.1012947382209147</v>
      </c>
      <c r="AB14" s="3">
        <v>0.09812150244386202</v>
      </c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  <c r="AR14" s="3"/>
      <c r="AS14" s="3"/>
      <c r="AT14" s="3"/>
      <c r="AU14" s="3"/>
      <c r="AV14" s="3"/>
      <c r="AW14" s="3"/>
      <c r="AX14" s="3"/>
      <c r="AY14" s="3"/>
      <c r="AZ14" s="3"/>
      <c r="BA14" s="3"/>
      <c r="BB14" s="3"/>
      <c r="BC14" s="3"/>
    </row>
    <row r="16" spans="1:57">
      <c r="A16" s="1" t="s">
        <v>110</v>
      </c>
      <c r="B16" s="1" t="s">
        <v>29</v>
      </c>
      <c r="C16" s="1" t="s">
        <v>30</v>
      </c>
      <c r="D16" s="1" t="s">
        <v>31</v>
      </c>
      <c r="E16" s="1" t="s">
        <v>36</v>
      </c>
      <c r="F16" s="1"/>
      <c r="G16" s="1">
        <v>2000</v>
      </c>
      <c r="H16" s="1">
        <v>2001</v>
      </c>
      <c r="I16" s="1">
        <v>2002</v>
      </c>
      <c r="J16" s="1">
        <v>2003</v>
      </c>
      <c r="K16" s="1">
        <v>2004</v>
      </c>
      <c r="L16" s="1">
        <v>2005</v>
      </c>
      <c r="M16" s="1">
        <v>2006</v>
      </c>
      <c r="N16" s="1">
        <v>2007</v>
      </c>
      <c r="O16" s="1">
        <v>2008</v>
      </c>
      <c r="P16" s="1">
        <v>2009</v>
      </c>
      <c r="Q16" s="1">
        <v>2010</v>
      </c>
      <c r="R16" s="1">
        <v>2011</v>
      </c>
      <c r="S16" s="1">
        <v>2012</v>
      </c>
      <c r="T16" s="1">
        <v>2013</v>
      </c>
      <c r="U16" s="1">
        <v>2014</v>
      </c>
      <c r="V16" s="1">
        <v>2015</v>
      </c>
      <c r="W16" s="1">
        <v>2016</v>
      </c>
      <c r="X16" s="1">
        <v>2017</v>
      </c>
      <c r="Y16" s="1">
        <v>2018</v>
      </c>
      <c r="Z16" s="1">
        <v>2019</v>
      </c>
      <c r="AA16" s="1">
        <v>2020</v>
      </c>
      <c r="AB16" s="1">
        <v>2021</v>
      </c>
      <c r="AC16" s="1">
        <v>2022</v>
      </c>
      <c r="AD16" s="1">
        <v>2023</v>
      </c>
      <c r="AE16" s="1">
        <v>2024</v>
      </c>
      <c r="AF16" s="1">
        <v>2025</v>
      </c>
      <c r="AG16" s="1">
        <v>2026</v>
      </c>
      <c r="AH16" s="1">
        <v>2027</v>
      </c>
      <c r="AI16" s="1">
        <v>2028</v>
      </c>
      <c r="AJ16" s="1">
        <v>2029</v>
      </c>
      <c r="AK16" s="1">
        <v>2030</v>
      </c>
      <c r="AL16" s="1">
        <v>2031</v>
      </c>
      <c r="AM16" s="1">
        <v>2032</v>
      </c>
      <c r="AN16" s="1">
        <v>2033</v>
      </c>
      <c r="AO16" s="1">
        <v>2034</v>
      </c>
      <c r="AP16" s="1">
        <v>2035</v>
      </c>
      <c r="AQ16" s="1">
        <v>2036</v>
      </c>
      <c r="AR16" s="1">
        <v>2037</v>
      </c>
      <c r="AS16" s="1">
        <v>2038</v>
      </c>
      <c r="AT16" s="1">
        <v>2039</v>
      </c>
      <c r="AU16" s="1">
        <v>2040</v>
      </c>
      <c r="AV16" s="1">
        <v>2041</v>
      </c>
      <c r="AW16" s="1">
        <v>2042</v>
      </c>
      <c r="AX16" s="1">
        <v>2043</v>
      </c>
      <c r="AY16" s="1">
        <v>2044</v>
      </c>
      <c r="AZ16" s="1">
        <v>2045</v>
      </c>
      <c r="BA16" s="1">
        <v>2046</v>
      </c>
      <c r="BB16" s="1">
        <v>2047</v>
      </c>
      <c r="BC16" s="1">
        <v>2048</v>
      </c>
      <c r="BD16" s="1">
        <v>2049</v>
      </c>
      <c r="BE16" s="1">
        <v>2050</v>
      </c>
    </row>
    <row r="17" spans="1:57">
      <c r="A17" s="1" t="str">
        <f>'Population Definitions'!$A$2</f>
        <v>PWID_males</v>
      </c>
      <c r="C17" t="s">
        <v>32</v>
      </c>
      <c r="D17" s="3"/>
      <c r="E17" s="3"/>
      <c r="F17" s="4" t="s">
        <v>37</v>
      </c>
      <c r="G17" s="3">
        <v>0</v>
      </c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Definitions'!$A$3</f>
        <v>PWID_females</v>
      </c>
      <c r="C18" t="s">
        <v>32</v>
      </c>
      <c r="D18" s="3"/>
      <c r="E18" s="3"/>
      <c r="F18" s="4" t="s">
        <v>37</v>
      </c>
      <c r="G18" s="3">
        <v>0</v>
      </c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Definitions'!$A$4</f>
        <v>0-9_males</v>
      </c>
      <c r="C19" t="s">
        <v>32</v>
      </c>
      <c r="D19" s="3"/>
      <c r="E19" s="3"/>
      <c r="F19" s="4" t="s">
        <v>37</v>
      </c>
      <c r="G19" s="3">
        <v>0</v>
      </c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Definitions'!$A$5</f>
        <v>0-9_females</v>
      </c>
      <c r="C20" t="s">
        <v>32</v>
      </c>
      <c r="D20" s="3"/>
      <c r="E20" s="3"/>
      <c r="F20" s="4" t="s">
        <v>37</v>
      </c>
      <c r="G20" s="3">
        <v>0</v>
      </c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Definitions'!$A$6</f>
        <v>10-17_males</v>
      </c>
      <c r="C21" t="s">
        <v>32</v>
      </c>
      <c r="D21" s="3"/>
      <c r="E21" s="3"/>
      <c r="F21" s="4" t="s">
        <v>37</v>
      </c>
      <c r="G21" s="3">
        <v>0</v>
      </c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Definitions'!$A$7</f>
        <v>10-17_females</v>
      </c>
      <c r="C22" t="s">
        <v>32</v>
      </c>
      <c r="D22" s="3"/>
      <c r="E22" s="3"/>
      <c r="F22" s="4" t="s">
        <v>37</v>
      </c>
      <c r="G22" s="3">
        <v>0</v>
      </c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Definitions'!$A$8</f>
        <v>18-64_males</v>
      </c>
      <c r="C23" t="s">
        <v>32</v>
      </c>
      <c r="D23" s="3"/>
      <c r="E23" s="3"/>
      <c r="F23" s="4" t="s">
        <v>37</v>
      </c>
      <c r="G23" s="3">
        <v>0</v>
      </c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Definitions'!$A$9</f>
        <v>18-64_females</v>
      </c>
      <c r="C24" t="s">
        <v>32</v>
      </c>
      <c r="D24" s="3"/>
      <c r="E24" s="3"/>
      <c r="F24" s="4" t="s">
        <v>37</v>
      </c>
      <c r="G24" s="3">
        <v>0</v>
      </c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Definitions'!$A$10</f>
        <v>65+_males</v>
      </c>
      <c r="C25" t="s">
        <v>32</v>
      </c>
      <c r="D25" s="3"/>
      <c r="E25" s="3"/>
      <c r="F25" s="4" t="s">
        <v>37</v>
      </c>
      <c r="G25" s="3">
        <v>0</v>
      </c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Definitions'!$A$11</f>
        <v>65+_females</v>
      </c>
      <c r="C26" t="s">
        <v>32</v>
      </c>
      <c r="D26" s="3"/>
      <c r="E26" s="3"/>
      <c r="F26" s="4" t="s">
        <v>37</v>
      </c>
      <c r="G26" s="3">
        <v>0</v>
      </c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Definitions'!$A$12</f>
        <v>Prisoners_males</v>
      </c>
      <c r="C27" t="s">
        <v>32</v>
      </c>
      <c r="D27" s="3"/>
      <c r="E27" s="3"/>
      <c r="F27" s="4" t="s">
        <v>37</v>
      </c>
      <c r="G27" s="3">
        <v>0</v>
      </c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8" spans="1:57">
      <c r="A28" s="1" t="str">
        <f>'Population Definitions'!$A$13</f>
        <v>Prisoners_females</v>
      </c>
      <c r="C28" t="s">
        <v>32</v>
      </c>
      <c r="D28" s="3"/>
      <c r="E28" s="3"/>
      <c r="F28" s="4" t="s">
        <v>37</v>
      </c>
      <c r="G28" s="3">
        <v>0</v>
      </c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</row>
    <row r="29" spans="1:57">
      <c r="A29" s="1" t="s">
        <v>109</v>
      </c>
      <c r="C29" t="s">
        <v>32</v>
      </c>
      <c r="D29" s="3"/>
      <c r="E29" s="3"/>
      <c r="F29" s="4" t="s">
        <v>37</v>
      </c>
      <c r="G29" s="3">
        <v>44.147</v>
      </c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>
        <v>44.147</v>
      </c>
      <c r="V29" s="3">
        <v>132.441</v>
      </c>
      <c r="W29" s="3">
        <v>10</v>
      </c>
      <c r="X29" s="3">
        <v>432.71</v>
      </c>
      <c r="Y29" s="3">
        <v>833.5</v>
      </c>
      <c r="Z29" s="3">
        <v>833.5</v>
      </c>
      <c r="AA29" s="3">
        <v>2552</v>
      </c>
      <c r="AB29" s="3">
        <v>3253</v>
      </c>
      <c r="AC29" s="3">
        <v>2829</v>
      </c>
      <c r="AD29" s="3">
        <v>2829</v>
      </c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</row>
    <row r="31" spans="1:57">
      <c r="A31" s="1" t="s">
        <v>111</v>
      </c>
      <c r="B31" s="1" t="s">
        <v>29</v>
      </c>
      <c r="C31" s="1" t="s">
        <v>30</v>
      </c>
      <c r="D31" s="1" t="s">
        <v>31</v>
      </c>
      <c r="E31" s="1" t="s">
        <v>36</v>
      </c>
      <c r="F31" s="1"/>
      <c r="G31" s="1">
        <v>2000</v>
      </c>
      <c r="H31" s="1">
        <v>2001</v>
      </c>
      <c r="I31" s="1">
        <v>2002</v>
      </c>
      <c r="J31" s="1">
        <v>2003</v>
      </c>
      <c r="K31" s="1">
        <v>2004</v>
      </c>
      <c r="L31" s="1">
        <v>2005</v>
      </c>
      <c r="M31" s="1">
        <v>2006</v>
      </c>
      <c r="N31" s="1">
        <v>2007</v>
      </c>
      <c r="O31" s="1">
        <v>2008</v>
      </c>
      <c r="P31" s="1">
        <v>2009</v>
      </c>
      <c r="Q31" s="1">
        <v>2010</v>
      </c>
      <c r="R31" s="1">
        <v>2011</v>
      </c>
      <c r="S31" s="1">
        <v>2012</v>
      </c>
      <c r="T31" s="1">
        <v>2013</v>
      </c>
      <c r="U31" s="1">
        <v>2014</v>
      </c>
      <c r="V31" s="1">
        <v>2015</v>
      </c>
      <c r="W31" s="1">
        <v>2016</v>
      </c>
      <c r="X31" s="1">
        <v>2017</v>
      </c>
      <c r="Y31" s="1">
        <v>2018</v>
      </c>
      <c r="Z31" s="1">
        <v>2019</v>
      </c>
      <c r="AA31" s="1">
        <v>2020</v>
      </c>
      <c r="AB31" s="1">
        <v>2021</v>
      </c>
      <c r="AC31" s="1">
        <v>2022</v>
      </c>
      <c r="AD31" s="1">
        <v>2023</v>
      </c>
      <c r="AE31" s="1">
        <v>2024</v>
      </c>
      <c r="AF31" s="1">
        <v>2025</v>
      </c>
      <c r="AG31" s="1">
        <v>2026</v>
      </c>
      <c r="AH31" s="1">
        <v>2027</v>
      </c>
      <c r="AI31" s="1">
        <v>2028</v>
      </c>
      <c r="AJ31" s="1">
        <v>2029</v>
      </c>
      <c r="AK31" s="1">
        <v>2030</v>
      </c>
      <c r="AL31" s="1">
        <v>2031</v>
      </c>
      <c r="AM31" s="1">
        <v>2032</v>
      </c>
      <c r="AN31" s="1">
        <v>2033</v>
      </c>
      <c r="AO31" s="1">
        <v>2034</v>
      </c>
      <c r="AP31" s="1">
        <v>2035</v>
      </c>
      <c r="AQ31" s="1">
        <v>2036</v>
      </c>
      <c r="AR31" s="1">
        <v>2037</v>
      </c>
      <c r="AS31" s="1">
        <v>2038</v>
      </c>
      <c r="AT31" s="1">
        <v>2039</v>
      </c>
      <c r="AU31" s="1">
        <v>2040</v>
      </c>
      <c r="AV31" s="1">
        <v>2041</v>
      </c>
      <c r="AW31" s="1">
        <v>2042</v>
      </c>
      <c r="AX31" s="1">
        <v>2043</v>
      </c>
      <c r="AY31" s="1">
        <v>2044</v>
      </c>
      <c r="AZ31" s="1">
        <v>2045</v>
      </c>
      <c r="BA31" s="1">
        <v>2046</v>
      </c>
      <c r="BB31" s="1">
        <v>2047</v>
      </c>
      <c r="BC31" s="1">
        <v>2048</v>
      </c>
      <c r="BD31" s="1">
        <v>2049</v>
      </c>
      <c r="BE31" s="1">
        <v>2050</v>
      </c>
    </row>
    <row r="32" spans="1:57">
      <c r="A32" s="1" t="str">
        <f>'Population Definitions'!$A$2</f>
        <v>PWID_males</v>
      </c>
      <c r="C32" t="s">
        <v>32</v>
      </c>
      <c r="D32" s="3"/>
      <c r="E32" s="3"/>
      <c r="F32" s="4" t="s">
        <v>37</v>
      </c>
      <c r="G32" s="3">
        <v>0</v>
      </c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Definitions'!$A$3</f>
        <v>PWID_females</v>
      </c>
      <c r="C33" t="s">
        <v>32</v>
      </c>
      <c r="D33" s="3"/>
      <c r="E33" s="3"/>
      <c r="F33" s="4" t="s">
        <v>37</v>
      </c>
      <c r="G33" s="3">
        <v>0</v>
      </c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Definitions'!$A$4</f>
        <v>0-9_males</v>
      </c>
      <c r="C34" t="s">
        <v>32</v>
      </c>
      <c r="D34" s="3"/>
      <c r="E34" s="3"/>
      <c r="F34" s="4" t="s">
        <v>37</v>
      </c>
      <c r="G34" s="3">
        <v>0</v>
      </c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Definitions'!$A$5</f>
        <v>0-9_females</v>
      </c>
      <c r="C35" t="s">
        <v>32</v>
      </c>
      <c r="D35" s="3"/>
      <c r="E35" s="3"/>
      <c r="F35" s="4" t="s">
        <v>37</v>
      </c>
      <c r="G35" s="3">
        <v>0</v>
      </c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Definitions'!$A$6</f>
        <v>10-17_males</v>
      </c>
      <c r="C36" t="s">
        <v>32</v>
      </c>
      <c r="D36" s="3"/>
      <c r="E36" s="3"/>
      <c r="F36" s="4" t="s">
        <v>37</v>
      </c>
      <c r="G36" s="3">
        <v>0</v>
      </c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Definitions'!$A$7</f>
        <v>10-17_females</v>
      </c>
      <c r="C37" t="s">
        <v>32</v>
      </c>
      <c r="D37" s="3"/>
      <c r="E37" s="3"/>
      <c r="F37" s="4" t="s">
        <v>37</v>
      </c>
      <c r="G37" s="3">
        <v>0</v>
      </c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Definitions'!$A$8</f>
        <v>18-64_males</v>
      </c>
      <c r="C38" t="s">
        <v>32</v>
      </c>
      <c r="D38" s="3"/>
      <c r="E38" s="3"/>
      <c r="F38" s="4" t="s">
        <v>37</v>
      </c>
      <c r="G38" s="3">
        <v>0</v>
      </c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Definitions'!$A$9</f>
        <v>18-64_females</v>
      </c>
      <c r="C39" t="s">
        <v>32</v>
      </c>
      <c r="D39" s="3"/>
      <c r="E39" s="3"/>
      <c r="F39" s="4" t="s">
        <v>37</v>
      </c>
      <c r="G39" s="3">
        <v>0</v>
      </c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Definitions'!$A$10</f>
        <v>65+_males</v>
      </c>
      <c r="C40" t="s">
        <v>32</v>
      </c>
      <c r="D40" s="3"/>
      <c r="E40" s="3"/>
      <c r="F40" s="4" t="s">
        <v>37</v>
      </c>
      <c r="G40" s="3">
        <v>0</v>
      </c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Definitions'!$A$11</f>
        <v>65+_females</v>
      </c>
      <c r="C41" t="s">
        <v>32</v>
      </c>
      <c r="D41" s="3"/>
      <c r="E41" s="3"/>
      <c r="F41" s="4" t="s">
        <v>37</v>
      </c>
      <c r="G41" s="3">
        <v>0</v>
      </c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2" spans="1:57">
      <c r="A42" s="1" t="str">
        <f>'Population Definitions'!$A$12</f>
        <v>Prisoners_males</v>
      </c>
      <c r="C42" t="s">
        <v>32</v>
      </c>
      <c r="D42" s="3"/>
      <c r="E42" s="3"/>
      <c r="F42" s="4" t="s">
        <v>37</v>
      </c>
      <c r="G42" s="3">
        <v>0</v>
      </c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</row>
    <row r="43" spans="1:57">
      <c r="A43" s="1" t="str">
        <f>'Population Definitions'!$A$13</f>
        <v>Prisoners_females</v>
      </c>
      <c r="C43" t="s">
        <v>32</v>
      </c>
      <c r="D43" s="3"/>
      <c r="E43" s="3"/>
      <c r="F43" s="4" t="s">
        <v>37</v>
      </c>
      <c r="G43" s="3">
        <v>0</v>
      </c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</row>
    <row r="44" spans="1:57">
      <c r="A44" s="1" t="s">
        <v>109</v>
      </c>
      <c r="C44" t="s">
        <v>32</v>
      </c>
      <c r="D44" s="3"/>
      <c r="E44" s="3"/>
      <c r="F44" s="4" t="s">
        <v>37</v>
      </c>
      <c r="G44" s="3">
        <v>0</v>
      </c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6" spans="1:57">
      <c r="A46" s="1" t="s">
        <v>112</v>
      </c>
      <c r="B46" s="1" t="s">
        <v>29</v>
      </c>
      <c r="C46" s="1" t="s">
        <v>30</v>
      </c>
      <c r="D46" s="1" t="s">
        <v>31</v>
      </c>
      <c r="E46" s="1" t="s">
        <v>36</v>
      </c>
      <c r="F46" s="1"/>
      <c r="G46" s="1">
        <v>2000</v>
      </c>
      <c r="H46" s="1">
        <v>2001</v>
      </c>
      <c r="I46" s="1">
        <v>2002</v>
      </c>
      <c r="J46" s="1">
        <v>2003</v>
      </c>
      <c r="K46" s="1">
        <v>2004</v>
      </c>
      <c r="L46" s="1">
        <v>2005</v>
      </c>
      <c r="M46" s="1">
        <v>2006</v>
      </c>
      <c r="N46" s="1">
        <v>2007</v>
      </c>
      <c r="O46" s="1">
        <v>2008</v>
      </c>
      <c r="P46" s="1">
        <v>2009</v>
      </c>
      <c r="Q46" s="1">
        <v>2010</v>
      </c>
      <c r="R46" s="1">
        <v>2011</v>
      </c>
      <c r="S46" s="1">
        <v>2012</v>
      </c>
      <c r="T46" s="1">
        <v>2013</v>
      </c>
      <c r="U46" s="1">
        <v>2014</v>
      </c>
      <c r="V46" s="1">
        <v>2015</v>
      </c>
      <c r="W46" s="1">
        <v>2016</v>
      </c>
      <c r="X46" s="1">
        <v>2017</v>
      </c>
      <c r="Y46" s="1">
        <v>2018</v>
      </c>
      <c r="Z46" s="1">
        <v>2019</v>
      </c>
      <c r="AA46" s="1">
        <v>2020</v>
      </c>
      <c r="AB46" s="1">
        <v>2021</v>
      </c>
      <c r="AC46" s="1">
        <v>2022</v>
      </c>
      <c r="AD46" s="1">
        <v>2023</v>
      </c>
      <c r="AE46" s="1">
        <v>2024</v>
      </c>
      <c r="AF46" s="1">
        <v>2025</v>
      </c>
      <c r="AG46" s="1">
        <v>2026</v>
      </c>
      <c r="AH46" s="1">
        <v>2027</v>
      </c>
      <c r="AI46" s="1">
        <v>2028</v>
      </c>
      <c r="AJ46" s="1">
        <v>2029</v>
      </c>
      <c r="AK46" s="1">
        <v>2030</v>
      </c>
      <c r="AL46" s="1">
        <v>2031</v>
      </c>
      <c r="AM46" s="1">
        <v>2032</v>
      </c>
      <c r="AN46" s="1">
        <v>2033</v>
      </c>
      <c r="AO46" s="1">
        <v>2034</v>
      </c>
      <c r="AP46" s="1">
        <v>2035</v>
      </c>
      <c r="AQ46" s="1">
        <v>2036</v>
      </c>
      <c r="AR46" s="1">
        <v>2037</v>
      </c>
      <c r="AS46" s="1">
        <v>2038</v>
      </c>
      <c r="AT46" s="1">
        <v>2039</v>
      </c>
      <c r="AU46" s="1">
        <v>2040</v>
      </c>
      <c r="AV46" s="1">
        <v>2041</v>
      </c>
      <c r="AW46" s="1">
        <v>2042</v>
      </c>
      <c r="AX46" s="1">
        <v>2043</v>
      </c>
      <c r="AY46" s="1">
        <v>2044</v>
      </c>
      <c r="AZ46" s="1">
        <v>2045</v>
      </c>
      <c r="BA46" s="1">
        <v>2046</v>
      </c>
      <c r="BB46" s="1">
        <v>2047</v>
      </c>
      <c r="BC46" s="1">
        <v>2048</v>
      </c>
      <c r="BD46" s="1">
        <v>2049</v>
      </c>
      <c r="BE46" s="1">
        <v>2050</v>
      </c>
    </row>
    <row r="47" spans="1:57">
      <c r="A47" s="1" t="str">
        <f>'Population Definitions'!$A$2</f>
        <v>PWID_males</v>
      </c>
      <c r="C47" t="s">
        <v>32</v>
      </c>
      <c r="D47" s="3"/>
      <c r="E47" s="3"/>
      <c r="F47" s="4" t="s">
        <v>37</v>
      </c>
      <c r="G47" s="3">
        <v>0</v>
      </c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Definitions'!$A$3</f>
        <v>PWID_females</v>
      </c>
      <c r="C48" t="s">
        <v>32</v>
      </c>
      <c r="D48" s="3"/>
      <c r="E48" s="3"/>
      <c r="F48" s="4" t="s">
        <v>37</v>
      </c>
      <c r="G48" s="3">
        <v>0</v>
      </c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Definitions'!$A$4</f>
        <v>0-9_males</v>
      </c>
      <c r="C49" t="s">
        <v>32</v>
      </c>
      <c r="D49" s="3"/>
      <c r="E49" s="3"/>
      <c r="F49" s="4" t="s">
        <v>37</v>
      </c>
      <c r="G49" s="3">
        <v>0</v>
      </c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Definitions'!$A$5</f>
        <v>0-9_females</v>
      </c>
      <c r="C50" t="s">
        <v>32</v>
      </c>
      <c r="D50" s="3"/>
      <c r="E50" s="3"/>
      <c r="F50" s="4" t="s">
        <v>37</v>
      </c>
      <c r="G50" s="3">
        <v>0</v>
      </c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Definitions'!$A$6</f>
        <v>10-17_males</v>
      </c>
      <c r="C51" t="s">
        <v>32</v>
      </c>
      <c r="D51" s="3"/>
      <c r="E51" s="3"/>
      <c r="F51" s="4" t="s">
        <v>37</v>
      </c>
      <c r="G51" s="3">
        <v>0</v>
      </c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Definitions'!$A$7</f>
        <v>10-17_females</v>
      </c>
      <c r="C52" t="s">
        <v>32</v>
      </c>
      <c r="D52" s="3"/>
      <c r="E52" s="3"/>
      <c r="F52" s="4" t="s">
        <v>37</v>
      </c>
      <c r="G52" s="3">
        <v>0</v>
      </c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Definitions'!$A$8</f>
        <v>18-64_males</v>
      </c>
      <c r="C53" t="s">
        <v>32</v>
      </c>
      <c r="D53" s="3"/>
      <c r="E53" s="3"/>
      <c r="F53" s="4" t="s">
        <v>37</v>
      </c>
      <c r="G53" s="3">
        <v>0</v>
      </c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Definitions'!$A$9</f>
        <v>18-64_females</v>
      </c>
      <c r="C54" t="s">
        <v>32</v>
      </c>
      <c r="D54" s="3"/>
      <c r="E54" s="3"/>
      <c r="F54" s="4" t="s">
        <v>37</v>
      </c>
      <c r="G54" s="3">
        <v>0</v>
      </c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Definitions'!$A$10</f>
        <v>65+_males</v>
      </c>
      <c r="C55" t="s">
        <v>32</v>
      </c>
      <c r="D55" s="3"/>
      <c r="E55" s="3"/>
      <c r="F55" s="4" t="s">
        <v>37</v>
      </c>
      <c r="G55" s="3">
        <v>0</v>
      </c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6" spans="1:57">
      <c r="A56" s="1" t="str">
        <f>'Population Definitions'!$A$11</f>
        <v>65+_females</v>
      </c>
      <c r="C56" t="s">
        <v>32</v>
      </c>
      <c r="D56" s="3"/>
      <c r="E56" s="3"/>
      <c r="F56" s="4" t="s">
        <v>37</v>
      </c>
      <c r="G56" s="3">
        <v>0</v>
      </c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</row>
    <row r="57" spans="1:57">
      <c r="A57" s="1" t="str">
        <f>'Population Definitions'!$A$12</f>
        <v>Prisoners_males</v>
      </c>
      <c r="C57" t="s">
        <v>32</v>
      </c>
      <c r="D57" s="3"/>
      <c r="E57" s="3"/>
      <c r="F57" s="4" t="s">
        <v>37</v>
      </c>
      <c r="G57" s="3">
        <v>0</v>
      </c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</row>
    <row r="58" spans="1:57">
      <c r="A58" s="1" t="str">
        <f>'Population Definitions'!$A$13</f>
        <v>Prisoners_females</v>
      </c>
      <c r="C58" t="s">
        <v>32</v>
      </c>
      <c r="D58" s="3"/>
      <c r="E58" s="3"/>
      <c r="F58" s="4" t="s">
        <v>37</v>
      </c>
      <c r="G58" s="3">
        <v>0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">
        <v>109</v>
      </c>
      <c r="C59" t="s">
        <v>32</v>
      </c>
      <c r="D59" s="3"/>
      <c r="E59" s="3"/>
      <c r="F59" s="4" t="s">
        <v>37</v>
      </c>
      <c r="G59" s="3">
        <v>269060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>
        <v>269060</v>
      </c>
      <c r="W59" s="3">
        <v>272360</v>
      </c>
      <c r="X59" s="3">
        <v>275656</v>
      </c>
      <c r="Y59" s="3">
        <v>278398</v>
      </c>
      <c r="Z59" s="3">
        <v>280625</v>
      </c>
      <c r="AA59" s="3">
        <v>282692</v>
      </c>
      <c r="AB59" s="3">
        <v>283029</v>
      </c>
      <c r="AC59" s="3">
        <v>282471</v>
      </c>
      <c r="AD59" s="3">
        <v>282340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1" spans="1:57">
      <c r="A61" s="1" t="s">
        <v>113</v>
      </c>
      <c r="B61" s="1" t="s">
        <v>29</v>
      </c>
      <c r="C61" s="1" t="s">
        <v>30</v>
      </c>
      <c r="D61" s="1" t="s">
        <v>31</v>
      </c>
      <c r="E61" s="1" t="s">
        <v>36</v>
      </c>
      <c r="F61" s="1"/>
      <c r="G61" s="1">
        <v>2000</v>
      </c>
      <c r="H61" s="1">
        <v>2001</v>
      </c>
      <c r="I61" s="1">
        <v>2002</v>
      </c>
      <c r="J61" s="1">
        <v>2003</v>
      </c>
      <c r="K61" s="1">
        <v>2004</v>
      </c>
      <c r="L61" s="1">
        <v>2005</v>
      </c>
      <c r="M61" s="1">
        <v>2006</v>
      </c>
      <c r="N61" s="1">
        <v>2007</v>
      </c>
      <c r="O61" s="1">
        <v>2008</v>
      </c>
      <c r="P61" s="1">
        <v>2009</v>
      </c>
      <c r="Q61" s="1">
        <v>2010</v>
      </c>
      <c r="R61" s="1">
        <v>2011</v>
      </c>
      <c r="S61" s="1">
        <v>2012</v>
      </c>
      <c r="T61" s="1">
        <v>2013</v>
      </c>
      <c r="U61" s="1">
        <v>2014</v>
      </c>
      <c r="V61" s="1">
        <v>2015</v>
      </c>
      <c r="W61" s="1">
        <v>2016</v>
      </c>
      <c r="X61" s="1">
        <v>2017</v>
      </c>
      <c r="Y61" s="1">
        <v>2018</v>
      </c>
      <c r="Z61" s="1">
        <v>2019</v>
      </c>
      <c r="AA61" s="1">
        <v>2020</v>
      </c>
      <c r="AB61" s="1">
        <v>2021</v>
      </c>
      <c r="AC61" s="1">
        <v>2022</v>
      </c>
      <c r="AD61" s="1">
        <v>2023</v>
      </c>
      <c r="AE61" s="1">
        <v>2024</v>
      </c>
      <c r="AF61" s="1">
        <v>2025</v>
      </c>
      <c r="AG61" s="1">
        <v>2026</v>
      </c>
      <c r="AH61" s="1">
        <v>2027</v>
      </c>
      <c r="AI61" s="1">
        <v>2028</v>
      </c>
      <c r="AJ61" s="1">
        <v>2029</v>
      </c>
      <c r="AK61" s="1">
        <v>2030</v>
      </c>
      <c r="AL61" s="1">
        <v>2031</v>
      </c>
      <c r="AM61" s="1">
        <v>2032</v>
      </c>
      <c r="AN61" s="1">
        <v>2033</v>
      </c>
      <c r="AO61" s="1">
        <v>2034</v>
      </c>
      <c r="AP61" s="1">
        <v>2035</v>
      </c>
      <c r="AQ61" s="1">
        <v>2036</v>
      </c>
      <c r="AR61" s="1">
        <v>2037</v>
      </c>
      <c r="AS61" s="1">
        <v>2038</v>
      </c>
      <c r="AT61" s="1">
        <v>2039</v>
      </c>
      <c r="AU61" s="1">
        <v>2040</v>
      </c>
      <c r="AV61" s="1">
        <v>2041</v>
      </c>
      <c r="AW61" s="1">
        <v>2042</v>
      </c>
      <c r="AX61" s="1">
        <v>2043</v>
      </c>
      <c r="AY61" s="1">
        <v>2044</v>
      </c>
      <c r="AZ61" s="1">
        <v>2045</v>
      </c>
      <c r="BA61" s="1">
        <v>2046</v>
      </c>
      <c r="BB61" s="1">
        <v>2047</v>
      </c>
      <c r="BC61" s="1">
        <v>2048</v>
      </c>
      <c r="BD61" s="1">
        <v>2049</v>
      </c>
      <c r="BE61" s="1">
        <v>2050</v>
      </c>
    </row>
    <row r="62" spans="1:57">
      <c r="A62" s="1" t="str">
        <f>'Population Definitions'!$A$2</f>
        <v>PWID_males</v>
      </c>
      <c r="C62" t="s">
        <v>32</v>
      </c>
      <c r="D62" s="3"/>
      <c r="E62" s="3"/>
      <c r="F62" s="4" t="s">
        <v>37</v>
      </c>
      <c r="G62" s="3">
        <v>0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Definitions'!$A$3</f>
        <v>PWID_females</v>
      </c>
      <c r="C63" t="s">
        <v>32</v>
      </c>
      <c r="D63" s="3"/>
      <c r="E63" s="3"/>
      <c r="F63" s="4" t="s">
        <v>37</v>
      </c>
      <c r="G63" s="3">
        <v>0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Definitions'!$A$4</f>
        <v>0-9_males</v>
      </c>
      <c r="C64" t="s">
        <v>32</v>
      </c>
      <c r="D64" s="3"/>
      <c r="E64" s="3"/>
      <c r="F64" s="4" t="s">
        <v>37</v>
      </c>
      <c r="G64" s="3">
        <v>0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Definitions'!$A$5</f>
        <v>0-9_females</v>
      </c>
      <c r="C65" t="s">
        <v>32</v>
      </c>
      <c r="D65" s="3"/>
      <c r="E65" s="3"/>
      <c r="F65" s="4" t="s">
        <v>37</v>
      </c>
      <c r="G65" s="3">
        <v>0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Definitions'!$A$6</f>
        <v>10-17_males</v>
      </c>
      <c r="C66" t="s">
        <v>32</v>
      </c>
      <c r="D66" s="3"/>
      <c r="E66" s="3"/>
      <c r="F66" s="4" t="s">
        <v>37</v>
      </c>
      <c r="G66" s="3">
        <v>0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Definitions'!$A$7</f>
        <v>10-17_females</v>
      </c>
      <c r="C67" t="s">
        <v>32</v>
      </c>
      <c r="D67" s="3"/>
      <c r="E67" s="3"/>
      <c r="F67" s="4" t="s">
        <v>37</v>
      </c>
      <c r="G67" s="3">
        <v>0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Definitions'!$A$8</f>
        <v>18-64_males</v>
      </c>
      <c r="C68" t="s">
        <v>32</v>
      </c>
      <c r="D68" s="3"/>
      <c r="E68" s="3"/>
      <c r="F68" s="4" t="s">
        <v>37</v>
      </c>
      <c r="G68" s="3">
        <v>0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Definitions'!$A$9</f>
        <v>18-64_females</v>
      </c>
      <c r="C69" t="s">
        <v>32</v>
      </c>
      <c r="D69" s="3"/>
      <c r="E69" s="3"/>
      <c r="F69" s="4" t="s">
        <v>37</v>
      </c>
      <c r="G69" s="3">
        <v>0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0" spans="1:57">
      <c r="A70" s="1" t="str">
        <f>'Population Definitions'!$A$10</f>
        <v>65+_males</v>
      </c>
      <c r="C70" t="s">
        <v>32</v>
      </c>
      <c r="D70" s="3"/>
      <c r="E70" s="3"/>
      <c r="F70" s="4" t="s">
        <v>37</v>
      </c>
      <c r="G70" s="3">
        <v>0</v>
      </c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</row>
    <row r="71" spans="1:57">
      <c r="A71" s="1" t="str">
        <f>'Population Definitions'!$A$11</f>
        <v>65+_females</v>
      </c>
      <c r="C71" t="s">
        <v>32</v>
      </c>
      <c r="D71" s="3"/>
      <c r="E71" s="3"/>
      <c r="F71" s="4" t="s">
        <v>37</v>
      </c>
      <c r="G71" s="3">
        <v>0</v>
      </c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</row>
    <row r="72" spans="1:57">
      <c r="A72" s="1" t="str">
        <f>'Population Definitions'!$A$12</f>
        <v>Prisoners_males</v>
      </c>
      <c r="C72" t="s">
        <v>32</v>
      </c>
      <c r="D72" s="3"/>
      <c r="E72" s="3"/>
      <c r="F72" s="4" t="s">
        <v>37</v>
      </c>
      <c r="G72" s="3">
        <v>0</v>
      </c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Definitions'!$A$13</f>
        <v>Prisoners_females</v>
      </c>
      <c r="C73" t="s">
        <v>32</v>
      </c>
      <c r="D73" s="3"/>
      <c r="E73" s="3"/>
      <c r="F73" s="4" t="s">
        <v>37</v>
      </c>
      <c r="G73" s="3">
        <v>0</v>
      </c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">
        <v>109</v>
      </c>
      <c r="C74" t="s">
        <v>32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6" spans="1:57">
      <c r="A76" s="1" t="s">
        <v>114</v>
      </c>
      <c r="B76" s="1" t="s">
        <v>29</v>
      </c>
      <c r="C76" s="1" t="s">
        <v>30</v>
      </c>
      <c r="D76" s="1" t="s">
        <v>31</v>
      </c>
      <c r="E76" s="1" t="s">
        <v>36</v>
      </c>
      <c r="F76" s="1"/>
      <c r="G76" s="1">
        <v>2000</v>
      </c>
      <c r="H76" s="1">
        <v>2001</v>
      </c>
      <c r="I76" s="1">
        <v>2002</v>
      </c>
      <c r="J76" s="1">
        <v>2003</v>
      </c>
      <c r="K76" s="1">
        <v>2004</v>
      </c>
      <c r="L76" s="1">
        <v>2005</v>
      </c>
      <c r="M76" s="1">
        <v>2006</v>
      </c>
      <c r="N76" s="1">
        <v>2007</v>
      </c>
      <c r="O76" s="1">
        <v>2008</v>
      </c>
      <c r="P76" s="1">
        <v>2009</v>
      </c>
      <c r="Q76" s="1">
        <v>2010</v>
      </c>
      <c r="R76" s="1">
        <v>2011</v>
      </c>
      <c r="S76" s="1">
        <v>2012</v>
      </c>
      <c r="T76" s="1">
        <v>2013</v>
      </c>
      <c r="U76" s="1">
        <v>2014</v>
      </c>
      <c r="V76" s="1">
        <v>2015</v>
      </c>
      <c r="W76" s="1">
        <v>2016</v>
      </c>
      <c r="X76" s="1">
        <v>2017</v>
      </c>
      <c r="Y76" s="1">
        <v>2018</v>
      </c>
      <c r="Z76" s="1">
        <v>2019</v>
      </c>
      <c r="AA76" s="1">
        <v>2020</v>
      </c>
      <c r="AB76" s="1">
        <v>2021</v>
      </c>
      <c r="AC76" s="1">
        <v>2022</v>
      </c>
      <c r="AD76" s="1">
        <v>2023</v>
      </c>
      <c r="AE76" s="1">
        <v>2024</v>
      </c>
      <c r="AF76" s="1">
        <v>2025</v>
      </c>
      <c r="AG76" s="1">
        <v>2026</v>
      </c>
      <c r="AH76" s="1">
        <v>2027</v>
      </c>
      <c r="AI76" s="1">
        <v>2028</v>
      </c>
      <c r="AJ76" s="1">
        <v>2029</v>
      </c>
      <c r="AK76" s="1">
        <v>2030</v>
      </c>
      <c r="AL76" s="1">
        <v>2031</v>
      </c>
      <c r="AM76" s="1">
        <v>2032</v>
      </c>
      <c r="AN76" s="1">
        <v>2033</v>
      </c>
      <c r="AO76" s="1">
        <v>2034</v>
      </c>
      <c r="AP76" s="1">
        <v>2035</v>
      </c>
      <c r="AQ76" s="1">
        <v>2036</v>
      </c>
      <c r="AR76" s="1">
        <v>2037</v>
      </c>
      <c r="AS76" s="1">
        <v>2038</v>
      </c>
      <c r="AT76" s="1">
        <v>2039</v>
      </c>
      <c r="AU76" s="1">
        <v>2040</v>
      </c>
      <c r="AV76" s="1">
        <v>2041</v>
      </c>
      <c r="AW76" s="1">
        <v>2042</v>
      </c>
      <c r="AX76" s="1">
        <v>2043</v>
      </c>
      <c r="AY76" s="1">
        <v>2044</v>
      </c>
      <c r="AZ76" s="1">
        <v>2045</v>
      </c>
      <c r="BA76" s="1">
        <v>2046</v>
      </c>
      <c r="BB76" s="1">
        <v>2047</v>
      </c>
      <c r="BC76" s="1">
        <v>2048</v>
      </c>
      <c r="BD76" s="1">
        <v>2049</v>
      </c>
      <c r="BE76" s="1">
        <v>2050</v>
      </c>
    </row>
    <row r="77" spans="1:57">
      <c r="A77" s="1" t="str">
        <f>'Population Definitions'!$A$2</f>
        <v>PWID_males</v>
      </c>
      <c r="C77" t="s">
        <v>32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Definitions'!$A$3</f>
        <v>PWID_females</v>
      </c>
      <c r="C78" t="s">
        <v>32</v>
      </c>
      <c r="D78" s="3"/>
      <c r="E78" s="3"/>
      <c r="F78" s="4" t="s">
        <v>37</v>
      </c>
      <c r="G78" s="3">
        <v>0</v>
      </c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Definitions'!$A$4</f>
        <v>0-9_males</v>
      </c>
      <c r="C79" t="s">
        <v>32</v>
      </c>
      <c r="D79" s="3"/>
      <c r="E79" s="3"/>
      <c r="F79" s="4" t="s">
        <v>37</v>
      </c>
      <c r="G79" s="3">
        <v>0</v>
      </c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Definitions'!$A$5</f>
        <v>0-9_females</v>
      </c>
      <c r="C80" t="s">
        <v>32</v>
      </c>
      <c r="D80" s="3"/>
      <c r="E80" s="3"/>
      <c r="F80" s="4" t="s">
        <v>37</v>
      </c>
      <c r="G80" s="3">
        <v>0</v>
      </c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Definitions'!$A$6</f>
        <v>10-17_males</v>
      </c>
      <c r="C81" t="s">
        <v>32</v>
      </c>
      <c r="D81" s="3"/>
      <c r="E81" s="3"/>
      <c r="F81" s="4" t="s">
        <v>37</v>
      </c>
      <c r="G81" s="3">
        <v>0</v>
      </c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Definitions'!$A$7</f>
        <v>10-17_females</v>
      </c>
      <c r="C82" t="s">
        <v>32</v>
      </c>
      <c r="D82" s="3"/>
      <c r="E82" s="3"/>
      <c r="F82" s="4" t="s">
        <v>37</v>
      </c>
      <c r="G82" s="3">
        <v>0</v>
      </c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Definitions'!$A$8</f>
        <v>18-64_males</v>
      </c>
      <c r="C83" t="s">
        <v>32</v>
      </c>
      <c r="D83" s="3"/>
      <c r="E83" s="3"/>
      <c r="F83" s="4" t="s">
        <v>37</v>
      </c>
      <c r="G83" s="3">
        <v>0</v>
      </c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4" spans="1:57">
      <c r="A84" s="1" t="str">
        <f>'Population Definitions'!$A$9</f>
        <v>18-64_females</v>
      </c>
      <c r="C84" t="s">
        <v>32</v>
      </c>
      <c r="D84" s="3"/>
      <c r="E84" s="3"/>
      <c r="F84" s="4" t="s">
        <v>37</v>
      </c>
      <c r="G84" s="3">
        <v>0</v>
      </c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</row>
    <row r="85" spans="1:57">
      <c r="A85" s="1" t="str">
        <f>'Population Definitions'!$A$10</f>
        <v>65+_males</v>
      </c>
      <c r="C85" t="s">
        <v>32</v>
      </c>
      <c r="D85" s="3"/>
      <c r="E85" s="3"/>
      <c r="F85" s="4" t="s">
        <v>37</v>
      </c>
      <c r="G85" s="3">
        <v>0</v>
      </c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</row>
    <row r="86" spans="1:57">
      <c r="A86" s="1" t="str">
        <f>'Population Definitions'!$A$11</f>
        <v>65+_females</v>
      </c>
      <c r="C86" t="s">
        <v>32</v>
      </c>
      <c r="D86" s="3"/>
      <c r="E86" s="3"/>
      <c r="F86" s="4" t="s">
        <v>37</v>
      </c>
      <c r="G86" s="3">
        <v>0</v>
      </c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Definitions'!$A$12</f>
        <v>Prisoners_males</v>
      </c>
      <c r="C87" t="s">
        <v>32</v>
      </c>
      <c r="D87" s="3"/>
      <c r="E87" s="3"/>
      <c r="F87" s="4" t="s">
        <v>37</v>
      </c>
      <c r="G87" s="3">
        <v>0</v>
      </c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Definitions'!$A$13</f>
        <v>Prisoners_females</v>
      </c>
      <c r="C88" t="s">
        <v>32</v>
      </c>
      <c r="D88" s="3"/>
      <c r="E88" s="3"/>
      <c r="F88" s="4" t="s">
        <v>37</v>
      </c>
      <c r="G88" s="3">
        <v>0</v>
      </c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">
        <v>109</v>
      </c>
      <c r="C89" t="s">
        <v>32</v>
      </c>
      <c r="D89" s="3"/>
      <c r="E89" s="3"/>
      <c r="F89" s="4" t="s">
        <v>37</v>
      </c>
      <c r="G89" s="3">
        <v>2670</v>
      </c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>
        <v>2670</v>
      </c>
      <c r="W89" s="3">
        <v>2670</v>
      </c>
      <c r="X89" s="3">
        <v>2373</v>
      </c>
      <c r="Y89" s="3">
        <v>2373</v>
      </c>
      <c r="Z89" s="3">
        <v>2373</v>
      </c>
      <c r="AA89" s="3">
        <v>2373</v>
      </c>
      <c r="AB89" s="3">
        <v>2373</v>
      </c>
      <c r="AC89" s="3">
        <v>2373</v>
      </c>
      <c r="AD89" s="3">
        <v>2373</v>
      </c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1" spans="1:57">
      <c r="A91" s="1" t="s">
        <v>115</v>
      </c>
      <c r="B91" s="1" t="s">
        <v>29</v>
      </c>
      <c r="C91" s="1" t="s">
        <v>30</v>
      </c>
      <c r="D91" s="1" t="s">
        <v>31</v>
      </c>
      <c r="E91" s="1" t="s">
        <v>36</v>
      </c>
      <c r="F91" s="1"/>
      <c r="G91" s="1">
        <v>2000</v>
      </c>
      <c r="H91" s="1">
        <v>2001</v>
      </c>
      <c r="I91" s="1">
        <v>2002</v>
      </c>
      <c r="J91" s="1">
        <v>2003</v>
      </c>
      <c r="K91" s="1">
        <v>2004</v>
      </c>
      <c r="L91" s="1">
        <v>2005</v>
      </c>
      <c r="M91" s="1">
        <v>2006</v>
      </c>
      <c r="N91" s="1">
        <v>2007</v>
      </c>
      <c r="O91" s="1">
        <v>2008</v>
      </c>
      <c r="P91" s="1">
        <v>2009</v>
      </c>
      <c r="Q91" s="1">
        <v>2010</v>
      </c>
      <c r="R91" s="1">
        <v>2011</v>
      </c>
      <c r="S91" s="1">
        <v>2012</v>
      </c>
      <c r="T91" s="1">
        <v>2013</v>
      </c>
      <c r="U91" s="1">
        <v>2014</v>
      </c>
      <c r="V91" s="1">
        <v>2015</v>
      </c>
      <c r="W91" s="1">
        <v>2016</v>
      </c>
      <c r="X91" s="1">
        <v>2017</v>
      </c>
      <c r="Y91" s="1">
        <v>2018</v>
      </c>
      <c r="Z91" s="1">
        <v>2019</v>
      </c>
      <c r="AA91" s="1">
        <v>2020</v>
      </c>
      <c r="AB91" s="1">
        <v>2021</v>
      </c>
      <c r="AC91" s="1">
        <v>2022</v>
      </c>
      <c r="AD91" s="1">
        <v>2023</v>
      </c>
      <c r="AE91" s="1">
        <v>2024</v>
      </c>
      <c r="AF91" s="1">
        <v>2025</v>
      </c>
      <c r="AG91" s="1">
        <v>2026</v>
      </c>
      <c r="AH91" s="1">
        <v>2027</v>
      </c>
      <c r="AI91" s="1">
        <v>2028</v>
      </c>
      <c r="AJ91" s="1">
        <v>2029</v>
      </c>
      <c r="AK91" s="1">
        <v>2030</v>
      </c>
      <c r="AL91" s="1">
        <v>2031</v>
      </c>
      <c r="AM91" s="1">
        <v>2032</v>
      </c>
      <c r="AN91" s="1">
        <v>2033</v>
      </c>
      <c r="AO91" s="1">
        <v>2034</v>
      </c>
      <c r="AP91" s="1">
        <v>2035</v>
      </c>
      <c r="AQ91" s="1">
        <v>2036</v>
      </c>
      <c r="AR91" s="1">
        <v>2037</v>
      </c>
      <c r="AS91" s="1">
        <v>2038</v>
      </c>
      <c r="AT91" s="1">
        <v>2039</v>
      </c>
      <c r="AU91" s="1">
        <v>2040</v>
      </c>
      <c r="AV91" s="1">
        <v>2041</v>
      </c>
      <c r="AW91" s="1">
        <v>2042</v>
      </c>
      <c r="AX91" s="1">
        <v>2043</v>
      </c>
      <c r="AY91" s="1">
        <v>2044</v>
      </c>
      <c r="AZ91" s="1">
        <v>2045</v>
      </c>
      <c r="BA91" s="1">
        <v>2046</v>
      </c>
      <c r="BB91" s="1">
        <v>2047</v>
      </c>
      <c r="BC91" s="1">
        <v>2048</v>
      </c>
      <c r="BD91" s="1">
        <v>2049</v>
      </c>
      <c r="BE91" s="1">
        <v>2050</v>
      </c>
    </row>
    <row r="92" spans="1:57">
      <c r="A92" s="1" t="str">
        <f>'Population Definitions'!$A$2</f>
        <v>PWID_males</v>
      </c>
      <c r="C92" t="s">
        <v>32</v>
      </c>
      <c r="D92" s="3"/>
      <c r="E92" s="3"/>
      <c r="F92" s="4" t="s">
        <v>37</v>
      </c>
      <c r="G92" s="3">
        <v>0</v>
      </c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Definitions'!$A$3</f>
        <v>PWID_females</v>
      </c>
      <c r="C93" t="s">
        <v>32</v>
      </c>
      <c r="D93" s="3"/>
      <c r="E93" s="3"/>
      <c r="F93" s="4" t="s">
        <v>37</v>
      </c>
      <c r="G93" s="3">
        <v>0</v>
      </c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Definitions'!$A$4</f>
        <v>0-9_males</v>
      </c>
      <c r="C94" t="s">
        <v>32</v>
      </c>
      <c r="D94" s="3"/>
      <c r="E94" s="3"/>
      <c r="F94" s="4" t="s">
        <v>37</v>
      </c>
      <c r="G94" s="3">
        <v>0</v>
      </c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Definitions'!$A$5</f>
        <v>0-9_females</v>
      </c>
      <c r="C95" t="s">
        <v>32</v>
      </c>
      <c r="D95" s="3"/>
      <c r="E95" s="3"/>
      <c r="F95" s="4" t="s">
        <v>37</v>
      </c>
      <c r="G95" s="3">
        <v>0</v>
      </c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Definitions'!$A$6</f>
        <v>10-17_males</v>
      </c>
      <c r="C96" t="s">
        <v>32</v>
      </c>
      <c r="D96" s="3"/>
      <c r="E96" s="3"/>
      <c r="F96" s="4" t="s">
        <v>37</v>
      </c>
      <c r="G96" s="3">
        <v>0</v>
      </c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Definitions'!$A$7</f>
        <v>10-17_females</v>
      </c>
      <c r="C97" t="s">
        <v>32</v>
      </c>
      <c r="D97" s="3"/>
      <c r="E97" s="3"/>
      <c r="F97" s="4" t="s">
        <v>37</v>
      </c>
      <c r="G97" s="3">
        <v>0</v>
      </c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8" spans="1:57">
      <c r="A98" s="1" t="str">
        <f>'Population Definitions'!$A$8</f>
        <v>18-64_males</v>
      </c>
      <c r="C98" t="s">
        <v>32</v>
      </c>
      <c r="D98" s="3"/>
      <c r="E98" s="3"/>
      <c r="F98" s="4" t="s">
        <v>37</v>
      </c>
      <c r="G98" s="3">
        <v>0</v>
      </c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</row>
    <row r="99" spans="1:57">
      <c r="A99" s="1" t="str">
        <f>'Population Definitions'!$A$9</f>
        <v>18-64_females</v>
      </c>
      <c r="C99" t="s">
        <v>32</v>
      </c>
      <c r="D99" s="3"/>
      <c r="E99" s="3"/>
      <c r="F99" s="4" t="s">
        <v>37</v>
      </c>
      <c r="G99" s="3">
        <v>0</v>
      </c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</row>
    <row r="100" spans="1:57">
      <c r="A100" s="1" t="str">
        <f>'Population Definitions'!$A$10</f>
        <v>65+_males</v>
      </c>
      <c r="C100" t="s">
        <v>32</v>
      </c>
      <c r="D100" s="3"/>
      <c r="E100" s="3"/>
      <c r="F100" s="4" t="s">
        <v>37</v>
      </c>
      <c r="G100" s="3">
        <v>0</v>
      </c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Definitions'!$A$11</f>
        <v>65+_females</v>
      </c>
      <c r="C101" t="s">
        <v>32</v>
      </c>
      <c r="D101" s="3"/>
      <c r="E101" s="3"/>
      <c r="F101" s="4" t="s">
        <v>37</v>
      </c>
      <c r="G101" s="3">
        <v>0</v>
      </c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Definitions'!$A$12</f>
        <v>Prisoners_males</v>
      </c>
      <c r="C102" t="s">
        <v>32</v>
      </c>
      <c r="D102" s="3"/>
      <c r="E102" s="3"/>
      <c r="F102" s="4" t="s">
        <v>37</v>
      </c>
      <c r="G102" s="3">
        <v>0</v>
      </c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Definitions'!$A$13</f>
        <v>Prisoners_females</v>
      </c>
      <c r="C103" t="s">
        <v>32</v>
      </c>
      <c r="D103" s="3"/>
      <c r="E103" s="3"/>
      <c r="F103" s="4" t="s">
        <v>37</v>
      </c>
      <c r="G103" s="3">
        <v>0</v>
      </c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">
        <v>109</v>
      </c>
      <c r="C104" t="s">
        <v>32</v>
      </c>
      <c r="D104" s="3"/>
      <c r="E104" s="3"/>
      <c r="F104" s="4" t="s">
        <v>37</v>
      </c>
      <c r="G104" s="3">
        <v>0</v>
      </c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6" spans="1:57">
      <c r="A106" s="1" t="s">
        <v>116</v>
      </c>
      <c r="B106" s="1" t="s">
        <v>29</v>
      </c>
      <c r="C106" s="1" t="s">
        <v>30</v>
      </c>
      <c r="D106" s="1" t="s">
        <v>31</v>
      </c>
      <c r="E106" s="1" t="s">
        <v>36</v>
      </c>
      <c r="F106" s="1"/>
      <c r="G106" s="1">
        <v>2000</v>
      </c>
      <c r="H106" s="1">
        <v>2001</v>
      </c>
      <c r="I106" s="1">
        <v>2002</v>
      </c>
      <c r="J106" s="1">
        <v>2003</v>
      </c>
      <c r="K106" s="1">
        <v>2004</v>
      </c>
      <c r="L106" s="1">
        <v>2005</v>
      </c>
      <c r="M106" s="1">
        <v>2006</v>
      </c>
      <c r="N106" s="1">
        <v>2007</v>
      </c>
      <c r="O106" s="1">
        <v>2008</v>
      </c>
      <c r="P106" s="1">
        <v>2009</v>
      </c>
      <c r="Q106" s="1">
        <v>2010</v>
      </c>
      <c r="R106" s="1">
        <v>2011</v>
      </c>
      <c r="S106" s="1">
        <v>2012</v>
      </c>
      <c r="T106" s="1">
        <v>2013</v>
      </c>
      <c r="U106" s="1">
        <v>2014</v>
      </c>
      <c r="V106" s="1">
        <v>2015</v>
      </c>
      <c r="W106" s="1">
        <v>2016</v>
      </c>
      <c r="X106" s="1">
        <v>2017</v>
      </c>
      <c r="Y106" s="1">
        <v>2018</v>
      </c>
      <c r="Z106" s="1">
        <v>2019</v>
      </c>
      <c r="AA106" s="1">
        <v>2020</v>
      </c>
      <c r="AB106" s="1">
        <v>2021</v>
      </c>
      <c r="AC106" s="1">
        <v>2022</v>
      </c>
      <c r="AD106" s="1">
        <v>2023</v>
      </c>
      <c r="AE106" s="1">
        <v>2024</v>
      </c>
      <c r="AF106" s="1">
        <v>2025</v>
      </c>
      <c r="AG106" s="1">
        <v>2026</v>
      </c>
      <c r="AH106" s="1">
        <v>2027</v>
      </c>
      <c r="AI106" s="1">
        <v>2028</v>
      </c>
      <c r="AJ106" s="1">
        <v>2029</v>
      </c>
      <c r="AK106" s="1">
        <v>2030</v>
      </c>
      <c r="AL106" s="1">
        <v>2031</v>
      </c>
      <c r="AM106" s="1">
        <v>2032</v>
      </c>
      <c r="AN106" s="1">
        <v>2033</v>
      </c>
      <c r="AO106" s="1">
        <v>2034</v>
      </c>
      <c r="AP106" s="1">
        <v>2035</v>
      </c>
      <c r="AQ106" s="1">
        <v>2036</v>
      </c>
      <c r="AR106" s="1">
        <v>2037</v>
      </c>
      <c r="AS106" s="1">
        <v>2038</v>
      </c>
      <c r="AT106" s="1">
        <v>2039</v>
      </c>
      <c r="AU106" s="1">
        <v>2040</v>
      </c>
      <c r="AV106" s="1">
        <v>2041</v>
      </c>
      <c r="AW106" s="1">
        <v>2042</v>
      </c>
      <c r="AX106" s="1">
        <v>2043</v>
      </c>
      <c r="AY106" s="1">
        <v>2044</v>
      </c>
      <c r="AZ106" s="1">
        <v>2045</v>
      </c>
      <c r="BA106" s="1">
        <v>2046</v>
      </c>
      <c r="BB106" s="1">
        <v>2047</v>
      </c>
      <c r="BC106" s="1">
        <v>2048</v>
      </c>
      <c r="BD106" s="1">
        <v>2049</v>
      </c>
      <c r="BE106" s="1">
        <v>2050</v>
      </c>
    </row>
    <row r="107" spans="1:57">
      <c r="A107" s="1" t="str">
        <f>'Population Definitions'!$A$2</f>
        <v>PWID_males</v>
      </c>
      <c r="C107" t="s">
        <v>32</v>
      </c>
      <c r="D107" s="3"/>
      <c r="E107" s="3"/>
      <c r="F107" s="4" t="s">
        <v>37</v>
      </c>
      <c r="G107" s="3">
        <v>0</v>
      </c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Definitions'!$A$3</f>
        <v>PWID_females</v>
      </c>
      <c r="C108" t="s">
        <v>32</v>
      </c>
      <c r="D108" s="3"/>
      <c r="E108" s="3"/>
      <c r="F108" s="4" t="s">
        <v>37</v>
      </c>
      <c r="G108" s="3">
        <v>0</v>
      </c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Definitions'!$A$4</f>
        <v>0-9_males</v>
      </c>
      <c r="C109" t="s">
        <v>32</v>
      </c>
      <c r="D109" s="3"/>
      <c r="E109" s="3"/>
      <c r="F109" s="4" t="s">
        <v>37</v>
      </c>
      <c r="G109" s="3">
        <v>0</v>
      </c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Definitions'!$A$5</f>
        <v>0-9_females</v>
      </c>
      <c r="C110" t="s">
        <v>32</v>
      </c>
      <c r="D110" s="3"/>
      <c r="E110" s="3"/>
      <c r="F110" s="4" t="s">
        <v>37</v>
      </c>
      <c r="G110" s="3">
        <v>0</v>
      </c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Definitions'!$A$6</f>
        <v>10-17_males</v>
      </c>
      <c r="C111" t="s">
        <v>32</v>
      </c>
      <c r="D111" s="3"/>
      <c r="E111" s="3"/>
      <c r="F111" s="4" t="s">
        <v>37</v>
      </c>
      <c r="G111" s="3">
        <v>0</v>
      </c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2" spans="1:57">
      <c r="A112" s="1" t="str">
        <f>'Population Definitions'!$A$7</f>
        <v>10-17_females</v>
      </c>
      <c r="C112" t="s">
        <v>32</v>
      </c>
      <c r="D112" s="3"/>
      <c r="E112" s="3"/>
      <c r="F112" s="4" t="s">
        <v>37</v>
      </c>
      <c r="G112" s="3">
        <v>0</v>
      </c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</row>
    <row r="113" spans="1:57">
      <c r="A113" s="1" t="str">
        <f>'Population Definitions'!$A$8</f>
        <v>18-64_males</v>
      </c>
      <c r="C113" t="s">
        <v>32</v>
      </c>
      <c r="D113" s="3"/>
      <c r="E113" s="3"/>
      <c r="F113" s="4" t="s">
        <v>37</v>
      </c>
      <c r="G113" s="3">
        <v>0</v>
      </c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</row>
    <row r="114" spans="1:57">
      <c r="A114" s="1" t="str">
        <f>'Population Definitions'!$A$9</f>
        <v>18-64_females</v>
      </c>
      <c r="C114" t="s">
        <v>32</v>
      </c>
      <c r="D114" s="3"/>
      <c r="E114" s="3"/>
      <c r="F114" s="4" t="s">
        <v>37</v>
      </c>
      <c r="G114" s="3">
        <v>0</v>
      </c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Definitions'!$A$10</f>
        <v>65+_males</v>
      </c>
      <c r="C115" t="s">
        <v>32</v>
      </c>
      <c r="D115" s="3"/>
      <c r="E115" s="3"/>
      <c r="F115" s="4" t="s">
        <v>37</v>
      </c>
      <c r="G115" s="3">
        <v>0</v>
      </c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Definitions'!$A$11</f>
        <v>65+_females</v>
      </c>
      <c r="C116" t="s">
        <v>32</v>
      </c>
      <c r="D116" s="3"/>
      <c r="E116" s="3"/>
      <c r="F116" s="4" t="s">
        <v>37</v>
      </c>
      <c r="G116" s="3">
        <v>0</v>
      </c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Definitions'!$A$12</f>
        <v>Prisoners_males</v>
      </c>
      <c r="C117" t="s">
        <v>32</v>
      </c>
      <c r="D117" s="3"/>
      <c r="E117" s="3"/>
      <c r="F117" s="4" t="s">
        <v>37</v>
      </c>
      <c r="G117" s="3">
        <v>0</v>
      </c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Definitions'!$A$13</f>
        <v>Prisoners_females</v>
      </c>
      <c r="C118" t="s">
        <v>32</v>
      </c>
      <c r="D118" s="3"/>
      <c r="E118" s="3"/>
      <c r="F118" s="4" t="s">
        <v>37</v>
      </c>
      <c r="G118" s="3">
        <v>0</v>
      </c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">
        <v>109</v>
      </c>
      <c r="C119" t="s">
        <v>32</v>
      </c>
      <c r="D119" s="3"/>
      <c r="E119" s="3"/>
      <c r="F119" s="4" t="s">
        <v>37</v>
      </c>
      <c r="G119" s="3">
        <v>0</v>
      </c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1" spans="1:57">
      <c r="A121" s="1" t="s">
        <v>117</v>
      </c>
      <c r="B121" s="1" t="s">
        <v>29</v>
      </c>
      <c r="C121" s="1" t="s">
        <v>30</v>
      </c>
      <c r="D121" s="1" t="s">
        <v>31</v>
      </c>
      <c r="E121" s="1" t="s">
        <v>36</v>
      </c>
      <c r="F121" s="1"/>
      <c r="G121" s="1">
        <v>2000</v>
      </c>
      <c r="H121" s="1">
        <v>2001</v>
      </c>
      <c r="I121" s="1">
        <v>2002</v>
      </c>
      <c r="J121" s="1">
        <v>2003</v>
      </c>
      <c r="K121" s="1">
        <v>2004</v>
      </c>
      <c r="L121" s="1">
        <v>2005</v>
      </c>
      <c r="M121" s="1">
        <v>2006</v>
      </c>
      <c r="N121" s="1">
        <v>2007</v>
      </c>
      <c r="O121" s="1">
        <v>2008</v>
      </c>
      <c r="P121" s="1">
        <v>2009</v>
      </c>
      <c r="Q121" s="1">
        <v>2010</v>
      </c>
      <c r="R121" s="1">
        <v>2011</v>
      </c>
      <c r="S121" s="1">
        <v>2012</v>
      </c>
      <c r="T121" s="1">
        <v>2013</v>
      </c>
      <c r="U121" s="1">
        <v>2014</v>
      </c>
      <c r="V121" s="1">
        <v>2015</v>
      </c>
      <c r="W121" s="1">
        <v>2016</v>
      </c>
      <c r="X121" s="1">
        <v>2017</v>
      </c>
      <c r="Y121" s="1">
        <v>2018</v>
      </c>
      <c r="Z121" s="1">
        <v>2019</v>
      </c>
      <c r="AA121" s="1">
        <v>2020</v>
      </c>
      <c r="AB121" s="1">
        <v>2021</v>
      </c>
      <c r="AC121" s="1">
        <v>2022</v>
      </c>
      <c r="AD121" s="1">
        <v>2023</v>
      </c>
      <c r="AE121" s="1">
        <v>2024</v>
      </c>
      <c r="AF121" s="1">
        <v>2025</v>
      </c>
      <c r="AG121" s="1">
        <v>2026</v>
      </c>
      <c r="AH121" s="1">
        <v>2027</v>
      </c>
      <c r="AI121" s="1">
        <v>2028</v>
      </c>
      <c r="AJ121" s="1">
        <v>2029</v>
      </c>
      <c r="AK121" s="1">
        <v>2030</v>
      </c>
      <c r="AL121" s="1">
        <v>2031</v>
      </c>
      <c r="AM121" s="1">
        <v>2032</v>
      </c>
      <c r="AN121" s="1">
        <v>2033</v>
      </c>
      <c r="AO121" s="1">
        <v>2034</v>
      </c>
      <c r="AP121" s="1">
        <v>2035</v>
      </c>
      <c r="AQ121" s="1">
        <v>2036</v>
      </c>
      <c r="AR121" s="1">
        <v>2037</v>
      </c>
      <c r="AS121" s="1">
        <v>2038</v>
      </c>
      <c r="AT121" s="1">
        <v>2039</v>
      </c>
      <c r="AU121" s="1">
        <v>2040</v>
      </c>
      <c r="AV121" s="1">
        <v>2041</v>
      </c>
      <c r="AW121" s="1">
        <v>2042</v>
      </c>
      <c r="AX121" s="1">
        <v>2043</v>
      </c>
      <c r="AY121" s="1">
        <v>2044</v>
      </c>
      <c r="AZ121" s="1">
        <v>2045</v>
      </c>
      <c r="BA121" s="1">
        <v>2046</v>
      </c>
      <c r="BB121" s="1">
        <v>2047</v>
      </c>
      <c r="BC121" s="1">
        <v>2048</v>
      </c>
      <c r="BD121" s="1">
        <v>2049</v>
      </c>
      <c r="BE121" s="1">
        <v>2050</v>
      </c>
    </row>
    <row r="122" spans="1:57">
      <c r="A122" s="1" t="str">
        <f>'Population Definitions'!$A$2</f>
        <v>PWID_males</v>
      </c>
      <c r="C122" t="s">
        <v>32</v>
      </c>
      <c r="D122" s="3"/>
      <c r="E122" s="3"/>
      <c r="F122" s="4" t="s">
        <v>37</v>
      </c>
      <c r="G122" s="3">
        <v>0</v>
      </c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Definitions'!$A$3</f>
        <v>PWID_females</v>
      </c>
      <c r="C123" t="s">
        <v>32</v>
      </c>
      <c r="D123" s="3"/>
      <c r="E123" s="3"/>
      <c r="F123" s="4" t="s">
        <v>37</v>
      </c>
      <c r="G123" s="3">
        <v>0</v>
      </c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Definitions'!$A$4</f>
        <v>0-9_males</v>
      </c>
      <c r="C124" t="s">
        <v>32</v>
      </c>
      <c r="D124" s="3"/>
      <c r="E124" s="3"/>
      <c r="F124" s="4" t="s">
        <v>37</v>
      </c>
      <c r="G124" s="3">
        <v>0</v>
      </c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Definitions'!$A$5</f>
        <v>0-9_females</v>
      </c>
      <c r="C125" t="s">
        <v>32</v>
      </c>
      <c r="D125" s="3"/>
      <c r="E125" s="3"/>
      <c r="F125" s="4" t="s">
        <v>37</v>
      </c>
      <c r="G125" s="3">
        <v>0</v>
      </c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6" spans="1:57">
      <c r="A126" s="1" t="str">
        <f>'Population Definitions'!$A$6</f>
        <v>10-17_males</v>
      </c>
      <c r="C126" t="s">
        <v>32</v>
      </c>
      <c r="D126" s="3"/>
      <c r="E126" s="3"/>
      <c r="F126" s="4" t="s">
        <v>37</v>
      </c>
      <c r="G126" s="3">
        <v>0</v>
      </c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</row>
    <row r="127" spans="1:57">
      <c r="A127" s="1" t="str">
        <f>'Population Definitions'!$A$7</f>
        <v>10-17_females</v>
      </c>
      <c r="C127" t="s">
        <v>32</v>
      </c>
      <c r="D127" s="3"/>
      <c r="E127" s="3"/>
      <c r="F127" s="4" t="s">
        <v>37</v>
      </c>
      <c r="G127" s="3">
        <v>0</v>
      </c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</row>
    <row r="128" spans="1:57">
      <c r="A128" s="1" t="str">
        <f>'Population Definitions'!$A$8</f>
        <v>18-64_males</v>
      </c>
      <c r="C128" t="s">
        <v>32</v>
      </c>
      <c r="D128" s="3"/>
      <c r="E128" s="3"/>
      <c r="F128" s="4" t="s">
        <v>37</v>
      </c>
      <c r="G128" s="3">
        <v>0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Definitions'!$A$9</f>
        <v>18-64_females</v>
      </c>
      <c r="C129" t="s">
        <v>32</v>
      </c>
      <c r="D129" s="3"/>
      <c r="E129" s="3"/>
      <c r="F129" s="4" t="s">
        <v>37</v>
      </c>
      <c r="G129" s="3">
        <v>0</v>
      </c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Definitions'!$A$10</f>
        <v>65+_males</v>
      </c>
      <c r="C130" t="s">
        <v>32</v>
      </c>
      <c r="D130" s="3"/>
      <c r="E130" s="3"/>
      <c r="F130" s="4" t="s">
        <v>37</v>
      </c>
      <c r="G130" s="3">
        <v>0</v>
      </c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Definitions'!$A$11</f>
        <v>65+_females</v>
      </c>
      <c r="C131" t="s">
        <v>32</v>
      </c>
      <c r="D131" s="3"/>
      <c r="E131" s="3"/>
      <c r="F131" s="4" t="s">
        <v>37</v>
      </c>
      <c r="G131" s="3">
        <v>0</v>
      </c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Definitions'!$A$12</f>
        <v>Prisoners_males</v>
      </c>
      <c r="C132" t="s">
        <v>32</v>
      </c>
      <c r="D132" s="3"/>
      <c r="E132" s="3"/>
      <c r="F132" s="4" t="s">
        <v>37</v>
      </c>
      <c r="G132" s="3">
        <v>0</v>
      </c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Definitions'!$A$13</f>
        <v>Prisoners_females</v>
      </c>
      <c r="C133" t="s">
        <v>32</v>
      </c>
      <c r="D133" s="3"/>
      <c r="E133" s="3"/>
      <c r="F133" s="4" t="s">
        <v>37</v>
      </c>
      <c r="G133" s="3">
        <v>0</v>
      </c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">
        <v>109</v>
      </c>
      <c r="C134" t="s">
        <v>32</v>
      </c>
      <c r="D134" s="3"/>
      <c r="E134" s="3"/>
      <c r="F134" s="4" t="s">
        <v>37</v>
      </c>
      <c r="G134" s="3">
        <v>22987.18518518518</v>
      </c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>
        <v>36715</v>
      </c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6" spans="1:57">
      <c r="A136" s="1" t="s">
        <v>118</v>
      </c>
      <c r="B136" s="1" t="s">
        <v>29</v>
      </c>
      <c r="C136" s="1" t="s">
        <v>30</v>
      </c>
      <c r="D136" s="1" t="s">
        <v>31</v>
      </c>
      <c r="E136" s="1" t="s">
        <v>36</v>
      </c>
      <c r="F136" s="1"/>
      <c r="G136" s="1">
        <v>2000</v>
      </c>
      <c r="H136" s="1">
        <v>2001</v>
      </c>
      <c r="I136" s="1">
        <v>2002</v>
      </c>
      <c r="J136" s="1">
        <v>2003</v>
      </c>
      <c r="K136" s="1">
        <v>2004</v>
      </c>
      <c r="L136" s="1">
        <v>2005</v>
      </c>
      <c r="M136" s="1">
        <v>2006</v>
      </c>
      <c r="N136" s="1">
        <v>2007</v>
      </c>
      <c r="O136" s="1">
        <v>2008</v>
      </c>
      <c r="P136" s="1">
        <v>2009</v>
      </c>
      <c r="Q136" s="1">
        <v>2010</v>
      </c>
      <c r="R136" s="1">
        <v>2011</v>
      </c>
      <c r="S136" s="1">
        <v>2012</v>
      </c>
      <c r="T136" s="1">
        <v>2013</v>
      </c>
      <c r="U136" s="1">
        <v>2014</v>
      </c>
      <c r="V136" s="1">
        <v>2015</v>
      </c>
      <c r="W136" s="1">
        <v>2016</v>
      </c>
      <c r="X136" s="1">
        <v>2017</v>
      </c>
      <c r="Y136" s="1">
        <v>2018</v>
      </c>
      <c r="Z136" s="1">
        <v>2019</v>
      </c>
      <c r="AA136" s="1">
        <v>2020</v>
      </c>
      <c r="AB136" s="1">
        <v>2021</v>
      </c>
      <c r="AC136" s="1">
        <v>2022</v>
      </c>
      <c r="AD136" s="1">
        <v>2023</v>
      </c>
      <c r="AE136" s="1">
        <v>2024</v>
      </c>
      <c r="AF136" s="1">
        <v>2025</v>
      </c>
      <c r="AG136" s="1">
        <v>2026</v>
      </c>
      <c r="AH136" s="1">
        <v>2027</v>
      </c>
      <c r="AI136" s="1">
        <v>2028</v>
      </c>
      <c r="AJ136" s="1">
        <v>2029</v>
      </c>
      <c r="AK136" s="1">
        <v>2030</v>
      </c>
      <c r="AL136" s="1">
        <v>2031</v>
      </c>
      <c r="AM136" s="1">
        <v>2032</v>
      </c>
      <c r="AN136" s="1">
        <v>2033</v>
      </c>
      <c r="AO136" s="1">
        <v>2034</v>
      </c>
      <c r="AP136" s="1">
        <v>2035</v>
      </c>
      <c r="AQ136" s="1">
        <v>2036</v>
      </c>
      <c r="AR136" s="1">
        <v>2037</v>
      </c>
      <c r="AS136" s="1">
        <v>2038</v>
      </c>
      <c r="AT136" s="1">
        <v>2039</v>
      </c>
      <c r="AU136" s="1">
        <v>2040</v>
      </c>
      <c r="AV136" s="1">
        <v>2041</v>
      </c>
      <c r="AW136" s="1">
        <v>2042</v>
      </c>
      <c r="AX136" s="1">
        <v>2043</v>
      </c>
      <c r="AY136" s="1">
        <v>2044</v>
      </c>
      <c r="AZ136" s="1">
        <v>2045</v>
      </c>
      <c r="BA136" s="1">
        <v>2046</v>
      </c>
      <c r="BB136" s="1">
        <v>2047</v>
      </c>
      <c r="BC136" s="1">
        <v>2048</v>
      </c>
      <c r="BD136" s="1">
        <v>2049</v>
      </c>
      <c r="BE136" s="1">
        <v>2050</v>
      </c>
    </row>
    <row r="137" spans="1:57">
      <c r="A137" s="1" t="str">
        <f>'Population Definitions'!$A$2</f>
        <v>PWID_males</v>
      </c>
      <c r="C137" t="s">
        <v>32</v>
      </c>
      <c r="D137" s="3"/>
      <c r="E137" s="3"/>
      <c r="F137" s="4" t="s">
        <v>37</v>
      </c>
      <c r="G137" s="3">
        <v>0</v>
      </c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Definitions'!$A$3</f>
        <v>PWID_females</v>
      </c>
      <c r="C138" t="s">
        <v>32</v>
      </c>
      <c r="D138" s="3"/>
      <c r="E138" s="3"/>
      <c r="F138" s="4" t="s">
        <v>37</v>
      </c>
      <c r="G138" s="3">
        <v>0</v>
      </c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Definitions'!$A$4</f>
        <v>0-9_males</v>
      </c>
      <c r="C139" t="s">
        <v>32</v>
      </c>
      <c r="D139" s="3"/>
      <c r="E139" s="3"/>
      <c r="F139" s="4" t="s">
        <v>37</v>
      </c>
      <c r="G139" s="3">
        <v>0</v>
      </c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0" spans="1:57">
      <c r="A140" s="1" t="str">
        <f>'Population Definitions'!$A$5</f>
        <v>0-9_females</v>
      </c>
      <c r="C140" t="s">
        <v>32</v>
      </c>
      <c r="D140" s="3"/>
      <c r="E140" s="3"/>
      <c r="F140" s="4" t="s">
        <v>37</v>
      </c>
      <c r="G140" s="3">
        <v>0</v>
      </c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</row>
    <row r="141" spans="1:57">
      <c r="A141" s="1" t="str">
        <f>'Population Definitions'!$A$6</f>
        <v>10-17_males</v>
      </c>
      <c r="C141" t="s">
        <v>32</v>
      </c>
      <c r="D141" s="3"/>
      <c r="E141" s="3"/>
      <c r="F141" s="4" t="s">
        <v>37</v>
      </c>
      <c r="G141" s="3">
        <v>0</v>
      </c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</row>
    <row r="142" spans="1:57">
      <c r="A142" s="1" t="str">
        <f>'Population Definitions'!$A$7</f>
        <v>10-17_females</v>
      </c>
      <c r="C142" t="s">
        <v>32</v>
      </c>
      <c r="D142" s="3"/>
      <c r="E142" s="3"/>
      <c r="F142" s="4" t="s">
        <v>37</v>
      </c>
      <c r="G142" s="3">
        <v>0</v>
      </c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Definitions'!$A$8</f>
        <v>18-64_males</v>
      </c>
      <c r="C143" t="s">
        <v>32</v>
      </c>
      <c r="D143" s="3"/>
      <c r="E143" s="3"/>
      <c r="F143" s="4" t="s">
        <v>37</v>
      </c>
      <c r="G143" s="3">
        <v>0</v>
      </c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Definitions'!$A$9</f>
        <v>18-64_females</v>
      </c>
      <c r="C144" t="s">
        <v>32</v>
      </c>
      <c r="D144" s="3"/>
      <c r="E144" s="3"/>
      <c r="F144" s="4" t="s">
        <v>37</v>
      </c>
      <c r="G144" s="3">
        <v>0</v>
      </c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Definitions'!$A$10</f>
        <v>65+_males</v>
      </c>
      <c r="C145" t="s">
        <v>32</v>
      </c>
      <c r="D145" s="3"/>
      <c r="E145" s="3"/>
      <c r="F145" s="4" t="s">
        <v>37</v>
      </c>
      <c r="G145" s="3">
        <v>0</v>
      </c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Definitions'!$A$11</f>
        <v>65+_females</v>
      </c>
      <c r="C146" t="s">
        <v>32</v>
      </c>
      <c r="D146" s="3"/>
      <c r="E146" s="3"/>
      <c r="F146" s="4" t="s">
        <v>37</v>
      </c>
      <c r="G146" s="3">
        <v>0</v>
      </c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Definitions'!$A$12</f>
        <v>Prisoners_males</v>
      </c>
      <c r="C147" t="s">
        <v>32</v>
      </c>
      <c r="D147" s="3"/>
      <c r="E147" s="3"/>
      <c r="F147" s="4" t="s">
        <v>37</v>
      </c>
      <c r="G147" s="3">
        <v>0</v>
      </c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Definitions'!$A$13</f>
        <v>Prisoners_females</v>
      </c>
      <c r="C148" t="s">
        <v>32</v>
      </c>
      <c r="D148" s="3"/>
      <c r="E148" s="3"/>
      <c r="F148" s="4" t="s">
        <v>37</v>
      </c>
      <c r="G148" s="3">
        <v>0</v>
      </c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">
        <v>109</v>
      </c>
      <c r="C149" t="s">
        <v>32</v>
      </c>
      <c r="D149" s="3"/>
      <c r="E149" s="3"/>
      <c r="F149" s="4" t="s">
        <v>37</v>
      </c>
      <c r="G149" s="3">
        <v>1422.740740740741</v>
      </c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>
        <v>2223</v>
      </c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1" spans="1:57">
      <c r="A151" s="1" t="s">
        <v>119</v>
      </c>
      <c r="B151" s="1" t="s">
        <v>29</v>
      </c>
      <c r="C151" s="1" t="s">
        <v>30</v>
      </c>
      <c r="D151" s="1" t="s">
        <v>31</v>
      </c>
      <c r="E151" s="1" t="s">
        <v>36</v>
      </c>
      <c r="F151" s="1"/>
      <c r="G151" s="1">
        <v>2000</v>
      </c>
      <c r="H151" s="1">
        <v>2001</v>
      </c>
      <c r="I151" s="1">
        <v>2002</v>
      </c>
      <c r="J151" s="1">
        <v>2003</v>
      </c>
      <c r="K151" s="1">
        <v>2004</v>
      </c>
      <c r="L151" s="1">
        <v>2005</v>
      </c>
      <c r="M151" s="1">
        <v>2006</v>
      </c>
      <c r="N151" s="1">
        <v>2007</v>
      </c>
      <c r="O151" s="1">
        <v>2008</v>
      </c>
      <c r="P151" s="1">
        <v>2009</v>
      </c>
      <c r="Q151" s="1">
        <v>2010</v>
      </c>
      <c r="R151" s="1">
        <v>2011</v>
      </c>
      <c r="S151" s="1">
        <v>2012</v>
      </c>
      <c r="T151" s="1">
        <v>2013</v>
      </c>
      <c r="U151" s="1">
        <v>2014</v>
      </c>
      <c r="V151" s="1">
        <v>2015</v>
      </c>
      <c r="W151" s="1">
        <v>2016</v>
      </c>
      <c r="X151" s="1">
        <v>2017</v>
      </c>
      <c r="Y151" s="1">
        <v>2018</v>
      </c>
      <c r="Z151" s="1">
        <v>2019</v>
      </c>
      <c r="AA151" s="1">
        <v>2020</v>
      </c>
      <c r="AB151" s="1">
        <v>2021</v>
      </c>
      <c r="AC151" s="1">
        <v>2022</v>
      </c>
      <c r="AD151" s="1">
        <v>2023</v>
      </c>
      <c r="AE151" s="1">
        <v>2024</v>
      </c>
      <c r="AF151" s="1">
        <v>2025</v>
      </c>
      <c r="AG151" s="1">
        <v>2026</v>
      </c>
      <c r="AH151" s="1">
        <v>2027</v>
      </c>
      <c r="AI151" s="1">
        <v>2028</v>
      </c>
      <c r="AJ151" s="1">
        <v>2029</v>
      </c>
      <c r="AK151" s="1">
        <v>2030</v>
      </c>
      <c r="AL151" s="1">
        <v>2031</v>
      </c>
      <c r="AM151" s="1">
        <v>2032</v>
      </c>
      <c r="AN151" s="1">
        <v>2033</v>
      </c>
      <c r="AO151" s="1">
        <v>2034</v>
      </c>
      <c r="AP151" s="1">
        <v>2035</v>
      </c>
      <c r="AQ151" s="1">
        <v>2036</v>
      </c>
      <c r="AR151" s="1">
        <v>2037</v>
      </c>
      <c r="AS151" s="1">
        <v>2038</v>
      </c>
      <c r="AT151" s="1">
        <v>2039</v>
      </c>
      <c r="AU151" s="1">
        <v>2040</v>
      </c>
      <c r="AV151" s="1">
        <v>2041</v>
      </c>
      <c r="AW151" s="1">
        <v>2042</v>
      </c>
      <c r="AX151" s="1">
        <v>2043</v>
      </c>
      <c r="AY151" s="1">
        <v>2044</v>
      </c>
      <c r="AZ151" s="1">
        <v>2045</v>
      </c>
      <c r="BA151" s="1">
        <v>2046</v>
      </c>
      <c r="BB151" s="1">
        <v>2047</v>
      </c>
      <c r="BC151" s="1">
        <v>2048</v>
      </c>
      <c r="BD151" s="1">
        <v>2049</v>
      </c>
      <c r="BE151" s="1">
        <v>2050</v>
      </c>
    </row>
    <row r="152" spans="1:57">
      <c r="A152" s="1" t="str">
        <f>'Population Definitions'!$A$2</f>
        <v>PWID_males</v>
      </c>
      <c r="C152" t="s">
        <v>32</v>
      </c>
      <c r="D152" s="3"/>
      <c r="E152" s="3"/>
      <c r="F152" s="4" t="s">
        <v>37</v>
      </c>
      <c r="G152" s="3">
        <v>0</v>
      </c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Definitions'!$A$3</f>
        <v>PWID_females</v>
      </c>
      <c r="C153" t="s">
        <v>32</v>
      </c>
      <c r="D153" s="3"/>
      <c r="E153" s="3"/>
      <c r="F153" s="4" t="s">
        <v>37</v>
      </c>
      <c r="G153" s="3">
        <v>0</v>
      </c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4" spans="1:57">
      <c r="A154" s="1" t="str">
        <f>'Population Definitions'!$A$4</f>
        <v>0-9_males</v>
      </c>
      <c r="C154" t="s">
        <v>32</v>
      </c>
      <c r="D154" s="3"/>
      <c r="E154" s="3"/>
      <c r="F154" s="4" t="s">
        <v>37</v>
      </c>
      <c r="G154" s="3">
        <v>0</v>
      </c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</row>
    <row r="155" spans="1:57">
      <c r="A155" s="1" t="str">
        <f>'Population Definitions'!$A$5</f>
        <v>0-9_females</v>
      </c>
      <c r="C155" t="s">
        <v>32</v>
      </c>
      <c r="D155" s="3"/>
      <c r="E155" s="3"/>
      <c r="F155" s="4" t="s">
        <v>37</v>
      </c>
      <c r="G155" s="3">
        <v>0</v>
      </c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</row>
    <row r="156" spans="1:57">
      <c r="A156" s="1" t="str">
        <f>'Population Definitions'!$A$6</f>
        <v>10-17_males</v>
      </c>
      <c r="C156" t="s">
        <v>32</v>
      </c>
      <c r="D156" s="3"/>
      <c r="E156" s="3"/>
      <c r="F156" s="4" t="s">
        <v>37</v>
      </c>
      <c r="G156" s="3">
        <v>0</v>
      </c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Definitions'!$A$7</f>
        <v>10-17_females</v>
      </c>
      <c r="C157" t="s">
        <v>32</v>
      </c>
      <c r="D157" s="3"/>
      <c r="E157" s="3"/>
      <c r="F157" s="4" t="s">
        <v>37</v>
      </c>
      <c r="G157" s="3">
        <v>0</v>
      </c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Definitions'!$A$8</f>
        <v>18-64_males</v>
      </c>
      <c r="C158" t="s">
        <v>32</v>
      </c>
      <c r="D158" s="3"/>
      <c r="E158" s="3"/>
      <c r="F158" s="4" t="s">
        <v>37</v>
      </c>
      <c r="G158" s="3">
        <v>0</v>
      </c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Definitions'!$A$9</f>
        <v>18-64_females</v>
      </c>
      <c r="C159" t="s">
        <v>32</v>
      </c>
      <c r="D159" s="3"/>
      <c r="E159" s="3"/>
      <c r="F159" s="4" t="s">
        <v>37</v>
      </c>
      <c r="G159" s="3">
        <v>0</v>
      </c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Definitions'!$A$10</f>
        <v>65+_males</v>
      </c>
      <c r="C160" t="s">
        <v>32</v>
      </c>
      <c r="D160" s="3"/>
      <c r="E160" s="3"/>
      <c r="F160" s="4" t="s">
        <v>37</v>
      </c>
      <c r="G160" s="3">
        <v>0</v>
      </c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Definitions'!$A$11</f>
        <v>65+_females</v>
      </c>
      <c r="C161" t="s">
        <v>32</v>
      </c>
      <c r="D161" s="3"/>
      <c r="E161" s="3"/>
      <c r="F161" s="4" t="s">
        <v>37</v>
      </c>
      <c r="G161" s="3">
        <v>0</v>
      </c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Definitions'!$A$12</f>
        <v>Prisoners_males</v>
      </c>
      <c r="C162" t="s">
        <v>32</v>
      </c>
      <c r="D162" s="3"/>
      <c r="E162" s="3"/>
      <c r="F162" s="4" t="s">
        <v>37</v>
      </c>
      <c r="G162" s="3">
        <v>0</v>
      </c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Definitions'!$A$13</f>
        <v>Prisoners_females</v>
      </c>
      <c r="C163" t="s">
        <v>32</v>
      </c>
      <c r="D163" s="3"/>
      <c r="E163" s="3"/>
      <c r="F163" s="4" t="s">
        <v>37</v>
      </c>
      <c r="G163" s="3">
        <v>0</v>
      </c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">
        <v>109</v>
      </c>
      <c r="C164" t="s">
        <v>32</v>
      </c>
      <c r="D164" s="3"/>
      <c r="E164" s="3"/>
      <c r="F164" s="4" t="s">
        <v>37</v>
      </c>
      <c r="G164" s="3">
        <v>0</v>
      </c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6" spans="1:57">
      <c r="A166" s="1" t="s">
        <v>120</v>
      </c>
      <c r="B166" s="1" t="s">
        <v>29</v>
      </c>
      <c r="C166" s="1" t="s">
        <v>30</v>
      </c>
      <c r="D166" s="1" t="s">
        <v>31</v>
      </c>
      <c r="E166" s="1" t="s">
        <v>36</v>
      </c>
      <c r="F166" s="1"/>
      <c r="G166" s="1">
        <v>2000</v>
      </c>
      <c r="H166" s="1">
        <v>2001</v>
      </c>
      <c r="I166" s="1">
        <v>2002</v>
      </c>
      <c r="J166" s="1">
        <v>2003</v>
      </c>
      <c r="K166" s="1">
        <v>2004</v>
      </c>
      <c r="L166" s="1">
        <v>2005</v>
      </c>
      <c r="M166" s="1">
        <v>2006</v>
      </c>
      <c r="N166" s="1">
        <v>2007</v>
      </c>
      <c r="O166" s="1">
        <v>2008</v>
      </c>
      <c r="P166" s="1">
        <v>2009</v>
      </c>
      <c r="Q166" s="1">
        <v>2010</v>
      </c>
      <c r="R166" s="1">
        <v>2011</v>
      </c>
      <c r="S166" s="1">
        <v>2012</v>
      </c>
      <c r="T166" s="1">
        <v>2013</v>
      </c>
      <c r="U166" s="1">
        <v>2014</v>
      </c>
      <c r="V166" s="1">
        <v>2015</v>
      </c>
      <c r="W166" s="1">
        <v>2016</v>
      </c>
      <c r="X166" s="1">
        <v>2017</v>
      </c>
      <c r="Y166" s="1">
        <v>2018</v>
      </c>
      <c r="Z166" s="1">
        <v>2019</v>
      </c>
      <c r="AA166" s="1">
        <v>2020</v>
      </c>
      <c r="AB166" s="1">
        <v>2021</v>
      </c>
      <c r="AC166" s="1">
        <v>2022</v>
      </c>
      <c r="AD166" s="1">
        <v>2023</v>
      </c>
      <c r="AE166" s="1">
        <v>2024</v>
      </c>
      <c r="AF166" s="1">
        <v>2025</v>
      </c>
      <c r="AG166" s="1">
        <v>2026</v>
      </c>
      <c r="AH166" s="1">
        <v>2027</v>
      </c>
      <c r="AI166" s="1">
        <v>2028</v>
      </c>
      <c r="AJ166" s="1">
        <v>2029</v>
      </c>
      <c r="AK166" s="1">
        <v>2030</v>
      </c>
      <c r="AL166" s="1">
        <v>2031</v>
      </c>
      <c r="AM166" s="1">
        <v>2032</v>
      </c>
      <c r="AN166" s="1">
        <v>2033</v>
      </c>
      <c r="AO166" s="1">
        <v>2034</v>
      </c>
      <c r="AP166" s="1">
        <v>2035</v>
      </c>
      <c r="AQ166" s="1">
        <v>2036</v>
      </c>
      <c r="AR166" s="1">
        <v>2037</v>
      </c>
      <c r="AS166" s="1">
        <v>2038</v>
      </c>
      <c r="AT166" s="1">
        <v>2039</v>
      </c>
      <c r="AU166" s="1">
        <v>2040</v>
      </c>
      <c r="AV166" s="1">
        <v>2041</v>
      </c>
      <c r="AW166" s="1">
        <v>2042</v>
      </c>
      <c r="AX166" s="1">
        <v>2043</v>
      </c>
      <c r="AY166" s="1">
        <v>2044</v>
      </c>
      <c r="AZ166" s="1">
        <v>2045</v>
      </c>
      <c r="BA166" s="1">
        <v>2046</v>
      </c>
      <c r="BB166" s="1">
        <v>2047</v>
      </c>
      <c r="BC166" s="1">
        <v>2048</v>
      </c>
      <c r="BD166" s="1">
        <v>2049</v>
      </c>
      <c r="BE166" s="1">
        <v>2050</v>
      </c>
    </row>
    <row r="167" spans="1:57">
      <c r="A167" s="1" t="str">
        <f>'Population Definitions'!$A$2</f>
        <v>PWID_males</v>
      </c>
      <c r="C167" t="s">
        <v>32</v>
      </c>
      <c r="D167" s="3"/>
      <c r="E167" s="3"/>
      <c r="F167" s="4" t="s">
        <v>37</v>
      </c>
      <c r="G167" s="3">
        <v>0</v>
      </c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8" spans="1:57">
      <c r="A168" s="1" t="str">
        <f>'Population Definitions'!$A$3</f>
        <v>PWID_females</v>
      </c>
      <c r="C168" t="s">
        <v>32</v>
      </c>
      <c r="D168" s="3"/>
      <c r="E168" s="3"/>
      <c r="F168" s="4" t="s">
        <v>37</v>
      </c>
      <c r="G168" s="3">
        <v>0</v>
      </c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</row>
    <row r="169" spans="1:57">
      <c r="A169" s="1" t="str">
        <f>'Population Definitions'!$A$4</f>
        <v>0-9_males</v>
      </c>
      <c r="C169" t="s">
        <v>32</v>
      </c>
      <c r="D169" s="3"/>
      <c r="E169" s="3"/>
      <c r="F169" s="4" t="s">
        <v>37</v>
      </c>
      <c r="G169" s="3">
        <v>0</v>
      </c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</row>
    <row r="170" spans="1:57">
      <c r="A170" s="1" t="str">
        <f>'Population Definitions'!$A$5</f>
        <v>0-9_females</v>
      </c>
      <c r="C170" t="s">
        <v>32</v>
      </c>
      <c r="D170" s="3"/>
      <c r="E170" s="3"/>
      <c r="F170" s="4" t="s">
        <v>37</v>
      </c>
      <c r="G170" s="3">
        <v>0</v>
      </c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Definitions'!$A$6</f>
        <v>10-17_males</v>
      </c>
      <c r="C171" t="s">
        <v>32</v>
      </c>
      <c r="D171" s="3"/>
      <c r="E171" s="3"/>
      <c r="F171" s="4" t="s">
        <v>37</v>
      </c>
      <c r="G171" s="3">
        <v>0</v>
      </c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Definitions'!$A$7</f>
        <v>10-17_females</v>
      </c>
      <c r="C172" t="s">
        <v>32</v>
      </c>
      <c r="D172" s="3"/>
      <c r="E172" s="3"/>
      <c r="F172" s="4" t="s">
        <v>37</v>
      </c>
      <c r="G172" s="3">
        <v>0</v>
      </c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Definitions'!$A$8</f>
        <v>18-64_males</v>
      </c>
      <c r="C173" t="s">
        <v>32</v>
      </c>
      <c r="D173" s="3"/>
      <c r="E173" s="3"/>
      <c r="F173" s="4" t="s">
        <v>37</v>
      </c>
      <c r="G173" s="3">
        <v>0</v>
      </c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Definitions'!$A$9</f>
        <v>18-64_females</v>
      </c>
      <c r="C174" t="s">
        <v>32</v>
      </c>
      <c r="D174" s="3"/>
      <c r="E174" s="3"/>
      <c r="F174" s="4" t="s">
        <v>37</v>
      </c>
      <c r="G174" s="3">
        <v>0</v>
      </c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Definitions'!$A$10</f>
        <v>65+_males</v>
      </c>
      <c r="C175" t="s">
        <v>32</v>
      </c>
      <c r="D175" s="3"/>
      <c r="E175" s="3"/>
      <c r="F175" s="4" t="s">
        <v>37</v>
      </c>
      <c r="G175" s="3">
        <v>0</v>
      </c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Definitions'!$A$11</f>
        <v>65+_females</v>
      </c>
      <c r="C176" t="s">
        <v>32</v>
      </c>
      <c r="D176" s="3"/>
      <c r="E176" s="3"/>
      <c r="F176" s="4" t="s">
        <v>37</v>
      </c>
      <c r="G176" s="3">
        <v>0</v>
      </c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Definitions'!$A$12</f>
        <v>Prisoners_males</v>
      </c>
      <c r="C177" t="s">
        <v>32</v>
      </c>
      <c r="D177" s="3"/>
      <c r="E177" s="3"/>
      <c r="F177" s="4" t="s">
        <v>37</v>
      </c>
      <c r="G177" s="3">
        <v>0</v>
      </c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Definitions'!$A$13</f>
        <v>Prisoners_females</v>
      </c>
      <c r="C178" t="s">
        <v>32</v>
      </c>
      <c r="D178" s="3"/>
      <c r="E178" s="3"/>
      <c r="F178" s="4" t="s">
        <v>37</v>
      </c>
      <c r="G178" s="3">
        <v>0</v>
      </c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">
        <v>109</v>
      </c>
      <c r="C179" t="s">
        <v>32</v>
      </c>
      <c r="D179" s="3"/>
      <c r="E179" s="3"/>
      <c r="F179" s="4" t="s">
        <v>37</v>
      </c>
      <c r="G179" s="3">
        <v>0</v>
      </c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1" spans="1:57">
      <c r="A181" s="1" t="s">
        <v>121</v>
      </c>
      <c r="B181" s="1" t="s">
        <v>29</v>
      </c>
      <c r="C181" s="1" t="s">
        <v>30</v>
      </c>
      <c r="D181" s="1" t="s">
        <v>31</v>
      </c>
      <c r="E181" s="1" t="s">
        <v>36</v>
      </c>
      <c r="F181" s="1"/>
      <c r="G181" s="1">
        <v>2000</v>
      </c>
      <c r="H181" s="1">
        <v>2001</v>
      </c>
      <c r="I181" s="1">
        <v>2002</v>
      </c>
      <c r="J181" s="1">
        <v>2003</v>
      </c>
      <c r="K181" s="1">
        <v>2004</v>
      </c>
      <c r="L181" s="1">
        <v>2005</v>
      </c>
      <c r="M181" s="1">
        <v>2006</v>
      </c>
      <c r="N181" s="1">
        <v>2007</v>
      </c>
      <c r="O181" s="1">
        <v>2008</v>
      </c>
      <c r="P181" s="1">
        <v>2009</v>
      </c>
      <c r="Q181" s="1">
        <v>2010</v>
      </c>
      <c r="R181" s="1">
        <v>2011</v>
      </c>
      <c r="S181" s="1">
        <v>2012</v>
      </c>
      <c r="T181" s="1">
        <v>2013</v>
      </c>
      <c r="U181" s="1">
        <v>2014</v>
      </c>
      <c r="V181" s="1">
        <v>2015</v>
      </c>
      <c r="W181" s="1">
        <v>2016</v>
      </c>
      <c r="X181" s="1">
        <v>2017</v>
      </c>
      <c r="Y181" s="1">
        <v>2018</v>
      </c>
      <c r="Z181" s="1">
        <v>2019</v>
      </c>
      <c r="AA181" s="1">
        <v>2020</v>
      </c>
      <c r="AB181" s="1">
        <v>2021</v>
      </c>
      <c r="AC181" s="1">
        <v>2022</v>
      </c>
      <c r="AD181" s="1">
        <v>2023</v>
      </c>
      <c r="AE181" s="1">
        <v>2024</v>
      </c>
      <c r="AF181" s="1">
        <v>2025</v>
      </c>
      <c r="AG181" s="1">
        <v>2026</v>
      </c>
      <c r="AH181" s="1">
        <v>2027</v>
      </c>
      <c r="AI181" s="1">
        <v>2028</v>
      </c>
      <c r="AJ181" s="1">
        <v>2029</v>
      </c>
      <c r="AK181" s="1">
        <v>2030</v>
      </c>
      <c r="AL181" s="1">
        <v>2031</v>
      </c>
      <c r="AM181" s="1">
        <v>2032</v>
      </c>
      <c r="AN181" s="1">
        <v>2033</v>
      </c>
      <c r="AO181" s="1">
        <v>2034</v>
      </c>
      <c r="AP181" s="1">
        <v>2035</v>
      </c>
      <c r="AQ181" s="1">
        <v>2036</v>
      </c>
      <c r="AR181" s="1">
        <v>2037</v>
      </c>
      <c r="AS181" s="1">
        <v>2038</v>
      </c>
      <c r="AT181" s="1">
        <v>2039</v>
      </c>
      <c r="AU181" s="1">
        <v>2040</v>
      </c>
      <c r="AV181" s="1">
        <v>2041</v>
      </c>
      <c r="AW181" s="1">
        <v>2042</v>
      </c>
      <c r="AX181" s="1">
        <v>2043</v>
      </c>
      <c r="AY181" s="1">
        <v>2044</v>
      </c>
      <c r="AZ181" s="1">
        <v>2045</v>
      </c>
      <c r="BA181" s="1">
        <v>2046</v>
      </c>
      <c r="BB181" s="1">
        <v>2047</v>
      </c>
      <c r="BC181" s="1">
        <v>2048</v>
      </c>
      <c r="BD181" s="1">
        <v>2049</v>
      </c>
      <c r="BE181" s="1">
        <v>2050</v>
      </c>
    </row>
    <row r="182" spans="1:57">
      <c r="A182" s="1" t="str">
        <f>'Population Definitions'!$A$2</f>
        <v>PWID_males</v>
      </c>
      <c r="C182" t="s">
        <v>32</v>
      </c>
      <c r="D182" s="3"/>
      <c r="E182" s="3"/>
      <c r="F182" s="4" t="s">
        <v>37</v>
      </c>
      <c r="G182" s="3">
        <v>0</v>
      </c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</row>
    <row r="183" spans="1:57">
      <c r="A183" s="1" t="str">
        <f>'Population Definitions'!$A$3</f>
        <v>PWID_females</v>
      </c>
      <c r="C183" t="s">
        <v>32</v>
      </c>
      <c r="D183" s="3"/>
      <c r="E183" s="3"/>
      <c r="F183" s="4" t="s">
        <v>37</v>
      </c>
      <c r="G183" s="3">
        <v>0</v>
      </c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</row>
    <row r="184" spans="1:57">
      <c r="A184" s="1" t="str">
        <f>'Population Definitions'!$A$4</f>
        <v>0-9_males</v>
      </c>
      <c r="C184" t="s">
        <v>32</v>
      </c>
      <c r="D184" s="3"/>
      <c r="E184" s="3"/>
      <c r="F184" s="4" t="s">
        <v>37</v>
      </c>
      <c r="G184" s="3">
        <v>0</v>
      </c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Definitions'!$A$5</f>
        <v>0-9_females</v>
      </c>
      <c r="C185" t="s">
        <v>32</v>
      </c>
      <c r="D185" s="3"/>
      <c r="E185" s="3"/>
      <c r="F185" s="4" t="s">
        <v>37</v>
      </c>
      <c r="G185" s="3">
        <v>0</v>
      </c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Definitions'!$A$6</f>
        <v>10-17_males</v>
      </c>
      <c r="C186" t="s">
        <v>32</v>
      </c>
      <c r="D186" s="3"/>
      <c r="E186" s="3"/>
      <c r="F186" s="4" t="s">
        <v>37</v>
      </c>
      <c r="G186" s="3">
        <v>0</v>
      </c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Definitions'!$A$7</f>
        <v>10-17_females</v>
      </c>
      <c r="C187" t="s">
        <v>32</v>
      </c>
      <c r="D187" s="3"/>
      <c r="E187" s="3"/>
      <c r="F187" s="4" t="s">
        <v>37</v>
      </c>
      <c r="G187" s="3">
        <v>0</v>
      </c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Definitions'!$A$8</f>
        <v>18-64_males</v>
      </c>
      <c r="C188" t="s">
        <v>32</v>
      </c>
      <c r="D188" s="3"/>
      <c r="E188" s="3"/>
      <c r="F188" s="4" t="s">
        <v>37</v>
      </c>
      <c r="G188" s="3">
        <v>0</v>
      </c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Definitions'!$A$9</f>
        <v>18-64_females</v>
      </c>
      <c r="C189" t="s">
        <v>32</v>
      </c>
      <c r="D189" s="3"/>
      <c r="E189" s="3"/>
      <c r="F189" s="4" t="s">
        <v>37</v>
      </c>
      <c r="G189" s="3">
        <v>0</v>
      </c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Definitions'!$A$10</f>
        <v>65+_males</v>
      </c>
      <c r="C190" t="s">
        <v>32</v>
      </c>
      <c r="D190" s="3"/>
      <c r="E190" s="3"/>
      <c r="F190" s="4" t="s">
        <v>37</v>
      </c>
      <c r="G190" s="3">
        <v>0</v>
      </c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Definitions'!$A$11</f>
        <v>65+_females</v>
      </c>
      <c r="C191" t="s">
        <v>32</v>
      </c>
      <c r="D191" s="3"/>
      <c r="E191" s="3"/>
      <c r="F191" s="4" t="s">
        <v>37</v>
      </c>
      <c r="G191" s="3">
        <v>0</v>
      </c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Definitions'!$A$12</f>
        <v>Prisoners_males</v>
      </c>
      <c r="C192" t="s">
        <v>32</v>
      </c>
      <c r="D192" s="3"/>
      <c r="E192" s="3"/>
      <c r="F192" s="4" t="s">
        <v>37</v>
      </c>
      <c r="G192" s="3">
        <v>0</v>
      </c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Definitions'!$A$13</f>
        <v>Prisoners_females</v>
      </c>
      <c r="C193" t="s">
        <v>32</v>
      </c>
      <c r="D193" s="3"/>
      <c r="E193" s="3"/>
      <c r="F193" s="4" t="s">
        <v>37</v>
      </c>
      <c r="G193" s="3">
        <v>0</v>
      </c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">
        <v>109</v>
      </c>
      <c r="C194" t="s">
        <v>32</v>
      </c>
      <c r="D194" s="3"/>
      <c r="E194" s="3"/>
      <c r="F194" s="4" t="s">
        <v>37</v>
      </c>
      <c r="G194" s="3">
        <v>0</v>
      </c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6" spans="1:57">
      <c r="A196" s="1" t="s">
        <v>122</v>
      </c>
      <c r="B196" s="1" t="s">
        <v>29</v>
      </c>
      <c r="C196" s="1" t="s">
        <v>30</v>
      </c>
      <c r="D196" s="1" t="s">
        <v>31</v>
      </c>
      <c r="E196" s="1" t="s">
        <v>36</v>
      </c>
      <c r="F196" s="1"/>
      <c r="G196" s="1">
        <v>2000</v>
      </c>
      <c r="H196" s="1">
        <v>2001</v>
      </c>
      <c r="I196" s="1">
        <v>2002</v>
      </c>
      <c r="J196" s="1">
        <v>2003</v>
      </c>
      <c r="K196" s="1">
        <v>2004</v>
      </c>
      <c r="L196" s="1">
        <v>2005</v>
      </c>
      <c r="M196" s="1">
        <v>2006</v>
      </c>
      <c r="N196" s="1">
        <v>2007</v>
      </c>
      <c r="O196" s="1">
        <v>2008</v>
      </c>
      <c r="P196" s="1">
        <v>2009</v>
      </c>
      <c r="Q196" s="1">
        <v>2010</v>
      </c>
      <c r="R196" s="1">
        <v>2011</v>
      </c>
      <c r="S196" s="1">
        <v>2012</v>
      </c>
      <c r="T196" s="1">
        <v>2013</v>
      </c>
      <c r="U196" s="1">
        <v>2014</v>
      </c>
      <c r="V196" s="1">
        <v>2015</v>
      </c>
      <c r="W196" s="1">
        <v>2016</v>
      </c>
      <c r="X196" s="1">
        <v>2017</v>
      </c>
      <c r="Y196" s="1">
        <v>2018</v>
      </c>
      <c r="Z196" s="1">
        <v>2019</v>
      </c>
      <c r="AA196" s="1">
        <v>2020</v>
      </c>
      <c r="AB196" s="1">
        <v>2021</v>
      </c>
      <c r="AC196" s="1">
        <v>2022</v>
      </c>
      <c r="AD196" s="1">
        <v>2023</v>
      </c>
      <c r="AE196" s="1">
        <v>2024</v>
      </c>
      <c r="AF196" s="1">
        <v>2025</v>
      </c>
      <c r="AG196" s="1">
        <v>2026</v>
      </c>
      <c r="AH196" s="1">
        <v>2027</v>
      </c>
      <c r="AI196" s="1">
        <v>2028</v>
      </c>
      <c r="AJ196" s="1">
        <v>2029</v>
      </c>
      <c r="AK196" s="1">
        <v>2030</v>
      </c>
      <c r="AL196" s="1">
        <v>2031</v>
      </c>
      <c r="AM196" s="1">
        <v>2032</v>
      </c>
      <c r="AN196" s="1">
        <v>2033</v>
      </c>
      <c r="AO196" s="1">
        <v>2034</v>
      </c>
      <c r="AP196" s="1">
        <v>2035</v>
      </c>
      <c r="AQ196" s="1">
        <v>2036</v>
      </c>
      <c r="AR196" s="1">
        <v>2037</v>
      </c>
      <c r="AS196" s="1">
        <v>2038</v>
      </c>
      <c r="AT196" s="1">
        <v>2039</v>
      </c>
      <c r="AU196" s="1">
        <v>2040</v>
      </c>
      <c r="AV196" s="1">
        <v>2041</v>
      </c>
      <c r="AW196" s="1">
        <v>2042</v>
      </c>
      <c r="AX196" s="1">
        <v>2043</v>
      </c>
      <c r="AY196" s="1">
        <v>2044</v>
      </c>
      <c r="AZ196" s="1">
        <v>2045</v>
      </c>
      <c r="BA196" s="1">
        <v>2046</v>
      </c>
      <c r="BB196" s="1">
        <v>2047</v>
      </c>
      <c r="BC196" s="1">
        <v>2048</v>
      </c>
      <c r="BD196" s="1">
        <v>2049</v>
      </c>
      <c r="BE196" s="1">
        <v>2050</v>
      </c>
    </row>
    <row r="197" spans="1:57">
      <c r="A197" s="1" t="str">
        <f>'Population Definitions'!$A$2</f>
        <v>PWID_males</v>
      </c>
      <c r="C197" t="s">
        <v>32</v>
      </c>
      <c r="D197" s="3"/>
      <c r="E197" s="3"/>
      <c r="F197" s="4" t="s">
        <v>37</v>
      </c>
      <c r="G197" s="3">
        <v>0</v>
      </c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</row>
    <row r="198" spans="1:57">
      <c r="A198" s="1" t="str">
        <f>'Population Definitions'!$A$3</f>
        <v>PWID_females</v>
      </c>
      <c r="C198" t="s">
        <v>32</v>
      </c>
      <c r="D198" s="3"/>
      <c r="E198" s="3"/>
      <c r="F198" s="4" t="s">
        <v>37</v>
      </c>
      <c r="G198" s="3">
        <v>0</v>
      </c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Definitions'!$A$4</f>
        <v>0-9_males</v>
      </c>
      <c r="C199" t="s">
        <v>32</v>
      </c>
      <c r="D199" s="3"/>
      <c r="E199" s="3"/>
      <c r="F199" s="4" t="s">
        <v>37</v>
      </c>
      <c r="G199" s="3">
        <v>0</v>
      </c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Definitions'!$A$5</f>
        <v>0-9_females</v>
      </c>
      <c r="C200" t="s">
        <v>32</v>
      </c>
      <c r="D200" s="3"/>
      <c r="E200" s="3"/>
      <c r="F200" s="4" t="s">
        <v>37</v>
      </c>
      <c r="G200" s="3">
        <v>0</v>
      </c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Definitions'!$A$6</f>
        <v>10-17_males</v>
      </c>
      <c r="C201" t="s">
        <v>32</v>
      </c>
      <c r="D201" s="3"/>
      <c r="E201" s="3"/>
      <c r="F201" s="4" t="s">
        <v>37</v>
      </c>
      <c r="G201" s="3">
        <v>0</v>
      </c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Definitions'!$A$7</f>
        <v>10-17_females</v>
      </c>
      <c r="C202" t="s">
        <v>32</v>
      </c>
      <c r="D202" s="3"/>
      <c r="E202" s="3"/>
      <c r="F202" s="4" t="s">
        <v>37</v>
      </c>
      <c r="G202" s="3">
        <v>0</v>
      </c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Definitions'!$A$8</f>
        <v>18-64_males</v>
      </c>
      <c r="C203" t="s">
        <v>32</v>
      </c>
      <c r="D203" s="3"/>
      <c r="E203" s="3"/>
      <c r="F203" s="4" t="s">
        <v>37</v>
      </c>
      <c r="G203" s="3">
        <v>0</v>
      </c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Definitions'!$A$9</f>
        <v>18-64_females</v>
      </c>
      <c r="C204" t="s">
        <v>32</v>
      </c>
      <c r="D204" s="3"/>
      <c r="E204" s="3"/>
      <c r="F204" s="4" t="s">
        <v>37</v>
      </c>
      <c r="G204" s="3">
        <v>0</v>
      </c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Definitions'!$A$10</f>
        <v>65+_males</v>
      </c>
      <c r="C205" t="s">
        <v>32</v>
      </c>
      <c r="D205" s="3"/>
      <c r="E205" s="3"/>
      <c r="F205" s="4" t="s">
        <v>37</v>
      </c>
      <c r="G205" s="3">
        <v>0</v>
      </c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Definitions'!$A$11</f>
        <v>65+_females</v>
      </c>
      <c r="C206" t="s">
        <v>32</v>
      </c>
      <c r="D206" s="3"/>
      <c r="E206" s="3"/>
      <c r="F206" s="4" t="s">
        <v>37</v>
      </c>
      <c r="G206" s="3">
        <v>0</v>
      </c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Definitions'!$A$12</f>
        <v>Prisoners_males</v>
      </c>
      <c r="C207" t="s">
        <v>32</v>
      </c>
      <c r="D207" s="3"/>
      <c r="E207" s="3"/>
      <c r="F207" s="4" t="s">
        <v>37</v>
      </c>
      <c r="G207" s="3">
        <v>0</v>
      </c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Definitions'!$A$13</f>
        <v>Prisoners_females</v>
      </c>
      <c r="C208" t="s">
        <v>32</v>
      </c>
      <c r="D208" s="3"/>
      <c r="E208" s="3"/>
      <c r="F208" s="4" t="s">
        <v>37</v>
      </c>
      <c r="G208" s="3">
        <v>0</v>
      </c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">
        <v>109</v>
      </c>
      <c r="C209" t="s">
        <v>32</v>
      </c>
      <c r="D209" s="3"/>
      <c r="E209" s="3"/>
      <c r="F209" s="4" t="s">
        <v>37</v>
      </c>
      <c r="G209" s="3">
        <v>0</v>
      </c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123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C212" t="s">
        <v>32</v>
      </c>
      <c r="D212" s="3"/>
      <c r="E212" s="3"/>
      <c r="F212" s="4" t="s">
        <v>37</v>
      </c>
      <c r="G212" s="3">
        <v>0</v>
      </c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C213" t="s">
        <v>32</v>
      </c>
      <c r="D213" s="3"/>
      <c r="E213" s="3"/>
      <c r="F213" s="4" t="s">
        <v>37</v>
      </c>
      <c r="G213" s="3">
        <v>0</v>
      </c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C214" t="s">
        <v>32</v>
      </c>
      <c r="D214" s="3"/>
      <c r="E214" s="3"/>
      <c r="F214" s="4" t="s">
        <v>37</v>
      </c>
      <c r="G214" s="3">
        <v>0</v>
      </c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C215" t="s">
        <v>32</v>
      </c>
      <c r="D215" s="3"/>
      <c r="E215" s="3"/>
      <c r="F215" s="4" t="s">
        <v>37</v>
      </c>
      <c r="G215" s="3">
        <v>0</v>
      </c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C216" t="s">
        <v>32</v>
      </c>
      <c r="D216" s="3"/>
      <c r="E216" s="3"/>
      <c r="F216" s="4" t="s">
        <v>37</v>
      </c>
      <c r="G216" s="3">
        <v>0</v>
      </c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C217" t="s">
        <v>32</v>
      </c>
      <c r="D217" s="3"/>
      <c r="E217" s="3"/>
      <c r="F217" s="4" t="s">
        <v>37</v>
      </c>
      <c r="G217" s="3">
        <v>0</v>
      </c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C218" t="s">
        <v>32</v>
      </c>
      <c r="D218" s="3"/>
      <c r="E218" s="3"/>
      <c r="F218" s="4" t="s">
        <v>37</v>
      </c>
      <c r="G218" s="3">
        <v>0</v>
      </c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C219" t="s">
        <v>32</v>
      </c>
      <c r="D219" s="3"/>
      <c r="E219" s="3"/>
      <c r="F219" s="4" t="s">
        <v>37</v>
      </c>
      <c r="G219" s="3">
        <v>0</v>
      </c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C220" t="s">
        <v>32</v>
      </c>
      <c r="D220" s="3"/>
      <c r="E220" s="3"/>
      <c r="F220" s="4" t="s">
        <v>37</v>
      </c>
      <c r="G220" s="3">
        <v>0</v>
      </c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C221" t="s">
        <v>32</v>
      </c>
      <c r="D221" s="3"/>
      <c r="E221" s="3"/>
      <c r="F221" s="4" t="s">
        <v>37</v>
      </c>
      <c r="G221" s="3">
        <v>0</v>
      </c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C222" t="s">
        <v>32</v>
      </c>
      <c r="D222" s="3"/>
      <c r="E222" s="3"/>
      <c r="F222" s="4" t="s">
        <v>37</v>
      </c>
      <c r="G222" s="3">
        <v>0</v>
      </c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C223" t="s">
        <v>32</v>
      </c>
      <c r="D223" s="3"/>
      <c r="E223" s="3"/>
      <c r="F223" s="4" t="s">
        <v>37</v>
      </c>
      <c r="G223" s="3">
        <v>0</v>
      </c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4" spans="1:57">
      <c r="A224" s="1" t="s">
        <v>109</v>
      </c>
      <c r="C224" t="s">
        <v>32</v>
      </c>
      <c r="D224" s="3"/>
      <c r="E224" s="3"/>
      <c r="F224" s="4" t="s">
        <v>37</v>
      </c>
      <c r="G224" s="3">
        <v>0</v>
      </c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</row>
    <row r="226" spans="1:57">
      <c r="A226" s="1" t="s">
        <v>124</v>
      </c>
      <c r="B226" s="1" t="s">
        <v>29</v>
      </c>
      <c r="C226" s="1" t="s">
        <v>30</v>
      </c>
      <c r="D226" s="1" t="s">
        <v>31</v>
      </c>
      <c r="E226" s="1" t="s">
        <v>36</v>
      </c>
      <c r="F226" s="1"/>
      <c r="G226" s="1">
        <v>2000</v>
      </c>
      <c r="H226" s="1">
        <v>2001</v>
      </c>
      <c r="I226" s="1">
        <v>2002</v>
      </c>
      <c r="J226" s="1">
        <v>2003</v>
      </c>
      <c r="K226" s="1">
        <v>2004</v>
      </c>
      <c r="L226" s="1">
        <v>2005</v>
      </c>
      <c r="M226" s="1">
        <v>2006</v>
      </c>
      <c r="N226" s="1">
        <v>2007</v>
      </c>
      <c r="O226" s="1">
        <v>2008</v>
      </c>
      <c r="P226" s="1">
        <v>2009</v>
      </c>
      <c r="Q226" s="1">
        <v>2010</v>
      </c>
      <c r="R226" s="1">
        <v>2011</v>
      </c>
      <c r="S226" s="1">
        <v>2012</v>
      </c>
      <c r="T226" s="1">
        <v>2013</v>
      </c>
      <c r="U226" s="1">
        <v>2014</v>
      </c>
      <c r="V226" s="1">
        <v>2015</v>
      </c>
      <c r="W226" s="1">
        <v>2016</v>
      </c>
      <c r="X226" s="1">
        <v>2017</v>
      </c>
      <c r="Y226" s="1">
        <v>2018</v>
      </c>
      <c r="Z226" s="1">
        <v>2019</v>
      </c>
      <c r="AA226" s="1">
        <v>2020</v>
      </c>
      <c r="AB226" s="1">
        <v>2021</v>
      </c>
      <c r="AC226" s="1">
        <v>2022</v>
      </c>
      <c r="AD226" s="1">
        <v>2023</v>
      </c>
      <c r="AE226" s="1">
        <v>2024</v>
      </c>
      <c r="AF226" s="1">
        <v>2025</v>
      </c>
      <c r="AG226" s="1">
        <v>2026</v>
      </c>
      <c r="AH226" s="1">
        <v>2027</v>
      </c>
      <c r="AI226" s="1">
        <v>2028</v>
      </c>
      <c r="AJ226" s="1">
        <v>2029</v>
      </c>
      <c r="AK226" s="1">
        <v>2030</v>
      </c>
      <c r="AL226" s="1">
        <v>2031</v>
      </c>
      <c r="AM226" s="1">
        <v>2032</v>
      </c>
      <c r="AN226" s="1">
        <v>2033</v>
      </c>
      <c r="AO226" s="1">
        <v>2034</v>
      </c>
      <c r="AP226" s="1">
        <v>2035</v>
      </c>
      <c r="AQ226" s="1">
        <v>2036</v>
      </c>
      <c r="AR226" s="1">
        <v>2037</v>
      </c>
      <c r="AS226" s="1">
        <v>2038</v>
      </c>
      <c r="AT226" s="1">
        <v>2039</v>
      </c>
      <c r="AU226" s="1">
        <v>2040</v>
      </c>
      <c r="AV226" s="1">
        <v>2041</v>
      </c>
      <c r="AW226" s="1">
        <v>2042</v>
      </c>
      <c r="AX226" s="1">
        <v>2043</v>
      </c>
      <c r="AY226" s="1">
        <v>2044</v>
      </c>
      <c r="AZ226" s="1">
        <v>2045</v>
      </c>
      <c r="BA226" s="1">
        <v>2046</v>
      </c>
      <c r="BB226" s="1">
        <v>2047</v>
      </c>
      <c r="BC226" s="1">
        <v>2048</v>
      </c>
      <c r="BD226" s="1">
        <v>2049</v>
      </c>
      <c r="BE226" s="1">
        <v>2050</v>
      </c>
    </row>
    <row r="227" spans="1:57">
      <c r="A227" s="1" t="str">
        <f>'Population Definitions'!$A$2</f>
        <v>PWID_males</v>
      </c>
      <c r="C227" t="s">
        <v>32</v>
      </c>
      <c r="D227" s="3"/>
      <c r="E227" s="3"/>
      <c r="F227" s="4" t="s">
        <v>37</v>
      </c>
      <c r="G227" s="3">
        <v>0</v>
      </c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Definitions'!$A$3</f>
        <v>PWID_females</v>
      </c>
      <c r="C228" t="s">
        <v>32</v>
      </c>
      <c r="D228" s="3"/>
      <c r="E228" s="3"/>
      <c r="F228" s="4" t="s">
        <v>37</v>
      </c>
      <c r="G228" s="3">
        <v>0</v>
      </c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Definitions'!$A$4</f>
        <v>0-9_males</v>
      </c>
      <c r="C229" t="s">
        <v>32</v>
      </c>
      <c r="D229" s="3"/>
      <c r="E229" s="3"/>
      <c r="F229" s="4" t="s">
        <v>37</v>
      </c>
      <c r="G229" s="3">
        <v>0</v>
      </c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Definitions'!$A$5</f>
        <v>0-9_females</v>
      </c>
      <c r="C230" t="s">
        <v>32</v>
      </c>
      <c r="D230" s="3"/>
      <c r="E230" s="3"/>
      <c r="F230" s="4" t="s">
        <v>37</v>
      </c>
      <c r="G230" s="3">
        <v>0</v>
      </c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Definitions'!$A$6</f>
        <v>10-17_males</v>
      </c>
      <c r="C231" t="s">
        <v>32</v>
      </c>
      <c r="D231" s="3"/>
      <c r="E231" s="3"/>
      <c r="F231" s="4" t="s">
        <v>37</v>
      </c>
      <c r="G231" s="3">
        <v>0</v>
      </c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Definitions'!$A$7</f>
        <v>10-17_females</v>
      </c>
      <c r="C232" t="s">
        <v>32</v>
      </c>
      <c r="D232" s="3"/>
      <c r="E232" s="3"/>
      <c r="F232" s="4" t="s">
        <v>37</v>
      </c>
      <c r="G232" s="3">
        <v>0</v>
      </c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Definitions'!$A$8</f>
        <v>18-64_males</v>
      </c>
      <c r="C233" t="s">
        <v>32</v>
      </c>
      <c r="D233" s="3"/>
      <c r="E233" s="3"/>
      <c r="F233" s="4" t="s">
        <v>37</v>
      </c>
      <c r="G233" s="3">
        <v>0</v>
      </c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Definitions'!$A$9</f>
        <v>18-64_females</v>
      </c>
      <c r="C234" t="s">
        <v>32</v>
      </c>
      <c r="D234" s="3"/>
      <c r="E234" s="3"/>
      <c r="F234" s="4" t="s">
        <v>37</v>
      </c>
      <c r="G234" s="3">
        <v>0</v>
      </c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Definitions'!$A$10</f>
        <v>65+_males</v>
      </c>
      <c r="C235" t="s">
        <v>32</v>
      </c>
      <c r="D235" s="3"/>
      <c r="E235" s="3"/>
      <c r="F235" s="4" t="s">
        <v>37</v>
      </c>
      <c r="G235" s="3">
        <v>0</v>
      </c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Definitions'!$A$11</f>
        <v>65+_females</v>
      </c>
      <c r="C236" t="s">
        <v>32</v>
      </c>
      <c r="D236" s="3"/>
      <c r="E236" s="3"/>
      <c r="F236" s="4" t="s">
        <v>37</v>
      </c>
      <c r="G236" s="3">
        <v>0</v>
      </c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Definitions'!$A$12</f>
        <v>Prisoners_males</v>
      </c>
      <c r="C237" t="s">
        <v>32</v>
      </c>
      <c r="D237" s="3"/>
      <c r="E237" s="3"/>
      <c r="F237" s="4" t="s">
        <v>37</v>
      </c>
      <c r="G237" s="3">
        <v>0</v>
      </c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8" spans="1:57">
      <c r="A238" s="1" t="str">
        <f>'Population Definitions'!$A$13</f>
        <v>Prisoners_females</v>
      </c>
      <c r="C238" t="s">
        <v>32</v>
      </c>
      <c r="D238" s="3"/>
      <c r="E238" s="3"/>
      <c r="F238" s="4" t="s">
        <v>37</v>
      </c>
      <c r="G238" s="3">
        <v>0</v>
      </c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</row>
    <row r="239" spans="1:57">
      <c r="A239" s="1" t="s">
        <v>109</v>
      </c>
      <c r="C239" t="s">
        <v>32</v>
      </c>
      <c r="D239" s="3"/>
      <c r="E239" s="3"/>
      <c r="F239" s="4" t="s">
        <v>37</v>
      </c>
      <c r="G239" s="3">
        <v>596</v>
      </c>
      <c r="H239" s="3"/>
      <c r="I239" s="3"/>
      <c r="J239" s="3"/>
      <c r="K239" s="3"/>
      <c r="L239" s="3"/>
      <c r="M239" s="3"/>
      <c r="N239" s="3"/>
      <c r="O239" s="3"/>
      <c r="P239" s="3"/>
      <c r="Q239" s="3">
        <v>596</v>
      </c>
      <c r="R239" s="3"/>
      <c r="S239" s="3"/>
      <c r="T239" s="3"/>
      <c r="U239" s="3"/>
      <c r="V239" s="3"/>
      <c r="W239" s="3"/>
      <c r="X239" s="3"/>
      <c r="Y239" s="3"/>
      <c r="Z239" s="3">
        <v>719</v>
      </c>
      <c r="AA239" s="3">
        <v>716.2</v>
      </c>
      <c r="AB239" s="3">
        <v>710.5</v>
      </c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</row>
    <row r="241" spans="1:57">
      <c r="A241" s="1" t="s">
        <v>125</v>
      </c>
      <c r="B241" s="1" t="s">
        <v>29</v>
      </c>
      <c r="C241" s="1" t="s">
        <v>30</v>
      </c>
      <c r="D241" s="1" t="s">
        <v>31</v>
      </c>
      <c r="E241" s="1" t="s">
        <v>36</v>
      </c>
      <c r="F241" s="1"/>
      <c r="G241" s="1">
        <v>2000</v>
      </c>
      <c r="H241" s="1">
        <v>2001</v>
      </c>
      <c r="I241" s="1">
        <v>2002</v>
      </c>
      <c r="J241" s="1">
        <v>2003</v>
      </c>
      <c r="K241" s="1">
        <v>2004</v>
      </c>
      <c r="L241" s="1">
        <v>2005</v>
      </c>
      <c r="M241" s="1">
        <v>2006</v>
      </c>
      <c r="N241" s="1">
        <v>2007</v>
      </c>
      <c r="O241" s="1">
        <v>2008</v>
      </c>
      <c r="P241" s="1">
        <v>2009</v>
      </c>
      <c r="Q241" s="1">
        <v>2010</v>
      </c>
      <c r="R241" s="1">
        <v>2011</v>
      </c>
      <c r="S241" s="1">
        <v>2012</v>
      </c>
      <c r="T241" s="1">
        <v>2013</v>
      </c>
      <c r="U241" s="1">
        <v>2014</v>
      </c>
      <c r="V241" s="1">
        <v>2015</v>
      </c>
      <c r="W241" s="1">
        <v>2016</v>
      </c>
      <c r="X241" s="1">
        <v>2017</v>
      </c>
      <c r="Y241" s="1">
        <v>2018</v>
      </c>
      <c r="Z241" s="1">
        <v>2019</v>
      </c>
      <c r="AA241" s="1">
        <v>2020</v>
      </c>
      <c r="AB241" s="1">
        <v>2021</v>
      </c>
      <c r="AC241" s="1">
        <v>2022</v>
      </c>
      <c r="AD241" s="1">
        <v>2023</v>
      </c>
      <c r="AE241" s="1">
        <v>2024</v>
      </c>
      <c r="AF241" s="1">
        <v>2025</v>
      </c>
      <c r="AG241" s="1">
        <v>2026</v>
      </c>
      <c r="AH241" s="1">
        <v>2027</v>
      </c>
      <c r="AI241" s="1">
        <v>2028</v>
      </c>
      <c r="AJ241" s="1">
        <v>2029</v>
      </c>
      <c r="AK241" s="1">
        <v>2030</v>
      </c>
      <c r="AL241" s="1">
        <v>2031</v>
      </c>
      <c r="AM241" s="1">
        <v>2032</v>
      </c>
      <c r="AN241" s="1">
        <v>2033</v>
      </c>
      <c r="AO241" s="1">
        <v>2034</v>
      </c>
      <c r="AP241" s="1">
        <v>2035</v>
      </c>
      <c r="AQ241" s="1">
        <v>2036</v>
      </c>
      <c r="AR241" s="1">
        <v>2037</v>
      </c>
      <c r="AS241" s="1">
        <v>2038</v>
      </c>
      <c r="AT241" s="1">
        <v>2039</v>
      </c>
      <c r="AU241" s="1">
        <v>2040</v>
      </c>
      <c r="AV241" s="1">
        <v>2041</v>
      </c>
      <c r="AW241" s="1">
        <v>2042</v>
      </c>
      <c r="AX241" s="1">
        <v>2043</v>
      </c>
      <c r="AY241" s="1">
        <v>2044</v>
      </c>
      <c r="AZ241" s="1">
        <v>2045</v>
      </c>
      <c r="BA241" s="1">
        <v>2046</v>
      </c>
      <c r="BB241" s="1">
        <v>2047</v>
      </c>
      <c r="BC241" s="1">
        <v>2048</v>
      </c>
      <c r="BD241" s="1">
        <v>2049</v>
      </c>
      <c r="BE241" s="1">
        <v>2050</v>
      </c>
    </row>
    <row r="242" spans="1:57">
      <c r="A242" s="1" t="str">
        <f>'Population Definitions'!$A$2</f>
        <v>PWID_males</v>
      </c>
      <c r="C242" t="s">
        <v>32</v>
      </c>
      <c r="D242" s="3"/>
      <c r="E242" s="3"/>
      <c r="F242" s="4" t="s">
        <v>37</v>
      </c>
      <c r="G242" s="3">
        <v>0</v>
      </c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Definitions'!$A$3</f>
        <v>PWID_females</v>
      </c>
      <c r="C243" t="s">
        <v>32</v>
      </c>
      <c r="D243" s="3"/>
      <c r="E243" s="3"/>
      <c r="F243" s="4" t="s">
        <v>37</v>
      </c>
      <c r="G243" s="3">
        <v>0</v>
      </c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Definitions'!$A$4</f>
        <v>0-9_males</v>
      </c>
      <c r="C244" t="s">
        <v>32</v>
      </c>
      <c r="D244" s="3"/>
      <c r="E244" s="3"/>
      <c r="F244" s="4" t="s">
        <v>37</v>
      </c>
      <c r="G244" s="3">
        <v>0</v>
      </c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Definitions'!$A$5</f>
        <v>0-9_females</v>
      </c>
      <c r="C245" t="s">
        <v>32</v>
      </c>
      <c r="D245" s="3"/>
      <c r="E245" s="3"/>
      <c r="F245" s="4" t="s">
        <v>37</v>
      </c>
      <c r="G245" s="3">
        <v>0</v>
      </c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Definitions'!$A$6</f>
        <v>10-17_males</v>
      </c>
      <c r="C246" t="s">
        <v>32</v>
      </c>
      <c r="D246" s="3"/>
      <c r="E246" s="3"/>
      <c r="F246" s="4" t="s">
        <v>37</v>
      </c>
      <c r="G246" s="3">
        <v>0</v>
      </c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Definitions'!$A$7</f>
        <v>10-17_females</v>
      </c>
      <c r="C247" t="s">
        <v>32</v>
      </c>
      <c r="D247" s="3"/>
      <c r="E247" s="3"/>
      <c r="F247" s="4" t="s">
        <v>37</v>
      </c>
      <c r="G247" s="3">
        <v>0</v>
      </c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Definitions'!$A$8</f>
        <v>18-64_males</v>
      </c>
      <c r="C248" t="s">
        <v>32</v>
      </c>
      <c r="D248" s="3"/>
      <c r="E248" s="3"/>
      <c r="F248" s="4" t="s">
        <v>37</v>
      </c>
      <c r="G248" s="3">
        <v>0</v>
      </c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Definitions'!$A$9</f>
        <v>18-64_females</v>
      </c>
      <c r="C249" t="s">
        <v>32</v>
      </c>
      <c r="D249" s="3"/>
      <c r="E249" s="3"/>
      <c r="F249" s="4" t="s">
        <v>37</v>
      </c>
      <c r="G249" s="3">
        <v>0</v>
      </c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Definitions'!$A$10</f>
        <v>65+_males</v>
      </c>
      <c r="C250" t="s">
        <v>32</v>
      </c>
      <c r="D250" s="3"/>
      <c r="E250" s="3"/>
      <c r="F250" s="4" t="s">
        <v>37</v>
      </c>
      <c r="G250" s="3">
        <v>0</v>
      </c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Definitions'!$A$11</f>
        <v>65+_females</v>
      </c>
      <c r="C251" t="s">
        <v>32</v>
      </c>
      <c r="D251" s="3"/>
      <c r="E251" s="3"/>
      <c r="F251" s="4" t="s">
        <v>37</v>
      </c>
      <c r="G251" s="3">
        <v>0</v>
      </c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2" spans="1:57">
      <c r="A252" s="1" t="str">
        <f>'Population Definitions'!$A$12</f>
        <v>Prisoners_males</v>
      </c>
      <c r="C252" t="s">
        <v>32</v>
      </c>
      <c r="D252" s="3"/>
      <c r="E252" s="3"/>
      <c r="F252" s="4" t="s">
        <v>37</v>
      </c>
      <c r="G252" s="3">
        <v>0</v>
      </c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</row>
    <row r="253" spans="1:57">
      <c r="A253" s="1" t="str">
        <f>'Population Definitions'!$A$13</f>
        <v>Prisoners_females</v>
      </c>
      <c r="C253" t="s">
        <v>32</v>
      </c>
      <c r="D253" s="3"/>
      <c r="E253" s="3"/>
      <c r="F253" s="4" t="s">
        <v>37</v>
      </c>
      <c r="G253" s="3">
        <v>0</v>
      </c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</row>
    <row r="254" spans="1:57">
      <c r="A254" s="1" t="s">
        <v>109</v>
      </c>
      <c r="C254" t="s">
        <v>32</v>
      </c>
      <c r="D254" s="3"/>
      <c r="E254" s="3"/>
      <c r="F254" s="4" t="s">
        <v>37</v>
      </c>
      <c r="G254" s="3">
        <v>0</v>
      </c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</row>
  </sheetData>
  <conditionalFormatting sqref="E100">
    <cfRule type="expression" dxfId="0" priority="147">
      <formula>COUNTIF(G100:BE100,"&lt;&gt;" &amp; "")&gt;0</formula>
    </cfRule>
    <cfRule type="expression" dxfId="1" priority="148">
      <formula>AND(COUNTIF(G100:BE100,"&lt;&gt;" &amp; "")&gt;0,NOT(ISBLANK(E100)))</formula>
    </cfRule>
  </conditionalFormatting>
  <conditionalFormatting sqref="E101">
    <cfRule type="expression" dxfId="0" priority="149">
      <formula>COUNTIF(G101:BE101,"&lt;&gt;" &amp; "")&gt;0</formula>
    </cfRule>
    <cfRule type="expression" dxfId="1" priority="150">
      <formula>AND(COUNTIF(G101:BE101,"&lt;&gt;" &amp; "")&gt;0,NOT(ISBLANK(E101)))</formula>
    </cfRule>
  </conditionalFormatting>
  <conditionalFormatting sqref="E102">
    <cfRule type="expression" dxfId="0" priority="151">
      <formula>COUNTIF(G102:BE102,"&lt;&gt;" &amp; "")&gt;0</formula>
    </cfRule>
    <cfRule type="expression" dxfId="1" priority="152">
      <formula>AND(COUNTIF(G102:BE102,"&lt;&gt;" &amp; "")&gt;0,NOT(ISBLANK(E102)))</formula>
    </cfRule>
  </conditionalFormatting>
  <conditionalFormatting sqref="E103">
    <cfRule type="expression" dxfId="0" priority="153">
      <formula>COUNTIF(G103:BE103,"&lt;&gt;" &amp; "")&gt;0</formula>
    </cfRule>
    <cfRule type="expression" dxfId="1" priority="154">
      <formula>AND(COUNTIF(G103:BE103,"&lt;&gt;" &amp; "")&gt;0,NOT(ISBLANK(E103)))</formula>
    </cfRule>
  </conditionalFormatting>
  <conditionalFormatting sqref="E104">
    <cfRule type="expression" dxfId="0" priority="155">
      <formula>COUNTIF(G104:BE104,"&lt;&gt;" &amp; "")&gt;0</formula>
    </cfRule>
    <cfRule type="expression" dxfId="1" priority="156">
      <formula>AND(COUNTIF(G104:BE104,"&lt;&gt;" &amp; "")&gt;0,NOT(ISBLANK(E104)))</formula>
    </cfRule>
  </conditionalFormatting>
  <conditionalFormatting sqref="E107">
    <cfRule type="expression" dxfId="0" priority="157">
      <formula>COUNTIF(G107:BE107,"&lt;&gt;" &amp; "")&gt;0</formula>
    </cfRule>
    <cfRule type="expression" dxfId="1" priority="158">
      <formula>AND(COUNTIF(G107:BE107,"&lt;&gt;" &amp; "")&gt;0,NOT(ISBLANK(E107)))</formula>
    </cfRule>
  </conditionalFormatting>
  <conditionalFormatting sqref="E108">
    <cfRule type="expression" dxfId="0" priority="159">
      <formula>COUNTIF(G108:BE108,"&lt;&gt;" &amp; "")&gt;0</formula>
    </cfRule>
    <cfRule type="expression" dxfId="1" priority="160">
      <formula>AND(COUNTIF(G108:BE108,"&lt;&gt;" &amp; "")&gt;0,NOT(ISBLANK(E108)))</formula>
    </cfRule>
  </conditionalFormatting>
  <conditionalFormatting sqref="E109">
    <cfRule type="expression" dxfId="0" priority="161">
      <formula>COUNTIF(G109:BE109,"&lt;&gt;" &amp; "")&gt;0</formula>
    </cfRule>
    <cfRule type="expression" dxfId="1" priority="162">
      <formula>AND(COUNTIF(G109:BE109,"&lt;&gt;" &amp; "")&gt;0,NOT(ISBLANK(E109)))</formula>
    </cfRule>
  </conditionalFormatting>
  <conditionalFormatting sqref="E110">
    <cfRule type="expression" dxfId="0" priority="163">
      <formula>COUNTIF(G110:BE110,"&lt;&gt;" &amp; "")&gt;0</formula>
    </cfRule>
    <cfRule type="expression" dxfId="1" priority="164">
      <formula>AND(COUNTIF(G110:BE110,"&lt;&gt;" &amp; "")&gt;0,NOT(ISBLANK(E110)))</formula>
    </cfRule>
  </conditionalFormatting>
  <conditionalFormatting sqref="E111">
    <cfRule type="expression" dxfId="0" priority="165">
      <formula>COUNTIF(G111:BE111,"&lt;&gt;" &amp; "")&gt;0</formula>
    </cfRule>
    <cfRule type="expression" dxfId="1" priority="166">
      <formula>AND(COUNTIF(G111:BE111,"&lt;&gt;" &amp; "")&gt;0,NOT(ISBLANK(E111)))</formula>
    </cfRule>
  </conditionalFormatting>
  <conditionalFormatting sqref="E112">
    <cfRule type="expression" dxfId="0" priority="167">
      <formula>COUNTIF(G112:BE112,"&lt;&gt;" &amp; "")&gt;0</formula>
    </cfRule>
    <cfRule type="expression" dxfId="1" priority="168">
      <formula>AND(COUNTIF(G112:BE112,"&lt;&gt;" &amp; "")&gt;0,NOT(ISBLANK(E112)))</formula>
    </cfRule>
  </conditionalFormatting>
  <conditionalFormatting sqref="E113">
    <cfRule type="expression" dxfId="0" priority="169">
      <formula>COUNTIF(G113:BE113,"&lt;&gt;" &amp; "")&gt;0</formula>
    </cfRule>
    <cfRule type="expression" dxfId="1" priority="170">
      <formula>AND(COUNTIF(G113:BE113,"&lt;&gt;" &amp; "")&gt;0,NOT(ISBLANK(E113)))</formula>
    </cfRule>
  </conditionalFormatting>
  <conditionalFormatting sqref="E114">
    <cfRule type="expression" dxfId="0" priority="171">
      <formula>COUNTIF(G114:BE114,"&lt;&gt;" &amp; "")&gt;0</formula>
    </cfRule>
    <cfRule type="expression" dxfId="1" priority="172">
      <formula>AND(COUNTIF(G114:BE114,"&lt;&gt;" &amp; "")&gt;0,NOT(ISBLANK(E114)))</formula>
    </cfRule>
  </conditionalFormatting>
  <conditionalFormatting sqref="E115">
    <cfRule type="expression" dxfId="0" priority="173">
      <formula>COUNTIF(G115:BE115,"&lt;&gt;" &amp; "")&gt;0</formula>
    </cfRule>
    <cfRule type="expression" dxfId="1" priority="174">
      <formula>AND(COUNTIF(G115:BE115,"&lt;&gt;" &amp; "")&gt;0,NOT(ISBLANK(E115)))</formula>
    </cfRule>
  </conditionalFormatting>
  <conditionalFormatting sqref="E116">
    <cfRule type="expression" dxfId="0" priority="175">
      <formula>COUNTIF(G116:BE116,"&lt;&gt;" &amp; "")&gt;0</formula>
    </cfRule>
    <cfRule type="expression" dxfId="1" priority="176">
      <formula>AND(COUNTIF(G116:BE116,"&lt;&gt;" &amp; "")&gt;0,NOT(ISBLANK(E116)))</formula>
    </cfRule>
  </conditionalFormatting>
  <conditionalFormatting sqref="E117">
    <cfRule type="expression" dxfId="0" priority="177">
      <formula>COUNTIF(G117:BE117,"&lt;&gt;" &amp; "")&gt;0</formula>
    </cfRule>
    <cfRule type="expression" dxfId="1" priority="178">
      <formula>AND(COUNTIF(G117:BE117,"&lt;&gt;" &amp; "")&gt;0,NOT(ISBLANK(E117)))</formula>
    </cfRule>
  </conditionalFormatting>
  <conditionalFormatting sqref="E118">
    <cfRule type="expression" dxfId="0" priority="179">
      <formula>COUNTIF(G118:BE118,"&lt;&gt;" &amp; "")&gt;0</formula>
    </cfRule>
    <cfRule type="expression" dxfId="1" priority="180">
      <formula>AND(COUNTIF(G118:BE118,"&lt;&gt;" &amp; "")&gt;0,NOT(ISBLANK(E118)))</formula>
    </cfRule>
  </conditionalFormatting>
  <conditionalFormatting sqref="E119">
    <cfRule type="expression" dxfId="0" priority="181">
      <formula>COUNTIF(G119:BE119,"&lt;&gt;" &amp; "")&gt;0</formula>
    </cfRule>
    <cfRule type="expression" dxfId="1" priority="182">
      <formula>AND(COUNTIF(G119:BE119,"&lt;&gt;" &amp; "")&gt;0,NOT(ISBLANK(E119)))</formula>
    </cfRule>
  </conditionalFormatting>
  <conditionalFormatting sqref="E122">
    <cfRule type="expression" dxfId="0" priority="183">
      <formula>COUNTIF(G122:BE122,"&lt;&gt;" &amp; "")&gt;0</formula>
    </cfRule>
    <cfRule type="expression" dxfId="1" priority="184">
      <formula>AND(COUNTIF(G122:BE122,"&lt;&gt;" &amp; "")&gt;0,NOT(ISBLANK(E122)))</formula>
    </cfRule>
  </conditionalFormatting>
  <conditionalFormatting sqref="E123">
    <cfRule type="expression" dxfId="0" priority="185">
      <formula>COUNTIF(G123:BE123,"&lt;&gt;" &amp; "")&gt;0</formula>
    </cfRule>
    <cfRule type="expression" dxfId="1" priority="186">
      <formula>AND(COUNTIF(G123:BE123,"&lt;&gt;" &amp; "")&gt;0,NOT(ISBLANK(E123)))</formula>
    </cfRule>
  </conditionalFormatting>
  <conditionalFormatting sqref="E124">
    <cfRule type="expression" dxfId="0" priority="187">
      <formula>COUNTIF(G124:BE124,"&lt;&gt;" &amp; "")&gt;0</formula>
    </cfRule>
    <cfRule type="expression" dxfId="1" priority="188">
      <formula>AND(COUNTIF(G124:BE124,"&lt;&gt;" &amp; "")&gt;0,NOT(ISBLANK(E124)))</formula>
    </cfRule>
  </conditionalFormatting>
  <conditionalFormatting sqref="E125">
    <cfRule type="expression" dxfId="0" priority="189">
      <formula>COUNTIF(G125:BE125,"&lt;&gt;" &amp; "")&gt;0</formula>
    </cfRule>
    <cfRule type="expression" dxfId="1" priority="190">
      <formula>AND(COUNTIF(G125:BE125,"&lt;&gt;" &amp; "")&gt;0,NOT(ISBLANK(E125)))</formula>
    </cfRule>
  </conditionalFormatting>
  <conditionalFormatting sqref="E126">
    <cfRule type="expression" dxfId="0" priority="191">
      <formula>COUNTIF(G126:BE126,"&lt;&gt;" &amp; "")&gt;0</formula>
    </cfRule>
    <cfRule type="expression" dxfId="1" priority="192">
      <formula>AND(COUNTIF(G126:BE126,"&lt;&gt;" &amp; "")&gt;0,NOT(ISBLANK(E126)))</formula>
    </cfRule>
  </conditionalFormatting>
  <conditionalFormatting sqref="E127">
    <cfRule type="expression" dxfId="0" priority="193">
      <formula>COUNTIF(G127:BE127,"&lt;&gt;" &amp; "")&gt;0</formula>
    </cfRule>
    <cfRule type="expression" dxfId="1" priority="194">
      <formula>AND(COUNTIF(G127:BE127,"&lt;&gt;" &amp; "")&gt;0,NOT(ISBLANK(E127)))</formula>
    </cfRule>
  </conditionalFormatting>
  <conditionalFormatting sqref="E128">
    <cfRule type="expression" dxfId="0" priority="195">
      <formula>COUNTIF(G128:BE128,"&lt;&gt;" &amp; "")&gt;0</formula>
    </cfRule>
    <cfRule type="expression" dxfId="1" priority="196">
      <formula>AND(COUNTIF(G128:BE128,"&lt;&gt;" &amp; "")&gt;0,NOT(ISBLANK(E128)))</formula>
    </cfRule>
  </conditionalFormatting>
  <conditionalFormatting sqref="E129">
    <cfRule type="expression" dxfId="0" priority="197">
      <formula>COUNTIF(G129:BE129,"&lt;&gt;" &amp; "")&gt;0</formula>
    </cfRule>
    <cfRule type="expression" dxfId="1" priority="198">
      <formula>AND(COUNTIF(G129:BE129,"&lt;&gt;" &amp; "")&gt;0,NOT(ISBLANK(E129)))</formula>
    </cfRule>
  </conditionalFormatting>
  <conditionalFormatting sqref="E130">
    <cfRule type="expression" dxfId="0" priority="199">
      <formula>COUNTIF(G130:BE130,"&lt;&gt;" &amp; "")&gt;0</formula>
    </cfRule>
    <cfRule type="expression" dxfId="1" priority="200">
      <formula>AND(COUNTIF(G130:BE130,"&lt;&gt;" &amp; "")&gt;0,NOT(ISBLANK(E130)))</formula>
    </cfRule>
  </conditionalFormatting>
  <conditionalFormatting sqref="E131">
    <cfRule type="expression" dxfId="0" priority="201">
      <formula>COUNTIF(G131:BE131,"&lt;&gt;" &amp; "")&gt;0</formula>
    </cfRule>
    <cfRule type="expression" dxfId="1" priority="202">
      <formula>AND(COUNTIF(G131:BE131,"&lt;&gt;" &amp; "")&gt;0,NOT(ISBLANK(E131)))</formula>
    </cfRule>
  </conditionalFormatting>
  <conditionalFormatting sqref="E132">
    <cfRule type="expression" dxfId="0" priority="203">
      <formula>COUNTIF(G132:BE132,"&lt;&gt;" &amp; "")&gt;0</formula>
    </cfRule>
    <cfRule type="expression" dxfId="1" priority="204">
      <formula>AND(COUNTIF(G132:BE132,"&lt;&gt;" &amp; "")&gt;0,NOT(ISBLANK(E132)))</formula>
    </cfRule>
  </conditionalFormatting>
  <conditionalFormatting sqref="E133">
    <cfRule type="expression" dxfId="0" priority="205">
      <formula>COUNTIF(G133:BE133,"&lt;&gt;" &amp; "")&gt;0</formula>
    </cfRule>
    <cfRule type="expression" dxfId="1" priority="206">
      <formula>AND(COUNTIF(G133:BE133,"&lt;&gt;" &amp; "")&gt;0,NOT(ISBLANK(E133)))</formula>
    </cfRule>
  </conditionalFormatting>
  <conditionalFormatting sqref="E134">
    <cfRule type="expression" dxfId="0" priority="207">
      <formula>COUNTIF(G134:BE134,"&lt;&gt;" &amp; "")&gt;0</formula>
    </cfRule>
    <cfRule type="expression" dxfId="1" priority="208">
      <formula>AND(COUNTIF(G134:BE134,"&lt;&gt;" &amp; "")&gt;0,NOT(ISBLANK(E134)))</formula>
    </cfRule>
  </conditionalFormatting>
  <conditionalFormatting sqref="E137">
    <cfRule type="expression" dxfId="0" priority="209">
      <formula>COUNTIF(G137:BE137,"&lt;&gt;" &amp; "")&gt;0</formula>
    </cfRule>
    <cfRule type="expression" dxfId="1" priority="210">
      <formula>AND(COUNTIF(G137:BE137,"&lt;&gt;" &amp; "")&gt;0,NOT(ISBLANK(E137)))</formula>
    </cfRule>
  </conditionalFormatting>
  <conditionalFormatting sqref="E138">
    <cfRule type="expression" dxfId="0" priority="211">
      <formula>COUNTIF(G138:BE138,"&lt;&gt;" &amp; "")&gt;0</formula>
    </cfRule>
    <cfRule type="expression" dxfId="1" priority="212">
      <formula>AND(COUNTIF(G138:BE138,"&lt;&gt;" &amp; "")&gt;0,NOT(ISBLANK(E138)))</formula>
    </cfRule>
  </conditionalFormatting>
  <conditionalFormatting sqref="E139">
    <cfRule type="expression" dxfId="0" priority="213">
      <formula>COUNTIF(G139:BE139,"&lt;&gt;" &amp; "")&gt;0</formula>
    </cfRule>
    <cfRule type="expression" dxfId="1" priority="214">
      <formula>AND(COUNTIF(G139:BE139,"&lt;&gt;" &amp; "")&gt;0,NOT(ISBLANK(E139)))</formula>
    </cfRule>
  </conditionalFormatting>
  <conditionalFormatting sqref="E140">
    <cfRule type="expression" dxfId="0" priority="215">
      <formula>COUNTIF(G140:BE140,"&lt;&gt;" &amp; "")&gt;0</formula>
    </cfRule>
    <cfRule type="expression" dxfId="1" priority="216">
      <formula>AND(COUNTIF(G140:BE140,"&lt;&gt;" &amp; "")&gt;0,NOT(ISBLANK(E140)))</formula>
    </cfRule>
  </conditionalFormatting>
  <conditionalFormatting sqref="E141">
    <cfRule type="expression" dxfId="0" priority="217">
      <formula>COUNTIF(G141:BE141,"&lt;&gt;" &amp; "")&gt;0</formula>
    </cfRule>
    <cfRule type="expression" dxfId="1" priority="218">
      <formula>AND(COUNTIF(G141:BE141,"&lt;&gt;" &amp; "")&gt;0,NOT(ISBLANK(E141)))</formula>
    </cfRule>
  </conditionalFormatting>
  <conditionalFormatting sqref="E142">
    <cfRule type="expression" dxfId="0" priority="219">
      <formula>COUNTIF(G142:BE142,"&lt;&gt;" &amp; "")&gt;0</formula>
    </cfRule>
    <cfRule type="expression" dxfId="1" priority="220">
      <formula>AND(COUNTIF(G142:BE142,"&lt;&gt;" &amp; "")&gt;0,NOT(ISBLANK(E142)))</formula>
    </cfRule>
  </conditionalFormatting>
  <conditionalFormatting sqref="E143">
    <cfRule type="expression" dxfId="0" priority="221">
      <formula>COUNTIF(G143:BE143,"&lt;&gt;" &amp; "")&gt;0</formula>
    </cfRule>
    <cfRule type="expression" dxfId="1" priority="222">
      <formula>AND(COUNTIF(G143:BE143,"&lt;&gt;" &amp; "")&gt;0,NOT(ISBLANK(E143)))</formula>
    </cfRule>
  </conditionalFormatting>
  <conditionalFormatting sqref="E144">
    <cfRule type="expression" dxfId="0" priority="223">
      <formula>COUNTIF(G144:BE144,"&lt;&gt;" &amp; "")&gt;0</formula>
    </cfRule>
    <cfRule type="expression" dxfId="1" priority="224">
      <formula>AND(COUNTIF(G144:BE144,"&lt;&gt;" &amp; "")&gt;0,NOT(ISBLANK(E144)))</formula>
    </cfRule>
  </conditionalFormatting>
  <conditionalFormatting sqref="E145">
    <cfRule type="expression" dxfId="0" priority="225">
      <formula>COUNTIF(G145:BE145,"&lt;&gt;" &amp; "")&gt;0</formula>
    </cfRule>
    <cfRule type="expression" dxfId="1" priority="226">
      <formula>AND(COUNTIF(G145:BE145,"&lt;&gt;" &amp; "")&gt;0,NOT(ISBLANK(E145)))</formula>
    </cfRule>
  </conditionalFormatting>
  <conditionalFormatting sqref="E146">
    <cfRule type="expression" dxfId="0" priority="227">
      <formula>COUNTIF(G146:BE146,"&lt;&gt;" &amp; "")&gt;0</formula>
    </cfRule>
    <cfRule type="expression" dxfId="1" priority="228">
      <formula>AND(COUNTIF(G146:BE146,"&lt;&gt;" &amp; "")&gt;0,NOT(ISBLANK(E146)))</formula>
    </cfRule>
  </conditionalFormatting>
  <conditionalFormatting sqref="E147">
    <cfRule type="expression" dxfId="0" priority="229">
      <formula>COUNTIF(G147:BE147,"&lt;&gt;" &amp; "")&gt;0</formula>
    </cfRule>
    <cfRule type="expression" dxfId="1" priority="230">
      <formula>AND(COUNTIF(G147:BE147,"&lt;&gt;" &amp; "")&gt;0,NOT(ISBLANK(E147)))</formula>
    </cfRule>
  </conditionalFormatting>
  <conditionalFormatting sqref="E148">
    <cfRule type="expression" dxfId="0" priority="231">
      <formula>COUNTIF(G148:BE148,"&lt;&gt;" &amp; "")&gt;0</formula>
    </cfRule>
    <cfRule type="expression" dxfId="1" priority="232">
      <formula>AND(COUNTIF(G148:BE148,"&lt;&gt;" &amp; "")&gt;0,NOT(ISBLANK(E148)))</formula>
    </cfRule>
  </conditionalFormatting>
  <conditionalFormatting sqref="E149">
    <cfRule type="expression" dxfId="0" priority="233">
      <formula>COUNTIF(G149:BE149,"&lt;&gt;" &amp; "")&gt;0</formula>
    </cfRule>
    <cfRule type="expression" dxfId="1" priority="234">
      <formula>AND(COUNTIF(G149:BE149,"&lt;&gt;" &amp; "")&gt;0,NOT(ISBLANK(E149)))</formula>
    </cfRule>
  </conditionalFormatting>
  <conditionalFormatting sqref="E152">
    <cfRule type="expression" dxfId="0" priority="235">
      <formula>COUNTIF(G152:BE152,"&lt;&gt;" &amp; "")&gt;0</formula>
    </cfRule>
    <cfRule type="expression" dxfId="1" priority="236">
      <formula>AND(COUNTIF(G152:BE152,"&lt;&gt;" &amp; "")&gt;0,NOT(ISBLANK(E152)))</formula>
    </cfRule>
  </conditionalFormatting>
  <conditionalFormatting sqref="E153">
    <cfRule type="expression" dxfId="0" priority="237">
      <formula>COUNTIF(G153:BE153,"&lt;&gt;" &amp; "")&gt;0</formula>
    </cfRule>
    <cfRule type="expression" dxfId="1" priority="238">
      <formula>AND(COUNTIF(G153:BE153,"&lt;&gt;" &amp; "")&gt;0,NOT(ISBLANK(E153)))</formula>
    </cfRule>
  </conditionalFormatting>
  <conditionalFormatting sqref="E154">
    <cfRule type="expression" dxfId="0" priority="239">
      <formula>COUNTIF(G154:BE154,"&lt;&gt;" &amp; "")&gt;0</formula>
    </cfRule>
    <cfRule type="expression" dxfId="1" priority="240">
      <formula>AND(COUNTIF(G154:BE154,"&lt;&gt;" &amp; "")&gt;0,NOT(ISBLANK(E154)))</formula>
    </cfRule>
  </conditionalFormatting>
  <conditionalFormatting sqref="E155">
    <cfRule type="expression" dxfId="0" priority="241">
      <formula>COUNTIF(G155:BE155,"&lt;&gt;" &amp; "")&gt;0</formula>
    </cfRule>
    <cfRule type="expression" dxfId="1" priority="242">
      <formula>AND(COUNTIF(G155:BE155,"&lt;&gt;" &amp; "")&gt;0,NOT(ISBLANK(E155)))</formula>
    </cfRule>
  </conditionalFormatting>
  <conditionalFormatting sqref="E156">
    <cfRule type="expression" dxfId="0" priority="243">
      <formula>COUNTIF(G156:BE156,"&lt;&gt;" &amp; "")&gt;0</formula>
    </cfRule>
    <cfRule type="expression" dxfId="1" priority="244">
      <formula>AND(COUNTIF(G156:BE156,"&lt;&gt;" &amp; "")&gt;0,NOT(ISBLANK(E156)))</formula>
    </cfRule>
  </conditionalFormatting>
  <conditionalFormatting sqref="E157">
    <cfRule type="expression" dxfId="0" priority="245">
      <formula>COUNTIF(G157:BE157,"&lt;&gt;" &amp; "")&gt;0</formula>
    </cfRule>
    <cfRule type="expression" dxfId="1" priority="246">
      <formula>AND(COUNTIF(G157:BE157,"&lt;&gt;" &amp; "")&gt;0,NOT(ISBLANK(E157)))</formula>
    </cfRule>
  </conditionalFormatting>
  <conditionalFormatting sqref="E158">
    <cfRule type="expression" dxfId="0" priority="247">
      <formula>COUNTIF(G158:BE158,"&lt;&gt;" &amp; "")&gt;0</formula>
    </cfRule>
    <cfRule type="expression" dxfId="1" priority="248">
      <formula>AND(COUNTIF(G158:BE158,"&lt;&gt;" &amp; "")&gt;0,NOT(ISBLANK(E158)))</formula>
    </cfRule>
  </conditionalFormatting>
  <conditionalFormatting sqref="E159">
    <cfRule type="expression" dxfId="0" priority="249">
      <formula>COUNTIF(G159:BE159,"&lt;&gt;" &amp; "")&gt;0</formula>
    </cfRule>
    <cfRule type="expression" dxfId="1" priority="250">
      <formula>AND(COUNTIF(G159:BE159,"&lt;&gt;" &amp; "")&gt;0,NOT(ISBLANK(E159)))</formula>
    </cfRule>
  </conditionalFormatting>
  <conditionalFormatting sqref="E160">
    <cfRule type="expression" dxfId="0" priority="251">
      <formula>COUNTIF(G160:BE160,"&lt;&gt;" &amp; "")&gt;0</formula>
    </cfRule>
    <cfRule type="expression" dxfId="1" priority="252">
      <formula>AND(COUNTIF(G160:BE160,"&lt;&gt;" &amp; "")&gt;0,NOT(ISBLANK(E160)))</formula>
    </cfRule>
  </conditionalFormatting>
  <conditionalFormatting sqref="E161">
    <cfRule type="expression" dxfId="0" priority="253">
      <formula>COUNTIF(G161:BE161,"&lt;&gt;" &amp; "")&gt;0</formula>
    </cfRule>
    <cfRule type="expression" dxfId="1" priority="254">
      <formula>AND(COUNTIF(G161:BE161,"&lt;&gt;" &amp; "")&gt;0,NOT(ISBLANK(E161)))</formula>
    </cfRule>
  </conditionalFormatting>
  <conditionalFormatting sqref="E162">
    <cfRule type="expression" dxfId="0" priority="255">
      <formula>COUNTIF(G162:BE162,"&lt;&gt;" &amp; "")&gt;0</formula>
    </cfRule>
    <cfRule type="expression" dxfId="1" priority="256">
      <formula>AND(COUNTIF(G162:BE162,"&lt;&gt;" &amp; "")&gt;0,NOT(ISBLANK(E162)))</formula>
    </cfRule>
  </conditionalFormatting>
  <conditionalFormatting sqref="E163">
    <cfRule type="expression" dxfId="0" priority="257">
      <formula>COUNTIF(G163:BE163,"&lt;&gt;" &amp; "")&gt;0</formula>
    </cfRule>
    <cfRule type="expression" dxfId="1" priority="258">
      <formula>AND(COUNTIF(G163:BE163,"&lt;&gt;" &amp; "")&gt;0,NOT(ISBLANK(E163)))</formula>
    </cfRule>
  </conditionalFormatting>
  <conditionalFormatting sqref="E164">
    <cfRule type="expression" dxfId="0" priority="259">
      <formula>COUNTIF(G164:BE164,"&lt;&gt;" &amp; "")&gt;0</formula>
    </cfRule>
    <cfRule type="expression" dxfId="1" priority="260">
      <formula>AND(COUNTIF(G164:BE164,"&lt;&gt;" &amp; "")&gt;0,NOT(ISBLANK(E164)))</formula>
    </cfRule>
  </conditionalFormatting>
  <conditionalFormatting sqref="E167">
    <cfRule type="expression" dxfId="0" priority="261">
      <formula>COUNTIF(G167:BE167,"&lt;&gt;" &amp; "")&gt;0</formula>
    </cfRule>
    <cfRule type="expression" dxfId="1" priority="262">
      <formula>AND(COUNTIF(G167:BE167,"&lt;&gt;" &amp; "")&gt;0,NOT(ISBLANK(E167)))</formula>
    </cfRule>
  </conditionalFormatting>
  <conditionalFormatting sqref="E168">
    <cfRule type="expression" dxfId="0" priority="263">
      <formula>COUNTIF(G168:BE168,"&lt;&gt;" &amp; "")&gt;0</formula>
    </cfRule>
    <cfRule type="expression" dxfId="1" priority="264">
      <formula>AND(COUNTIF(G168:BE168,"&lt;&gt;" &amp; "")&gt;0,NOT(ISBLANK(E168)))</formula>
    </cfRule>
  </conditionalFormatting>
  <conditionalFormatting sqref="E169">
    <cfRule type="expression" dxfId="0" priority="265">
      <formula>COUNTIF(G169:BE169,"&lt;&gt;" &amp; "")&gt;0</formula>
    </cfRule>
    <cfRule type="expression" dxfId="1" priority="266">
      <formula>AND(COUNTIF(G169:BE169,"&lt;&gt;" &amp; "")&gt;0,NOT(ISBLANK(E169)))</formula>
    </cfRule>
  </conditionalFormatting>
  <conditionalFormatting sqref="E17">
    <cfRule type="expression" dxfId="0" priority="1">
      <formula>COUNTIF(G17:BE17,"&lt;&gt;" &amp; "")&gt;0</formula>
    </cfRule>
    <cfRule type="expression" dxfId="1" priority="2">
      <formula>AND(COUNTIF(G17:BE17,"&lt;&gt;" &amp; "")&gt;0,NOT(ISBLANK(E17)))</formula>
    </cfRule>
  </conditionalFormatting>
  <conditionalFormatting sqref="E170">
    <cfRule type="expression" dxfId="0" priority="267">
      <formula>COUNTIF(G170:BE170,"&lt;&gt;" &amp; "")&gt;0</formula>
    </cfRule>
    <cfRule type="expression" dxfId="1" priority="268">
      <formula>AND(COUNTIF(G170:BE170,"&lt;&gt;" &amp; "")&gt;0,NOT(ISBLANK(E170)))</formula>
    </cfRule>
  </conditionalFormatting>
  <conditionalFormatting sqref="E171">
    <cfRule type="expression" dxfId="0" priority="269">
      <formula>COUNTIF(G171:BE171,"&lt;&gt;" &amp; "")&gt;0</formula>
    </cfRule>
    <cfRule type="expression" dxfId="1" priority="270">
      <formula>AND(COUNTIF(G171:BE171,"&lt;&gt;" &amp; "")&gt;0,NOT(ISBLANK(E171)))</formula>
    </cfRule>
  </conditionalFormatting>
  <conditionalFormatting sqref="E172">
    <cfRule type="expression" dxfId="0" priority="271">
      <formula>COUNTIF(G172:BE172,"&lt;&gt;" &amp; "")&gt;0</formula>
    </cfRule>
    <cfRule type="expression" dxfId="1" priority="272">
      <formula>AND(COUNTIF(G172:BE172,"&lt;&gt;" &amp; "")&gt;0,NOT(ISBLANK(E172)))</formula>
    </cfRule>
  </conditionalFormatting>
  <conditionalFormatting sqref="E173">
    <cfRule type="expression" dxfId="0" priority="273">
      <formula>COUNTIF(G173:BE173,"&lt;&gt;" &amp; "")&gt;0</formula>
    </cfRule>
    <cfRule type="expression" dxfId="1" priority="274">
      <formula>AND(COUNTIF(G173:BE173,"&lt;&gt;" &amp; "")&gt;0,NOT(ISBLANK(E173)))</formula>
    </cfRule>
  </conditionalFormatting>
  <conditionalFormatting sqref="E174">
    <cfRule type="expression" dxfId="0" priority="275">
      <formula>COUNTIF(G174:BE174,"&lt;&gt;" &amp; "")&gt;0</formula>
    </cfRule>
    <cfRule type="expression" dxfId="1" priority="276">
      <formula>AND(COUNTIF(G174:BE174,"&lt;&gt;" &amp; "")&gt;0,NOT(ISBLANK(E174)))</formula>
    </cfRule>
  </conditionalFormatting>
  <conditionalFormatting sqref="E175">
    <cfRule type="expression" dxfId="0" priority="277">
      <formula>COUNTIF(G175:BE175,"&lt;&gt;" &amp; "")&gt;0</formula>
    </cfRule>
    <cfRule type="expression" dxfId="1" priority="278">
      <formula>AND(COUNTIF(G175:BE175,"&lt;&gt;" &amp; "")&gt;0,NOT(ISBLANK(E175)))</formula>
    </cfRule>
  </conditionalFormatting>
  <conditionalFormatting sqref="E176">
    <cfRule type="expression" dxfId="0" priority="279">
      <formula>COUNTIF(G176:BE176,"&lt;&gt;" &amp; "")&gt;0</formula>
    </cfRule>
    <cfRule type="expression" dxfId="1" priority="280">
      <formula>AND(COUNTIF(G176:BE176,"&lt;&gt;" &amp; "")&gt;0,NOT(ISBLANK(E176)))</formula>
    </cfRule>
  </conditionalFormatting>
  <conditionalFormatting sqref="E177">
    <cfRule type="expression" dxfId="0" priority="281">
      <formula>COUNTIF(G177:BE177,"&lt;&gt;" &amp; "")&gt;0</formula>
    </cfRule>
    <cfRule type="expression" dxfId="1" priority="282">
      <formula>AND(COUNTIF(G177:BE177,"&lt;&gt;" &amp; "")&gt;0,NOT(ISBLANK(E177)))</formula>
    </cfRule>
  </conditionalFormatting>
  <conditionalFormatting sqref="E178">
    <cfRule type="expression" dxfId="0" priority="283">
      <formula>COUNTIF(G178:BE178,"&lt;&gt;" &amp; "")&gt;0</formula>
    </cfRule>
    <cfRule type="expression" dxfId="1" priority="284">
      <formula>AND(COUNTIF(G178:BE178,"&lt;&gt;" &amp; "")&gt;0,NOT(ISBLANK(E178)))</formula>
    </cfRule>
  </conditionalFormatting>
  <conditionalFormatting sqref="E179">
    <cfRule type="expression" dxfId="0" priority="285">
      <formula>COUNTIF(G179:BE179,"&lt;&gt;" &amp; "")&gt;0</formula>
    </cfRule>
    <cfRule type="expression" dxfId="1" priority="286">
      <formula>AND(COUNTIF(G179:BE179,"&lt;&gt;" &amp; "")&gt;0,NOT(ISBLANK(E179)))</formula>
    </cfRule>
  </conditionalFormatting>
  <conditionalFormatting sqref="E18">
    <cfRule type="expression" dxfId="0" priority="3">
      <formula>COUNTIF(G18:BE18,"&lt;&gt;" &amp; "")&gt;0</formula>
    </cfRule>
    <cfRule type="expression" dxfId="1" priority="4">
      <formula>AND(COUNTIF(G18:BE18,"&lt;&gt;" &amp; "")&gt;0,NOT(ISBLANK(E18)))</formula>
    </cfRule>
  </conditionalFormatting>
  <conditionalFormatting sqref="E182">
    <cfRule type="expression" dxfId="0" priority="287">
      <formula>COUNTIF(G182:BE182,"&lt;&gt;" &amp; "")&gt;0</formula>
    </cfRule>
    <cfRule type="expression" dxfId="1" priority="288">
      <formula>AND(COUNTIF(G182:BE182,"&lt;&gt;" &amp; "")&gt;0,NOT(ISBLANK(E182)))</formula>
    </cfRule>
  </conditionalFormatting>
  <conditionalFormatting sqref="E183">
    <cfRule type="expression" dxfId="0" priority="289">
      <formula>COUNTIF(G183:BE183,"&lt;&gt;" &amp; "")&gt;0</formula>
    </cfRule>
    <cfRule type="expression" dxfId="1" priority="290">
      <formula>AND(COUNTIF(G183:BE183,"&lt;&gt;" &amp; "")&gt;0,NOT(ISBLANK(E183)))</formula>
    </cfRule>
  </conditionalFormatting>
  <conditionalFormatting sqref="E184">
    <cfRule type="expression" dxfId="0" priority="291">
      <formula>COUNTIF(G184:BE184,"&lt;&gt;" &amp; "")&gt;0</formula>
    </cfRule>
    <cfRule type="expression" dxfId="1" priority="292">
      <formula>AND(COUNTIF(G184:BE184,"&lt;&gt;" &amp; "")&gt;0,NOT(ISBLANK(E184)))</formula>
    </cfRule>
  </conditionalFormatting>
  <conditionalFormatting sqref="E185">
    <cfRule type="expression" dxfId="0" priority="293">
      <formula>COUNTIF(G185:BE185,"&lt;&gt;" &amp; "")&gt;0</formula>
    </cfRule>
    <cfRule type="expression" dxfId="1" priority="294">
      <formula>AND(COUNTIF(G185:BE185,"&lt;&gt;" &amp; "")&gt;0,NOT(ISBLANK(E185)))</formula>
    </cfRule>
  </conditionalFormatting>
  <conditionalFormatting sqref="E186">
    <cfRule type="expression" dxfId="0" priority="295">
      <formula>COUNTIF(G186:BE186,"&lt;&gt;" &amp; "")&gt;0</formula>
    </cfRule>
    <cfRule type="expression" dxfId="1" priority="296">
      <formula>AND(COUNTIF(G186:BE186,"&lt;&gt;" &amp; "")&gt;0,NOT(ISBLANK(E186)))</formula>
    </cfRule>
  </conditionalFormatting>
  <conditionalFormatting sqref="E187">
    <cfRule type="expression" dxfId="0" priority="297">
      <formula>COUNTIF(G187:BE187,"&lt;&gt;" &amp; "")&gt;0</formula>
    </cfRule>
    <cfRule type="expression" dxfId="1" priority="298">
      <formula>AND(COUNTIF(G187:BE187,"&lt;&gt;" &amp; "")&gt;0,NOT(ISBLANK(E187)))</formula>
    </cfRule>
  </conditionalFormatting>
  <conditionalFormatting sqref="E188">
    <cfRule type="expression" dxfId="0" priority="299">
      <formula>COUNTIF(G188:BE188,"&lt;&gt;" &amp; "")&gt;0</formula>
    </cfRule>
    <cfRule type="expression" dxfId="1" priority="300">
      <formula>AND(COUNTIF(G188:BE188,"&lt;&gt;" &amp; "")&gt;0,NOT(ISBLANK(E188)))</formula>
    </cfRule>
  </conditionalFormatting>
  <conditionalFormatting sqref="E189">
    <cfRule type="expression" dxfId="0" priority="301">
      <formula>COUNTIF(G189:BE189,"&lt;&gt;" &amp; "")&gt;0</formula>
    </cfRule>
    <cfRule type="expression" dxfId="1" priority="302">
      <formula>AND(COUNTIF(G189:BE189,"&lt;&gt;" &amp; "")&gt;0,NOT(ISBLANK(E189)))</formula>
    </cfRule>
  </conditionalFormatting>
  <conditionalFormatting sqref="E19">
    <cfRule type="expression" dxfId="0" priority="5">
      <formula>COUNTIF(G19:BE19,"&lt;&gt;" &amp; "")&gt;0</formula>
    </cfRule>
    <cfRule type="expression" dxfId="1" priority="6">
      <formula>AND(COUNTIF(G19:BE19,"&lt;&gt;" &amp; "")&gt;0,NOT(ISBLANK(E19)))</formula>
    </cfRule>
  </conditionalFormatting>
  <conditionalFormatting sqref="E190">
    <cfRule type="expression" dxfId="0" priority="303">
      <formula>COUNTIF(G190:BE190,"&lt;&gt;" &amp; "")&gt;0</formula>
    </cfRule>
    <cfRule type="expression" dxfId="1" priority="304">
      <formula>AND(COUNTIF(G190:BE190,"&lt;&gt;" &amp; "")&gt;0,NOT(ISBLANK(E190)))</formula>
    </cfRule>
  </conditionalFormatting>
  <conditionalFormatting sqref="E191">
    <cfRule type="expression" dxfId="0" priority="305">
      <formula>COUNTIF(G191:BE191,"&lt;&gt;" &amp; "")&gt;0</formula>
    </cfRule>
    <cfRule type="expression" dxfId="1" priority="306">
      <formula>AND(COUNTIF(G191:BE191,"&lt;&gt;" &amp; "")&gt;0,NOT(ISBLANK(E191)))</formula>
    </cfRule>
  </conditionalFormatting>
  <conditionalFormatting sqref="E192">
    <cfRule type="expression" dxfId="0" priority="307">
      <formula>COUNTIF(G192:BE192,"&lt;&gt;" &amp; "")&gt;0</formula>
    </cfRule>
    <cfRule type="expression" dxfId="1" priority="308">
      <formula>AND(COUNTIF(G192:BE192,"&lt;&gt;" &amp; "")&gt;0,NOT(ISBLANK(E192)))</formula>
    </cfRule>
  </conditionalFormatting>
  <conditionalFormatting sqref="E193">
    <cfRule type="expression" dxfId="0" priority="309">
      <formula>COUNTIF(G193:BE193,"&lt;&gt;" &amp; "")&gt;0</formula>
    </cfRule>
    <cfRule type="expression" dxfId="1" priority="310">
      <formula>AND(COUNTIF(G193:BE193,"&lt;&gt;" &amp; "")&gt;0,NOT(ISBLANK(E193)))</formula>
    </cfRule>
  </conditionalFormatting>
  <conditionalFormatting sqref="E194">
    <cfRule type="expression" dxfId="0" priority="311">
      <formula>COUNTIF(G194:BE194,"&lt;&gt;" &amp; "")&gt;0</formula>
    </cfRule>
    <cfRule type="expression" dxfId="1" priority="312">
      <formula>AND(COUNTIF(G194:BE194,"&lt;&gt;" &amp; "")&gt;0,NOT(ISBLANK(E194)))</formula>
    </cfRule>
  </conditionalFormatting>
  <conditionalFormatting sqref="E197">
    <cfRule type="expression" dxfId="0" priority="313">
      <formula>COUNTIF(G197:BE197,"&lt;&gt;" &amp; "")&gt;0</formula>
    </cfRule>
    <cfRule type="expression" dxfId="1" priority="314">
      <formula>AND(COUNTIF(G197:BE197,"&lt;&gt;" &amp; "")&gt;0,NOT(ISBLANK(E197)))</formula>
    </cfRule>
  </conditionalFormatting>
  <conditionalFormatting sqref="E198">
    <cfRule type="expression" dxfId="0" priority="315">
      <formula>COUNTIF(G198:BE198,"&lt;&gt;" &amp; "")&gt;0</formula>
    </cfRule>
    <cfRule type="expression" dxfId="1" priority="316">
      <formula>AND(COUNTIF(G198:BE198,"&lt;&gt;" &amp; "")&gt;0,NOT(ISBLANK(E198)))</formula>
    </cfRule>
  </conditionalFormatting>
  <conditionalFormatting sqref="E199">
    <cfRule type="expression" dxfId="0" priority="317">
      <formula>COUNTIF(G199:BE199,"&lt;&gt;" &amp; "")&gt;0</formula>
    </cfRule>
    <cfRule type="expression" dxfId="1" priority="318">
      <formula>AND(COUNTIF(G199:BE199,"&lt;&gt;" &amp; "")&gt;0,NOT(ISBLANK(E199)))</formula>
    </cfRule>
  </conditionalFormatting>
  <conditionalFormatting sqref="E20">
    <cfRule type="expression" dxfId="0" priority="7">
      <formula>COUNTIF(G20:BE20,"&lt;&gt;" &amp; "")&gt;0</formula>
    </cfRule>
    <cfRule type="expression" dxfId="1" priority="8">
      <formula>AND(COUNTIF(G20:BE20,"&lt;&gt;" &amp; "")&gt;0,NOT(ISBLANK(E20)))</formula>
    </cfRule>
  </conditionalFormatting>
  <conditionalFormatting sqref="E200">
    <cfRule type="expression" dxfId="0" priority="319">
      <formula>COUNTIF(G200:BE200,"&lt;&gt;" &amp; "")&gt;0</formula>
    </cfRule>
    <cfRule type="expression" dxfId="1" priority="320">
      <formula>AND(COUNTIF(G200:BE200,"&lt;&gt;" &amp; "")&gt;0,NOT(ISBLANK(E200)))</formula>
    </cfRule>
  </conditionalFormatting>
  <conditionalFormatting sqref="E201">
    <cfRule type="expression" dxfId="0" priority="321">
      <formula>COUNTIF(G201:BE201,"&lt;&gt;" &amp; "")&gt;0</formula>
    </cfRule>
    <cfRule type="expression" dxfId="1" priority="322">
      <formula>AND(COUNTIF(G201:BE201,"&lt;&gt;" &amp; "")&gt;0,NOT(ISBLANK(E201)))</formula>
    </cfRule>
  </conditionalFormatting>
  <conditionalFormatting sqref="E202">
    <cfRule type="expression" dxfId="0" priority="323">
      <formula>COUNTIF(G202:BE202,"&lt;&gt;" &amp; "")&gt;0</formula>
    </cfRule>
    <cfRule type="expression" dxfId="1" priority="324">
      <formula>AND(COUNTIF(G202:BE202,"&lt;&gt;" &amp; "")&gt;0,NOT(ISBLANK(E202)))</formula>
    </cfRule>
  </conditionalFormatting>
  <conditionalFormatting sqref="E203">
    <cfRule type="expression" dxfId="0" priority="325">
      <formula>COUNTIF(G203:BE203,"&lt;&gt;" &amp; "")&gt;0</formula>
    </cfRule>
    <cfRule type="expression" dxfId="1" priority="326">
      <formula>AND(COUNTIF(G203:BE203,"&lt;&gt;" &amp; "")&gt;0,NOT(ISBLANK(E203)))</formula>
    </cfRule>
  </conditionalFormatting>
  <conditionalFormatting sqref="E204">
    <cfRule type="expression" dxfId="0" priority="327">
      <formula>COUNTIF(G204:BE204,"&lt;&gt;" &amp; "")&gt;0</formula>
    </cfRule>
    <cfRule type="expression" dxfId="1" priority="328">
      <formula>AND(COUNTIF(G204:BE204,"&lt;&gt;" &amp; "")&gt;0,NOT(ISBLANK(E204)))</formula>
    </cfRule>
  </conditionalFormatting>
  <conditionalFormatting sqref="E205">
    <cfRule type="expression" dxfId="0" priority="329">
      <formula>COUNTIF(G205:BE205,"&lt;&gt;" &amp; "")&gt;0</formula>
    </cfRule>
    <cfRule type="expression" dxfId="1" priority="330">
      <formula>AND(COUNTIF(G205:BE205,"&lt;&gt;" &amp; "")&gt;0,NOT(ISBLANK(E205)))</formula>
    </cfRule>
  </conditionalFormatting>
  <conditionalFormatting sqref="E206">
    <cfRule type="expression" dxfId="0" priority="331">
      <formula>COUNTIF(G206:BE206,"&lt;&gt;" &amp; "")&gt;0</formula>
    </cfRule>
    <cfRule type="expression" dxfId="1" priority="332">
      <formula>AND(COUNTIF(G206:BE206,"&lt;&gt;" &amp; "")&gt;0,NOT(ISBLANK(E206)))</formula>
    </cfRule>
  </conditionalFormatting>
  <conditionalFormatting sqref="E207">
    <cfRule type="expression" dxfId="0" priority="333">
      <formula>COUNTIF(G207:BE207,"&lt;&gt;" &amp; "")&gt;0</formula>
    </cfRule>
    <cfRule type="expression" dxfId="1" priority="334">
      <formula>AND(COUNTIF(G207:BE207,"&lt;&gt;" &amp; "")&gt;0,NOT(ISBLANK(E207)))</formula>
    </cfRule>
  </conditionalFormatting>
  <conditionalFormatting sqref="E208">
    <cfRule type="expression" dxfId="0" priority="335">
      <formula>COUNTIF(G208:BE208,"&lt;&gt;" &amp; "")&gt;0</formula>
    </cfRule>
    <cfRule type="expression" dxfId="1" priority="336">
      <formula>AND(COUNTIF(G208:BE208,"&lt;&gt;" &amp; "")&gt;0,NOT(ISBLANK(E208)))</formula>
    </cfRule>
  </conditionalFormatting>
  <conditionalFormatting sqref="E209">
    <cfRule type="expression" dxfId="0" priority="337">
      <formula>COUNTIF(G209:BE209,"&lt;&gt;" &amp; "")&gt;0</formula>
    </cfRule>
    <cfRule type="expression" dxfId="1" priority="338">
      <formula>AND(COUNTIF(G209:BE209,"&lt;&gt;" &amp; "")&gt;0,NOT(ISBLANK(E209)))</formula>
    </cfRule>
  </conditionalFormatting>
  <conditionalFormatting sqref="E21">
    <cfRule type="expression" dxfId="0" priority="9">
      <formula>COUNTIF(G21:BE21,"&lt;&gt;" &amp; "")&gt;0</formula>
    </cfRule>
    <cfRule type="expression" dxfId="1" priority="10">
      <formula>AND(COUNTIF(G21:BE21,"&lt;&gt;" &amp; "")&gt;0,NOT(ISBLANK(E21)))</formula>
    </cfRule>
  </conditionalFormatting>
  <conditionalFormatting sqref="E212">
    <cfRule type="expression" dxfId="0" priority="339">
      <formula>COUNTIF(G212:BE212,"&lt;&gt;" &amp; "")&gt;0</formula>
    </cfRule>
    <cfRule type="expression" dxfId="1" priority="340">
      <formula>AND(COUNTIF(G212:BE212,"&lt;&gt;" &amp; "")&gt;0,NOT(ISBLANK(E212)))</formula>
    </cfRule>
  </conditionalFormatting>
  <conditionalFormatting sqref="E213">
    <cfRule type="expression" dxfId="0" priority="341">
      <formula>COUNTIF(G213:BE213,"&lt;&gt;" &amp; "")&gt;0</formula>
    </cfRule>
    <cfRule type="expression" dxfId="1" priority="342">
      <formula>AND(COUNTIF(G213:BE213,"&lt;&gt;" &amp; "")&gt;0,NOT(ISBLANK(E213)))</formula>
    </cfRule>
  </conditionalFormatting>
  <conditionalFormatting sqref="E214">
    <cfRule type="expression" dxfId="0" priority="343">
      <formula>COUNTIF(G214:BE214,"&lt;&gt;" &amp; "")&gt;0</formula>
    </cfRule>
    <cfRule type="expression" dxfId="1" priority="344">
      <formula>AND(COUNTIF(G214:BE214,"&lt;&gt;" &amp; "")&gt;0,NOT(ISBLANK(E214)))</formula>
    </cfRule>
  </conditionalFormatting>
  <conditionalFormatting sqref="E215">
    <cfRule type="expression" dxfId="0" priority="345">
      <formula>COUNTIF(G215:BE215,"&lt;&gt;" &amp; "")&gt;0</formula>
    </cfRule>
    <cfRule type="expression" dxfId="1" priority="346">
      <formula>AND(COUNTIF(G215:BE215,"&lt;&gt;" &amp; "")&gt;0,NOT(ISBLANK(E215)))</formula>
    </cfRule>
  </conditionalFormatting>
  <conditionalFormatting sqref="E216">
    <cfRule type="expression" dxfId="0" priority="347">
      <formula>COUNTIF(G216:BE216,"&lt;&gt;" &amp; "")&gt;0</formula>
    </cfRule>
    <cfRule type="expression" dxfId="1" priority="348">
      <formula>AND(COUNTIF(G216:BE216,"&lt;&gt;" &amp; "")&gt;0,NOT(ISBLANK(E216)))</formula>
    </cfRule>
  </conditionalFormatting>
  <conditionalFormatting sqref="E217">
    <cfRule type="expression" dxfId="0" priority="349">
      <formula>COUNTIF(G217:BE217,"&lt;&gt;" &amp; "")&gt;0</formula>
    </cfRule>
    <cfRule type="expression" dxfId="1" priority="350">
      <formula>AND(COUNTIF(G217:BE217,"&lt;&gt;" &amp; "")&gt;0,NOT(ISBLANK(E217)))</formula>
    </cfRule>
  </conditionalFormatting>
  <conditionalFormatting sqref="E218">
    <cfRule type="expression" dxfId="0" priority="351">
      <formula>COUNTIF(G218:BE218,"&lt;&gt;" &amp; "")&gt;0</formula>
    </cfRule>
    <cfRule type="expression" dxfId="1" priority="352">
      <formula>AND(COUNTIF(G218:BE218,"&lt;&gt;" &amp; "")&gt;0,NOT(ISBLANK(E218)))</formula>
    </cfRule>
  </conditionalFormatting>
  <conditionalFormatting sqref="E219">
    <cfRule type="expression" dxfId="0" priority="353">
      <formula>COUNTIF(G219:BE219,"&lt;&gt;" &amp; "")&gt;0</formula>
    </cfRule>
    <cfRule type="expression" dxfId="1" priority="354">
      <formula>AND(COUNTIF(G219:BE219,"&lt;&gt;" &amp; "")&gt;0,NOT(ISBLANK(E219)))</formula>
    </cfRule>
  </conditionalFormatting>
  <conditionalFormatting sqref="E22">
    <cfRule type="expression" dxfId="0" priority="11">
      <formula>COUNTIF(G22:BE22,"&lt;&gt;" &amp; "")&gt;0</formula>
    </cfRule>
    <cfRule type="expression" dxfId="1" priority="12">
      <formula>AND(COUNTIF(G22:BE22,"&lt;&gt;" &amp; "")&gt;0,NOT(ISBLANK(E22)))</formula>
    </cfRule>
  </conditionalFormatting>
  <conditionalFormatting sqref="E220">
    <cfRule type="expression" dxfId="0" priority="355">
      <formula>COUNTIF(G220:BE220,"&lt;&gt;" &amp; "")&gt;0</formula>
    </cfRule>
    <cfRule type="expression" dxfId="1" priority="356">
      <formula>AND(COUNTIF(G220:BE220,"&lt;&gt;" &amp; "")&gt;0,NOT(ISBLANK(E220)))</formula>
    </cfRule>
  </conditionalFormatting>
  <conditionalFormatting sqref="E221">
    <cfRule type="expression" dxfId="0" priority="357">
      <formula>COUNTIF(G221:BE221,"&lt;&gt;" &amp; "")&gt;0</formula>
    </cfRule>
    <cfRule type="expression" dxfId="1" priority="358">
      <formula>AND(COUNTIF(G221:BE221,"&lt;&gt;" &amp; "")&gt;0,NOT(ISBLANK(E221)))</formula>
    </cfRule>
  </conditionalFormatting>
  <conditionalFormatting sqref="E222">
    <cfRule type="expression" dxfId="0" priority="359">
      <formula>COUNTIF(G222:BE222,"&lt;&gt;" &amp; "")&gt;0</formula>
    </cfRule>
    <cfRule type="expression" dxfId="1" priority="360">
      <formula>AND(COUNTIF(G222:BE222,"&lt;&gt;" &amp; "")&gt;0,NOT(ISBLANK(E222)))</formula>
    </cfRule>
  </conditionalFormatting>
  <conditionalFormatting sqref="E223">
    <cfRule type="expression" dxfId="0" priority="361">
      <formula>COUNTIF(G223:BE223,"&lt;&gt;" &amp; "")&gt;0</formula>
    </cfRule>
    <cfRule type="expression" dxfId="1" priority="362">
      <formula>AND(COUNTIF(G223:BE223,"&lt;&gt;" &amp; "")&gt;0,NOT(ISBLANK(E223)))</formula>
    </cfRule>
  </conditionalFormatting>
  <conditionalFormatting sqref="E224">
    <cfRule type="expression" dxfId="0" priority="363">
      <formula>COUNTIF(G224:BE224,"&lt;&gt;" &amp; "")&gt;0</formula>
    </cfRule>
    <cfRule type="expression" dxfId="1" priority="364">
      <formula>AND(COUNTIF(G224:BE224,"&lt;&gt;" &amp; "")&gt;0,NOT(ISBLANK(E224)))</formula>
    </cfRule>
  </conditionalFormatting>
  <conditionalFormatting sqref="E227">
    <cfRule type="expression" dxfId="0" priority="365">
      <formula>COUNTIF(G227:BE227,"&lt;&gt;" &amp; "")&gt;0</formula>
    </cfRule>
    <cfRule type="expression" dxfId="1" priority="366">
      <formula>AND(COUNTIF(G227:BE227,"&lt;&gt;" &amp; "")&gt;0,NOT(ISBLANK(E227)))</formula>
    </cfRule>
  </conditionalFormatting>
  <conditionalFormatting sqref="E228">
    <cfRule type="expression" dxfId="0" priority="367">
      <formula>COUNTIF(G228:BE228,"&lt;&gt;" &amp; "")&gt;0</formula>
    </cfRule>
    <cfRule type="expression" dxfId="1" priority="368">
      <formula>AND(COUNTIF(G228:BE228,"&lt;&gt;" &amp; "")&gt;0,NOT(ISBLANK(E228)))</formula>
    </cfRule>
  </conditionalFormatting>
  <conditionalFormatting sqref="E229">
    <cfRule type="expression" dxfId="0" priority="369">
      <formula>COUNTIF(G229:BE229,"&lt;&gt;" &amp; "")&gt;0</formula>
    </cfRule>
    <cfRule type="expression" dxfId="1" priority="370">
      <formula>AND(COUNTIF(G229:BE229,"&lt;&gt;" &amp; "")&gt;0,NOT(ISBLANK(E229)))</formula>
    </cfRule>
  </conditionalFormatting>
  <conditionalFormatting sqref="E23">
    <cfRule type="expression" dxfId="0" priority="13">
      <formula>COUNTIF(G23:BE23,"&lt;&gt;" &amp; "")&gt;0</formula>
    </cfRule>
    <cfRule type="expression" dxfId="1" priority="14">
      <formula>AND(COUNTIF(G23:BE23,"&lt;&gt;" &amp; "")&gt;0,NOT(ISBLANK(E23)))</formula>
    </cfRule>
  </conditionalFormatting>
  <conditionalFormatting sqref="E230">
    <cfRule type="expression" dxfId="0" priority="371">
      <formula>COUNTIF(G230:BE230,"&lt;&gt;" &amp; "")&gt;0</formula>
    </cfRule>
    <cfRule type="expression" dxfId="1" priority="372">
      <formula>AND(COUNTIF(G230:BE230,"&lt;&gt;" &amp; "")&gt;0,NOT(ISBLANK(E230)))</formula>
    </cfRule>
  </conditionalFormatting>
  <conditionalFormatting sqref="E231">
    <cfRule type="expression" dxfId="0" priority="373">
      <formula>COUNTIF(G231:BE231,"&lt;&gt;" &amp; "")&gt;0</formula>
    </cfRule>
    <cfRule type="expression" dxfId="1" priority="374">
      <formula>AND(COUNTIF(G231:BE231,"&lt;&gt;" &amp; "")&gt;0,NOT(ISBLANK(E231)))</formula>
    </cfRule>
  </conditionalFormatting>
  <conditionalFormatting sqref="E232">
    <cfRule type="expression" dxfId="0" priority="375">
      <formula>COUNTIF(G232:BE232,"&lt;&gt;" &amp; "")&gt;0</formula>
    </cfRule>
    <cfRule type="expression" dxfId="1" priority="376">
      <formula>AND(COUNTIF(G232:BE232,"&lt;&gt;" &amp; "")&gt;0,NOT(ISBLANK(E232)))</formula>
    </cfRule>
  </conditionalFormatting>
  <conditionalFormatting sqref="E233">
    <cfRule type="expression" dxfId="0" priority="377">
      <formula>COUNTIF(G233:BE233,"&lt;&gt;" &amp; "")&gt;0</formula>
    </cfRule>
    <cfRule type="expression" dxfId="1" priority="378">
      <formula>AND(COUNTIF(G233:BE233,"&lt;&gt;" &amp; "")&gt;0,NOT(ISBLANK(E233)))</formula>
    </cfRule>
  </conditionalFormatting>
  <conditionalFormatting sqref="E234">
    <cfRule type="expression" dxfId="0" priority="379">
      <formula>COUNTIF(G234:BE234,"&lt;&gt;" &amp; "")&gt;0</formula>
    </cfRule>
    <cfRule type="expression" dxfId="1" priority="380">
      <formula>AND(COUNTIF(G234:BE234,"&lt;&gt;" &amp; "")&gt;0,NOT(ISBLANK(E234)))</formula>
    </cfRule>
  </conditionalFormatting>
  <conditionalFormatting sqref="E235">
    <cfRule type="expression" dxfId="0" priority="381">
      <formula>COUNTIF(G235:BE235,"&lt;&gt;" &amp; "")&gt;0</formula>
    </cfRule>
    <cfRule type="expression" dxfId="1" priority="382">
      <formula>AND(COUNTIF(G235:BE235,"&lt;&gt;" &amp; "")&gt;0,NOT(ISBLANK(E235)))</formula>
    </cfRule>
  </conditionalFormatting>
  <conditionalFormatting sqref="E236">
    <cfRule type="expression" dxfId="0" priority="383">
      <formula>COUNTIF(G236:BE236,"&lt;&gt;" &amp; "")&gt;0</formula>
    </cfRule>
    <cfRule type="expression" dxfId="1" priority="384">
      <formula>AND(COUNTIF(G236:BE236,"&lt;&gt;" &amp; "")&gt;0,NOT(ISBLANK(E236)))</formula>
    </cfRule>
  </conditionalFormatting>
  <conditionalFormatting sqref="E237">
    <cfRule type="expression" dxfId="0" priority="385">
      <formula>COUNTIF(G237:BE237,"&lt;&gt;" &amp; "")&gt;0</formula>
    </cfRule>
    <cfRule type="expression" dxfId="1" priority="386">
      <formula>AND(COUNTIF(G237:BE237,"&lt;&gt;" &amp; "")&gt;0,NOT(ISBLANK(E237)))</formula>
    </cfRule>
  </conditionalFormatting>
  <conditionalFormatting sqref="E238">
    <cfRule type="expression" dxfId="0" priority="387">
      <formula>COUNTIF(G238:BE238,"&lt;&gt;" &amp; "")&gt;0</formula>
    </cfRule>
    <cfRule type="expression" dxfId="1" priority="388">
      <formula>AND(COUNTIF(G238:BE238,"&lt;&gt;" &amp; "")&gt;0,NOT(ISBLANK(E238)))</formula>
    </cfRule>
  </conditionalFormatting>
  <conditionalFormatting sqref="E239">
    <cfRule type="expression" dxfId="0" priority="389">
      <formula>COUNTIF(G239:BE239,"&lt;&gt;" &amp; "")&gt;0</formula>
    </cfRule>
    <cfRule type="expression" dxfId="1" priority="390">
      <formula>AND(COUNTIF(G239:BE239,"&lt;&gt;" &amp; "")&gt;0,NOT(ISBLANK(E239)))</formula>
    </cfRule>
  </conditionalFormatting>
  <conditionalFormatting sqref="E24">
    <cfRule type="expression" dxfId="0" priority="15">
      <formula>COUNTIF(G24:BE24,"&lt;&gt;" &amp; "")&gt;0</formula>
    </cfRule>
    <cfRule type="expression" dxfId="1" priority="16">
      <formula>AND(COUNTIF(G24:BE24,"&lt;&gt;" &amp; "")&gt;0,NOT(ISBLANK(E24)))</formula>
    </cfRule>
  </conditionalFormatting>
  <conditionalFormatting sqref="E242">
    <cfRule type="expression" dxfId="0" priority="391">
      <formula>COUNTIF(G242:BE242,"&lt;&gt;" &amp; "")&gt;0</formula>
    </cfRule>
    <cfRule type="expression" dxfId="1" priority="392">
      <formula>AND(COUNTIF(G242:BE242,"&lt;&gt;" &amp; "")&gt;0,NOT(ISBLANK(E242)))</formula>
    </cfRule>
  </conditionalFormatting>
  <conditionalFormatting sqref="E243">
    <cfRule type="expression" dxfId="0" priority="393">
      <formula>COUNTIF(G243:BE243,"&lt;&gt;" &amp; "")&gt;0</formula>
    </cfRule>
    <cfRule type="expression" dxfId="1" priority="394">
      <formula>AND(COUNTIF(G243:BE243,"&lt;&gt;" &amp; "")&gt;0,NOT(ISBLANK(E243)))</formula>
    </cfRule>
  </conditionalFormatting>
  <conditionalFormatting sqref="E244">
    <cfRule type="expression" dxfId="0" priority="395">
      <formula>COUNTIF(G244:BE244,"&lt;&gt;" &amp; "")&gt;0</formula>
    </cfRule>
    <cfRule type="expression" dxfId="1" priority="396">
      <formula>AND(COUNTIF(G244:BE244,"&lt;&gt;" &amp; "")&gt;0,NOT(ISBLANK(E244)))</formula>
    </cfRule>
  </conditionalFormatting>
  <conditionalFormatting sqref="E245">
    <cfRule type="expression" dxfId="0" priority="397">
      <formula>COUNTIF(G245:BE245,"&lt;&gt;" &amp; "")&gt;0</formula>
    </cfRule>
    <cfRule type="expression" dxfId="1" priority="398">
      <formula>AND(COUNTIF(G245:BE245,"&lt;&gt;" &amp; "")&gt;0,NOT(ISBLANK(E245)))</formula>
    </cfRule>
  </conditionalFormatting>
  <conditionalFormatting sqref="E246">
    <cfRule type="expression" dxfId="0" priority="399">
      <formula>COUNTIF(G246:BE246,"&lt;&gt;" &amp; "")&gt;0</formula>
    </cfRule>
    <cfRule type="expression" dxfId="1" priority="400">
      <formula>AND(COUNTIF(G246:BE246,"&lt;&gt;" &amp; "")&gt;0,NOT(ISBLANK(E246)))</formula>
    </cfRule>
  </conditionalFormatting>
  <conditionalFormatting sqref="E247">
    <cfRule type="expression" dxfId="0" priority="401">
      <formula>COUNTIF(G247:BE247,"&lt;&gt;" &amp; "")&gt;0</formula>
    </cfRule>
    <cfRule type="expression" dxfId="1" priority="402">
      <formula>AND(COUNTIF(G247:BE247,"&lt;&gt;" &amp; "")&gt;0,NOT(ISBLANK(E247)))</formula>
    </cfRule>
  </conditionalFormatting>
  <conditionalFormatting sqref="E248">
    <cfRule type="expression" dxfId="0" priority="403">
      <formula>COUNTIF(G248:BE248,"&lt;&gt;" &amp; "")&gt;0</formula>
    </cfRule>
    <cfRule type="expression" dxfId="1" priority="404">
      <formula>AND(COUNTIF(G248:BE248,"&lt;&gt;" &amp; "")&gt;0,NOT(ISBLANK(E248)))</formula>
    </cfRule>
  </conditionalFormatting>
  <conditionalFormatting sqref="E249">
    <cfRule type="expression" dxfId="0" priority="405">
      <formula>COUNTIF(G249:BE249,"&lt;&gt;" &amp; "")&gt;0</formula>
    </cfRule>
    <cfRule type="expression" dxfId="1" priority="406">
      <formula>AND(COUNTIF(G249:BE249,"&lt;&gt;" &amp; "")&gt;0,NOT(ISBLANK(E249)))</formula>
    </cfRule>
  </conditionalFormatting>
  <conditionalFormatting sqref="E25">
    <cfRule type="expression" dxfId="0" priority="17">
      <formula>COUNTIF(G25:BE25,"&lt;&gt;" &amp; "")&gt;0</formula>
    </cfRule>
    <cfRule type="expression" dxfId="1" priority="18">
      <formula>AND(COUNTIF(G25:BE25,"&lt;&gt;" &amp; "")&gt;0,NOT(ISBLANK(E25)))</formula>
    </cfRule>
  </conditionalFormatting>
  <conditionalFormatting sqref="E250">
    <cfRule type="expression" dxfId="0" priority="407">
      <formula>COUNTIF(G250:BE250,"&lt;&gt;" &amp; "")&gt;0</formula>
    </cfRule>
    <cfRule type="expression" dxfId="1" priority="408">
      <formula>AND(COUNTIF(G250:BE250,"&lt;&gt;" &amp; "")&gt;0,NOT(ISBLANK(E250)))</formula>
    </cfRule>
  </conditionalFormatting>
  <conditionalFormatting sqref="E251">
    <cfRule type="expression" dxfId="0" priority="409">
      <formula>COUNTIF(G251:BE251,"&lt;&gt;" &amp; "")&gt;0</formula>
    </cfRule>
    <cfRule type="expression" dxfId="1" priority="410">
      <formula>AND(COUNTIF(G251:BE251,"&lt;&gt;" &amp; "")&gt;0,NOT(ISBLANK(E251)))</formula>
    </cfRule>
  </conditionalFormatting>
  <conditionalFormatting sqref="E252">
    <cfRule type="expression" dxfId="0" priority="411">
      <formula>COUNTIF(G252:BE252,"&lt;&gt;" &amp; "")&gt;0</formula>
    </cfRule>
    <cfRule type="expression" dxfId="1" priority="412">
      <formula>AND(COUNTIF(G252:BE252,"&lt;&gt;" &amp; "")&gt;0,NOT(ISBLANK(E252)))</formula>
    </cfRule>
  </conditionalFormatting>
  <conditionalFormatting sqref="E253">
    <cfRule type="expression" dxfId="0" priority="413">
      <formula>COUNTIF(G253:BE253,"&lt;&gt;" &amp; "")&gt;0</formula>
    </cfRule>
    <cfRule type="expression" dxfId="1" priority="414">
      <formula>AND(COUNTIF(G253:BE253,"&lt;&gt;" &amp; "")&gt;0,NOT(ISBLANK(E253)))</formula>
    </cfRule>
  </conditionalFormatting>
  <conditionalFormatting sqref="E254">
    <cfRule type="expression" dxfId="0" priority="415">
      <formula>COUNTIF(G254:BE254,"&lt;&gt;" &amp; "")&gt;0</formula>
    </cfRule>
    <cfRule type="expression" dxfId="1" priority="416">
      <formula>AND(COUNTIF(G254:BE254,"&lt;&gt;" &amp; "")&gt;0,NOT(ISBLANK(E254)))</formula>
    </cfRule>
  </conditionalFormatting>
  <conditionalFormatting sqref="E26">
    <cfRule type="expression" dxfId="0" priority="19">
      <formula>COUNTIF(G26:BE26,"&lt;&gt;" &amp; "")&gt;0</formula>
    </cfRule>
    <cfRule type="expression" dxfId="1" priority="20">
      <formula>AND(COUNTIF(G26:BE26,"&lt;&gt;" &amp; "")&gt;0,NOT(ISBLANK(E26)))</formula>
    </cfRule>
  </conditionalFormatting>
  <conditionalFormatting sqref="E27">
    <cfRule type="expression" dxfId="0" priority="21">
      <formula>COUNTIF(G27:BE27,"&lt;&gt;" &amp; "")&gt;0</formula>
    </cfRule>
    <cfRule type="expression" dxfId="1" priority="22">
      <formula>AND(COUNTIF(G27:BE27,"&lt;&gt;" &amp; "")&gt;0,NOT(ISBLANK(E27)))</formula>
    </cfRule>
  </conditionalFormatting>
  <conditionalFormatting sqref="E28">
    <cfRule type="expression" dxfId="0" priority="23">
      <formula>COUNTIF(G28:BE28,"&lt;&gt;" &amp; "")&gt;0</formula>
    </cfRule>
    <cfRule type="expression" dxfId="1" priority="24">
      <formula>AND(COUNTIF(G28:BE28,"&lt;&gt;" &amp; "")&gt;0,NOT(ISBLANK(E28)))</formula>
    </cfRule>
  </conditionalFormatting>
  <conditionalFormatting sqref="E29">
    <cfRule type="expression" dxfId="0" priority="25">
      <formula>COUNTIF(G29:BE29,"&lt;&gt;" &amp; "")&gt;0</formula>
    </cfRule>
    <cfRule type="expression" dxfId="1" priority="26">
      <formula>AND(COUNTIF(G29:BE29,"&lt;&gt;" &amp; "")&gt;0,NOT(ISBLANK(E29)))</formula>
    </cfRule>
  </conditionalFormatting>
  <conditionalFormatting sqref="E32">
    <cfRule type="expression" dxfId="0" priority="27">
      <formula>COUNTIF(G32:BE32,"&lt;&gt;" &amp; "")&gt;0</formula>
    </cfRule>
    <cfRule type="expression" dxfId="1" priority="28">
      <formula>AND(COUNTIF(G32:BE32,"&lt;&gt;" &amp; "")&gt;0,NOT(ISBLANK(E32)))</formula>
    </cfRule>
  </conditionalFormatting>
  <conditionalFormatting sqref="E33">
    <cfRule type="expression" dxfId="0" priority="29">
      <formula>COUNTIF(G33:BE33,"&lt;&gt;" &amp; "")&gt;0</formula>
    </cfRule>
    <cfRule type="expression" dxfId="1" priority="30">
      <formula>AND(COUNTIF(G33:BE33,"&lt;&gt;" &amp; "")&gt;0,NOT(ISBLANK(E33)))</formula>
    </cfRule>
  </conditionalFormatting>
  <conditionalFormatting sqref="E34">
    <cfRule type="expression" dxfId="0" priority="31">
      <formula>COUNTIF(G34:BE34,"&lt;&gt;" &amp; "")&gt;0</formula>
    </cfRule>
    <cfRule type="expression" dxfId="1" priority="32">
      <formula>AND(COUNTIF(G34:BE34,"&lt;&gt;" &amp; "")&gt;0,NOT(ISBLANK(E34)))</formula>
    </cfRule>
  </conditionalFormatting>
  <conditionalFormatting sqref="E35">
    <cfRule type="expression" dxfId="0" priority="33">
      <formula>COUNTIF(G35:BE35,"&lt;&gt;" &amp; "")&gt;0</formula>
    </cfRule>
    <cfRule type="expression" dxfId="1" priority="34">
      <formula>AND(COUNTIF(G35:BE35,"&lt;&gt;" &amp; "")&gt;0,NOT(ISBLANK(E35)))</formula>
    </cfRule>
  </conditionalFormatting>
  <conditionalFormatting sqref="E36">
    <cfRule type="expression" dxfId="0" priority="35">
      <formula>COUNTIF(G36:BE36,"&lt;&gt;" &amp; "")&gt;0</formula>
    </cfRule>
    <cfRule type="expression" dxfId="1" priority="36">
      <formula>AND(COUNTIF(G36:BE36,"&lt;&gt;" &amp; "")&gt;0,NOT(ISBLANK(E36)))</formula>
    </cfRule>
  </conditionalFormatting>
  <conditionalFormatting sqref="E37">
    <cfRule type="expression" dxfId="0" priority="37">
      <formula>COUNTIF(G37:BE37,"&lt;&gt;" &amp; "")&gt;0</formula>
    </cfRule>
    <cfRule type="expression" dxfId="1" priority="38">
      <formula>AND(COUNTIF(G37:BE37,"&lt;&gt;" &amp; "")&gt;0,NOT(ISBLANK(E37)))</formula>
    </cfRule>
  </conditionalFormatting>
  <conditionalFormatting sqref="E38">
    <cfRule type="expression" dxfId="0" priority="39">
      <formula>COUNTIF(G38:BE38,"&lt;&gt;" &amp; "")&gt;0</formula>
    </cfRule>
    <cfRule type="expression" dxfId="1" priority="40">
      <formula>AND(COUNTIF(G38:BE38,"&lt;&gt;" &amp; "")&gt;0,NOT(ISBLANK(E38)))</formula>
    </cfRule>
  </conditionalFormatting>
  <conditionalFormatting sqref="E39">
    <cfRule type="expression" dxfId="0" priority="41">
      <formula>COUNTIF(G39:BE39,"&lt;&gt;" &amp; "")&gt;0</formula>
    </cfRule>
    <cfRule type="expression" dxfId="1" priority="42">
      <formula>AND(COUNTIF(G39:BE39,"&lt;&gt;" &amp; "")&gt;0,NOT(ISBLANK(E39)))</formula>
    </cfRule>
  </conditionalFormatting>
  <conditionalFormatting sqref="E40">
    <cfRule type="expression" dxfId="0" priority="43">
      <formula>COUNTIF(G40:BE40,"&lt;&gt;" &amp; "")&gt;0</formula>
    </cfRule>
    <cfRule type="expression" dxfId="1" priority="44">
      <formula>AND(COUNTIF(G40:BE40,"&lt;&gt;" &amp; "")&gt;0,NOT(ISBLANK(E40)))</formula>
    </cfRule>
  </conditionalFormatting>
  <conditionalFormatting sqref="E41">
    <cfRule type="expression" dxfId="0" priority="45">
      <formula>COUNTIF(G41:BE41,"&lt;&gt;" &amp; "")&gt;0</formula>
    </cfRule>
    <cfRule type="expression" dxfId="1" priority="46">
      <formula>AND(COUNTIF(G41:BE41,"&lt;&gt;" &amp; "")&gt;0,NOT(ISBLANK(E41)))</formula>
    </cfRule>
  </conditionalFormatting>
  <conditionalFormatting sqref="E42">
    <cfRule type="expression" dxfId="0" priority="47">
      <formula>COUNTIF(G42:BE42,"&lt;&gt;" &amp; "")&gt;0</formula>
    </cfRule>
    <cfRule type="expression" dxfId="1" priority="48">
      <formula>AND(COUNTIF(G42:BE42,"&lt;&gt;" &amp; "")&gt;0,NOT(ISBLANK(E42)))</formula>
    </cfRule>
  </conditionalFormatting>
  <conditionalFormatting sqref="E43">
    <cfRule type="expression" dxfId="0" priority="49">
      <formula>COUNTIF(G43:BE43,"&lt;&gt;" &amp; "")&gt;0</formula>
    </cfRule>
    <cfRule type="expression" dxfId="1" priority="50">
      <formula>AND(COUNTIF(G43:BE43,"&lt;&gt;" &amp; "")&gt;0,NOT(ISBLANK(E43)))</formula>
    </cfRule>
  </conditionalFormatting>
  <conditionalFormatting sqref="E44">
    <cfRule type="expression" dxfId="0" priority="51">
      <formula>COUNTIF(G44:BE44,"&lt;&gt;" &amp; "")&gt;0</formula>
    </cfRule>
    <cfRule type="expression" dxfId="1" priority="52">
      <formula>AND(COUNTIF(G44:BE44,"&lt;&gt;" &amp; "")&gt;0,NOT(ISBLANK(E44)))</formula>
    </cfRule>
  </conditionalFormatting>
  <conditionalFormatting sqref="E47">
    <cfRule type="expression" dxfId="0" priority="53">
      <formula>COUNTIF(G47:BE47,"&lt;&gt;" &amp; "")&gt;0</formula>
    </cfRule>
    <cfRule type="expression" dxfId="1" priority="54">
      <formula>AND(COUNTIF(G47:BE47,"&lt;&gt;" &amp; "")&gt;0,NOT(ISBLANK(E47)))</formula>
    </cfRule>
  </conditionalFormatting>
  <conditionalFormatting sqref="E48">
    <cfRule type="expression" dxfId="0" priority="55">
      <formula>COUNTIF(G48:BE48,"&lt;&gt;" &amp; "")&gt;0</formula>
    </cfRule>
    <cfRule type="expression" dxfId="1" priority="56">
      <formula>AND(COUNTIF(G48:BE48,"&lt;&gt;" &amp; "")&gt;0,NOT(ISBLANK(E48)))</formula>
    </cfRule>
  </conditionalFormatting>
  <conditionalFormatting sqref="E49">
    <cfRule type="expression" dxfId="0" priority="57">
      <formula>COUNTIF(G49:BE49,"&lt;&gt;" &amp; "")&gt;0</formula>
    </cfRule>
    <cfRule type="expression" dxfId="1" priority="58">
      <formula>AND(COUNTIF(G49:BE49,"&lt;&gt;" &amp; "")&gt;0,NOT(ISBLANK(E49)))</formula>
    </cfRule>
  </conditionalFormatting>
  <conditionalFormatting sqref="E50">
    <cfRule type="expression" dxfId="0" priority="59">
      <formula>COUNTIF(G50:BE50,"&lt;&gt;" &amp; "")&gt;0</formula>
    </cfRule>
    <cfRule type="expression" dxfId="1" priority="60">
      <formula>AND(COUNTIF(G50:BE50,"&lt;&gt;" &amp; "")&gt;0,NOT(ISBLANK(E50)))</formula>
    </cfRule>
  </conditionalFormatting>
  <conditionalFormatting sqref="E51">
    <cfRule type="expression" dxfId="0" priority="61">
      <formula>COUNTIF(G51:BE51,"&lt;&gt;" &amp; "")&gt;0</formula>
    </cfRule>
    <cfRule type="expression" dxfId="1" priority="62">
      <formula>AND(COUNTIF(G51:BE51,"&lt;&gt;" &amp; "")&gt;0,NOT(ISBLANK(E51)))</formula>
    </cfRule>
  </conditionalFormatting>
  <conditionalFormatting sqref="E52">
    <cfRule type="expression" dxfId="0" priority="63">
      <formula>COUNTIF(G52:BE52,"&lt;&gt;" &amp; "")&gt;0</formula>
    </cfRule>
    <cfRule type="expression" dxfId="1" priority="64">
      <formula>AND(COUNTIF(G52:BE52,"&lt;&gt;" &amp; "")&gt;0,NOT(ISBLANK(E52)))</formula>
    </cfRule>
  </conditionalFormatting>
  <conditionalFormatting sqref="E53">
    <cfRule type="expression" dxfId="0" priority="65">
      <formula>COUNTIF(G53:BE53,"&lt;&gt;" &amp; "")&gt;0</formula>
    </cfRule>
    <cfRule type="expression" dxfId="1" priority="66">
      <formula>AND(COUNTIF(G53:BE53,"&lt;&gt;" &amp; "")&gt;0,NOT(ISBLANK(E53)))</formula>
    </cfRule>
  </conditionalFormatting>
  <conditionalFormatting sqref="E54">
    <cfRule type="expression" dxfId="0" priority="67">
      <formula>COUNTIF(G54:BE54,"&lt;&gt;" &amp; "")&gt;0</formula>
    </cfRule>
    <cfRule type="expression" dxfId="1" priority="68">
      <formula>AND(COUNTIF(G54:BE54,"&lt;&gt;" &amp; "")&gt;0,NOT(ISBLANK(E54)))</formula>
    </cfRule>
  </conditionalFormatting>
  <conditionalFormatting sqref="E55">
    <cfRule type="expression" dxfId="0" priority="69">
      <formula>COUNTIF(G55:BE55,"&lt;&gt;" &amp; "")&gt;0</formula>
    </cfRule>
    <cfRule type="expression" dxfId="1" priority="70">
      <formula>AND(COUNTIF(G55:BE55,"&lt;&gt;" &amp; "")&gt;0,NOT(ISBLANK(E55)))</formula>
    </cfRule>
  </conditionalFormatting>
  <conditionalFormatting sqref="E56">
    <cfRule type="expression" dxfId="0" priority="71">
      <formula>COUNTIF(G56:BE56,"&lt;&gt;" &amp; "")&gt;0</formula>
    </cfRule>
    <cfRule type="expression" dxfId="1" priority="72">
      <formula>AND(COUNTIF(G56:BE56,"&lt;&gt;" &amp; "")&gt;0,NOT(ISBLANK(E56)))</formula>
    </cfRule>
  </conditionalFormatting>
  <conditionalFormatting sqref="E57">
    <cfRule type="expression" dxfId="0" priority="73">
      <formula>COUNTIF(G57:BE57,"&lt;&gt;" &amp; "")&gt;0</formula>
    </cfRule>
    <cfRule type="expression" dxfId="1" priority="74">
      <formula>AND(COUNTIF(G57:BE57,"&lt;&gt;" &amp; "")&gt;0,NOT(ISBLANK(E57)))</formula>
    </cfRule>
  </conditionalFormatting>
  <conditionalFormatting sqref="E58">
    <cfRule type="expression" dxfId="0" priority="75">
      <formula>COUNTIF(G58:BE58,"&lt;&gt;" &amp; "")&gt;0</formula>
    </cfRule>
    <cfRule type="expression" dxfId="1" priority="76">
      <formula>AND(COUNTIF(G58:BE58,"&lt;&gt;" &amp; "")&gt;0,NOT(ISBLANK(E58)))</formula>
    </cfRule>
  </conditionalFormatting>
  <conditionalFormatting sqref="E59">
    <cfRule type="expression" dxfId="0" priority="77">
      <formula>COUNTIF(G59:BE59,"&lt;&gt;" &amp; "")&gt;0</formula>
    </cfRule>
    <cfRule type="expression" dxfId="1" priority="78">
      <formula>AND(COUNTIF(G59:BE59,"&lt;&gt;" &amp; "")&gt;0,NOT(ISBLANK(E59)))</formula>
    </cfRule>
  </conditionalFormatting>
  <conditionalFormatting sqref="E62">
    <cfRule type="expression" dxfId="0" priority="79">
      <formula>COUNTIF(G62:BE62,"&lt;&gt;" &amp; "")&gt;0</formula>
    </cfRule>
    <cfRule type="expression" dxfId="1" priority="80">
      <formula>AND(COUNTIF(G62:BE62,"&lt;&gt;" &amp; "")&gt;0,NOT(ISBLANK(E62)))</formula>
    </cfRule>
  </conditionalFormatting>
  <conditionalFormatting sqref="E63">
    <cfRule type="expression" dxfId="0" priority="81">
      <formula>COUNTIF(G63:BE63,"&lt;&gt;" &amp; "")&gt;0</formula>
    </cfRule>
    <cfRule type="expression" dxfId="1" priority="82">
      <formula>AND(COUNTIF(G63:BE63,"&lt;&gt;" &amp; "")&gt;0,NOT(ISBLANK(E63)))</formula>
    </cfRule>
  </conditionalFormatting>
  <conditionalFormatting sqref="E64">
    <cfRule type="expression" dxfId="0" priority="83">
      <formula>COUNTIF(G64:BE64,"&lt;&gt;" &amp; "")&gt;0</formula>
    </cfRule>
    <cfRule type="expression" dxfId="1" priority="84">
      <formula>AND(COUNTIF(G64:BE64,"&lt;&gt;" &amp; "")&gt;0,NOT(ISBLANK(E64)))</formula>
    </cfRule>
  </conditionalFormatting>
  <conditionalFormatting sqref="E65">
    <cfRule type="expression" dxfId="0" priority="85">
      <formula>COUNTIF(G65:BE65,"&lt;&gt;" &amp; "")&gt;0</formula>
    </cfRule>
    <cfRule type="expression" dxfId="1" priority="86">
      <formula>AND(COUNTIF(G65:BE65,"&lt;&gt;" &amp; "")&gt;0,NOT(ISBLANK(E65)))</formula>
    </cfRule>
  </conditionalFormatting>
  <conditionalFormatting sqref="E66">
    <cfRule type="expression" dxfId="0" priority="87">
      <formula>COUNTIF(G66:BE66,"&lt;&gt;" &amp; "")&gt;0</formula>
    </cfRule>
    <cfRule type="expression" dxfId="1" priority="88">
      <formula>AND(COUNTIF(G66:BE66,"&lt;&gt;" &amp; "")&gt;0,NOT(ISBLANK(E66)))</formula>
    </cfRule>
  </conditionalFormatting>
  <conditionalFormatting sqref="E67">
    <cfRule type="expression" dxfId="0" priority="89">
      <formula>COUNTIF(G67:BE67,"&lt;&gt;" &amp; "")&gt;0</formula>
    </cfRule>
    <cfRule type="expression" dxfId="1" priority="90">
      <formula>AND(COUNTIF(G67:BE67,"&lt;&gt;" &amp; "")&gt;0,NOT(ISBLANK(E67)))</formula>
    </cfRule>
  </conditionalFormatting>
  <conditionalFormatting sqref="E68">
    <cfRule type="expression" dxfId="0" priority="91">
      <formula>COUNTIF(G68:BE68,"&lt;&gt;" &amp; "")&gt;0</formula>
    </cfRule>
    <cfRule type="expression" dxfId="1" priority="92">
      <formula>AND(COUNTIF(G68:BE68,"&lt;&gt;" &amp; "")&gt;0,NOT(ISBLANK(E68)))</formula>
    </cfRule>
  </conditionalFormatting>
  <conditionalFormatting sqref="E69">
    <cfRule type="expression" dxfId="0" priority="93">
      <formula>COUNTIF(G69:BE69,"&lt;&gt;" &amp; "")&gt;0</formula>
    </cfRule>
    <cfRule type="expression" dxfId="1" priority="94">
      <formula>AND(COUNTIF(G69:BE69,"&lt;&gt;" &amp; "")&gt;0,NOT(ISBLANK(E69)))</formula>
    </cfRule>
  </conditionalFormatting>
  <conditionalFormatting sqref="E70">
    <cfRule type="expression" dxfId="0" priority="95">
      <formula>COUNTIF(G70:BE70,"&lt;&gt;" &amp; "")&gt;0</formula>
    </cfRule>
    <cfRule type="expression" dxfId="1" priority="96">
      <formula>AND(COUNTIF(G70:BE70,"&lt;&gt;" &amp; "")&gt;0,NOT(ISBLANK(E70)))</formula>
    </cfRule>
  </conditionalFormatting>
  <conditionalFormatting sqref="E71">
    <cfRule type="expression" dxfId="0" priority="97">
      <formula>COUNTIF(G71:BE71,"&lt;&gt;" &amp; "")&gt;0</formula>
    </cfRule>
    <cfRule type="expression" dxfId="1" priority="98">
      <formula>AND(COUNTIF(G71:BE71,"&lt;&gt;" &amp; "")&gt;0,NOT(ISBLANK(E71)))</formula>
    </cfRule>
  </conditionalFormatting>
  <conditionalFormatting sqref="E72">
    <cfRule type="expression" dxfId="0" priority="99">
      <formula>COUNTIF(G72:BE72,"&lt;&gt;" &amp; "")&gt;0</formula>
    </cfRule>
    <cfRule type="expression" dxfId="1" priority="100">
      <formula>AND(COUNTIF(G72:BE72,"&lt;&gt;" &amp; "")&gt;0,NOT(ISBLANK(E72)))</formula>
    </cfRule>
  </conditionalFormatting>
  <conditionalFormatting sqref="E73">
    <cfRule type="expression" dxfId="0" priority="101">
      <formula>COUNTIF(G73:BE73,"&lt;&gt;" &amp; "")&gt;0</formula>
    </cfRule>
    <cfRule type="expression" dxfId="1" priority="102">
      <formula>AND(COUNTIF(G73:BE73,"&lt;&gt;" &amp; "")&gt;0,NOT(ISBLANK(E73)))</formula>
    </cfRule>
  </conditionalFormatting>
  <conditionalFormatting sqref="E74">
    <cfRule type="expression" dxfId="0" priority="103">
      <formula>COUNTIF(G74:BE74,"&lt;&gt;" &amp; "")&gt;0</formula>
    </cfRule>
    <cfRule type="expression" dxfId="1" priority="104">
      <formula>AND(COUNTIF(G74:BE74,"&lt;&gt;" &amp; "")&gt;0,NOT(ISBLANK(E74)))</formula>
    </cfRule>
  </conditionalFormatting>
  <conditionalFormatting sqref="E77">
    <cfRule type="expression" dxfId="0" priority="105">
      <formula>COUNTIF(G77:BE77,"&lt;&gt;" &amp; "")&gt;0</formula>
    </cfRule>
    <cfRule type="expression" dxfId="1" priority="106">
      <formula>AND(COUNTIF(G77:BE77,"&lt;&gt;" &amp; "")&gt;0,NOT(ISBLANK(E77)))</formula>
    </cfRule>
  </conditionalFormatting>
  <conditionalFormatting sqref="E78">
    <cfRule type="expression" dxfId="0" priority="107">
      <formula>COUNTIF(G78:BE78,"&lt;&gt;" &amp; "")&gt;0</formula>
    </cfRule>
    <cfRule type="expression" dxfId="1" priority="108">
      <formula>AND(COUNTIF(G78:BE78,"&lt;&gt;" &amp; "")&gt;0,NOT(ISBLANK(E78)))</formula>
    </cfRule>
  </conditionalFormatting>
  <conditionalFormatting sqref="E79">
    <cfRule type="expression" dxfId="0" priority="109">
      <formula>COUNTIF(G79:BE79,"&lt;&gt;" &amp; "")&gt;0</formula>
    </cfRule>
    <cfRule type="expression" dxfId="1" priority="110">
      <formula>AND(COUNTIF(G79:BE79,"&lt;&gt;" &amp; "")&gt;0,NOT(ISBLANK(E79)))</formula>
    </cfRule>
  </conditionalFormatting>
  <conditionalFormatting sqref="E80">
    <cfRule type="expression" dxfId="0" priority="111">
      <formula>COUNTIF(G80:BE80,"&lt;&gt;" &amp; "")&gt;0</formula>
    </cfRule>
    <cfRule type="expression" dxfId="1" priority="112">
      <formula>AND(COUNTIF(G80:BE80,"&lt;&gt;" &amp; "")&gt;0,NOT(ISBLANK(E80)))</formula>
    </cfRule>
  </conditionalFormatting>
  <conditionalFormatting sqref="E81">
    <cfRule type="expression" dxfId="0" priority="113">
      <formula>COUNTIF(G81:BE81,"&lt;&gt;" &amp; "")&gt;0</formula>
    </cfRule>
    <cfRule type="expression" dxfId="1" priority="114">
      <formula>AND(COUNTIF(G81:BE81,"&lt;&gt;" &amp; "")&gt;0,NOT(ISBLANK(E81)))</formula>
    </cfRule>
  </conditionalFormatting>
  <conditionalFormatting sqref="E82">
    <cfRule type="expression" dxfId="0" priority="115">
      <formula>COUNTIF(G82:BE82,"&lt;&gt;" &amp; "")&gt;0</formula>
    </cfRule>
    <cfRule type="expression" dxfId="1" priority="116">
      <formula>AND(COUNTIF(G82:BE82,"&lt;&gt;" &amp; "")&gt;0,NOT(ISBLANK(E82)))</formula>
    </cfRule>
  </conditionalFormatting>
  <conditionalFormatting sqref="E83">
    <cfRule type="expression" dxfId="0" priority="117">
      <formula>COUNTIF(G83:BE83,"&lt;&gt;" &amp; "")&gt;0</formula>
    </cfRule>
    <cfRule type="expression" dxfId="1" priority="118">
      <formula>AND(COUNTIF(G83:BE83,"&lt;&gt;" &amp; "")&gt;0,NOT(ISBLANK(E83)))</formula>
    </cfRule>
  </conditionalFormatting>
  <conditionalFormatting sqref="E84">
    <cfRule type="expression" dxfId="0" priority="119">
      <formula>COUNTIF(G84:BE84,"&lt;&gt;" &amp; "")&gt;0</formula>
    </cfRule>
    <cfRule type="expression" dxfId="1" priority="120">
      <formula>AND(COUNTIF(G84:BE84,"&lt;&gt;" &amp; "")&gt;0,NOT(ISBLANK(E84)))</formula>
    </cfRule>
  </conditionalFormatting>
  <conditionalFormatting sqref="E85">
    <cfRule type="expression" dxfId="0" priority="121">
      <formula>COUNTIF(G85:BE85,"&lt;&gt;" &amp; "")&gt;0</formula>
    </cfRule>
    <cfRule type="expression" dxfId="1" priority="122">
      <formula>AND(COUNTIF(G85:BE85,"&lt;&gt;" &amp; "")&gt;0,NOT(ISBLANK(E85)))</formula>
    </cfRule>
  </conditionalFormatting>
  <conditionalFormatting sqref="E86">
    <cfRule type="expression" dxfId="0" priority="123">
      <formula>COUNTIF(G86:BE86,"&lt;&gt;" &amp; "")&gt;0</formula>
    </cfRule>
    <cfRule type="expression" dxfId="1" priority="124">
      <formula>AND(COUNTIF(G86:BE86,"&lt;&gt;" &amp; "")&gt;0,NOT(ISBLANK(E86)))</formula>
    </cfRule>
  </conditionalFormatting>
  <conditionalFormatting sqref="E87">
    <cfRule type="expression" dxfId="0" priority="125">
      <formula>COUNTIF(G87:BE87,"&lt;&gt;" &amp; "")&gt;0</formula>
    </cfRule>
    <cfRule type="expression" dxfId="1" priority="126">
      <formula>AND(COUNTIF(G87:BE87,"&lt;&gt;" &amp; "")&gt;0,NOT(ISBLANK(E87)))</formula>
    </cfRule>
  </conditionalFormatting>
  <conditionalFormatting sqref="E88">
    <cfRule type="expression" dxfId="0" priority="127">
      <formula>COUNTIF(G88:BE88,"&lt;&gt;" &amp; "")&gt;0</formula>
    </cfRule>
    <cfRule type="expression" dxfId="1" priority="128">
      <formula>AND(COUNTIF(G88:BE88,"&lt;&gt;" &amp; "")&gt;0,NOT(ISBLANK(E88)))</formula>
    </cfRule>
  </conditionalFormatting>
  <conditionalFormatting sqref="E89">
    <cfRule type="expression" dxfId="0" priority="129">
      <formula>COUNTIF(G89:BE89,"&lt;&gt;" &amp; "")&gt;0</formula>
    </cfRule>
    <cfRule type="expression" dxfId="1" priority="130">
      <formula>AND(COUNTIF(G89:BE89,"&lt;&gt;" &amp; "")&gt;0,NOT(ISBLANK(E89)))</formula>
    </cfRule>
  </conditionalFormatting>
  <conditionalFormatting sqref="E92">
    <cfRule type="expression" dxfId="0" priority="131">
      <formula>COUNTIF(G92:BE92,"&lt;&gt;" &amp; "")&gt;0</formula>
    </cfRule>
    <cfRule type="expression" dxfId="1" priority="132">
      <formula>AND(COUNTIF(G92:BE92,"&lt;&gt;" &amp; "")&gt;0,NOT(ISBLANK(E92)))</formula>
    </cfRule>
  </conditionalFormatting>
  <conditionalFormatting sqref="E93">
    <cfRule type="expression" dxfId="0" priority="133">
      <formula>COUNTIF(G93:BE93,"&lt;&gt;" &amp; "")&gt;0</formula>
    </cfRule>
    <cfRule type="expression" dxfId="1" priority="134">
      <formula>AND(COUNTIF(G93:BE93,"&lt;&gt;" &amp; "")&gt;0,NOT(ISBLANK(E93)))</formula>
    </cfRule>
  </conditionalFormatting>
  <conditionalFormatting sqref="E94">
    <cfRule type="expression" dxfId="0" priority="135">
      <formula>COUNTIF(G94:BE94,"&lt;&gt;" &amp; "")&gt;0</formula>
    </cfRule>
    <cfRule type="expression" dxfId="1" priority="136">
      <formula>AND(COUNTIF(G94:BE94,"&lt;&gt;" &amp; "")&gt;0,NOT(ISBLANK(E94)))</formula>
    </cfRule>
  </conditionalFormatting>
  <conditionalFormatting sqref="E95">
    <cfRule type="expression" dxfId="0" priority="137">
      <formula>COUNTIF(G95:BE95,"&lt;&gt;" &amp; "")&gt;0</formula>
    </cfRule>
    <cfRule type="expression" dxfId="1" priority="138">
      <formula>AND(COUNTIF(G95:BE95,"&lt;&gt;" &amp; "")&gt;0,NOT(ISBLANK(E95)))</formula>
    </cfRule>
  </conditionalFormatting>
  <conditionalFormatting sqref="E96">
    <cfRule type="expression" dxfId="0" priority="139">
      <formula>COUNTIF(G96:BE96,"&lt;&gt;" &amp; "")&gt;0</formula>
    </cfRule>
    <cfRule type="expression" dxfId="1" priority="140">
      <formula>AND(COUNTIF(G96:BE96,"&lt;&gt;" &amp; "")&gt;0,NOT(ISBLANK(E96)))</formula>
    </cfRule>
  </conditionalFormatting>
  <conditionalFormatting sqref="E97">
    <cfRule type="expression" dxfId="0" priority="141">
      <formula>COUNTIF(G97:BE97,"&lt;&gt;" &amp; "")&gt;0</formula>
    </cfRule>
    <cfRule type="expression" dxfId="1" priority="142">
      <formula>AND(COUNTIF(G97:BE97,"&lt;&gt;" &amp; "")&gt;0,NOT(ISBLANK(E97)))</formula>
    </cfRule>
  </conditionalFormatting>
  <conditionalFormatting sqref="E98">
    <cfRule type="expression" dxfId="0" priority="143">
      <formula>COUNTIF(G98:BE98,"&lt;&gt;" &amp; "")&gt;0</formula>
    </cfRule>
    <cfRule type="expression" dxfId="1" priority="144">
      <formula>AND(COUNTIF(G98:BE98,"&lt;&gt;" &amp; "")&gt;0,NOT(ISBLANK(E98)))</formula>
    </cfRule>
  </conditionalFormatting>
  <conditionalFormatting sqref="E99">
    <cfRule type="expression" dxfId="0" priority="145">
      <formula>COUNTIF(G99:BE99,"&lt;&gt;" &amp; "")&gt;0</formula>
    </cfRule>
    <cfRule type="expression" dxfId="1" priority="146">
      <formula>AND(COUNTIF(G99:BE99,"&lt;&gt;" &amp; "")&gt;0,NOT(ISBLANK(E99)))</formula>
    </cfRule>
  </conditionalFormatting>
  <dataValidations count="221">
    <dataValidation type="list" allowBlank="1" showInputMessage="1" showErrorMessage="1" sqref="C2">
      <formula1>"Fraction"</formula1>
    </dataValidation>
    <dataValidation type="list" allowBlank="1" showInputMessage="1" showErrorMessage="1" sqref="C3">
      <formula1>"Fraction"</formula1>
    </dataValidation>
    <dataValidation type="list" allowBlank="1" showInputMessage="1" showErrorMessage="1" sqref="C4">
      <formula1>"Fraction"</formula1>
    </dataValidation>
    <dataValidation type="list" allowBlank="1" showInputMessage="1" showErrorMessage="1" sqref="C5">
      <formula1>"Fraction"</formula1>
    </dataValidation>
    <dataValidation type="list" allowBlank="1" showInputMessage="1" showErrorMessage="1" sqref="C6">
      <formula1>"Fraction"</formula1>
    </dataValidation>
    <dataValidation type="list" allowBlank="1" showInputMessage="1" showErrorMessage="1" sqref="C7">
      <formula1>"Fraction"</formula1>
    </dataValidation>
    <dataValidation type="list" allowBlank="1" showInputMessage="1" showErrorMessage="1" sqref="C8">
      <formula1>"Fraction"</formula1>
    </dataValidation>
    <dataValidation type="list" allowBlank="1" showInputMessage="1" showErrorMessage="1" sqref="C9">
      <formula1>"Fraction"</formula1>
    </dataValidation>
    <dataValidation type="list" allowBlank="1" showInputMessage="1" showErrorMessage="1" sqref="C10">
      <formula1>"Fraction"</formula1>
    </dataValidation>
    <dataValidation type="list" allowBlank="1" showInputMessage="1" showErrorMessage="1" sqref="C11">
      <formula1>"Fraction"</formula1>
    </dataValidation>
    <dataValidation type="list" allowBlank="1" showInputMessage="1" showErrorMessage="1" sqref="C12">
      <formula1>"Fraction"</formula1>
    </dataValidation>
    <dataValidation type="list" allowBlank="1" showInputMessage="1" showErrorMessage="1" sqref="C13">
      <formula1>"Fraction"</formula1>
    </dataValidation>
    <dataValidation type="list" allowBlank="1" showInputMessage="1" showErrorMessage="1" sqref="C14">
      <formula1>"Fraction"</formula1>
    </dataValidation>
    <dataValidation type="list" allowBlank="1" showInputMessage="1" showErrorMessage="1" sqref="C17">
      <formula1>"Number (per year)"</formula1>
    </dataValidation>
    <dataValidation type="list" allowBlank="1" showInputMessage="1" showErrorMessage="1" sqref="C18">
      <formula1>"Number (per year)"</formula1>
    </dataValidation>
    <dataValidation type="list" allowBlank="1" showInputMessage="1" showErrorMessage="1" sqref="C19">
      <formula1>"Number (per year)"</formula1>
    </dataValidation>
    <dataValidation type="list" allowBlank="1" showInputMessage="1" showErrorMessage="1" sqref="C20">
      <formula1>"Number (per year)"</formula1>
    </dataValidation>
    <dataValidation type="list" allowBlank="1" showInputMessage="1" showErrorMessage="1" sqref="C21">
      <formula1>"Number (per year)"</formula1>
    </dataValidation>
    <dataValidation type="list" allowBlank="1" showInputMessage="1" showErrorMessage="1" sqref="C22">
      <formula1>"Number (per year)"</formula1>
    </dataValidation>
    <dataValidation type="list" allowBlank="1" showInputMessage="1" showErrorMessage="1" sqref="C23">
      <formula1>"Number (per year)"</formula1>
    </dataValidation>
    <dataValidation type="list" allowBlank="1" showInputMessage="1" showErrorMessage="1" sqref="C24">
      <formula1>"Number (per year)"</formula1>
    </dataValidation>
    <dataValidation type="list" allowBlank="1" showInputMessage="1" showErrorMessage="1" sqref="C25">
      <formula1>"Number (per year)"</formula1>
    </dataValidation>
    <dataValidation type="list" allowBlank="1" showInputMessage="1" showErrorMessage="1" sqref="C26">
      <formula1>"Number (per year)"</formula1>
    </dataValidation>
    <dataValidation type="list" allowBlank="1" showInputMessage="1" showErrorMessage="1" sqref="C27">
      <formula1>"Number (per year)"</formula1>
    </dataValidation>
    <dataValidation type="list" allowBlank="1" showInputMessage="1" showErrorMessage="1" sqref="C28">
      <formula1>"Number (per year)"</formula1>
    </dataValidation>
    <dataValidation type="list" allowBlank="1" showInputMessage="1" showErrorMessage="1" sqref="C29">
      <formula1>"Number (per year)"</formula1>
    </dataValidation>
    <dataValidation type="list" allowBlank="1" showInputMessage="1" showErrorMessage="1" sqref="C32">
      <formula1>"Number (per year)"</formula1>
    </dataValidation>
    <dataValidation type="list" allowBlank="1" showInputMessage="1" showErrorMessage="1" sqref="C33">
      <formula1>"Number (per year)"</formula1>
    </dataValidation>
    <dataValidation type="list" allowBlank="1" showInputMessage="1" showErrorMessage="1" sqref="C34">
      <formula1>"Number (per year)"</formula1>
    </dataValidation>
    <dataValidation type="list" allowBlank="1" showInputMessage="1" showErrorMessage="1" sqref="C35">
      <formula1>"Number (per year)"</formula1>
    </dataValidation>
    <dataValidation type="list" allowBlank="1" showInputMessage="1" showErrorMessage="1" sqref="C36">
      <formula1>"Number (per year)"</formula1>
    </dataValidation>
    <dataValidation type="list" allowBlank="1" showInputMessage="1" showErrorMessage="1" sqref="C37">
      <formula1>"Number (per year)"</formula1>
    </dataValidation>
    <dataValidation type="list" allowBlank="1" showInputMessage="1" showErrorMessage="1" sqref="C38">
      <formula1>"Number (per year)"</formula1>
    </dataValidation>
    <dataValidation type="list" allowBlank="1" showInputMessage="1" showErrorMessage="1" sqref="C39">
      <formula1>"Number (per year)"</formula1>
    </dataValidation>
    <dataValidation type="list" allowBlank="1" showInputMessage="1" showErrorMessage="1" sqref="C40">
      <formula1>"Number (per year)"</formula1>
    </dataValidation>
    <dataValidation type="list" allowBlank="1" showInputMessage="1" showErrorMessage="1" sqref="C41">
      <formula1>"Number (per year)"</formula1>
    </dataValidation>
    <dataValidation type="list" allowBlank="1" showInputMessage="1" showErrorMessage="1" sqref="C42">
      <formula1>"Number (per year)"</formula1>
    </dataValidation>
    <dataValidation type="list" allowBlank="1" showInputMessage="1" showErrorMessage="1" sqref="C43">
      <formula1>"Number (per year)"</formula1>
    </dataValidation>
    <dataValidation type="list" allowBlank="1" showInputMessage="1" showErrorMessage="1" sqref="C44">
      <formula1>"Number (per year)"</formula1>
    </dataValidation>
    <dataValidation type="list" allowBlank="1" showInputMessage="1" showErrorMessage="1" sqref="C47">
      <formula1>"Number (per year)"</formula1>
    </dataValidation>
    <dataValidation type="list" allowBlank="1" showInputMessage="1" showErrorMessage="1" sqref="C48">
      <formula1>"Number (per year)"</formula1>
    </dataValidation>
    <dataValidation type="list" allowBlank="1" showInputMessage="1" showErrorMessage="1" sqref="C49">
      <formula1>"Number (per year)"</formula1>
    </dataValidation>
    <dataValidation type="list" allowBlank="1" showInputMessage="1" showErrorMessage="1" sqref="C50">
      <formula1>"Number (per year)"</formula1>
    </dataValidation>
    <dataValidation type="list" allowBlank="1" showInputMessage="1" showErrorMessage="1" sqref="C51">
      <formula1>"Number (per year)"</formula1>
    </dataValidation>
    <dataValidation type="list" allowBlank="1" showInputMessage="1" showErrorMessage="1" sqref="C52">
      <formula1>"Number (per year)"</formula1>
    </dataValidation>
    <dataValidation type="list" allowBlank="1" showInputMessage="1" showErrorMessage="1" sqref="C53">
      <formula1>"Number (per year)"</formula1>
    </dataValidation>
    <dataValidation type="list" allowBlank="1" showInputMessage="1" showErrorMessage="1" sqref="C54">
      <formula1>"Number (per year)"</formula1>
    </dataValidation>
    <dataValidation type="list" allowBlank="1" showInputMessage="1" showErrorMessage="1" sqref="C55">
      <formula1>"Number (per year)"</formula1>
    </dataValidation>
    <dataValidation type="list" allowBlank="1" showInputMessage="1" showErrorMessage="1" sqref="C56">
      <formula1>"Number (per year)"</formula1>
    </dataValidation>
    <dataValidation type="list" allowBlank="1" showInputMessage="1" showErrorMessage="1" sqref="C57">
      <formula1>"Number (per year)"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0">
      <formula1>"Number (per year)"</formula1>
    </dataValidation>
    <dataValidation type="list" allowBlank="1" showInputMessage="1" showErrorMessage="1" sqref="C71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  <dataValidation type="list" allowBlank="1" showInputMessage="1" showErrorMessage="1" sqref="C84">
      <formula1>"Number (per year)"</formula1>
    </dataValidation>
    <dataValidation type="list" allowBlank="1" showInputMessage="1" showErrorMessage="1" sqref="C85">
      <formula1>"Number (per year)"</formula1>
    </dataValidation>
    <dataValidation type="list" allowBlank="1" showInputMessage="1" showErrorMessage="1" sqref="C86">
      <formula1>"Number (per year)"</formula1>
    </dataValidation>
    <dataValidation type="list" allowBlank="1" showInputMessage="1" showErrorMessage="1" sqref="C87">
      <formula1>"Number (per year)"</formula1>
    </dataValidation>
    <dataValidation type="list" allowBlank="1" showInputMessage="1" showErrorMessage="1" sqref="C88">
      <formula1>"Number (per year)"</formula1>
    </dataValidation>
    <dataValidation type="list" allowBlank="1" showInputMessage="1" showErrorMessage="1" sqref="C89">
      <formula1>"Number (per year)"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98">
      <formula1>"Number"</formula1>
    </dataValidation>
    <dataValidation type="list" allowBlank="1" showInputMessage="1" showErrorMessage="1" sqref="C99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2">
      <formula1>"Number"</formula1>
    </dataValidation>
    <dataValidation type="list" allowBlank="1" showInputMessage="1" showErrorMessage="1" sqref="C113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6">
      <formula1>"Number"</formula1>
    </dataValidation>
    <dataValidation type="list" allowBlank="1" showInputMessage="1" showErrorMessage="1" sqref="C127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0">
      <formula1>"Number"</formula1>
    </dataValidation>
    <dataValidation type="list" allowBlank="1" showInputMessage="1" showErrorMessage="1" sqref="C141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4">
      <formula1>"Number"</formula1>
    </dataValidation>
    <dataValidation type="list" allowBlank="1" showInputMessage="1" showErrorMessage="1" sqref="C155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7">
      <formula1>"Number (per year)"</formula1>
    </dataValidation>
    <dataValidation type="list" allowBlank="1" showInputMessage="1" showErrorMessage="1" sqref="C168">
      <formula1>"Number (per year)"</formula1>
    </dataValidation>
    <dataValidation type="list" allowBlank="1" showInputMessage="1" showErrorMessage="1" sqref="C169">
      <formula1>"Number (per year)"</formula1>
    </dataValidation>
    <dataValidation type="list" allowBlank="1" showInputMessage="1" showErrorMessage="1" sqref="C170">
      <formula1>"Number (per year)"</formula1>
    </dataValidation>
    <dataValidation type="list" allowBlank="1" showInputMessage="1" showErrorMessage="1" sqref="C171">
      <formula1>"Number (per year)"</formula1>
    </dataValidation>
    <dataValidation type="list" allowBlank="1" showInputMessage="1" showErrorMessage="1" sqref="C172">
      <formula1>"Number (per year)"</formula1>
    </dataValidation>
    <dataValidation type="list" allowBlank="1" showInputMessage="1" showErrorMessage="1" sqref="C173">
      <formula1>"Number (per year)"</formula1>
    </dataValidation>
    <dataValidation type="list" allowBlank="1" showInputMessage="1" showErrorMessage="1" sqref="C174">
      <formula1>"Number (per year)"</formula1>
    </dataValidation>
    <dataValidation type="list" allowBlank="1" showInputMessage="1" showErrorMessage="1" sqref="C175">
      <formula1>"Number (per year)"</formula1>
    </dataValidation>
    <dataValidation type="list" allowBlank="1" showInputMessage="1" showErrorMessage="1" sqref="C176">
      <formula1>"Number (per year)"</formula1>
    </dataValidation>
    <dataValidation type="list" allowBlank="1" showInputMessage="1" showErrorMessage="1" sqref="C177">
      <formula1>"Number (per year)"</formula1>
    </dataValidation>
    <dataValidation type="list" allowBlank="1" showInputMessage="1" showErrorMessage="1" sqref="C178">
      <formula1>"Number (per year)"</formula1>
    </dataValidation>
    <dataValidation type="list" allowBlank="1" showInputMessage="1" showErrorMessage="1" sqref="C179">
      <formula1>"Number (per year)"</formula1>
    </dataValidation>
    <dataValidation type="list" allowBlank="1" showInputMessage="1" showErrorMessage="1" sqref="C182">
      <formula1>"Number (per year)"</formula1>
    </dataValidation>
    <dataValidation type="list" allowBlank="1" showInputMessage="1" showErrorMessage="1" sqref="C183">
      <formula1>"Number (per year)"</formula1>
    </dataValidation>
    <dataValidation type="list" allowBlank="1" showInputMessage="1" showErrorMessage="1" sqref="C184">
      <formula1>"Number (per year)"</formula1>
    </dataValidation>
    <dataValidation type="list" allowBlank="1" showInputMessage="1" showErrorMessage="1" sqref="C185">
      <formula1>"Number (per year)"</formula1>
    </dataValidation>
    <dataValidation type="list" allowBlank="1" showInputMessage="1" showErrorMessage="1" sqref="C186">
      <formula1>"Number (per year)"</formula1>
    </dataValidation>
    <dataValidation type="list" allowBlank="1" showInputMessage="1" showErrorMessage="1" sqref="C187">
      <formula1>"Number (per year)"</formula1>
    </dataValidation>
    <dataValidation type="list" allowBlank="1" showInputMessage="1" showErrorMessage="1" sqref="C188">
      <formula1>"Number (per year)"</formula1>
    </dataValidation>
    <dataValidation type="list" allowBlank="1" showInputMessage="1" showErrorMessage="1" sqref="C189">
      <formula1>"Number (per year)"</formula1>
    </dataValidation>
    <dataValidation type="list" allowBlank="1" showInputMessage="1" showErrorMessage="1" sqref="C190">
      <formula1>"Number (per year)"</formula1>
    </dataValidation>
    <dataValidation type="list" allowBlank="1" showInputMessage="1" showErrorMessage="1" sqref="C191">
      <formula1>"Number (per year)"</formula1>
    </dataValidation>
    <dataValidation type="list" allowBlank="1" showInputMessage="1" showErrorMessage="1" sqref="C192">
      <formula1>"Number (per year)"</formula1>
    </dataValidation>
    <dataValidation type="list" allowBlank="1" showInputMessage="1" showErrorMessage="1" sqref="C193">
      <formula1>"Number (per year)"</formula1>
    </dataValidation>
    <dataValidation type="list" allowBlank="1" showInputMessage="1" showErrorMessage="1" sqref="C194">
      <formula1>"Number (per year)"</formula1>
    </dataValidation>
    <dataValidation type="list" allowBlank="1" showInputMessage="1" showErrorMessage="1" sqref="C197">
      <formula1>"Number (per year)"</formula1>
    </dataValidation>
    <dataValidation type="list" allowBlank="1" showInputMessage="1" showErrorMessage="1" sqref="C198">
      <formula1>"Number (per year)"</formula1>
    </dataValidation>
    <dataValidation type="list" allowBlank="1" showInputMessage="1" showErrorMessage="1" sqref="C199">
      <formula1>"Number (per year)"</formula1>
    </dataValidation>
    <dataValidation type="list" allowBlank="1" showInputMessage="1" showErrorMessage="1" sqref="C200">
      <formula1>"Number (per year)"</formula1>
    </dataValidation>
    <dataValidation type="list" allowBlank="1" showInputMessage="1" showErrorMessage="1" sqref="C201">
      <formula1>"Number (per year)"</formula1>
    </dataValidation>
    <dataValidation type="list" allowBlank="1" showInputMessage="1" showErrorMessage="1" sqref="C202">
      <formula1>"Number (per year)"</formula1>
    </dataValidation>
    <dataValidation type="list" allowBlank="1" showInputMessage="1" showErrorMessage="1" sqref="C203">
      <formula1>"Number (per year)"</formula1>
    </dataValidation>
    <dataValidation type="list" allowBlank="1" showInputMessage="1" showErrorMessage="1" sqref="C204">
      <formula1>"Number (per year)"</formula1>
    </dataValidation>
    <dataValidation type="list" allowBlank="1" showInputMessage="1" showErrorMessage="1" sqref="C205">
      <formula1>"Number (per year)"</formula1>
    </dataValidation>
    <dataValidation type="list" allowBlank="1" showInputMessage="1" showErrorMessage="1" sqref="C206">
      <formula1>"Number (per year)"</formula1>
    </dataValidation>
    <dataValidation type="list" allowBlank="1" showInputMessage="1" showErrorMessage="1" sqref="C207">
      <formula1>"Number (per year)"</formula1>
    </dataValidation>
    <dataValidation type="list" allowBlank="1" showInputMessage="1" showErrorMessage="1" sqref="C208">
      <formula1>"Number (per year)"</formula1>
    </dataValidation>
    <dataValidation type="list" allowBlank="1" showInputMessage="1" showErrorMessage="1" sqref="C209">
      <formula1>"Number (per year)"</formula1>
    </dataValidation>
    <dataValidation type="list" allowBlank="1" showInputMessage="1" showErrorMessage="1" sqref="C212">
      <formula1>"Number (per year)"</formula1>
    </dataValidation>
    <dataValidation type="list" allowBlank="1" showInputMessage="1" showErrorMessage="1" sqref="C213">
      <formula1>"Number (per year)"</formula1>
    </dataValidation>
    <dataValidation type="list" allowBlank="1" showInputMessage="1" showErrorMessage="1" sqref="C214">
      <formula1>"Number (per year)"</formula1>
    </dataValidation>
    <dataValidation type="list" allowBlank="1" showInputMessage="1" showErrorMessage="1" sqref="C215">
      <formula1>"Number (per year)"</formula1>
    </dataValidation>
    <dataValidation type="list" allowBlank="1" showInputMessage="1" showErrorMessage="1" sqref="C216">
      <formula1>"Number (per year)"</formula1>
    </dataValidation>
    <dataValidation type="list" allowBlank="1" showInputMessage="1" showErrorMessage="1" sqref="C217">
      <formula1>"Number (per year)"</formula1>
    </dataValidation>
    <dataValidation type="list" allowBlank="1" showInputMessage="1" showErrorMessage="1" sqref="C218">
      <formula1>"Number (per year)"</formula1>
    </dataValidation>
    <dataValidation type="list" allowBlank="1" showInputMessage="1" showErrorMessage="1" sqref="C219">
      <formula1>"Number (per year)"</formula1>
    </dataValidation>
    <dataValidation type="list" allowBlank="1" showInputMessage="1" showErrorMessage="1" sqref="C220">
      <formula1>"Number (per year)"</formula1>
    </dataValidation>
    <dataValidation type="list" allowBlank="1" showInputMessage="1" showErrorMessage="1" sqref="C221">
      <formula1>"Number (per year)"</formula1>
    </dataValidation>
    <dataValidation type="list" allowBlank="1" showInputMessage="1" showErrorMessage="1" sqref="C222">
      <formula1>"Number (per year)"</formula1>
    </dataValidation>
    <dataValidation type="list" allowBlank="1" showInputMessage="1" showErrorMessage="1" sqref="C223">
      <formula1>"Number (per year)"</formula1>
    </dataValidation>
    <dataValidation type="list" allowBlank="1" showInputMessage="1" showErrorMessage="1" sqref="C224">
      <formula1>"Number (per year)"</formula1>
    </dataValidation>
    <dataValidation type="list" allowBlank="1" showInputMessage="1" showErrorMessage="1" sqref="C227">
      <formula1>"Number (per year)"</formula1>
    </dataValidation>
    <dataValidation type="list" allowBlank="1" showInputMessage="1" showErrorMessage="1" sqref="C228">
      <formula1>"Number (per year)"</formula1>
    </dataValidation>
    <dataValidation type="list" allowBlank="1" showInputMessage="1" showErrorMessage="1" sqref="C229">
      <formula1>"Number (per year)"</formula1>
    </dataValidation>
    <dataValidation type="list" allowBlank="1" showInputMessage="1" showErrorMessage="1" sqref="C230">
      <formula1>"Number (per year)"</formula1>
    </dataValidation>
    <dataValidation type="list" allowBlank="1" showInputMessage="1" showErrorMessage="1" sqref="C231">
      <formula1>"Number (per year)"</formula1>
    </dataValidation>
    <dataValidation type="list" allowBlank="1" showInputMessage="1" showErrorMessage="1" sqref="C232">
      <formula1>"Number (per year)"</formula1>
    </dataValidation>
    <dataValidation type="list" allowBlank="1" showInputMessage="1" showErrorMessage="1" sqref="C233">
      <formula1>"Number (per year)"</formula1>
    </dataValidation>
    <dataValidation type="list" allowBlank="1" showInputMessage="1" showErrorMessage="1" sqref="C234">
      <formula1>"Number (per year)"</formula1>
    </dataValidation>
    <dataValidation type="list" allowBlank="1" showInputMessage="1" showErrorMessage="1" sqref="C235">
      <formula1>"Number (per year)"</formula1>
    </dataValidation>
    <dataValidation type="list" allowBlank="1" showInputMessage="1" showErrorMessage="1" sqref="C236">
      <formula1>"Number (per year)"</formula1>
    </dataValidation>
    <dataValidation type="list" allowBlank="1" showInputMessage="1" showErrorMessage="1" sqref="C237">
      <formula1>"Number (per year)"</formula1>
    </dataValidation>
    <dataValidation type="list" allowBlank="1" showInputMessage="1" showErrorMessage="1" sqref="C238">
      <formula1>"Number (per year)"</formula1>
    </dataValidation>
    <dataValidation type="list" allowBlank="1" showInputMessage="1" showErrorMessage="1" sqref="C239">
      <formula1>"Number (per year)"</formula1>
    </dataValidation>
    <dataValidation type="list" allowBlank="1" showInputMessage="1" showErrorMessage="1" sqref="C242">
      <formula1>"Number (per year)"</formula1>
    </dataValidation>
    <dataValidation type="list" allowBlank="1" showInputMessage="1" showErrorMessage="1" sqref="C243">
      <formula1>"Number (per year)"</formula1>
    </dataValidation>
    <dataValidation type="list" allowBlank="1" showInputMessage="1" showErrorMessage="1" sqref="C244">
      <formula1>"Number (per year)"</formula1>
    </dataValidation>
    <dataValidation type="list" allowBlank="1" showInputMessage="1" showErrorMessage="1" sqref="C245">
      <formula1>"Number (per year)"</formula1>
    </dataValidation>
    <dataValidation type="list" allowBlank="1" showInputMessage="1" showErrorMessage="1" sqref="C246">
      <formula1>"Number (per year)"</formula1>
    </dataValidation>
    <dataValidation type="list" allowBlank="1" showInputMessage="1" showErrorMessage="1" sqref="C247">
      <formula1>"Number (per year)"</formula1>
    </dataValidation>
    <dataValidation type="list" allowBlank="1" showInputMessage="1" showErrorMessage="1" sqref="C248">
      <formula1>"Number (per year)"</formula1>
    </dataValidation>
    <dataValidation type="list" allowBlank="1" showInputMessage="1" showErrorMessage="1" sqref="C249">
      <formula1>"Number (per year)"</formula1>
    </dataValidation>
    <dataValidation type="list" allowBlank="1" showInputMessage="1" showErrorMessage="1" sqref="C250">
      <formula1>"Number (per year)"</formula1>
    </dataValidation>
    <dataValidation type="list" allowBlank="1" showInputMessage="1" showErrorMessage="1" sqref="C251">
      <formula1>"Number (per year)"</formula1>
    </dataValidation>
    <dataValidation type="list" allowBlank="1" showInputMessage="1" showErrorMessage="1" sqref="C252">
      <formula1>"Number (per year)"</formula1>
    </dataValidation>
    <dataValidation type="list" allowBlank="1" showInputMessage="1" showErrorMessage="1" sqref="C253">
      <formula1>"Number (per year)"</formula1>
    </dataValidation>
    <dataValidation type="list" allowBlank="1" showInputMessage="1" showErrorMessage="1" sqref="C254">
      <formula1>"Number (per year)"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sheetPr>
    <tabColor rgb="FF808080"/>
  </sheetPr>
  <dimension ref="A1:BE1161"/>
  <sheetViews>
    <sheetView workbookViewId="0"/>
  </sheetViews>
  <sheetFormatPr defaultRowHeight="15"/>
  <cols>
    <col min="1" max="1" width="84.28515625" customWidth="1"/>
    <col min="2" max="2" width="30.28515625" customWidth="1"/>
    <col min="3" max="3" width="8.28515625" customWidth="1"/>
    <col min="4" max="4" width="13.85546875" customWidth="1"/>
    <col min="5" max="5" width="10.5703125" customWidth="1"/>
    <col min="6" max="57" width="9.42578125" customWidth="1"/>
  </cols>
  <sheetData>
    <row r="1" spans="1:57">
      <c r="A1" s="1" t="s">
        <v>126</v>
      </c>
      <c r="B1" s="1" t="s">
        <v>29</v>
      </c>
      <c r="C1" s="1" t="s">
        <v>30</v>
      </c>
      <c r="D1" s="1" t="s">
        <v>31</v>
      </c>
      <c r="E1" s="1">
        <v>2000</v>
      </c>
      <c r="F1" s="1">
        <v>2001</v>
      </c>
      <c r="G1" s="1">
        <v>2002</v>
      </c>
      <c r="H1" s="1">
        <v>2003</v>
      </c>
      <c r="I1" s="1">
        <v>2004</v>
      </c>
      <c r="J1" s="1">
        <v>2005</v>
      </c>
      <c r="K1" s="1">
        <v>2006</v>
      </c>
      <c r="L1" s="1">
        <v>2007</v>
      </c>
      <c r="M1" s="1">
        <v>2008</v>
      </c>
      <c r="N1" s="1">
        <v>2009</v>
      </c>
      <c r="O1" s="1">
        <v>2010</v>
      </c>
      <c r="P1" s="1">
        <v>2011</v>
      </c>
      <c r="Q1" s="1">
        <v>2012</v>
      </c>
      <c r="R1" s="1">
        <v>2013</v>
      </c>
      <c r="S1" s="1">
        <v>2014</v>
      </c>
      <c r="T1" s="1">
        <v>2015</v>
      </c>
      <c r="U1" s="1">
        <v>2016</v>
      </c>
      <c r="V1" s="1">
        <v>2017</v>
      </c>
      <c r="W1" s="1">
        <v>2018</v>
      </c>
      <c r="X1" s="1">
        <v>2019</v>
      </c>
      <c r="Y1" s="1">
        <v>2020</v>
      </c>
      <c r="Z1" s="1">
        <v>2021</v>
      </c>
      <c r="AA1" s="1">
        <v>2022</v>
      </c>
      <c r="AB1" s="1">
        <v>2023</v>
      </c>
      <c r="AC1" s="1">
        <v>2024</v>
      </c>
      <c r="AD1" s="1">
        <v>2025</v>
      </c>
      <c r="AE1" s="1">
        <v>2026</v>
      </c>
      <c r="AF1" s="1">
        <v>2027</v>
      </c>
      <c r="AG1" s="1">
        <v>2028</v>
      </c>
      <c r="AH1" s="1">
        <v>2029</v>
      </c>
      <c r="AI1" s="1">
        <v>2030</v>
      </c>
      <c r="AJ1" s="1">
        <v>2031</v>
      </c>
      <c r="AK1" s="1">
        <v>2032</v>
      </c>
      <c r="AL1" s="1">
        <v>2033</v>
      </c>
      <c r="AM1" s="1">
        <v>2034</v>
      </c>
      <c r="AN1" s="1">
        <v>2035</v>
      </c>
      <c r="AO1" s="1">
        <v>2036</v>
      </c>
      <c r="AP1" s="1">
        <v>2037</v>
      </c>
      <c r="AQ1" s="1">
        <v>2038</v>
      </c>
      <c r="AR1" s="1">
        <v>2039</v>
      </c>
      <c r="AS1" s="1">
        <v>2040</v>
      </c>
      <c r="AT1" s="1">
        <v>2041</v>
      </c>
      <c r="AU1" s="1">
        <v>2042</v>
      </c>
      <c r="AV1" s="1">
        <v>2043</v>
      </c>
      <c r="AW1" s="1">
        <v>2044</v>
      </c>
      <c r="AX1" s="1">
        <v>2045</v>
      </c>
      <c r="AY1" s="1">
        <v>2046</v>
      </c>
      <c r="AZ1" s="1">
        <v>2047</v>
      </c>
      <c r="BA1" s="1">
        <v>2048</v>
      </c>
      <c r="BB1" s="1">
        <v>2049</v>
      </c>
      <c r="BC1" s="1">
        <v>2050</v>
      </c>
    </row>
    <row r="2" spans="1:57">
      <c r="A2" s="1" t="str">
        <f>'Population Definitions'!$A$2</f>
        <v>PWID_males</v>
      </c>
      <c r="C2" t="s">
        <v>32</v>
      </c>
      <c r="D2" s="3"/>
      <c r="E2" s="3">
        <v>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</row>
    <row r="3" spans="1:57">
      <c r="A3" s="1" t="str">
        <f>'Population Definitions'!$A$3</f>
        <v>PWID_females</v>
      </c>
      <c r="C3" t="s">
        <v>32</v>
      </c>
      <c r="D3" s="3"/>
      <c r="E3" s="3">
        <v>0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</row>
    <row r="4" spans="1:57">
      <c r="A4" s="1" t="str">
        <f>'Population Definitions'!$A$4</f>
        <v>0-9_males</v>
      </c>
      <c r="C4" t="s">
        <v>32</v>
      </c>
      <c r="D4" s="3"/>
      <c r="E4" s="3">
        <v>0</v>
      </c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</row>
    <row r="5" spans="1:57">
      <c r="A5" s="1" t="str">
        <f>'Population Definitions'!$A$5</f>
        <v>0-9_females</v>
      </c>
      <c r="C5" t="s">
        <v>32</v>
      </c>
      <c r="D5" s="3"/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</row>
    <row r="6" spans="1:57">
      <c r="A6" s="1" t="str">
        <f>'Population Definitions'!$A$6</f>
        <v>10-17_males</v>
      </c>
      <c r="C6" t="s">
        <v>32</v>
      </c>
      <c r="D6" s="3"/>
      <c r="E6" s="3">
        <v>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</row>
    <row r="7" spans="1:57">
      <c r="A7" s="1" t="str">
        <f>'Population Definitions'!$A$7</f>
        <v>10-17_females</v>
      </c>
      <c r="C7" t="s">
        <v>32</v>
      </c>
      <c r="D7" s="3"/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</row>
    <row r="8" spans="1:57">
      <c r="A8" s="1" t="str">
        <f>'Population Definitions'!$A$8</f>
        <v>18-64_males</v>
      </c>
      <c r="C8" t="s">
        <v>32</v>
      </c>
      <c r="D8" s="3"/>
      <c r="E8" s="3">
        <v>0</v>
      </c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</row>
    <row r="9" spans="1:57">
      <c r="A9" s="1" t="str">
        <f>'Population Definitions'!$A$9</f>
        <v>18-64_females</v>
      </c>
      <c r="C9" t="s">
        <v>32</v>
      </c>
      <c r="D9" s="3"/>
      <c r="E9" s="3">
        <v>0</v>
      </c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</row>
    <row r="10" spans="1:57">
      <c r="A10" s="1" t="str">
        <f>'Population Definitions'!$A$10</f>
        <v>65+_males</v>
      </c>
      <c r="C10" t="s">
        <v>32</v>
      </c>
      <c r="D10" s="3"/>
      <c r="E10" s="3">
        <v>0</v>
      </c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</row>
    <row r="11" spans="1:57">
      <c r="A11" s="1" t="str">
        <f>'Population Definitions'!$A$11</f>
        <v>65+_females</v>
      </c>
      <c r="C11" t="s">
        <v>32</v>
      </c>
      <c r="D11" s="3"/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</row>
    <row r="12" spans="1:57">
      <c r="A12" s="1" t="str">
        <f>'Population Definitions'!$A$12</f>
        <v>Prisoners_males</v>
      </c>
      <c r="C12" t="s">
        <v>32</v>
      </c>
      <c r="D12" s="3"/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</row>
    <row r="13" spans="1:57">
      <c r="A13" s="1" t="str">
        <f>'Population Definitions'!$A$13</f>
        <v>Prisoners_females</v>
      </c>
      <c r="C13" t="s">
        <v>32</v>
      </c>
      <c r="D13" s="3"/>
      <c r="E13" s="3">
        <v>0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</row>
    <row r="15" spans="1:57">
      <c r="A15" s="1" t="s">
        <v>127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C16" t="s">
        <v>32</v>
      </c>
      <c r="D16" s="3"/>
      <c r="E16" s="3">
        <v>28.337720563152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C17" t="s">
        <v>32</v>
      </c>
      <c r="D17" s="3"/>
      <c r="E17" s="3">
        <v>4.04439334761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C18" t="s">
        <v>32</v>
      </c>
      <c r="D18" s="3"/>
      <c r="E18" s="3">
        <v>0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C19" t="s">
        <v>32</v>
      </c>
      <c r="D19" s="3"/>
      <c r="E19" s="3">
        <v>0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C20" t="s">
        <v>32</v>
      </c>
      <c r="D20" s="3"/>
      <c r="E20" s="3">
        <v>0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C21" t="s">
        <v>32</v>
      </c>
      <c r="D21" s="3"/>
      <c r="E21" s="3">
        <v>0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C22" t="s">
        <v>32</v>
      </c>
      <c r="D22" s="3"/>
      <c r="E22" s="3">
        <v>11791.07257873935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C23" t="s">
        <v>32</v>
      </c>
      <c r="D23" s="3"/>
      <c r="E23" s="3">
        <v>12830.69757215124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C24" t="s">
        <v>32</v>
      </c>
      <c r="D24" s="3"/>
      <c r="E24" s="3">
        <v>701.8092511467548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C25" t="s">
        <v>32</v>
      </c>
      <c r="D25" s="3"/>
      <c r="E25" s="3">
        <v>968.4273495304504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C26" t="s">
        <v>32</v>
      </c>
      <c r="D26" s="3"/>
      <c r="E26" s="3">
        <v>9.59174817623426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C27" t="s">
        <v>32</v>
      </c>
      <c r="D27" s="3"/>
      <c r="E27" s="3">
        <v>0.09688634521448757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128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32</v>
      </c>
      <c r="D30" s="3"/>
      <c r="E30" s="3">
        <v>5667.544112630399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32</v>
      </c>
      <c r="D31" s="3"/>
      <c r="E31" s="3">
        <v>808.878669522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32</v>
      </c>
      <c r="D32" s="3"/>
      <c r="E32" s="3">
        <v>2013505.5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32</v>
      </c>
      <c r="D33" s="3"/>
      <c r="E33" s="3">
        <v>1962967.5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32</v>
      </c>
      <c r="D34" s="3"/>
      <c r="E34" s="3">
        <v>1221938.5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32</v>
      </c>
      <c r="D35" s="3"/>
      <c r="E35" s="3">
        <v>1191258.5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32</v>
      </c>
      <c r="D36" s="3"/>
      <c r="E36" s="3">
        <v>2358214.515747869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32</v>
      </c>
      <c r="D37" s="3"/>
      <c r="E37" s="3">
        <v>2566139.514430247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32</v>
      </c>
      <c r="D38" s="3"/>
      <c r="E38" s="3">
        <v>140361.850229351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32</v>
      </c>
      <c r="D39" s="3"/>
      <c r="E39" s="3">
        <v>193685.4699060901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32</v>
      </c>
      <c r="D40" s="3"/>
      <c r="E40" s="3">
        <v>1918.349635246852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32</v>
      </c>
      <c r="D41" s="3"/>
      <c r="E41" s="3">
        <v>19.37726904289751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129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32</v>
      </c>
      <c r="D44" s="3"/>
      <c r="E44" s="3">
        <v>0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32</v>
      </c>
      <c r="D45" s="3"/>
      <c r="E45" s="3">
        <v>0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32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32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32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32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32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32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32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32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32</v>
      </c>
      <c r="D54" s="3"/>
      <c r="E54" s="3">
        <v>0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32</v>
      </c>
      <c r="D55" s="3"/>
      <c r="E55" s="3">
        <v>0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130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32</v>
      </c>
      <c r="D58" s="3"/>
      <c r="E58" s="3">
        <v>0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32</v>
      </c>
      <c r="D59" s="3"/>
      <c r="E59" s="3">
        <v>0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32</v>
      </c>
      <c r="D60" s="3"/>
      <c r="E60" s="3">
        <v>0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32</v>
      </c>
      <c r="D61" s="3"/>
      <c r="E61" s="3">
        <v>0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32</v>
      </c>
      <c r="D62" s="3"/>
      <c r="E62" s="3">
        <v>0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32</v>
      </c>
      <c r="D63" s="3"/>
      <c r="E63" s="3">
        <v>0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32</v>
      </c>
      <c r="D64" s="3"/>
      <c r="E64" s="3">
        <v>0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32</v>
      </c>
      <c r="D65" s="3"/>
      <c r="E65" s="3">
        <v>0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32</v>
      </c>
      <c r="D66" s="3"/>
      <c r="E66" s="3">
        <v>0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32</v>
      </c>
      <c r="D67" s="3"/>
      <c r="E67" s="3">
        <v>0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32</v>
      </c>
      <c r="D68" s="3"/>
      <c r="E68" s="3">
        <v>0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32</v>
      </c>
      <c r="D69" s="3"/>
      <c r="E69" s="3">
        <v>0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131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32</v>
      </c>
      <c r="D72" s="3"/>
      <c r="E72" s="3">
        <v>0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32</v>
      </c>
      <c r="D73" s="3"/>
      <c r="E73" s="3">
        <v>0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32</v>
      </c>
      <c r="D74" s="3"/>
      <c r="E74" s="3">
        <v>0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32</v>
      </c>
      <c r="D75" s="3"/>
      <c r="E75" s="3">
        <v>0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32</v>
      </c>
      <c r="D76" s="3"/>
      <c r="E76" s="3">
        <v>0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32</v>
      </c>
      <c r="D77" s="3"/>
      <c r="E77" s="3">
        <v>0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32</v>
      </c>
      <c r="D78" s="3"/>
      <c r="E78" s="3">
        <v>0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32</v>
      </c>
      <c r="D79" s="3"/>
      <c r="E79" s="3">
        <v>0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32</v>
      </c>
      <c r="D80" s="3"/>
      <c r="E80" s="3">
        <v>0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32</v>
      </c>
      <c r="D81" s="3"/>
      <c r="E81" s="3">
        <v>0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32</v>
      </c>
      <c r="D82" s="3"/>
      <c r="E82" s="3">
        <v>0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32</v>
      </c>
      <c r="D83" s="3"/>
      <c r="E83" s="3">
        <v>0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  <row r="85" spans="1:57">
      <c r="A85" s="1" t="s">
        <v>132</v>
      </c>
      <c r="B85" s="1" t="s">
        <v>29</v>
      </c>
      <c r="C85" s="1" t="s">
        <v>30</v>
      </c>
      <c r="D85" s="1" t="s">
        <v>31</v>
      </c>
      <c r="E85" s="1" t="s">
        <v>36</v>
      </c>
      <c r="F85" s="1"/>
      <c r="G85" s="1">
        <v>2000</v>
      </c>
      <c r="H85" s="1">
        <v>2001</v>
      </c>
      <c r="I85" s="1">
        <v>2002</v>
      </c>
      <c r="J85" s="1">
        <v>2003</v>
      </c>
      <c r="K85" s="1">
        <v>2004</v>
      </c>
      <c r="L85" s="1">
        <v>2005</v>
      </c>
      <c r="M85" s="1">
        <v>2006</v>
      </c>
      <c r="N85" s="1">
        <v>2007</v>
      </c>
      <c r="O85" s="1">
        <v>2008</v>
      </c>
      <c r="P85" s="1">
        <v>2009</v>
      </c>
      <c r="Q85" s="1">
        <v>2010</v>
      </c>
      <c r="R85" s="1">
        <v>2011</v>
      </c>
      <c r="S85" s="1">
        <v>2012</v>
      </c>
      <c r="T85" s="1">
        <v>2013</v>
      </c>
      <c r="U85" s="1">
        <v>2014</v>
      </c>
      <c r="V85" s="1">
        <v>2015</v>
      </c>
      <c r="W85" s="1">
        <v>2016</v>
      </c>
      <c r="X85" s="1">
        <v>2017</v>
      </c>
      <c r="Y85" s="1">
        <v>2018</v>
      </c>
      <c r="Z85" s="1">
        <v>2019</v>
      </c>
      <c r="AA85" s="1">
        <v>2020</v>
      </c>
      <c r="AB85" s="1">
        <v>2021</v>
      </c>
      <c r="AC85" s="1">
        <v>2022</v>
      </c>
      <c r="AD85" s="1">
        <v>2023</v>
      </c>
      <c r="AE85" s="1">
        <v>2024</v>
      </c>
      <c r="AF85" s="1">
        <v>2025</v>
      </c>
      <c r="AG85" s="1">
        <v>2026</v>
      </c>
      <c r="AH85" s="1">
        <v>2027</v>
      </c>
      <c r="AI85" s="1">
        <v>2028</v>
      </c>
      <c r="AJ85" s="1">
        <v>2029</v>
      </c>
      <c r="AK85" s="1">
        <v>2030</v>
      </c>
      <c r="AL85" s="1">
        <v>2031</v>
      </c>
      <c r="AM85" s="1">
        <v>2032</v>
      </c>
      <c r="AN85" s="1">
        <v>2033</v>
      </c>
      <c r="AO85" s="1">
        <v>2034</v>
      </c>
      <c r="AP85" s="1">
        <v>2035</v>
      </c>
      <c r="AQ85" s="1">
        <v>2036</v>
      </c>
      <c r="AR85" s="1">
        <v>2037</v>
      </c>
      <c r="AS85" s="1">
        <v>2038</v>
      </c>
      <c r="AT85" s="1">
        <v>2039</v>
      </c>
      <c r="AU85" s="1">
        <v>2040</v>
      </c>
      <c r="AV85" s="1">
        <v>2041</v>
      </c>
      <c r="AW85" s="1">
        <v>2042</v>
      </c>
      <c r="AX85" s="1">
        <v>2043</v>
      </c>
      <c r="AY85" s="1">
        <v>2044</v>
      </c>
      <c r="AZ85" s="1">
        <v>2045</v>
      </c>
      <c r="BA85" s="1">
        <v>2046</v>
      </c>
      <c r="BB85" s="1">
        <v>2047</v>
      </c>
      <c r="BC85" s="1">
        <v>2048</v>
      </c>
      <c r="BD85" s="1">
        <v>2049</v>
      </c>
      <c r="BE85" s="1">
        <v>2050</v>
      </c>
    </row>
    <row r="86" spans="1:57">
      <c r="A86" s="1" t="str">
        <f>'Population Definitions'!$A$2</f>
        <v>PWID_males</v>
      </c>
      <c r="B86" t="s">
        <v>61</v>
      </c>
      <c r="C86" t="s">
        <v>32</v>
      </c>
      <c r="D86" s="3"/>
      <c r="E86" s="3">
        <v>0</v>
      </c>
      <c r="F86" s="4" t="s">
        <v>37</v>
      </c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</row>
    <row r="87" spans="1:57">
      <c r="A87" s="1" t="str">
        <f>'Population Definitions'!$A$3</f>
        <v>PWID_females</v>
      </c>
      <c r="B87" t="s">
        <v>61</v>
      </c>
      <c r="C87" t="s">
        <v>32</v>
      </c>
      <c r="D87" s="3"/>
      <c r="E87" s="3">
        <v>0</v>
      </c>
      <c r="F87" s="4" t="s">
        <v>37</v>
      </c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</row>
    <row r="88" spans="1:57">
      <c r="A88" s="1" t="str">
        <f>'Population Definitions'!$A$4</f>
        <v>0-9_males</v>
      </c>
      <c r="B88" t="s">
        <v>61</v>
      </c>
      <c r="C88" t="s">
        <v>32</v>
      </c>
      <c r="D88" s="3"/>
      <c r="E88" s="3">
        <v>0</v>
      </c>
      <c r="F88" s="4" t="s">
        <v>37</v>
      </c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</row>
    <row r="89" spans="1:57">
      <c r="A89" s="1" t="str">
        <f>'Population Definitions'!$A$5</f>
        <v>0-9_females</v>
      </c>
      <c r="B89" t="s">
        <v>61</v>
      </c>
      <c r="C89" t="s">
        <v>32</v>
      </c>
      <c r="D89" s="3"/>
      <c r="E89" s="3">
        <v>0</v>
      </c>
      <c r="F89" s="4" t="s">
        <v>37</v>
      </c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</row>
    <row r="90" spans="1:57">
      <c r="A90" s="1" t="str">
        <f>'Population Definitions'!$A$6</f>
        <v>10-17_males</v>
      </c>
      <c r="B90" t="s">
        <v>61</v>
      </c>
      <c r="C90" t="s">
        <v>32</v>
      </c>
      <c r="D90" s="3"/>
      <c r="E90" s="3">
        <v>0</v>
      </c>
      <c r="F90" s="4" t="s">
        <v>37</v>
      </c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</row>
    <row r="91" spans="1:57">
      <c r="A91" s="1" t="str">
        <f>'Population Definitions'!$A$7</f>
        <v>10-17_females</v>
      </c>
      <c r="B91" t="s">
        <v>61</v>
      </c>
      <c r="C91" t="s">
        <v>32</v>
      </c>
      <c r="D91" s="3"/>
      <c r="E91" s="3">
        <v>0</v>
      </c>
      <c r="F91" s="4" t="s">
        <v>37</v>
      </c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</row>
    <row r="92" spans="1:57">
      <c r="A92" s="1" t="str">
        <f>'Population Definitions'!$A$8</f>
        <v>18-64_males</v>
      </c>
      <c r="B92" t="s">
        <v>61</v>
      </c>
      <c r="C92" t="s">
        <v>32</v>
      </c>
      <c r="D92" s="3"/>
      <c r="E92" s="3">
        <v>0</v>
      </c>
      <c r="F92" s="4" t="s">
        <v>37</v>
      </c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</row>
    <row r="93" spans="1:57">
      <c r="A93" s="1" t="str">
        <f>'Population Definitions'!$A$9</f>
        <v>18-64_females</v>
      </c>
      <c r="B93" t="s">
        <v>61</v>
      </c>
      <c r="C93" t="s">
        <v>32</v>
      </c>
      <c r="D93" s="3"/>
      <c r="E93" s="3">
        <v>0</v>
      </c>
      <c r="F93" s="4" t="s">
        <v>37</v>
      </c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</row>
    <row r="94" spans="1:57">
      <c r="A94" s="1" t="str">
        <f>'Population Definitions'!$A$10</f>
        <v>65+_males</v>
      </c>
      <c r="B94" t="s">
        <v>61</v>
      </c>
      <c r="C94" t="s">
        <v>32</v>
      </c>
      <c r="D94" s="3"/>
      <c r="E94" s="3">
        <v>0</v>
      </c>
      <c r="F94" s="4" t="s">
        <v>37</v>
      </c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</row>
    <row r="95" spans="1:57">
      <c r="A95" s="1" t="str">
        <f>'Population Definitions'!$A$11</f>
        <v>65+_females</v>
      </c>
      <c r="B95" t="s">
        <v>61</v>
      </c>
      <c r="C95" t="s">
        <v>32</v>
      </c>
      <c r="D95" s="3"/>
      <c r="E95" s="3">
        <v>0</v>
      </c>
      <c r="F95" s="4" t="s">
        <v>37</v>
      </c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</row>
    <row r="96" spans="1:57">
      <c r="A96" s="1" t="str">
        <f>'Population Definitions'!$A$12</f>
        <v>Prisoners_males</v>
      </c>
      <c r="B96" t="s">
        <v>61</v>
      </c>
      <c r="C96" t="s">
        <v>32</v>
      </c>
      <c r="D96" s="3"/>
      <c r="E96" s="3">
        <v>0</v>
      </c>
      <c r="F96" s="4" t="s">
        <v>37</v>
      </c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</row>
    <row r="97" spans="1:57">
      <c r="A97" s="1" t="str">
        <f>'Population Definitions'!$A$13</f>
        <v>Prisoners_females</v>
      </c>
      <c r="B97" t="s">
        <v>61</v>
      </c>
      <c r="C97" t="s">
        <v>32</v>
      </c>
      <c r="D97" s="3"/>
      <c r="E97" s="3">
        <v>0</v>
      </c>
      <c r="F97" s="4" t="s">
        <v>37</v>
      </c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</row>
    <row r="99" spans="1:57">
      <c r="A99" s="1" t="s">
        <v>133</v>
      </c>
      <c r="B99" s="1" t="s">
        <v>29</v>
      </c>
      <c r="C99" s="1" t="s">
        <v>30</v>
      </c>
      <c r="D99" s="1" t="s">
        <v>31</v>
      </c>
      <c r="E99" s="1" t="s">
        <v>36</v>
      </c>
      <c r="F99" s="1"/>
      <c r="G99" s="1">
        <v>2000</v>
      </c>
      <c r="H99" s="1">
        <v>2001</v>
      </c>
      <c r="I99" s="1">
        <v>2002</v>
      </c>
      <c r="J99" s="1">
        <v>2003</v>
      </c>
      <c r="K99" s="1">
        <v>2004</v>
      </c>
      <c r="L99" s="1">
        <v>2005</v>
      </c>
      <c r="M99" s="1">
        <v>2006</v>
      </c>
      <c r="N99" s="1">
        <v>2007</v>
      </c>
      <c r="O99" s="1">
        <v>2008</v>
      </c>
      <c r="P99" s="1">
        <v>2009</v>
      </c>
      <c r="Q99" s="1">
        <v>2010</v>
      </c>
      <c r="R99" s="1">
        <v>2011</v>
      </c>
      <c r="S99" s="1">
        <v>2012</v>
      </c>
      <c r="T99" s="1">
        <v>2013</v>
      </c>
      <c r="U99" s="1">
        <v>2014</v>
      </c>
      <c r="V99" s="1">
        <v>2015</v>
      </c>
      <c r="W99" s="1">
        <v>2016</v>
      </c>
      <c r="X99" s="1">
        <v>2017</v>
      </c>
      <c r="Y99" s="1">
        <v>2018</v>
      </c>
      <c r="Z99" s="1">
        <v>2019</v>
      </c>
      <c r="AA99" s="1">
        <v>2020</v>
      </c>
      <c r="AB99" s="1">
        <v>2021</v>
      </c>
      <c r="AC99" s="1">
        <v>2022</v>
      </c>
      <c r="AD99" s="1">
        <v>2023</v>
      </c>
      <c r="AE99" s="1">
        <v>2024</v>
      </c>
      <c r="AF99" s="1">
        <v>2025</v>
      </c>
      <c r="AG99" s="1">
        <v>2026</v>
      </c>
      <c r="AH99" s="1">
        <v>2027</v>
      </c>
      <c r="AI99" s="1">
        <v>2028</v>
      </c>
      <c r="AJ99" s="1">
        <v>2029</v>
      </c>
      <c r="AK99" s="1">
        <v>2030</v>
      </c>
      <c r="AL99" s="1">
        <v>2031</v>
      </c>
      <c r="AM99" s="1">
        <v>2032</v>
      </c>
      <c r="AN99" s="1">
        <v>2033</v>
      </c>
      <c r="AO99" s="1">
        <v>2034</v>
      </c>
      <c r="AP99" s="1">
        <v>2035</v>
      </c>
      <c r="AQ99" s="1">
        <v>2036</v>
      </c>
      <c r="AR99" s="1">
        <v>2037</v>
      </c>
      <c r="AS99" s="1">
        <v>2038</v>
      </c>
      <c r="AT99" s="1">
        <v>2039</v>
      </c>
      <c r="AU99" s="1">
        <v>2040</v>
      </c>
      <c r="AV99" s="1">
        <v>2041</v>
      </c>
      <c r="AW99" s="1">
        <v>2042</v>
      </c>
      <c r="AX99" s="1">
        <v>2043</v>
      </c>
      <c r="AY99" s="1">
        <v>2044</v>
      </c>
      <c r="AZ99" s="1">
        <v>2045</v>
      </c>
      <c r="BA99" s="1">
        <v>2046</v>
      </c>
      <c r="BB99" s="1">
        <v>2047</v>
      </c>
      <c r="BC99" s="1">
        <v>2048</v>
      </c>
      <c r="BD99" s="1">
        <v>2049</v>
      </c>
      <c r="BE99" s="1">
        <v>2050</v>
      </c>
    </row>
    <row r="100" spans="1:57">
      <c r="A100" s="1" t="str">
        <f>'Population Definitions'!$A$2</f>
        <v>PWID_males</v>
      </c>
      <c r="B100" t="s">
        <v>61</v>
      </c>
      <c r="C100" t="s">
        <v>32</v>
      </c>
      <c r="D100" s="3"/>
      <c r="E100" s="3">
        <v>0</v>
      </c>
      <c r="F100" s="4" t="s">
        <v>37</v>
      </c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</row>
    <row r="101" spans="1:57">
      <c r="A101" s="1" t="str">
        <f>'Population Definitions'!$A$3</f>
        <v>PWID_females</v>
      </c>
      <c r="B101" t="s">
        <v>61</v>
      </c>
      <c r="C101" t="s">
        <v>32</v>
      </c>
      <c r="D101" s="3"/>
      <c r="E101" s="3">
        <v>0</v>
      </c>
      <c r="F101" s="4" t="s">
        <v>37</v>
      </c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</row>
    <row r="102" spans="1:57">
      <c r="A102" s="1" t="str">
        <f>'Population Definitions'!$A$4</f>
        <v>0-9_males</v>
      </c>
      <c r="B102" t="s">
        <v>61</v>
      </c>
      <c r="C102" t="s">
        <v>32</v>
      </c>
      <c r="D102" s="3"/>
      <c r="E102" s="3">
        <v>0</v>
      </c>
      <c r="F102" s="4" t="s">
        <v>37</v>
      </c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</row>
    <row r="103" spans="1:57">
      <c r="A103" s="1" t="str">
        <f>'Population Definitions'!$A$5</f>
        <v>0-9_females</v>
      </c>
      <c r="B103" t="s">
        <v>61</v>
      </c>
      <c r="C103" t="s">
        <v>32</v>
      </c>
      <c r="D103" s="3"/>
      <c r="E103" s="3">
        <v>0</v>
      </c>
      <c r="F103" s="4" t="s">
        <v>37</v>
      </c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</row>
    <row r="104" spans="1:57">
      <c r="A104" s="1" t="str">
        <f>'Population Definitions'!$A$6</f>
        <v>10-17_males</v>
      </c>
      <c r="B104" t="s">
        <v>61</v>
      </c>
      <c r="C104" t="s">
        <v>32</v>
      </c>
      <c r="D104" s="3"/>
      <c r="E104" s="3">
        <v>0</v>
      </c>
      <c r="F104" s="4" t="s">
        <v>37</v>
      </c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</row>
    <row r="105" spans="1:57">
      <c r="A105" s="1" t="str">
        <f>'Population Definitions'!$A$7</f>
        <v>10-17_females</v>
      </c>
      <c r="B105" t="s">
        <v>61</v>
      </c>
      <c r="C105" t="s">
        <v>32</v>
      </c>
      <c r="D105" s="3"/>
      <c r="E105" s="3">
        <v>0</v>
      </c>
      <c r="F105" s="4" t="s">
        <v>37</v>
      </c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</row>
    <row r="106" spans="1:57">
      <c r="A106" s="1" t="str">
        <f>'Population Definitions'!$A$8</f>
        <v>18-64_males</v>
      </c>
      <c r="B106" t="s">
        <v>61</v>
      </c>
      <c r="C106" t="s">
        <v>32</v>
      </c>
      <c r="D106" s="3"/>
      <c r="E106" s="3">
        <v>0</v>
      </c>
      <c r="F106" s="4" t="s">
        <v>37</v>
      </c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</row>
    <row r="107" spans="1:57">
      <c r="A107" s="1" t="str">
        <f>'Population Definitions'!$A$9</f>
        <v>18-64_females</v>
      </c>
      <c r="B107" t="s">
        <v>61</v>
      </c>
      <c r="C107" t="s">
        <v>32</v>
      </c>
      <c r="D107" s="3"/>
      <c r="E107" s="3">
        <v>0</v>
      </c>
      <c r="F107" s="4" t="s">
        <v>37</v>
      </c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</row>
    <row r="108" spans="1:57">
      <c r="A108" s="1" t="str">
        <f>'Population Definitions'!$A$10</f>
        <v>65+_males</v>
      </c>
      <c r="B108" t="s">
        <v>61</v>
      </c>
      <c r="C108" t="s">
        <v>32</v>
      </c>
      <c r="D108" s="3"/>
      <c r="E108" s="3">
        <v>0</v>
      </c>
      <c r="F108" s="4" t="s">
        <v>37</v>
      </c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</row>
    <row r="109" spans="1:57">
      <c r="A109" s="1" t="str">
        <f>'Population Definitions'!$A$11</f>
        <v>65+_females</v>
      </c>
      <c r="B109" t="s">
        <v>61</v>
      </c>
      <c r="C109" t="s">
        <v>32</v>
      </c>
      <c r="D109" s="3"/>
      <c r="E109" s="3">
        <v>0</v>
      </c>
      <c r="F109" s="4" t="s">
        <v>37</v>
      </c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</row>
    <row r="110" spans="1:57">
      <c r="A110" s="1" t="str">
        <f>'Population Definitions'!$A$12</f>
        <v>Prisoners_males</v>
      </c>
      <c r="B110" t="s">
        <v>61</v>
      </c>
      <c r="C110" t="s">
        <v>32</v>
      </c>
      <c r="D110" s="3"/>
      <c r="E110" s="3">
        <v>0</v>
      </c>
      <c r="F110" s="4" t="s">
        <v>37</v>
      </c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</row>
    <row r="111" spans="1:57">
      <c r="A111" s="1" t="str">
        <f>'Population Definitions'!$A$13</f>
        <v>Prisoners_females</v>
      </c>
      <c r="B111" t="s">
        <v>61</v>
      </c>
      <c r="C111" t="s">
        <v>32</v>
      </c>
      <c r="D111" s="3"/>
      <c r="E111" s="3">
        <v>0</v>
      </c>
      <c r="F111" s="4" t="s">
        <v>37</v>
      </c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</row>
    <row r="113" spans="1:57">
      <c r="A113" s="1" t="s">
        <v>134</v>
      </c>
      <c r="B113" s="1" t="s">
        <v>29</v>
      </c>
      <c r="C113" s="1" t="s">
        <v>30</v>
      </c>
      <c r="D113" s="1" t="s">
        <v>31</v>
      </c>
      <c r="E113" s="1" t="s">
        <v>36</v>
      </c>
      <c r="F113" s="1"/>
      <c r="G113" s="1">
        <v>2000</v>
      </c>
      <c r="H113" s="1">
        <v>2001</v>
      </c>
      <c r="I113" s="1">
        <v>2002</v>
      </c>
      <c r="J113" s="1">
        <v>2003</v>
      </c>
      <c r="K113" s="1">
        <v>2004</v>
      </c>
      <c r="L113" s="1">
        <v>2005</v>
      </c>
      <c r="M113" s="1">
        <v>2006</v>
      </c>
      <c r="N113" s="1">
        <v>2007</v>
      </c>
      <c r="O113" s="1">
        <v>2008</v>
      </c>
      <c r="P113" s="1">
        <v>2009</v>
      </c>
      <c r="Q113" s="1">
        <v>2010</v>
      </c>
      <c r="R113" s="1">
        <v>2011</v>
      </c>
      <c r="S113" s="1">
        <v>2012</v>
      </c>
      <c r="T113" s="1">
        <v>2013</v>
      </c>
      <c r="U113" s="1">
        <v>2014</v>
      </c>
      <c r="V113" s="1">
        <v>2015</v>
      </c>
      <c r="W113" s="1">
        <v>2016</v>
      </c>
      <c r="X113" s="1">
        <v>2017</v>
      </c>
      <c r="Y113" s="1">
        <v>2018</v>
      </c>
      <c r="Z113" s="1">
        <v>2019</v>
      </c>
      <c r="AA113" s="1">
        <v>2020</v>
      </c>
      <c r="AB113" s="1">
        <v>2021</v>
      </c>
      <c r="AC113" s="1">
        <v>2022</v>
      </c>
      <c r="AD113" s="1">
        <v>2023</v>
      </c>
      <c r="AE113" s="1">
        <v>2024</v>
      </c>
      <c r="AF113" s="1">
        <v>2025</v>
      </c>
      <c r="AG113" s="1">
        <v>2026</v>
      </c>
      <c r="AH113" s="1">
        <v>2027</v>
      </c>
      <c r="AI113" s="1">
        <v>2028</v>
      </c>
      <c r="AJ113" s="1">
        <v>2029</v>
      </c>
      <c r="AK113" s="1">
        <v>2030</v>
      </c>
      <c r="AL113" s="1">
        <v>2031</v>
      </c>
      <c r="AM113" s="1">
        <v>2032</v>
      </c>
      <c r="AN113" s="1">
        <v>2033</v>
      </c>
      <c r="AO113" s="1">
        <v>2034</v>
      </c>
      <c r="AP113" s="1">
        <v>2035</v>
      </c>
      <c r="AQ113" s="1">
        <v>2036</v>
      </c>
      <c r="AR113" s="1">
        <v>2037</v>
      </c>
      <c r="AS113" s="1">
        <v>2038</v>
      </c>
      <c r="AT113" s="1">
        <v>2039</v>
      </c>
      <c r="AU113" s="1">
        <v>2040</v>
      </c>
      <c r="AV113" s="1">
        <v>2041</v>
      </c>
      <c r="AW113" s="1">
        <v>2042</v>
      </c>
      <c r="AX113" s="1">
        <v>2043</v>
      </c>
      <c r="AY113" s="1">
        <v>2044</v>
      </c>
      <c r="AZ113" s="1">
        <v>2045</v>
      </c>
      <c r="BA113" s="1">
        <v>2046</v>
      </c>
      <c r="BB113" s="1">
        <v>2047</v>
      </c>
      <c r="BC113" s="1">
        <v>2048</v>
      </c>
      <c r="BD113" s="1">
        <v>2049</v>
      </c>
      <c r="BE113" s="1">
        <v>2050</v>
      </c>
    </row>
    <row r="114" spans="1:57">
      <c r="A114" s="1" t="str">
        <f>'Population Definitions'!$A$2</f>
        <v>PWID_males</v>
      </c>
      <c r="B114" t="s">
        <v>61</v>
      </c>
      <c r="C114" t="s">
        <v>32</v>
      </c>
      <c r="D114" s="3"/>
      <c r="E114" s="3">
        <v>0</v>
      </c>
      <c r="F114" s="4" t="s">
        <v>37</v>
      </c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</row>
    <row r="115" spans="1:57">
      <c r="A115" s="1" t="str">
        <f>'Population Definitions'!$A$3</f>
        <v>PWID_females</v>
      </c>
      <c r="B115" t="s">
        <v>61</v>
      </c>
      <c r="C115" t="s">
        <v>32</v>
      </c>
      <c r="D115" s="3"/>
      <c r="E115" s="3">
        <v>0</v>
      </c>
      <c r="F115" s="4" t="s">
        <v>37</v>
      </c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</row>
    <row r="116" spans="1:57">
      <c r="A116" s="1" t="str">
        <f>'Population Definitions'!$A$4</f>
        <v>0-9_males</v>
      </c>
      <c r="B116" t="s">
        <v>61</v>
      </c>
      <c r="C116" t="s">
        <v>32</v>
      </c>
      <c r="D116" s="3"/>
      <c r="E116" s="3">
        <v>0</v>
      </c>
      <c r="F116" s="4" t="s">
        <v>37</v>
      </c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</row>
    <row r="117" spans="1:57">
      <c r="A117" s="1" t="str">
        <f>'Population Definitions'!$A$5</f>
        <v>0-9_females</v>
      </c>
      <c r="B117" t="s">
        <v>61</v>
      </c>
      <c r="C117" t="s">
        <v>32</v>
      </c>
      <c r="D117" s="3"/>
      <c r="E117" s="3">
        <v>0</v>
      </c>
      <c r="F117" s="4" t="s">
        <v>37</v>
      </c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</row>
    <row r="118" spans="1:57">
      <c r="A118" s="1" t="str">
        <f>'Population Definitions'!$A$6</f>
        <v>10-17_males</v>
      </c>
      <c r="B118" t="s">
        <v>61</v>
      </c>
      <c r="C118" t="s">
        <v>32</v>
      </c>
      <c r="D118" s="3"/>
      <c r="E118" s="3">
        <v>0</v>
      </c>
      <c r="F118" s="4" t="s">
        <v>37</v>
      </c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</row>
    <row r="119" spans="1:57">
      <c r="A119" s="1" t="str">
        <f>'Population Definitions'!$A$7</f>
        <v>10-17_females</v>
      </c>
      <c r="B119" t="s">
        <v>61</v>
      </c>
      <c r="C119" t="s">
        <v>32</v>
      </c>
      <c r="D119" s="3"/>
      <c r="E119" s="3">
        <v>0</v>
      </c>
      <c r="F119" s="4" t="s">
        <v>37</v>
      </c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</row>
    <row r="120" spans="1:57">
      <c r="A120" s="1" t="str">
        <f>'Population Definitions'!$A$8</f>
        <v>18-64_males</v>
      </c>
      <c r="B120" t="s">
        <v>61</v>
      </c>
      <c r="C120" t="s">
        <v>32</v>
      </c>
      <c r="D120" s="3"/>
      <c r="E120" s="3">
        <v>0</v>
      </c>
      <c r="F120" s="4" t="s">
        <v>37</v>
      </c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</row>
    <row r="121" spans="1:57">
      <c r="A121" s="1" t="str">
        <f>'Population Definitions'!$A$9</f>
        <v>18-64_females</v>
      </c>
      <c r="B121" t="s">
        <v>61</v>
      </c>
      <c r="C121" t="s">
        <v>32</v>
      </c>
      <c r="D121" s="3"/>
      <c r="E121" s="3">
        <v>0</v>
      </c>
      <c r="F121" s="4" t="s">
        <v>37</v>
      </c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</row>
    <row r="122" spans="1:57">
      <c r="A122" s="1" t="str">
        <f>'Population Definitions'!$A$10</f>
        <v>65+_males</v>
      </c>
      <c r="B122" t="s">
        <v>61</v>
      </c>
      <c r="C122" t="s">
        <v>32</v>
      </c>
      <c r="D122" s="3"/>
      <c r="E122" s="3">
        <v>0</v>
      </c>
      <c r="F122" s="4" t="s">
        <v>37</v>
      </c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</row>
    <row r="123" spans="1:57">
      <c r="A123" s="1" t="str">
        <f>'Population Definitions'!$A$11</f>
        <v>65+_females</v>
      </c>
      <c r="B123" t="s">
        <v>61</v>
      </c>
      <c r="C123" t="s">
        <v>32</v>
      </c>
      <c r="D123" s="3"/>
      <c r="E123" s="3">
        <v>0</v>
      </c>
      <c r="F123" s="4" t="s">
        <v>37</v>
      </c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</row>
    <row r="124" spans="1:57">
      <c r="A124" s="1" t="str">
        <f>'Population Definitions'!$A$12</f>
        <v>Prisoners_males</v>
      </c>
      <c r="B124" t="s">
        <v>61</v>
      </c>
      <c r="C124" t="s">
        <v>32</v>
      </c>
      <c r="D124" s="3"/>
      <c r="E124" s="3">
        <v>0</v>
      </c>
      <c r="F124" s="4" t="s">
        <v>37</v>
      </c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</row>
    <row r="125" spans="1:57">
      <c r="A125" s="1" t="str">
        <f>'Population Definitions'!$A$13</f>
        <v>Prisoners_females</v>
      </c>
      <c r="B125" t="s">
        <v>61</v>
      </c>
      <c r="C125" t="s">
        <v>32</v>
      </c>
      <c r="D125" s="3"/>
      <c r="E125" s="3">
        <v>0</v>
      </c>
      <c r="F125" s="4" t="s">
        <v>37</v>
      </c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</row>
    <row r="127" spans="1:57">
      <c r="A127" s="1" t="s">
        <v>135</v>
      </c>
      <c r="B127" s="1" t="s">
        <v>29</v>
      </c>
      <c r="C127" s="1" t="s">
        <v>30</v>
      </c>
      <c r="D127" s="1" t="s">
        <v>31</v>
      </c>
      <c r="E127" s="1" t="s">
        <v>36</v>
      </c>
      <c r="F127" s="1"/>
      <c r="G127" s="1">
        <v>2000</v>
      </c>
      <c r="H127" s="1">
        <v>2001</v>
      </c>
      <c r="I127" s="1">
        <v>2002</v>
      </c>
      <c r="J127" s="1">
        <v>2003</v>
      </c>
      <c r="K127" s="1">
        <v>2004</v>
      </c>
      <c r="L127" s="1">
        <v>2005</v>
      </c>
      <c r="M127" s="1">
        <v>2006</v>
      </c>
      <c r="N127" s="1">
        <v>2007</v>
      </c>
      <c r="O127" s="1">
        <v>2008</v>
      </c>
      <c r="P127" s="1">
        <v>2009</v>
      </c>
      <c r="Q127" s="1">
        <v>2010</v>
      </c>
      <c r="R127" s="1">
        <v>2011</v>
      </c>
      <c r="S127" s="1">
        <v>2012</v>
      </c>
      <c r="T127" s="1">
        <v>2013</v>
      </c>
      <c r="U127" s="1">
        <v>2014</v>
      </c>
      <c r="V127" s="1">
        <v>2015</v>
      </c>
      <c r="W127" s="1">
        <v>2016</v>
      </c>
      <c r="X127" s="1">
        <v>2017</v>
      </c>
      <c r="Y127" s="1">
        <v>2018</v>
      </c>
      <c r="Z127" s="1">
        <v>2019</v>
      </c>
      <c r="AA127" s="1">
        <v>2020</v>
      </c>
      <c r="AB127" s="1">
        <v>2021</v>
      </c>
      <c r="AC127" s="1">
        <v>2022</v>
      </c>
      <c r="AD127" s="1">
        <v>2023</v>
      </c>
      <c r="AE127" s="1">
        <v>2024</v>
      </c>
      <c r="AF127" s="1">
        <v>2025</v>
      </c>
      <c r="AG127" s="1">
        <v>2026</v>
      </c>
      <c r="AH127" s="1">
        <v>2027</v>
      </c>
      <c r="AI127" s="1">
        <v>2028</v>
      </c>
      <c r="AJ127" s="1">
        <v>2029</v>
      </c>
      <c r="AK127" s="1">
        <v>2030</v>
      </c>
      <c r="AL127" s="1">
        <v>2031</v>
      </c>
      <c r="AM127" s="1">
        <v>2032</v>
      </c>
      <c r="AN127" s="1">
        <v>2033</v>
      </c>
      <c r="AO127" s="1">
        <v>2034</v>
      </c>
      <c r="AP127" s="1">
        <v>2035</v>
      </c>
      <c r="AQ127" s="1">
        <v>2036</v>
      </c>
      <c r="AR127" s="1">
        <v>2037</v>
      </c>
      <c r="AS127" s="1">
        <v>2038</v>
      </c>
      <c r="AT127" s="1">
        <v>2039</v>
      </c>
      <c r="AU127" s="1">
        <v>2040</v>
      </c>
      <c r="AV127" s="1">
        <v>2041</v>
      </c>
      <c r="AW127" s="1">
        <v>2042</v>
      </c>
      <c r="AX127" s="1">
        <v>2043</v>
      </c>
      <c r="AY127" s="1">
        <v>2044</v>
      </c>
      <c r="AZ127" s="1">
        <v>2045</v>
      </c>
      <c r="BA127" s="1">
        <v>2046</v>
      </c>
      <c r="BB127" s="1">
        <v>2047</v>
      </c>
      <c r="BC127" s="1">
        <v>2048</v>
      </c>
      <c r="BD127" s="1">
        <v>2049</v>
      </c>
      <c r="BE127" s="1">
        <v>2050</v>
      </c>
    </row>
    <row r="128" spans="1:57">
      <c r="A128" s="1" t="str">
        <f>'Population Definitions'!$A$2</f>
        <v>PWID_males</v>
      </c>
      <c r="B128" t="s">
        <v>61</v>
      </c>
      <c r="C128" t="s">
        <v>32</v>
      </c>
      <c r="D128" s="3"/>
      <c r="E128" s="3">
        <v>0</v>
      </c>
      <c r="F128" s="4" t="s">
        <v>37</v>
      </c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</row>
    <row r="129" spans="1:57">
      <c r="A129" s="1" t="str">
        <f>'Population Definitions'!$A$3</f>
        <v>PWID_females</v>
      </c>
      <c r="B129" t="s">
        <v>61</v>
      </c>
      <c r="C129" t="s">
        <v>32</v>
      </c>
      <c r="D129" s="3"/>
      <c r="E129" s="3">
        <v>0</v>
      </c>
      <c r="F129" s="4" t="s">
        <v>37</v>
      </c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</row>
    <row r="130" spans="1:57">
      <c r="A130" s="1" t="str">
        <f>'Population Definitions'!$A$4</f>
        <v>0-9_males</v>
      </c>
      <c r="B130" t="s">
        <v>61</v>
      </c>
      <c r="C130" t="s">
        <v>32</v>
      </c>
      <c r="D130" s="3"/>
      <c r="E130" s="3">
        <v>0</v>
      </c>
      <c r="F130" s="4" t="s">
        <v>37</v>
      </c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</row>
    <row r="131" spans="1:57">
      <c r="A131" s="1" t="str">
        <f>'Population Definitions'!$A$5</f>
        <v>0-9_females</v>
      </c>
      <c r="B131" t="s">
        <v>61</v>
      </c>
      <c r="C131" t="s">
        <v>32</v>
      </c>
      <c r="D131" s="3"/>
      <c r="E131" s="3">
        <v>0</v>
      </c>
      <c r="F131" s="4" t="s">
        <v>37</v>
      </c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</row>
    <row r="132" spans="1:57">
      <c r="A132" s="1" t="str">
        <f>'Population Definitions'!$A$6</f>
        <v>10-17_males</v>
      </c>
      <c r="B132" t="s">
        <v>61</v>
      </c>
      <c r="C132" t="s">
        <v>32</v>
      </c>
      <c r="D132" s="3"/>
      <c r="E132" s="3">
        <v>0</v>
      </c>
      <c r="F132" s="4" t="s">
        <v>37</v>
      </c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</row>
    <row r="133" spans="1:57">
      <c r="A133" s="1" t="str">
        <f>'Population Definitions'!$A$7</f>
        <v>10-17_females</v>
      </c>
      <c r="B133" t="s">
        <v>61</v>
      </c>
      <c r="C133" t="s">
        <v>32</v>
      </c>
      <c r="D133" s="3"/>
      <c r="E133" s="3">
        <v>0</v>
      </c>
      <c r="F133" s="4" t="s">
        <v>37</v>
      </c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</row>
    <row r="134" spans="1:57">
      <c r="A134" s="1" t="str">
        <f>'Population Definitions'!$A$8</f>
        <v>18-64_males</v>
      </c>
      <c r="B134" t="s">
        <v>61</v>
      </c>
      <c r="C134" t="s">
        <v>32</v>
      </c>
      <c r="D134" s="3"/>
      <c r="E134" s="3">
        <v>0</v>
      </c>
      <c r="F134" s="4" t="s">
        <v>37</v>
      </c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</row>
    <row r="135" spans="1:57">
      <c r="A135" s="1" t="str">
        <f>'Population Definitions'!$A$9</f>
        <v>18-64_females</v>
      </c>
      <c r="B135" t="s">
        <v>61</v>
      </c>
      <c r="C135" t="s">
        <v>32</v>
      </c>
      <c r="D135" s="3"/>
      <c r="E135" s="3">
        <v>0</v>
      </c>
      <c r="F135" s="4" t="s">
        <v>37</v>
      </c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</row>
    <row r="136" spans="1:57">
      <c r="A136" s="1" t="str">
        <f>'Population Definitions'!$A$10</f>
        <v>65+_males</v>
      </c>
      <c r="B136" t="s">
        <v>61</v>
      </c>
      <c r="C136" t="s">
        <v>32</v>
      </c>
      <c r="D136" s="3"/>
      <c r="E136" s="3">
        <v>0</v>
      </c>
      <c r="F136" s="4" t="s">
        <v>37</v>
      </c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</row>
    <row r="137" spans="1:57">
      <c r="A137" s="1" t="str">
        <f>'Population Definitions'!$A$11</f>
        <v>65+_females</v>
      </c>
      <c r="B137" t="s">
        <v>61</v>
      </c>
      <c r="C137" t="s">
        <v>32</v>
      </c>
      <c r="D137" s="3"/>
      <c r="E137" s="3">
        <v>0</v>
      </c>
      <c r="F137" s="4" t="s">
        <v>37</v>
      </c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</row>
    <row r="138" spans="1:57">
      <c r="A138" s="1" t="str">
        <f>'Population Definitions'!$A$12</f>
        <v>Prisoners_males</v>
      </c>
      <c r="B138" t="s">
        <v>61</v>
      </c>
      <c r="C138" t="s">
        <v>32</v>
      </c>
      <c r="D138" s="3"/>
      <c r="E138" s="3">
        <v>0</v>
      </c>
      <c r="F138" s="4" t="s">
        <v>37</v>
      </c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</row>
    <row r="139" spans="1:57">
      <c r="A139" s="1" t="str">
        <f>'Population Definitions'!$A$13</f>
        <v>Prisoners_females</v>
      </c>
      <c r="B139" t="s">
        <v>61</v>
      </c>
      <c r="C139" t="s">
        <v>32</v>
      </c>
      <c r="D139" s="3"/>
      <c r="E139" s="3">
        <v>0</v>
      </c>
      <c r="F139" s="4" t="s">
        <v>37</v>
      </c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</row>
    <row r="141" spans="1:57">
      <c r="A141" s="1" t="s">
        <v>136</v>
      </c>
      <c r="B141" s="1" t="s">
        <v>29</v>
      </c>
      <c r="C141" s="1" t="s">
        <v>30</v>
      </c>
      <c r="D141" s="1" t="s">
        <v>31</v>
      </c>
      <c r="E141" s="1" t="s">
        <v>36</v>
      </c>
      <c r="F141" s="1"/>
      <c r="G141" s="1">
        <v>2000</v>
      </c>
      <c r="H141" s="1">
        <v>2001</v>
      </c>
      <c r="I141" s="1">
        <v>2002</v>
      </c>
      <c r="J141" s="1">
        <v>2003</v>
      </c>
      <c r="K141" s="1">
        <v>2004</v>
      </c>
      <c r="L141" s="1">
        <v>2005</v>
      </c>
      <c r="M141" s="1">
        <v>2006</v>
      </c>
      <c r="N141" s="1">
        <v>2007</v>
      </c>
      <c r="O141" s="1">
        <v>2008</v>
      </c>
      <c r="P141" s="1">
        <v>2009</v>
      </c>
      <c r="Q141" s="1">
        <v>2010</v>
      </c>
      <c r="R141" s="1">
        <v>2011</v>
      </c>
      <c r="S141" s="1">
        <v>2012</v>
      </c>
      <c r="T141" s="1">
        <v>2013</v>
      </c>
      <c r="U141" s="1">
        <v>2014</v>
      </c>
      <c r="V141" s="1">
        <v>2015</v>
      </c>
      <c r="W141" s="1">
        <v>2016</v>
      </c>
      <c r="X141" s="1">
        <v>2017</v>
      </c>
      <c r="Y141" s="1">
        <v>2018</v>
      </c>
      <c r="Z141" s="1">
        <v>2019</v>
      </c>
      <c r="AA141" s="1">
        <v>2020</v>
      </c>
      <c r="AB141" s="1">
        <v>2021</v>
      </c>
      <c r="AC141" s="1">
        <v>2022</v>
      </c>
      <c r="AD141" s="1">
        <v>2023</v>
      </c>
      <c r="AE141" s="1">
        <v>2024</v>
      </c>
      <c r="AF141" s="1">
        <v>2025</v>
      </c>
      <c r="AG141" s="1">
        <v>2026</v>
      </c>
      <c r="AH141" s="1">
        <v>2027</v>
      </c>
      <c r="AI141" s="1">
        <v>2028</v>
      </c>
      <c r="AJ141" s="1">
        <v>2029</v>
      </c>
      <c r="AK141" s="1">
        <v>2030</v>
      </c>
      <c r="AL141" s="1">
        <v>2031</v>
      </c>
      <c r="AM141" s="1">
        <v>2032</v>
      </c>
      <c r="AN141" s="1">
        <v>2033</v>
      </c>
      <c r="AO141" s="1">
        <v>2034</v>
      </c>
      <c r="AP141" s="1">
        <v>2035</v>
      </c>
      <c r="AQ141" s="1">
        <v>2036</v>
      </c>
      <c r="AR141" s="1">
        <v>2037</v>
      </c>
      <c r="AS141" s="1">
        <v>2038</v>
      </c>
      <c r="AT141" s="1">
        <v>2039</v>
      </c>
      <c r="AU141" s="1">
        <v>2040</v>
      </c>
      <c r="AV141" s="1">
        <v>2041</v>
      </c>
      <c r="AW141" s="1">
        <v>2042</v>
      </c>
      <c r="AX141" s="1">
        <v>2043</v>
      </c>
      <c r="AY141" s="1">
        <v>2044</v>
      </c>
      <c r="AZ141" s="1">
        <v>2045</v>
      </c>
      <c r="BA141" s="1">
        <v>2046</v>
      </c>
      <c r="BB141" s="1">
        <v>2047</v>
      </c>
      <c r="BC141" s="1">
        <v>2048</v>
      </c>
      <c r="BD141" s="1">
        <v>2049</v>
      </c>
      <c r="BE141" s="1">
        <v>2050</v>
      </c>
    </row>
    <row r="142" spans="1:57">
      <c r="A142" s="1" t="str">
        <f>'Population Definitions'!$A$2</f>
        <v>PWID_males</v>
      </c>
      <c r="B142" t="s">
        <v>61</v>
      </c>
      <c r="C142" t="s">
        <v>32</v>
      </c>
      <c r="D142" s="3"/>
      <c r="E142" s="3">
        <v>0</v>
      </c>
      <c r="F142" s="4" t="s">
        <v>37</v>
      </c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</row>
    <row r="143" spans="1:57">
      <c r="A143" s="1" t="str">
        <f>'Population Definitions'!$A$3</f>
        <v>PWID_females</v>
      </c>
      <c r="B143" t="s">
        <v>61</v>
      </c>
      <c r="C143" t="s">
        <v>32</v>
      </c>
      <c r="D143" s="3"/>
      <c r="E143" s="3">
        <v>0</v>
      </c>
      <c r="F143" s="4" t="s">
        <v>37</v>
      </c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</row>
    <row r="144" spans="1:57">
      <c r="A144" s="1" t="str">
        <f>'Population Definitions'!$A$4</f>
        <v>0-9_males</v>
      </c>
      <c r="B144" t="s">
        <v>61</v>
      </c>
      <c r="C144" t="s">
        <v>32</v>
      </c>
      <c r="D144" s="3"/>
      <c r="E144" s="3">
        <v>0</v>
      </c>
      <c r="F144" s="4" t="s">
        <v>37</v>
      </c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</row>
    <row r="145" spans="1:57">
      <c r="A145" s="1" t="str">
        <f>'Population Definitions'!$A$5</f>
        <v>0-9_females</v>
      </c>
      <c r="B145" t="s">
        <v>61</v>
      </c>
      <c r="C145" t="s">
        <v>32</v>
      </c>
      <c r="D145" s="3"/>
      <c r="E145" s="3">
        <v>0</v>
      </c>
      <c r="F145" s="4" t="s">
        <v>37</v>
      </c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</row>
    <row r="146" spans="1:57">
      <c r="A146" s="1" t="str">
        <f>'Population Definitions'!$A$6</f>
        <v>10-17_males</v>
      </c>
      <c r="B146" t="s">
        <v>61</v>
      </c>
      <c r="C146" t="s">
        <v>32</v>
      </c>
      <c r="D146" s="3"/>
      <c r="E146" s="3">
        <v>0</v>
      </c>
      <c r="F146" s="4" t="s">
        <v>37</v>
      </c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</row>
    <row r="147" spans="1:57">
      <c r="A147" s="1" t="str">
        <f>'Population Definitions'!$A$7</f>
        <v>10-17_females</v>
      </c>
      <c r="B147" t="s">
        <v>61</v>
      </c>
      <c r="C147" t="s">
        <v>32</v>
      </c>
      <c r="D147" s="3"/>
      <c r="E147" s="3">
        <v>0</v>
      </c>
      <c r="F147" s="4" t="s">
        <v>37</v>
      </c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</row>
    <row r="148" spans="1:57">
      <c r="A148" s="1" t="str">
        <f>'Population Definitions'!$A$8</f>
        <v>18-64_males</v>
      </c>
      <c r="B148" t="s">
        <v>61</v>
      </c>
      <c r="C148" t="s">
        <v>32</v>
      </c>
      <c r="D148" s="3"/>
      <c r="E148" s="3">
        <v>0</v>
      </c>
      <c r="F148" s="4" t="s">
        <v>37</v>
      </c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</row>
    <row r="149" spans="1:57">
      <c r="A149" s="1" t="str">
        <f>'Population Definitions'!$A$9</f>
        <v>18-64_females</v>
      </c>
      <c r="B149" t="s">
        <v>61</v>
      </c>
      <c r="C149" t="s">
        <v>32</v>
      </c>
      <c r="D149" s="3"/>
      <c r="E149" s="3">
        <v>0</v>
      </c>
      <c r="F149" s="4" t="s">
        <v>37</v>
      </c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</row>
    <row r="150" spans="1:57">
      <c r="A150" s="1" t="str">
        <f>'Population Definitions'!$A$10</f>
        <v>65+_males</v>
      </c>
      <c r="B150" t="s">
        <v>61</v>
      </c>
      <c r="C150" t="s">
        <v>32</v>
      </c>
      <c r="D150" s="3"/>
      <c r="E150" s="3">
        <v>0</v>
      </c>
      <c r="F150" s="4" t="s">
        <v>37</v>
      </c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</row>
    <row r="151" spans="1:57">
      <c r="A151" s="1" t="str">
        <f>'Population Definitions'!$A$11</f>
        <v>65+_females</v>
      </c>
      <c r="B151" t="s">
        <v>61</v>
      </c>
      <c r="C151" t="s">
        <v>32</v>
      </c>
      <c r="D151" s="3"/>
      <c r="E151" s="3">
        <v>0</v>
      </c>
      <c r="F151" s="4" t="s">
        <v>37</v>
      </c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</row>
    <row r="152" spans="1:57">
      <c r="A152" s="1" t="str">
        <f>'Population Definitions'!$A$12</f>
        <v>Prisoners_males</v>
      </c>
      <c r="B152" t="s">
        <v>61</v>
      </c>
      <c r="C152" t="s">
        <v>32</v>
      </c>
      <c r="D152" s="3"/>
      <c r="E152" s="3">
        <v>0</v>
      </c>
      <c r="F152" s="4" t="s">
        <v>37</v>
      </c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</row>
    <row r="153" spans="1:57">
      <c r="A153" s="1" t="str">
        <f>'Population Definitions'!$A$13</f>
        <v>Prisoners_females</v>
      </c>
      <c r="B153" t="s">
        <v>61</v>
      </c>
      <c r="C153" t="s">
        <v>32</v>
      </c>
      <c r="D153" s="3"/>
      <c r="E153" s="3">
        <v>0</v>
      </c>
      <c r="F153" s="4" t="s">
        <v>37</v>
      </c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</row>
    <row r="155" spans="1:57">
      <c r="A155" s="1" t="s">
        <v>137</v>
      </c>
      <c r="B155" s="1" t="s">
        <v>29</v>
      </c>
      <c r="C155" s="1" t="s">
        <v>30</v>
      </c>
      <c r="D155" s="1" t="s">
        <v>31</v>
      </c>
      <c r="E155" s="1" t="s">
        <v>36</v>
      </c>
      <c r="F155" s="1"/>
      <c r="G155" s="1">
        <v>2000</v>
      </c>
      <c r="H155" s="1">
        <v>2001</v>
      </c>
      <c r="I155" s="1">
        <v>2002</v>
      </c>
      <c r="J155" s="1">
        <v>2003</v>
      </c>
      <c r="K155" s="1">
        <v>2004</v>
      </c>
      <c r="L155" s="1">
        <v>2005</v>
      </c>
      <c r="M155" s="1">
        <v>2006</v>
      </c>
      <c r="N155" s="1">
        <v>2007</v>
      </c>
      <c r="O155" s="1">
        <v>2008</v>
      </c>
      <c r="P155" s="1">
        <v>2009</v>
      </c>
      <c r="Q155" s="1">
        <v>2010</v>
      </c>
      <c r="R155" s="1">
        <v>2011</v>
      </c>
      <c r="S155" s="1">
        <v>2012</v>
      </c>
      <c r="T155" s="1">
        <v>2013</v>
      </c>
      <c r="U155" s="1">
        <v>2014</v>
      </c>
      <c r="V155" s="1">
        <v>2015</v>
      </c>
      <c r="W155" s="1">
        <v>2016</v>
      </c>
      <c r="X155" s="1">
        <v>2017</v>
      </c>
      <c r="Y155" s="1">
        <v>2018</v>
      </c>
      <c r="Z155" s="1">
        <v>2019</v>
      </c>
      <c r="AA155" s="1">
        <v>2020</v>
      </c>
      <c r="AB155" s="1">
        <v>2021</v>
      </c>
      <c r="AC155" s="1">
        <v>2022</v>
      </c>
      <c r="AD155" s="1">
        <v>2023</v>
      </c>
      <c r="AE155" s="1">
        <v>2024</v>
      </c>
      <c r="AF155" s="1">
        <v>2025</v>
      </c>
      <c r="AG155" s="1">
        <v>2026</v>
      </c>
      <c r="AH155" s="1">
        <v>2027</v>
      </c>
      <c r="AI155" s="1">
        <v>2028</v>
      </c>
      <c r="AJ155" s="1">
        <v>2029</v>
      </c>
      <c r="AK155" s="1">
        <v>2030</v>
      </c>
      <c r="AL155" s="1">
        <v>2031</v>
      </c>
      <c r="AM155" s="1">
        <v>2032</v>
      </c>
      <c r="AN155" s="1">
        <v>2033</v>
      </c>
      <c r="AO155" s="1">
        <v>2034</v>
      </c>
      <c r="AP155" s="1">
        <v>2035</v>
      </c>
      <c r="AQ155" s="1">
        <v>2036</v>
      </c>
      <c r="AR155" s="1">
        <v>2037</v>
      </c>
      <c r="AS155" s="1">
        <v>2038</v>
      </c>
      <c r="AT155" s="1">
        <v>2039</v>
      </c>
      <c r="AU155" s="1">
        <v>2040</v>
      </c>
      <c r="AV155" s="1">
        <v>2041</v>
      </c>
      <c r="AW155" s="1">
        <v>2042</v>
      </c>
      <c r="AX155" s="1">
        <v>2043</v>
      </c>
      <c r="AY155" s="1">
        <v>2044</v>
      </c>
      <c r="AZ155" s="1">
        <v>2045</v>
      </c>
      <c r="BA155" s="1">
        <v>2046</v>
      </c>
      <c r="BB155" s="1">
        <v>2047</v>
      </c>
      <c r="BC155" s="1">
        <v>2048</v>
      </c>
      <c r="BD155" s="1">
        <v>2049</v>
      </c>
      <c r="BE155" s="1">
        <v>2050</v>
      </c>
    </row>
    <row r="156" spans="1:57">
      <c r="A156" s="1" t="str">
        <f>'Population Definitions'!$A$2</f>
        <v>PWID_males</v>
      </c>
      <c r="B156" t="s">
        <v>61</v>
      </c>
      <c r="C156" t="s">
        <v>32</v>
      </c>
      <c r="D156" s="3"/>
      <c r="E156" s="3">
        <v>0</v>
      </c>
      <c r="F156" s="4" t="s">
        <v>37</v>
      </c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</row>
    <row r="157" spans="1:57">
      <c r="A157" s="1" t="str">
        <f>'Population Definitions'!$A$3</f>
        <v>PWID_females</v>
      </c>
      <c r="B157" t="s">
        <v>61</v>
      </c>
      <c r="C157" t="s">
        <v>32</v>
      </c>
      <c r="D157" s="3"/>
      <c r="E157" s="3">
        <v>0</v>
      </c>
      <c r="F157" s="4" t="s">
        <v>37</v>
      </c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</row>
    <row r="158" spans="1:57">
      <c r="A158" s="1" t="str">
        <f>'Population Definitions'!$A$4</f>
        <v>0-9_males</v>
      </c>
      <c r="B158" t="s">
        <v>61</v>
      </c>
      <c r="C158" t="s">
        <v>32</v>
      </c>
      <c r="D158" s="3"/>
      <c r="E158" s="3">
        <v>0</v>
      </c>
      <c r="F158" s="4" t="s">
        <v>37</v>
      </c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</row>
    <row r="159" spans="1:57">
      <c r="A159" s="1" t="str">
        <f>'Population Definitions'!$A$5</f>
        <v>0-9_females</v>
      </c>
      <c r="B159" t="s">
        <v>61</v>
      </c>
      <c r="C159" t="s">
        <v>32</v>
      </c>
      <c r="D159" s="3"/>
      <c r="E159" s="3">
        <v>0</v>
      </c>
      <c r="F159" s="4" t="s">
        <v>37</v>
      </c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</row>
    <row r="160" spans="1:57">
      <c r="A160" s="1" t="str">
        <f>'Population Definitions'!$A$6</f>
        <v>10-17_males</v>
      </c>
      <c r="B160" t="s">
        <v>61</v>
      </c>
      <c r="C160" t="s">
        <v>32</v>
      </c>
      <c r="D160" s="3"/>
      <c r="E160" s="3">
        <v>0</v>
      </c>
      <c r="F160" s="4" t="s">
        <v>37</v>
      </c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</row>
    <row r="161" spans="1:57">
      <c r="A161" s="1" t="str">
        <f>'Population Definitions'!$A$7</f>
        <v>10-17_females</v>
      </c>
      <c r="B161" t="s">
        <v>61</v>
      </c>
      <c r="C161" t="s">
        <v>32</v>
      </c>
      <c r="D161" s="3"/>
      <c r="E161" s="3">
        <v>0</v>
      </c>
      <c r="F161" s="4" t="s">
        <v>37</v>
      </c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</row>
    <row r="162" spans="1:57">
      <c r="A162" s="1" t="str">
        <f>'Population Definitions'!$A$8</f>
        <v>18-64_males</v>
      </c>
      <c r="B162" t="s">
        <v>61</v>
      </c>
      <c r="C162" t="s">
        <v>32</v>
      </c>
      <c r="D162" s="3"/>
      <c r="E162" s="3">
        <v>0</v>
      </c>
      <c r="F162" s="4" t="s">
        <v>37</v>
      </c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</row>
    <row r="163" spans="1:57">
      <c r="A163" s="1" t="str">
        <f>'Population Definitions'!$A$9</f>
        <v>18-64_females</v>
      </c>
      <c r="B163" t="s">
        <v>61</v>
      </c>
      <c r="C163" t="s">
        <v>32</v>
      </c>
      <c r="D163" s="3"/>
      <c r="E163" s="3">
        <v>0</v>
      </c>
      <c r="F163" s="4" t="s">
        <v>37</v>
      </c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</row>
    <row r="164" spans="1:57">
      <c r="A164" s="1" t="str">
        <f>'Population Definitions'!$A$10</f>
        <v>65+_males</v>
      </c>
      <c r="B164" t="s">
        <v>61</v>
      </c>
      <c r="C164" t="s">
        <v>32</v>
      </c>
      <c r="D164" s="3"/>
      <c r="E164" s="3">
        <v>0</v>
      </c>
      <c r="F164" s="4" t="s">
        <v>37</v>
      </c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</row>
    <row r="165" spans="1:57">
      <c r="A165" s="1" t="str">
        <f>'Population Definitions'!$A$11</f>
        <v>65+_females</v>
      </c>
      <c r="B165" t="s">
        <v>61</v>
      </c>
      <c r="C165" t="s">
        <v>32</v>
      </c>
      <c r="D165" s="3"/>
      <c r="E165" s="3">
        <v>0</v>
      </c>
      <c r="F165" s="4" t="s">
        <v>37</v>
      </c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</row>
    <row r="166" spans="1:57">
      <c r="A166" s="1" t="str">
        <f>'Population Definitions'!$A$12</f>
        <v>Prisoners_males</v>
      </c>
      <c r="B166" t="s">
        <v>61</v>
      </c>
      <c r="C166" t="s">
        <v>32</v>
      </c>
      <c r="D166" s="3"/>
      <c r="E166" s="3">
        <v>0</v>
      </c>
      <c r="F166" s="4" t="s">
        <v>37</v>
      </c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</row>
    <row r="167" spans="1:57">
      <c r="A167" s="1" t="str">
        <f>'Population Definitions'!$A$13</f>
        <v>Prisoners_females</v>
      </c>
      <c r="B167" t="s">
        <v>61</v>
      </c>
      <c r="C167" t="s">
        <v>32</v>
      </c>
      <c r="D167" s="3"/>
      <c r="E167" s="3">
        <v>0</v>
      </c>
      <c r="F167" s="4" t="s">
        <v>37</v>
      </c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</row>
    <row r="169" spans="1:57">
      <c r="A169" s="1" t="s">
        <v>138</v>
      </c>
      <c r="B169" s="1" t="s">
        <v>29</v>
      </c>
      <c r="C169" s="1" t="s">
        <v>30</v>
      </c>
      <c r="D169" s="1" t="s">
        <v>31</v>
      </c>
      <c r="E169" s="1" t="s">
        <v>36</v>
      </c>
      <c r="F169" s="1"/>
      <c r="G169" s="1">
        <v>2000</v>
      </c>
      <c r="H169" s="1">
        <v>2001</v>
      </c>
      <c r="I169" s="1">
        <v>2002</v>
      </c>
      <c r="J169" s="1">
        <v>2003</v>
      </c>
      <c r="K169" s="1">
        <v>2004</v>
      </c>
      <c r="L169" s="1">
        <v>2005</v>
      </c>
      <c r="M169" s="1">
        <v>2006</v>
      </c>
      <c r="N169" s="1">
        <v>2007</v>
      </c>
      <c r="O169" s="1">
        <v>2008</v>
      </c>
      <c r="P169" s="1">
        <v>2009</v>
      </c>
      <c r="Q169" s="1">
        <v>2010</v>
      </c>
      <c r="R169" s="1">
        <v>2011</v>
      </c>
      <c r="S169" s="1">
        <v>2012</v>
      </c>
      <c r="T169" s="1">
        <v>2013</v>
      </c>
      <c r="U169" s="1">
        <v>2014</v>
      </c>
      <c r="V169" s="1">
        <v>2015</v>
      </c>
      <c r="W169" s="1">
        <v>2016</v>
      </c>
      <c r="X169" s="1">
        <v>2017</v>
      </c>
      <c r="Y169" s="1">
        <v>2018</v>
      </c>
      <c r="Z169" s="1">
        <v>2019</v>
      </c>
      <c r="AA169" s="1">
        <v>2020</v>
      </c>
      <c r="AB169" s="1">
        <v>2021</v>
      </c>
      <c r="AC169" s="1">
        <v>2022</v>
      </c>
      <c r="AD169" s="1">
        <v>2023</v>
      </c>
      <c r="AE169" s="1">
        <v>2024</v>
      </c>
      <c r="AF169" s="1">
        <v>2025</v>
      </c>
      <c r="AG169" s="1">
        <v>2026</v>
      </c>
      <c r="AH169" s="1">
        <v>2027</v>
      </c>
      <c r="AI169" s="1">
        <v>2028</v>
      </c>
      <c r="AJ169" s="1">
        <v>2029</v>
      </c>
      <c r="AK169" s="1">
        <v>2030</v>
      </c>
      <c r="AL169" s="1">
        <v>2031</v>
      </c>
      <c r="AM169" s="1">
        <v>2032</v>
      </c>
      <c r="AN169" s="1">
        <v>2033</v>
      </c>
      <c r="AO169" s="1">
        <v>2034</v>
      </c>
      <c r="AP169" s="1">
        <v>2035</v>
      </c>
      <c r="AQ169" s="1">
        <v>2036</v>
      </c>
      <c r="AR169" s="1">
        <v>2037</v>
      </c>
      <c r="AS169" s="1">
        <v>2038</v>
      </c>
      <c r="AT169" s="1">
        <v>2039</v>
      </c>
      <c r="AU169" s="1">
        <v>2040</v>
      </c>
      <c r="AV169" s="1">
        <v>2041</v>
      </c>
      <c r="AW169" s="1">
        <v>2042</v>
      </c>
      <c r="AX169" s="1">
        <v>2043</v>
      </c>
      <c r="AY169" s="1">
        <v>2044</v>
      </c>
      <c r="AZ169" s="1">
        <v>2045</v>
      </c>
      <c r="BA169" s="1">
        <v>2046</v>
      </c>
      <c r="BB169" s="1">
        <v>2047</v>
      </c>
      <c r="BC169" s="1">
        <v>2048</v>
      </c>
      <c r="BD169" s="1">
        <v>2049</v>
      </c>
      <c r="BE169" s="1">
        <v>2050</v>
      </c>
    </row>
    <row r="170" spans="1:57">
      <c r="A170" s="1" t="str">
        <f>'Population Definitions'!$A$2</f>
        <v>PWID_males</v>
      </c>
      <c r="B170" t="s">
        <v>61</v>
      </c>
      <c r="C170" t="s">
        <v>32</v>
      </c>
      <c r="D170" s="3"/>
      <c r="E170" s="3">
        <v>0</v>
      </c>
      <c r="F170" s="4" t="s">
        <v>37</v>
      </c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</row>
    <row r="171" spans="1:57">
      <c r="A171" s="1" t="str">
        <f>'Population Definitions'!$A$3</f>
        <v>PWID_females</v>
      </c>
      <c r="B171" t="s">
        <v>61</v>
      </c>
      <c r="C171" t="s">
        <v>32</v>
      </c>
      <c r="D171" s="3"/>
      <c r="E171" s="3">
        <v>0</v>
      </c>
      <c r="F171" s="4" t="s">
        <v>37</v>
      </c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</row>
    <row r="172" spans="1:57">
      <c r="A172" s="1" t="str">
        <f>'Population Definitions'!$A$4</f>
        <v>0-9_males</v>
      </c>
      <c r="B172" t="s">
        <v>61</v>
      </c>
      <c r="C172" t="s">
        <v>32</v>
      </c>
      <c r="D172" s="3"/>
      <c r="E172" s="3">
        <v>0</v>
      </c>
      <c r="F172" s="4" t="s">
        <v>37</v>
      </c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</row>
    <row r="173" spans="1:57">
      <c r="A173" s="1" t="str">
        <f>'Population Definitions'!$A$5</f>
        <v>0-9_females</v>
      </c>
      <c r="B173" t="s">
        <v>61</v>
      </c>
      <c r="C173" t="s">
        <v>32</v>
      </c>
      <c r="D173" s="3"/>
      <c r="E173" s="3">
        <v>0</v>
      </c>
      <c r="F173" s="4" t="s">
        <v>37</v>
      </c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</row>
    <row r="174" spans="1:57">
      <c r="A174" s="1" t="str">
        <f>'Population Definitions'!$A$6</f>
        <v>10-17_males</v>
      </c>
      <c r="B174" t="s">
        <v>61</v>
      </c>
      <c r="C174" t="s">
        <v>32</v>
      </c>
      <c r="D174" s="3"/>
      <c r="E174" s="3">
        <v>0</v>
      </c>
      <c r="F174" s="4" t="s">
        <v>37</v>
      </c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</row>
    <row r="175" spans="1:57">
      <c r="A175" s="1" t="str">
        <f>'Population Definitions'!$A$7</f>
        <v>10-17_females</v>
      </c>
      <c r="B175" t="s">
        <v>61</v>
      </c>
      <c r="C175" t="s">
        <v>32</v>
      </c>
      <c r="D175" s="3"/>
      <c r="E175" s="3">
        <v>0</v>
      </c>
      <c r="F175" s="4" t="s">
        <v>37</v>
      </c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</row>
    <row r="176" spans="1:57">
      <c r="A176" s="1" t="str">
        <f>'Population Definitions'!$A$8</f>
        <v>18-64_males</v>
      </c>
      <c r="B176" t="s">
        <v>61</v>
      </c>
      <c r="C176" t="s">
        <v>32</v>
      </c>
      <c r="D176" s="3"/>
      <c r="E176" s="3">
        <v>0</v>
      </c>
      <c r="F176" s="4" t="s">
        <v>37</v>
      </c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</row>
    <row r="177" spans="1:57">
      <c r="A177" s="1" t="str">
        <f>'Population Definitions'!$A$9</f>
        <v>18-64_females</v>
      </c>
      <c r="B177" t="s">
        <v>61</v>
      </c>
      <c r="C177" t="s">
        <v>32</v>
      </c>
      <c r="D177" s="3"/>
      <c r="E177" s="3">
        <v>0</v>
      </c>
      <c r="F177" s="4" t="s">
        <v>37</v>
      </c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</row>
    <row r="178" spans="1:57">
      <c r="A178" s="1" t="str">
        <f>'Population Definitions'!$A$10</f>
        <v>65+_males</v>
      </c>
      <c r="B178" t="s">
        <v>61</v>
      </c>
      <c r="C178" t="s">
        <v>32</v>
      </c>
      <c r="D178" s="3"/>
      <c r="E178" s="3">
        <v>0</v>
      </c>
      <c r="F178" s="4" t="s">
        <v>37</v>
      </c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</row>
    <row r="179" spans="1:57">
      <c r="A179" s="1" t="str">
        <f>'Population Definitions'!$A$11</f>
        <v>65+_females</v>
      </c>
      <c r="B179" t="s">
        <v>61</v>
      </c>
      <c r="C179" t="s">
        <v>32</v>
      </c>
      <c r="D179" s="3"/>
      <c r="E179" s="3">
        <v>0</v>
      </c>
      <c r="F179" s="4" t="s">
        <v>37</v>
      </c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</row>
    <row r="180" spans="1:57">
      <c r="A180" s="1" t="str">
        <f>'Population Definitions'!$A$12</f>
        <v>Prisoners_males</v>
      </c>
      <c r="B180" t="s">
        <v>61</v>
      </c>
      <c r="C180" t="s">
        <v>32</v>
      </c>
      <c r="D180" s="3"/>
      <c r="E180" s="3">
        <v>0</v>
      </c>
      <c r="F180" s="4" t="s">
        <v>37</v>
      </c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</row>
    <row r="181" spans="1:57">
      <c r="A181" s="1" t="str">
        <f>'Population Definitions'!$A$13</f>
        <v>Prisoners_females</v>
      </c>
      <c r="B181" t="s">
        <v>61</v>
      </c>
      <c r="C181" t="s">
        <v>32</v>
      </c>
      <c r="D181" s="3"/>
      <c r="E181" s="3">
        <v>0</v>
      </c>
      <c r="F181" s="4" t="s">
        <v>37</v>
      </c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</row>
    <row r="183" spans="1:57">
      <c r="A183" s="1" t="s">
        <v>139</v>
      </c>
      <c r="B183" s="1" t="s">
        <v>29</v>
      </c>
      <c r="C183" s="1" t="s">
        <v>30</v>
      </c>
      <c r="D183" s="1" t="s">
        <v>31</v>
      </c>
      <c r="E183" s="1" t="s">
        <v>36</v>
      </c>
      <c r="F183" s="1"/>
      <c r="G183" s="1">
        <v>2000</v>
      </c>
      <c r="H183" s="1">
        <v>2001</v>
      </c>
      <c r="I183" s="1">
        <v>2002</v>
      </c>
      <c r="J183" s="1">
        <v>2003</v>
      </c>
      <c r="K183" s="1">
        <v>2004</v>
      </c>
      <c r="L183" s="1">
        <v>2005</v>
      </c>
      <c r="M183" s="1">
        <v>2006</v>
      </c>
      <c r="N183" s="1">
        <v>2007</v>
      </c>
      <c r="O183" s="1">
        <v>2008</v>
      </c>
      <c r="P183" s="1">
        <v>2009</v>
      </c>
      <c r="Q183" s="1">
        <v>2010</v>
      </c>
      <c r="R183" s="1">
        <v>2011</v>
      </c>
      <c r="S183" s="1">
        <v>2012</v>
      </c>
      <c r="T183" s="1">
        <v>2013</v>
      </c>
      <c r="U183" s="1">
        <v>2014</v>
      </c>
      <c r="V183" s="1">
        <v>2015</v>
      </c>
      <c r="W183" s="1">
        <v>2016</v>
      </c>
      <c r="X183" s="1">
        <v>2017</v>
      </c>
      <c r="Y183" s="1">
        <v>2018</v>
      </c>
      <c r="Z183" s="1">
        <v>2019</v>
      </c>
      <c r="AA183" s="1">
        <v>2020</v>
      </c>
      <c r="AB183" s="1">
        <v>2021</v>
      </c>
      <c r="AC183" s="1">
        <v>2022</v>
      </c>
      <c r="AD183" s="1">
        <v>2023</v>
      </c>
      <c r="AE183" s="1">
        <v>2024</v>
      </c>
      <c r="AF183" s="1">
        <v>2025</v>
      </c>
      <c r="AG183" s="1">
        <v>2026</v>
      </c>
      <c r="AH183" s="1">
        <v>2027</v>
      </c>
      <c r="AI183" s="1">
        <v>2028</v>
      </c>
      <c r="AJ183" s="1">
        <v>2029</v>
      </c>
      <c r="AK183" s="1">
        <v>2030</v>
      </c>
      <c r="AL183" s="1">
        <v>2031</v>
      </c>
      <c r="AM183" s="1">
        <v>2032</v>
      </c>
      <c r="AN183" s="1">
        <v>2033</v>
      </c>
      <c r="AO183" s="1">
        <v>2034</v>
      </c>
      <c r="AP183" s="1">
        <v>2035</v>
      </c>
      <c r="AQ183" s="1">
        <v>2036</v>
      </c>
      <c r="AR183" s="1">
        <v>2037</v>
      </c>
      <c r="AS183" s="1">
        <v>2038</v>
      </c>
      <c r="AT183" s="1">
        <v>2039</v>
      </c>
      <c r="AU183" s="1">
        <v>2040</v>
      </c>
      <c r="AV183" s="1">
        <v>2041</v>
      </c>
      <c r="AW183" s="1">
        <v>2042</v>
      </c>
      <c r="AX183" s="1">
        <v>2043</v>
      </c>
      <c r="AY183" s="1">
        <v>2044</v>
      </c>
      <c r="AZ183" s="1">
        <v>2045</v>
      </c>
      <c r="BA183" s="1">
        <v>2046</v>
      </c>
      <c r="BB183" s="1">
        <v>2047</v>
      </c>
      <c r="BC183" s="1">
        <v>2048</v>
      </c>
      <c r="BD183" s="1">
        <v>2049</v>
      </c>
      <c r="BE183" s="1">
        <v>2050</v>
      </c>
    </row>
    <row r="184" spans="1:57">
      <c r="A184" s="1" t="str">
        <f>'Population Definitions'!$A$2</f>
        <v>PWID_males</v>
      </c>
      <c r="B184" t="s">
        <v>61</v>
      </c>
      <c r="C184" t="s">
        <v>32</v>
      </c>
      <c r="D184" s="3"/>
      <c r="E184" s="3">
        <v>0</v>
      </c>
      <c r="F184" s="4" t="s">
        <v>37</v>
      </c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</row>
    <row r="185" spans="1:57">
      <c r="A185" s="1" t="str">
        <f>'Population Definitions'!$A$3</f>
        <v>PWID_females</v>
      </c>
      <c r="B185" t="s">
        <v>61</v>
      </c>
      <c r="C185" t="s">
        <v>32</v>
      </c>
      <c r="D185" s="3"/>
      <c r="E185" s="3">
        <v>0</v>
      </c>
      <c r="F185" s="4" t="s">
        <v>37</v>
      </c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</row>
    <row r="186" spans="1:57">
      <c r="A186" s="1" t="str">
        <f>'Population Definitions'!$A$4</f>
        <v>0-9_males</v>
      </c>
      <c r="B186" t="s">
        <v>61</v>
      </c>
      <c r="C186" t="s">
        <v>32</v>
      </c>
      <c r="D186" s="3"/>
      <c r="E186" s="3">
        <v>0</v>
      </c>
      <c r="F186" s="4" t="s">
        <v>37</v>
      </c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</row>
    <row r="187" spans="1:57">
      <c r="A187" s="1" t="str">
        <f>'Population Definitions'!$A$5</f>
        <v>0-9_females</v>
      </c>
      <c r="B187" t="s">
        <v>61</v>
      </c>
      <c r="C187" t="s">
        <v>32</v>
      </c>
      <c r="D187" s="3"/>
      <c r="E187" s="3">
        <v>0</v>
      </c>
      <c r="F187" s="4" t="s">
        <v>37</v>
      </c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</row>
    <row r="188" spans="1:57">
      <c r="A188" s="1" t="str">
        <f>'Population Definitions'!$A$6</f>
        <v>10-17_males</v>
      </c>
      <c r="B188" t="s">
        <v>61</v>
      </c>
      <c r="C188" t="s">
        <v>32</v>
      </c>
      <c r="D188" s="3"/>
      <c r="E188" s="3">
        <v>0</v>
      </c>
      <c r="F188" s="4" t="s">
        <v>37</v>
      </c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</row>
    <row r="189" spans="1:57">
      <c r="A189" s="1" t="str">
        <f>'Population Definitions'!$A$7</f>
        <v>10-17_females</v>
      </c>
      <c r="B189" t="s">
        <v>61</v>
      </c>
      <c r="C189" t="s">
        <v>32</v>
      </c>
      <c r="D189" s="3"/>
      <c r="E189" s="3">
        <v>0</v>
      </c>
      <c r="F189" s="4" t="s">
        <v>37</v>
      </c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</row>
    <row r="190" spans="1:57">
      <c r="A190" s="1" t="str">
        <f>'Population Definitions'!$A$8</f>
        <v>18-64_males</v>
      </c>
      <c r="B190" t="s">
        <v>61</v>
      </c>
      <c r="C190" t="s">
        <v>32</v>
      </c>
      <c r="D190" s="3"/>
      <c r="E190" s="3">
        <v>0</v>
      </c>
      <c r="F190" s="4" t="s">
        <v>37</v>
      </c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</row>
    <row r="191" spans="1:57">
      <c r="A191" s="1" t="str">
        <f>'Population Definitions'!$A$9</f>
        <v>18-64_females</v>
      </c>
      <c r="B191" t="s">
        <v>61</v>
      </c>
      <c r="C191" t="s">
        <v>32</v>
      </c>
      <c r="D191" s="3"/>
      <c r="E191" s="3">
        <v>0</v>
      </c>
      <c r="F191" s="4" t="s">
        <v>37</v>
      </c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</row>
    <row r="192" spans="1:57">
      <c r="A192" s="1" t="str">
        <f>'Population Definitions'!$A$10</f>
        <v>65+_males</v>
      </c>
      <c r="B192" t="s">
        <v>61</v>
      </c>
      <c r="C192" t="s">
        <v>32</v>
      </c>
      <c r="D192" s="3"/>
      <c r="E192" s="3">
        <v>0</v>
      </c>
      <c r="F192" s="4" t="s">
        <v>37</v>
      </c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</row>
    <row r="193" spans="1:57">
      <c r="A193" s="1" t="str">
        <f>'Population Definitions'!$A$11</f>
        <v>65+_females</v>
      </c>
      <c r="B193" t="s">
        <v>61</v>
      </c>
      <c r="C193" t="s">
        <v>32</v>
      </c>
      <c r="D193" s="3"/>
      <c r="E193" s="3">
        <v>0</v>
      </c>
      <c r="F193" s="4" t="s">
        <v>37</v>
      </c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</row>
    <row r="194" spans="1:57">
      <c r="A194" s="1" t="str">
        <f>'Population Definitions'!$A$12</f>
        <v>Prisoners_males</v>
      </c>
      <c r="B194" t="s">
        <v>61</v>
      </c>
      <c r="C194" t="s">
        <v>32</v>
      </c>
      <c r="D194" s="3"/>
      <c r="E194" s="3">
        <v>0</v>
      </c>
      <c r="F194" s="4" t="s">
        <v>37</v>
      </c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</row>
    <row r="195" spans="1:57">
      <c r="A195" s="1" t="str">
        <f>'Population Definitions'!$A$13</f>
        <v>Prisoners_females</v>
      </c>
      <c r="B195" t="s">
        <v>61</v>
      </c>
      <c r="C195" t="s">
        <v>32</v>
      </c>
      <c r="D195" s="3"/>
      <c r="E195" s="3">
        <v>0</v>
      </c>
      <c r="F195" s="4" t="s">
        <v>37</v>
      </c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</row>
    <row r="197" spans="1:57">
      <c r="A197" s="1" t="s">
        <v>140</v>
      </c>
      <c r="B197" s="1" t="s">
        <v>29</v>
      </c>
      <c r="C197" s="1" t="s">
        <v>30</v>
      </c>
      <c r="D197" s="1" t="s">
        <v>31</v>
      </c>
      <c r="E197" s="1" t="s">
        <v>36</v>
      </c>
      <c r="F197" s="1"/>
      <c r="G197" s="1">
        <v>2000</v>
      </c>
      <c r="H197" s="1">
        <v>2001</v>
      </c>
      <c r="I197" s="1">
        <v>2002</v>
      </c>
      <c r="J197" s="1">
        <v>2003</v>
      </c>
      <c r="K197" s="1">
        <v>2004</v>
      </c>
      <c r="L197" s="1">
        <v>2005</v>
      </c>
      <c r="M197" s="1">
        <v>2006</v>
      </c>
      <c r="N197" s="1">
        <v>2007</v>
      </c>
      <c r="O197" s="1">
        <v>2008</v>
      </c>
      <c r="P197" s="1">
        <v>2009</v>
      </c>
      <c r="Q197" s="1">
        <v>2010</v>
      </c>
      <c r="R197" s="1">
        <v>2011</v>
      </c>
      <c r="S197" s="1">
        <v>2012</v>
      </c>
      <c r="T197" s="1">
        <v>2013</v>
      </c>
      <c r="U197" s="1">
        <v>2014</v>
      </c>
      <c r="V197" s="1">
        <v>2015</v>
      </c>
      <c r="W197" s="1">
        <v>2016</v>
      </c>
      <c r="X197" s="1">
        <v>2017</v>
      </c>
      <c r="Y197" s="1">
        <v>2018</v>
      </c>
      <c r="Z197" s="1">
        <v>2019</v>
      </c>
      <c r="AA197" s="1">
        <v>2020</v>
      </c>
      <c r="AB197" s="1">
        <v>2021</v>
      </c>
      <c r="AC197" s="1">
        <v>2022</v>
      </c>
      <c r="AD197" s="1">
        <v>2023</v>
      </c>
      <c r="AE197" s="1">
        <v>2024</v>
      </c>
      <c r="AF197" s="1">
        <v>2025</v>
      </c>
      <c r="AG197" s="1">
        <v>2026</v>
      </c>
      <c r="AH197" s="1">
        <v>2027</v>
      </c>
      <c r="AI197" s="1">
        <v>2028</v>
      </c>
      <c r="AJ197" s="1">
        <v>2029</v>
      </c>
      <c r="AK197" s="1">
        <v>2030</v>
      </c>
      <c r="AL197" s="1">
        <v>2031</v>
      </c>
      <c r="AM197" s="1">
        <v>2032</v>
      </c>
      <c r="AN197" s="1">
        <v>2033</v>
      </c>
      <c r="AO197" s="1">
        <v>2034</v>
      </c>
      <c r="AP197" s="1">
        <v>2035</v>
      </c>
      <c r="AQ197" s="1">
        <v>2036</v>
      </c>
      <c r="AR197" s="1">
        <v>2037</v>
      </c>
      <c r="AS197" s="1">
        <v>2038</v>
      </c>
      <c r="AT197" s="1">
        <v>2039</v>
      </c>
      <c r="AU197" s="1">
        <v>2040</v>
      </c>
      <c r="AV197" s="1">
        <v>2041</v>
      </c>
      <c r="AW197" s="1">
        <v>2042</v>
      </c>
      <c r="AX197" s="1">
        <v>2043</v>
      </c>
      <c r="AY197" s="1">
        <v>2044</v>
      </c>
      <c r="AZ197" s="1">
        <v>2045</v>
      </c>
      <c r="BA197" s="1">
        <v>2046</v>
      </c>
      <c r="BB197" s="1">
        <v>2047</v>
      </c>
      <c r="BC197" s="1">
        <v>2048</v>
      </c>
      <c r="BD197" s="1">
        <v>2049</v>
      </c>
      <c r="BE197" s="1">
        <v>2050</v>
      </c>
    </row>
    <row r="198" spans="1:57">
      <c r="A198" s="1" t="str">
        <f>'Population Definitions'!$A$2</f>
        <v>PWID_males</v>
      </c>
      <c r="B198" t="s">
        <v>61</v>
      </c>
      <c r="C198" t="s">
        <v>32</v>
      </c>
      <c r="D198" s="3"/>
      <c r="E198" s="3">
        <v>0</v>
      </c>
      <c r="F198" s="4" t="s">
        <v>37</v>
      </c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</row>
    <row r="199" spans="1:57">
      <c r="A199" s="1" t="str">
        <f>'Population Definitions'!$A$3</f>
        <v>PWID_females</v>
      </c>
      <c r="B199" t="s">
        <v>61</v>
      </c>
      <c r="C199" t="s">
        <v>32</v>
      </c>
      <c r="D199" s="3"/>
      <c r="E199" s="3">
        <v>0</v>
      </c>
      <c r="F199" s="4" t="s">
        <v>37</v>
      </c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</row>
    <row r="200" spans="1:57">
      <c r="A200" s="1" t="str">
        <f>'Population Definitions'!$A$4</f>
        <v>0-9_males</v>
      </c>
      <c r="B200" t="s">
        <v>61</v>
      </c>
      <c r="C200" t="s">
        <v>32</v>
      </c>
      <c r="D200" s="3"/>
      <c r="E200" s="3">
        <v>0</v>
      </c>
      <c r="F200" s="4" t="s">
        <v>37</v>
      </c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</row>
    <row r="201" spans="1:57">
      <c r="A201" s="1" t="str">
        <f>'Population Definitions'!$A$5</f>
        <v>0-9_females</v>
      </c>
      <c r="B201" t="s">
        <v>61</v>
      </c>
      <c r="C201" t="s">
        <v>32</v>
      </c>
      <c r="D201" s="3"/>
      <c r="E201" s="3">
        <v>0</v>
      </c>
      <c r="F201" s="4" t="s">
        <v>37</v>
      </c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</row>
    <row r="202" spans="1:57">
      <c r="A202" s="1" t="str">
        <f>'Population Definitions'!$A$6</f>
        <v>10-17_males</v>
      </c>
      <c r="B202" t="s">
        <v>61</v>
      </c>
      <c r="C202" t="s">
        <v>32</v>
      </c>
      <c r="D202" s="3"/>
      <c r="E202" s="3">
        <v>0</v>
      </c>
      <c r="F202" s="4" t="s">
        <v>37</v>
      </c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</row>
    <row r="203" spans="1:57">
      <c r="A203" s="1" t="str">
        <f>'Population Definitions'!$A$7</f>
        <v>10-17_females</v>
      </c>
      <c r="B203" t="s">
        <v>61</v>
      </c>
      <c r="C203" t="s">
        <v>32</v>
      </c>
      <c r="D203" s="3"/>
      <c r="E203" s="3">
        <v>0</v>
      </c>
      <c r="F203" s="4" t="s">
        <v>37</v>
      </c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</row>
    <row r="204" spans="1:57">
      <c r="A204" s="1" t="str">
        <f>'Population Definitions'!$A$8</f>
        <v>18-64_males</v>
      </c>
      <c r="B204" t="s">
        <v>61</v>
      </c>
      <c r="C204" t="s">
        <v>32</v>
      </c>
      <c r="D204" s="3"/>
      <c r="E204" s="3">
        <v>0</v>
      </c>
      <c r="F204" s="4" t="s">
        <v>37</v>
      </c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</row>
    <row r="205" spans="1:57">
      <c r="A205" s="1" t="str">
        <f>'Population Definitions'!$A$9</f>
        <v>18-64_females</v>
      </c>
      <c r="B205" t="s">
        <v>61</v>
      </c>
      <c r="C205" t="s">
        <v>32</v>
      </c>
      <c r="D205" s="3"/>
      <c r="E205" s="3">
        <v>0</v>
      </c>
      <c r="F205" s="4" t="s">
        <v>37</v>
      </c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</row>
    <row r="206" spans="1:57">
      <c r="A206" s="1" t="str">
        <f>'Population Definitions'!$A$10</f>
        <v>65+_males</v>
      </c>
      <c r="B206" t="s">
        <v>61</v>
      </c>
      <c r="C206" t="s">
        <v>32</v>
      </c>
      <c r="D206" s="3"/>
      <c r="E206" s="3">
        <v>0</v>
      </c>
      <c r="F206" s="4" t="s">
        <v>37</v>
      </c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</row>
    <row r="207" spans="1:57">
      <c r="A207" s="1" t="str">
        <f>'Population Definitions'!$A$11</f>
        <v>65+_females</v>
      </c>
      <c r="B207" t="s">
        <v>61</v>
      </c>
      <c r="C207" t="s">
        <v>32</v>
      </c>
      <c r="D207" s="3"/>
      <c r="E207" s="3">
        <v>0</v>
      </c>
      <c r="F207" s="4" t="s">
        <v>37</v>
      </c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</row>
    <row r="208" spans="1:57">
      <c r="A208" s="1" t="str">
        <f>'Population Definitions'!$A$12</f>
        <v>Prisoners_males</v>
      </c>
      <c r="B208" t="s">
        <v>61</v>
      </c>
      <c r="C208" t="s">
        <v>32</v>
      </c>
      <c r="D208" s="3"/>
      <c r="E208" s="3">
        <v>0</v>
      </c>
      <c r="F208" s="4" t="s">
        <v>37</v>
      </c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</row>
    <row r="209" spans="1:57">
      <c r="A209" s="1" t="str">
        <f>'Population Definitions'!$A$13</f>
        <v>Prisoners_females</v>
      </c>
      <c r="B209" t="s">
        <v>61</v>
      </c>
      <c r="C209" t="s">
        <v>32</v>
      </c>
      <c r="D209" s="3"/>
      <c r="E209" s="3">
        <v>0</v>
      </c>
      <c r="F209" s="4" t="s">
        <v>37</v>
      </c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</row>
    <row r="211" spans="1:57">
      <c r="A211" s="1" t="s">
        <v>141</v>
      </c>
      <c r="B211" s="1" t="s">
        <v>29</v>
      </c>
      <c r="C211" s="1" t="s">
        <v>30</v>
      </c>
      <c r="D211" s="1" t="s">
        <v>31</v>
      </c>
      <c r="E211" s="1" t="s">
        <v>36</v>
      </c>
      <c r="F211" s="1"/>
      <c r="G211" s="1">
        <v>2000</v>
      </c>
      <c r="H211" s="1">
        <v>2001</v>
      </c>
      <c r="I211" s="1">
        <v>2002</v>
      </c>
      <c r="J211" s="1">
        <v>2003</v>
      </c>
      <c r="K211" s="1">
        <v>2004</v>
      </c>
      <c r="L211" s="1">
        <v>2005</v>
      </c>
      <c r="M211" s="1">
        <v>2006</v>
      </c>
      <c r="N211" s="1">
        <v>2007</v>
      </c>
      <c r="O211" s="1">
        <v>2008</v>
      </c>
      <c r="P211" s="1">
        <v>2009</v>
      </c>
      <c r="Q211" s="1">
        <v>2010</v>
      </c>
      <c r="R211" s="1">
        <v>2011</v>
      </c>
      <c r="S211" s="1">
        <v>2012</v>
      </c>
      <c r="T211" s="1">
        <v>2013</v>
      </c>
      <c r="U211" s="1">
        <v>2014</v>
      </c>
      <c r="V211" s="1">
        <v>2015</v>
      </c>
      <c r="W211" s="1">
        <v>2016</v>
      </c>
      <c r="X211" s="1">
        <v>2017</v>
      </c>
      <c r="Y211" s="1">
        <v>2018</v>
      </c>
      <c r="Z211" s="1">
        <v>2019</v>
      </c>
      <c r="AA211" s="1">
        <v>2020</v>
      </c>
      <c r="AB211" s="1">
        <v>2021</v>
      </c>
      <c r="AC211" s="1">
        <v>2022</v>
      </c>
      <c r="AD211" s="1">
        <v>2023</v>
      </c>
      <c r="AE211" s="1">
        <v>2024</v>
      </c>
      <c r="AF211" s="1">
        <v>2025</v>
      </c>
      <c r="AG211" s="1">
        <v>2026</v>
      </c>
      <c r="AH211" s="1">
        <v>2027</v>
      </c>
      <c r="AI211" s="1">
        <v>2028</v>
      </c>
      <c r="AJ211" s="1">
        <v>2029</v>
      </c>
      <c r="AK211" s="1">
        <v>2030</v>
      </c>
      <c r="AL211" s="1">
        <v>2031</v>
      </c>
      <c r="AM211" s="1">
        <v>2032</v>
      </c>
      <c r="AN211" s="1">
        <v>2033</v>
      </c>
      <c r="AO211" s="1">
        <v>2034</v>
      </c>
      <c r="AP211" s="1">
        <v>2035</v>
      </c>
      <c r="AQ211" s="1">
        <v>2036</v>
      </c>
      <c r="AR211" s="1">
        <v>2037</v>
      </c>
      <c r="AS211" s="1">
        <v>2038</v>
      </c>
      <c r="AT211" s="1">
        <v>2039</v>
      </c>
      <c r="AU211" s="1">
        <v>2040</v>
      </c>
      <c r="AV211" s="1">
        <v>2041</v>
      </c>
      <c r="AW211" s="1">
        <v>2042</v>
      </c>
      <c r="AX211" s="1">
        <v>2043</v>
      </c>
      <c r="AY211" s="1">
        <v>2044</v>
      </c>
      <c r="AZ211" s="1">
        <v>2045</v>
      </c>
      <c r="BA211" s="1">
        <v>2046</v>
      </c>
      <c r="BB211" s="1">
        <v>2047</v>
      </c>
      <c r="BC211" s="1">
        <v>2048</v>
      </c>
      <c r="BD211" s="1">
        <v>2049</v>
      </c>
      <c r="BE211" s="1">
        <v>2050</v>
      </c>
    </row>
    <row r="212" spans="1:57">
      <c r="A212" s="1" t="str">
        <f>'Population Definitions'!$A$2</f>
        <v>PWID_males</v>
      </c>
      <c r="B212" t="s">
        <v>61</v>
      </c>
      <c r="C212" t="s">
        <v>32</v>
      </c>
      <c r="D212" s="3"/>
      <c r="E212" s="3">
        <v>0</v>
      </c>
      <c r="F212" s="4" t="s">
        <v>37</v>
      </c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</row>
    <row r="213" spans="1:57">
      <c r="A213" s="1" t="str">
        <f>'Population Definitions'!$A$3</f>
        <v>PWID_females</v>
      </c>
      <c r="B213" t="s">
        <v>61</v>
      </c>
      <c r="C213" t="s">
        <v>32</v>
      </c>
      <c r="D213" s="3"/>
      <c r="E213" s="3">
        <v>0</v>
      </c>
      <c r="F213" s="4" t="s">
        <v>37</v>
      </c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</row>
    <row r="214" spans="1:57">
      <c r="A214" s="1" t="str">
        <f>'Population Definitions'!$A$4</f>
        <v>0-9_males</v>
      </c>
      <c r="B214" t="s">
        <v>61</v>
      </c>
      <c r="C214" t="s">
        <v>32</v>
      </c>
      <c r="D214" s="3"/>
      <c r="E214" s="3">
        <v>0</v>
      </c>
      <c r="F214" s="4" t="s">
        <v>37</v>
      </c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</row>
    <row r="215" spans="1:57">
      <c r="A215" s="1" t="str">
        <f>'Population Definitions'!$A$5</f>
        <v>0-9_females</v>
      </c>
      <c r="B215" t="s">
        <v>61</v>
      </c>
      <c r="C215" t="s">
        <v>32</v>
      </c>
      <c r="D215" s="3"/>
      <c r="E215" s="3">
        <v>0</v>
      </c>
      <c r="F215" s="4" t="s">
        <v>37</v>
      </c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</row>
    <row r="216" spans="1:57">
      <c r="A216" s="1" t="str">
        <f>'Population Definitions'!$A$6</f>
        <v>10-17_males</v>
      </c>
      <c r="B216" t="s">
        <v>61</v>
      </c>
      <c r="C216" t="s">
        <v>32</v>
      </c>
      <c r="D216" s="3"/>
      <c r="E216" s="3">
        <v>0</v>
      </c>
      <c r="F216" s="4" t="s">
        <v>37</v>
      </c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</row>
    <row r="217" spans="1:57">
      <c r="A217" s="1" t="str">
        <f>'Population Definitions'!$A$7</f>
        <v>10-17_females</v>
      </c>
      <c r="B217" t="s">
        <v>61</v>
      </c>
      <c r="C217" t="s">
        <v>32</v>
      </c>
      <c r="D217" s="3"/>
      <c r="E217" s="3">
        <v>0</v>
      </c>
      <c r="F217" s="4" t="s">
        <v>37</v>
      </c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</row>
    <row r="218" spans="1:57">
      <c r="A218" s="1" t="str">
        <f>'Population Definitions'!$A$8</f>
        <v>18-64_males</v>
      </c>
      <c r="B218" t="s">
        <v>61</v>
      </c>
      <c r="C218" t="s">
        <v>32</v>
      </c>
      <c r="D218" s="3"/>
      <c r="E218" s="3">
        <v>0</v>
      </c>
      <c r="F218" s="4" t="s">
        <v>37</v>
      </c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</row>
    <row r="219" spans="1:57">
      <c r="A219" s="1" t="str">
        <f>'Population Definitions'!$A$9</f>
        <v>18-64_females</v>
      </c>
      <c r="B219" t="s">
        <v>61</v>
      </c>
      <c r="C219" t="s">
        <v>32</v>
      </c>
      <c r="D219" s="3"/>
      <c r="E219" s="3">
        <v>0</v>
      </c>
      <c r="F219" s="4" t="s">
        <v>37</v>
      </c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</row>
    <row r="220" spans="1:57">
      <c r="A220" s="1" t="str">
        <f>'Population Definitions'!$A$10</f>
        <v>65+_males</v>
      </c>
      <c r="B220" t="s">
        <v>61</v>
      </c>
      <c r="C220" t="s">
        <v>32</v>
      </c>
      <c r="D220" s="3"/>
      <c r="E220" s="3">
        <v>0</v>
      </c>
      <c r="F220" s="4" t="s">
        <v>37</v>
      </c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</row>
    <row r="221" spans="1:57">
      <c r="A221" s="1" t="str">
        <f>'Population Definitions'!$A$11</f>
        <v>65+_females</v>
      </c>
      <c r="B221" t="s">
        <v>61</v>
      </c>
      <c r="C221" t="s">
        <v>32</v>
      </c>
      <c r="D221" s="3"/>
      <c r="E221" s="3">
        <v>0</v>
      </c>
      <c r="F221" s="4" t="s">
        <v>37</v>
      </c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</row>
    <row r="222" spans="1:57">
      <c r="A222" s="1" t="str">
        <f>'Population Definitions'!$A$12</f>
        <v>Prisoners_males</v>
      </c>
      <c r="B222" t="s">
        <v>61</v>
      </c>
      <c r="C222" t="s">
        <v>32</v>
      </c>
      <c r="D222" s="3"/>
      <c r="E222" s="3">
        <v>0</v>
      </c>
      <c r="F222" s="4" t="s">
        <v>37</v>
      </c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</row>
    <row r="223" spans="1:57">
      <c r="A223" s="1" t="str">
        <f>'Population Definitions'!$A$13</f>
        <v>Prisoners_females</v>
      </c>
      <c r="B223" t="s">
        <v>61</v>
      </c>
      <c r="C223" t="s">
        <v>32</v>
      </c>
      <c r="D223" s="3"/>
      <c r="E223" s="3">
        <v>0</v>
      </c>
      <c r="F223" s="4" t="s">
        <v>37</v>
      </c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</row>
    <row r="225" spans="1:57">
      <c r="A225" s="1" t="s">
        <v>142</v>
      </c>
      <c r="B225" s="1" t="s">
        <v>29</v>
      </c>
      <c r="C225" s="1" t="s">
        <v>30</v>
      </c>
      <c r="D225" s="1" t="s">
        <v>31</v>
      </c>
      <c r="E225" s="1" t="s">
        <v>36</v>
      </c>
      <c r="F225" s="1"/>
      <c r="G225" s="1">
        <v>2000</v>
      </c>
      <c r="H225" s="1">
        <v>2001</v>
      </c>
      <c r="I225" s="1">
        <v>2002</v>
      </c>
      <c r="J225" s="1">
        <v>2003</v>
      </c>
      <c r="K225" s="1">
        <v>2004</v>
      </c>
      <c r="L225" s="1">
        <v>2005</v>
      </c>
      <c r="M225" s="1">
        <v>2006</v>
      </c>
      <c r="N225" s="1">
        <v>2007</v>
      </c>
      <c r="O225" s="1">
        <v>2008</v>
      </c>
      <c r="P225" s="1">
        <v>2009</v>
      </c>
      <c r="Q225" s="1">
        <v>2010</v>
      </c>
      <c r="R225" s="1">
        <v>2011</v>
      </c>
      <c r="S225" s="1">
        <v>2012</v>
      </c>
      <c r="T225" s="1">
        <v>2013</v>
      </c>
      <c r="U225" s="1">
        <v>2014</v>
      </c>
      <c r="V225" s="1">
        <v>2015</v>
      </c>
      <c r="W225" s="1">
        <v>2016</v>
      </c>
      <c r="X225" s="1">
        <v>2017</v>
      </c>
      <c r="Y225" s="1">
        <v>2018</v>
      </c>
      <c r="Z225" s="1">
        <v>2019</v>
      </c>
      <c r="AA225" s="1">
        <v>2020</v>
      </c>
      <c r="AB225" s="1">
        <v>2021</v>
      </c>
      <c r="AC225" s="1">
        <v>2022</v>
      </c>
      <c r="AD225" s="1">
        <v>2023</v>
      </c>
      <c r="AE225" s="1">
        <v>2024</v>
      </c>
      <c r="AF225" s="1">
        <v>2025</v>
      </c>
      <c r="AG225" s="1">
        <v>2026</v>
      </c>
      <c r="AH225" s="1">
        <v>2027</v>
      </c>
      <c r="AI225" s="1">
        <v>2028</v>
      </c>
      <c r="AJ225" s="1">
        <v>2029</v>
      </c>
      <c r="AK225" s="1">
        <v>2030</v>
      </c>
      <c r="AL225" s="1">
        <v>2031</v>
      </c>
      <c r="AM225" s="1">
        <v>2032</v>
      </c>
      <c r="AN225" s="1">
        <v>2033</v>
      </c>
      <c r="AO225" s="1">
        <v>2034</v>
      </c>
      <c r="AP225" s="1">
        <v>2035</v>
      </c>
      <c r="AQ225" s="1">
        <v>2036</v>
      </c>
      <c r="AR225" s="1">
        <v>2037</v>
      </c>
      <c r="AS225" s="1">
        <v>2038</v>
      </c>
      <c r="AT225" s="1">
        <v>2039</v>
      </c>
      <c r="AU225" s="1">
        <v>2040</v>
      </c>
      <c r="AV225" s="1">
        <v>2041</v>
      </c>
      <c r="AW225" s="1">
        <v>2042</v>
      </c>
      <c r="AX225" s="1">
        <v>2043</v>
      </c>
      <c r="AY225" s="1">
        <v>2044</v>
      </c>
      <c r="AZ225" s="1">
        <v>2045</v>
      </c>
      <c r="BA225" s="1">
        <v>2046</v>
      </c>
      <c r="BB225" s="1">
        <v>2047</v>
      </c>
      <c r="BC225" s="1">
        <v>2048</v>
      </c>
      <c r="BD225" s="1">
        <v>2049</v>
      </c>
      <c r="BE225" s="1">
        <v>2050</v>
      </c>
    </row>
    <row r="226" spans="1:57">
      <c r="A226" s="1" t="str">
        <f>'Population Definitions'!$A$2</f>
        <v>PWID_males</v>
      </c>
      <c r="B226" t="s">
        <v>61</v>
      </c>
      <c r="C226" t="s">
        <v>32</v>
      </c>
      <c r="D226" s="3"/>
      <c r="E226" s="3">
        <v>0</v>
      </c>
      <c r="F226" s="4" t="s">
        <v>37</v>
      </c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</row>
    <row r="227" spans="1:57">
      <c r="A227" s="1" t="str">
        <f>'Population Definitions'!$A$3</f>
        <v>PWID_females</v>
      </c>
      <c r="B227" t="s">
        <v>61</v>
      </c>
      <c r="C227" t="s">
        <v>32</v>
      </c>
      <c r="D227" s="3"/>
      <c r="E227" s="3">
        <v>0</v>
      </c>
      <c r="F227" s="4" t="s">
        <v>37</v>
      </c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</row>
    <row r="228" spans="1:57">
      <c r="A228" s="1" t="str">
        <f>'Population Definitions'!$A$4</f>
        <v>0-9_males</v>
      </c>
      <c r="B228" t="s">
        <v>61</v>
      </c>
      <c r="C228" t="s">
        <v>32</v>
      </c>
      <c r="D228" s="3"/>
      <c r="E228" s="3">
        <v>0</v>
      </c>
      <c r="F228" s="4" t="s">
        <v>37</v>
      </c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</row>
    <row r="229" spans="1:57">
      <c r="A229" s="1" t="str">
        <f>'Population Definitions'!$A$5</f>
        <v>0-9_females</v>
      </c>
      <c r="B229" t="s">
        <v>61</v>
      </c>
      <c r="C229" t="s">
        <v>32</v>
      </c>
      <c r="D229" s="3"/>
      <c r="E229" s="3">
        <v>0</v>
      </c>
      <c r="F229" s="4" t="s">
        <v>37</v>
      </c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</row>
    <row r="230" spans="1:57">
      <c r="A230" s="1" t="str">
        <f>'Population Definitions'!$A$6</f>
        <v>10-17_males</v>
      </c>
      <c r="B230" t="s">
        <v>61</v>
      </c>
      <c r="C230" t="s">
        <v>32</v>
      </c>
      <c r="D230" s="3"/>
      <c r="E230" s="3">
        <v>0</v>
      </c>
      <c r="F230" s="4" t="s">
        <v>37</v>
      </c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</row>
    <row r="231" spans="1:57">
      <c r="A231" s="1" t="str">
        <f>'Population Definitions'!$A$7</f>
        <v>10-17_females</v>
      </c>
      <c r="B231" t="s">
        <v>61</v>
      </c>
      <c r="C231" t="s">
        <v>32</v>
      </c>
      <c r="D231" s="3"/>
      <c r="E231" s="3">
        <v>0</v>
      </c>
      <c r="F231" s="4" t="s">
        <v>37</v>
      </c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</row>
    <row r="232" spans="1:57">
      <c r="A232" s="1" t="str">
        <f>'Population Definitions'!$A$8</f>
        <v>18-64_males</v>
      </c>
      <c r="B232" t="s">
        <v>61</v>
      </c>
      <c r="C232" t="s">
        <v>32</v>
      </c>
      <c r="D232" s="3"/>
      <c r="E232" s="3">
        <v>0</v>
      </c>
      <c r="F232" s="4" t="s">
        <v>37</v>
      </c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</row>
    <row r="233" spans="1:57">
      <c r="A233" s="1" t="str">
        <f>'Population Definitions'!$A$9</f>
        <v>18-64_females</v>
      </c>
      <c r="B233" t="s">
        <v>61</v>
      </c>
      <c r="C233" t="s">
        <v>32</v>
      </c>
      <c r="D233" s="3"/>
      <c r="E233" s="3">
        <v>0</v>
      </c>
      <c r="F233" s="4" t="s">
        <v>37</v>
      </c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</row>
    <row r="234" spans="1:57">
      <c r="A234" s="1" t="str">
        <f>'Population Definitions'!$A$10</f>
        <v>65+_males</v>
      </c>
      <c r="B234" t="s">
        <v>61</v>
      </c>
      <c r="C234" t="s">
        <v>32</v>
      </c>
      <c r="D234" s="3"/>
      <c r="E234" s="3">
        <v>0</v>
      </c>
      <c r="F234" s="4" t="s">
        <v>37</v>
      </c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</row>
    <row r="235" spans="1:57">
      <c r="A235" s="1" t="str">
        <f>'Population Definitions'!$A$11</f>
        <v>65+_females</v>
      </c>
      <c r="B235" t="s">
        <v>61</v>
      </c>
      <c r="C235" t="s">
        <v>32</v>
      </c>
      <c r="D235" s="3"/>
      <c r="E235" s="3">
        <v>0</v>
      </c>
      <c r="F235" s="4" t="s">
        <v>37</v>
      </c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</row>
    <row r="236" spans="1:57">
      <c r="A236" s="1" t="str">
        <f>'Population Definitions'!$A$12</f>
        <v>Prisoners_males</v>
      </c>
      <c r="B236" t="s">
        <v>61</v>
      </c>
      <c r="C236" t="s">
        <v>32</v>
      </c>
      <c r="D236" s="3"/>
      <c r="E236" s="3">
        <v>0</v>
      </c>
      <c r="F236" s="4" t="s">
        <v>37</v>
      </c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</row>
    <row r="237" spans="1:57">
      <c r="A237" s="1" t="str">
        <f>'Population Definitions'!$A$13</f>
        <v>Prisoners_females</v>
      </c>
      <c r="B237" t="s">
        <v>61</v>
      </c>
      <c r="C237" t="s">
        <v>32</v>
      </c>
      <c r="D237" s="3"/>
      <c r="E237" s="3">
        <v>0</v>
      </c>
      <c r="F237" s="4" t="s">
        <v>37</v>
      </c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</row>
    <row r="239" spans="1:57">
      <c r="A239" s="1" t="s">
        <v>143</v>
      </c>
      <c r="B239" s="1" t="s">
        <v>29</v>
      </c>
      <c r="C239" s="1" t="s">
        <v>30</v>
      </c>
      <c r="D239" s="1" t="s">
        <v>31</v>
      </c>
      <c r="E239" s="1" t="s">
        <v>36</v>
      </c>
      <c r="F239" s="1"/>
      <c r="G239" s="1">
        <v>2000</v>
      </c>
      <c r="H239" s="1">
        <v>2001</v>
      </c>
      <c r="I239" s="1">
        <v>2002</v>
      </c>
      <c r="J239" s="1">
        <v>2003</v>
      </c>
      <c r="K239" s="1">
        <v>2004</v>
      </c>
      <c r="L239" s="1">
        <v>2005</v>
      </c>
      <c r="M239" s="1">
        <v>2006</v>
      </c>
      <c r="N239" s="1">
        <v>2007</v>
      </c>
      <c r="O239" s="1">
        <v>2008</v>
      </c>
      <c r="P239" s="1">
        <v>2009</v>
      </c>
      <c r="Q239" s="1">
        <v>2010</v>
      </c>
      <c r="R239" s="1">
        <v>2011</v>
      </c>
      <c r="S239" s="1">
        <v>2012</v>
      </c>
      <c r="T239" s="1">
        <v>2013</v>
      </c>
      <c r="U239" s="1">
        <v>2014</v>
      </c>
      <c r="V239" s="1">
        <v>2015</v>
      </c>
      <c r="W239" s="1">
        <v>2016</v>
      </c>
      <c r="X239" s="1">
        <v>2017</v>
      </c>
      <c r="Y239" s="1">
        <v>2018</v>
      </c>
      <c r="Z239" s="1">
        <v>2019</v>
      </c>
      <c r="AA239" s="1">
        <v>2020</v>
      </c>
      <c r="AB239" s="1">
        <v>2021</v>
      </c>
      <c r="AC239" s="1">
        <v>2022</v>
      </c>
      <c r="AD239" s="1">
        <v>2023</v>
      </c>
      <c r="AE239" s="1">
        <v>2024</v>
      </c>
      <c r="AF239" s="1">
        <v>2025</v>
      </c>
      <c r="AG239" s="1">
        <v>2026</v>
      </c>
      <c r="AH239" s="1">
        <v>2027</v>
      </c>
      <c r="AI239" s="1">
        <v>2028</v>
      </c>
      <c r="AJ239" s="1">
        <v>2029</v>
      </c>
      <c r="AK239" s="1">
        <v>2030</v>
      </c>
      <c r="AL239" s="1">
        <v>2031</v>
      </c>
      <c r="AM239" s="1">
        <v>2032</v>
      </c>
      <c r="AN239" s="1">
        <v>2033</v>
      </c>
      <c r="AO239" s="1">
        <v>2034</v>
      </c>
      <c r="AP239" s="1">
        <v>2035</v>
      </c>
      <c r="AQ239" s="1">
        <v>2036</v>
      </c>
      <c r="AR239" s="1">
        <v>2037</v>
      </c>
      <c r="AS239" s="1">
        <v>2038</v>
      </c>
      <c r="AT239" s="1">
        <v>2039</v>
      </c>
      <c r="AU239" s="1">
        <v>2040</v>
      </c>
      <c r="AV239" s="1">
        <v>2041</v>
      </c>
      <c r="AW239" s="1">
        <v>2042</v>
      </c>
      <c r="AX239" s="1">
        <v>2043</v>
      </c>
      <c r="AY239" s="1">
        <v>2044</v>
      </c>
      <c r="AZ239" s="1">
        <v>2045</v>
      </c>
      <c r="BA239" s="1">
        <v>2046</v>
      </c>
      <c r="BB239" s="1">
        <v>2047</v>
      </c>
      <c r="BC239" s="1">
        <v>2048</v>
      </c>
      <c r="BD239" s="1">
        <v>2049</v>
      </c>
      <c r="BE239" s="1">
        <v>2050</v>
      </c>
    </row>
    <row r="240" spans="1:57">
      <c r="A240" s="1" t="str">
        <f>'Population Definitions'!$A$2</f>
        <v>PWID_males</v>
      </c>
      <c r="B240" t="s">
        <v>61</v>
      </c>
      <c r="C240" t="s">
        <v>32</v>
      </c>
      <c r="D240" s="3"/>
      <c r="E240" s="3">
        <v>0</v>
      </c>
      <c r="F240" s="4" t="s">
        <v>37</v>
      </c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</row>
    <row r="241" spans="1:57">
      <c r="A241" s="1" t="str">
        <f>'Population Definitions'!$A$3</f>
        <v>PWID_females</v>
      </c>
      <c r="B241" t="s">
        <v>61</v>
      </c>
      <c r="C241" t="s">
        <v>32</v>
      </c>
      <c r="D241" s="3"/>
      <c r="E241" s="3">
        <v>0</v>
      </c>
      <c r="F241" s="4" t="s">
        <v>37</v>
      </c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</row>
    <row r="242" spans="1:57">
      <c r="A242" s="1" t="str">
        <f>'Population Definitions'!$A$4</f>
        <v>0-9_males</v>
      </c>
      <c r="B242" t="s">
        <v>61</v>
      </c>
      <c r="C242" t="s">
        <v>32</v>
      </c>
      <c r="D242" s="3"/>
      <c r="E242" s="3">
        <v>0</v>
      </c>
      <c r="F242" s="4" t="s">
        <v>37</v>
      </c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</row>
    <row r="243" spans="1:57">
      <c r="A243" s="1" t="str">
        <f>'Population Definitions'!$A$5</f>
        <v>0-9_females</v>
      </c>
      <c r="B243" t="s">
        <v>61</v>
      </c>
      <c r="C243" t="s">
        <v>32</v>
      </c>
      <c r="D243" s="3"/>
      <c r="E243" s="3">
        <v>0</v>
      </c>
      <c r="F243" s="4" t="s">
        <v>37</v>
      </c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</row>
    <row r="244" spans="1:57">
      <c r="A244" s="1" t="str">
        <f>'Population Definitions'!$A$6</f>
        <v>10-17_males</v>
      </c>
      <c r="B244" t="s">
        <v>61</v>
      </c>
      <c r="C244" t="s">
        <v>32</v>
      </c>
      <c r="D244" s="3"/>
      <c r="E244" s="3">
        <v>0</v>
      </c>
      <c r="F244" s="4" t="s">
        <v>37</v>
      </c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</row>
    <row r="245" spans="1:57">
      <c r="A245" s="1" t="str">
        <f>'Population Definitions'!$A$7</f>
        <v>10-17_females</v>
      </c>
      <c r="B245" t="s">
        <v>61</v>
      </c>
      <c r="C245" t="s">
        <v>32</v>
      </c>
      <c r="D245" s="3"/>
      <c r="E245" s="3">
        <v>0</v>
      </c>
      <c r="F245" s="4" t="s">
        <v>37</v>
      </c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</row>
    <row r="246" spans="1:57">
      <c r="A246" s="1" t="str">
        <f>'Population Definitions'!$A$8</f>
        <v>18-64_males</v>
      </c>
      <c r="B246" t="s">
        <v>61</v>
      </c>
      <c r="C246" t="s">
        <v>32</v>
      </c>
      <c r="D246" s="3"/>
      <c r="E246" s="3">
        <v>0</v>
      </c>
      <c r="F246" s="4" t="s">
        <v>37</v>
      </c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</row>
    <row r="247" spans="1:57">
      <c r="A247" s="1" t="str">
        <f>'Population Definitions'!$A$9</f>
        <v>18-64_females</v>
      </c>
      <c r="B247" t="s">
        <v>61</v>
      </c>
      <c r="C247" t="s">
        <v>32</v>
      </c>
      <c r="D247" s="3"/>
      <c r="E247" s="3">
        <v>0</v>
      </c>
      <c r="F247" s="4" t="s">
        <v>37</v>
      </c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</row>
    <row r="248" spans="1:57">
      <c r="A248" s="1" t="str">
        <f>'Population Definitions'!$A$10</f>
        <v>65+_males</v>
      </c>
      <c r="B248" t="s">
        <v>61</v>
      </c>
      <c r="C248" t="s">
        <v>32</v>
      </c>
      <c r="D248" s="3"/>
      <c r="E248" s="3">
        <v>0</v>
      </c>
      <c r="F248" s="4" t="s">
        <v>37</v>
      </c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</row>
    <row r="249" spans="1:57">
      <c r="A249" s="1" t="str">
        <f>'Population Definitions'!$A$11</f>
        <v>65+_females</v>
      </c>
      <c r="B249" t="s">
        <v>61</v>
      </c>
      <c r="C249" t="s">
        <v>32</v>
      </c>
      <c r="D249" s="3"/>
      <c r="E249" s="3">
        <v>0</v>
      </c>
      <c r="F249" s="4" t="s">
        <v>37</v>
      </c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</row>
    <row r="250" spans="1:57">
      <c r="A250" s="1" t="str">
        <f>'Population Definitions'!$A$12</f>
        <v>Prisoners_males</v>
      </c>
      <c r="B250" t="s">
        <v>61</v>
      </c>
      <c r="C250" t="s">
        <v>32</v>
      </c>
      <c r="D250" s="3"/>
      <c r="E250" s="3">
        <v>0</v>
      </c>
      <c r="F250" s="4" t="s">
        <v>37</v>
      </c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</row>
    <row r="251" spans="1:57">
      <c r="A251" s="1" t="str">
        <f>'Population Definitions'!$A$13</f>
        <v>Prisoners_females</v>
      </c>
      <c r="B251" t="s">
        <v>61</v>
      </c>
      <c r="C251" t="s">
        <v>32</v>
      </c>
      <c r="D251" s="3"/>
      <c r="E251" s="3">
        <v>0</v>
      </c>
      <c r="F251" s="4" t="s">
        <v>37</v>
      </c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</row>
    <row r="253" spans="1:57">
      <c r="A253" s="1" t="s">
        <v>144</v>
      </c>
      <c r="B253" s="1" t="s">
        <v>29</v>
      </c>
      <c r="C253" s="1" t="s">
        <v>30</v>
      </c>
      <c r="D253" s="1" t="s">
        <v>31</v>
      </c>
      <c r="E253" s="1">
        <v>2000</v>
      </c>
      <c r="F253" s="1">
        <v>2001</v>
      </c>
      <c r="G253" s="1">
        <v>2002</v>
      </c>
      <c r="H253" s="1">
        <v>2003</v>
      </c>
      <c r="I253" s="1">
        <v>2004</v>
      </c>
      <c r="J253" s="1">
        <v>2005</v>
      </c>
      <c r="K253" s="1">
        <v>2006</v>
      </c>
      <c r="L253" s="1">
        <v>2007</v>
      </c>
      <c r="M253" s="1">
        <v>2008</v>
      </c>
      <c r="N253" s="1">
        <v>2009</v>
      </c>
      <c r="O253" s="1">
        <v>2010</v>
      </c>
      <c r="P253" s="1">
        <v>2011</v>
      </c>
      <c r="Q253" s="1">
        <v>2012</v>
      </c>
      <c r="R253" s="1">
        <v>2013</v>
      </c>
      <c r="S253" s="1">
        <v>2014</v>
      </c>
      <c r="T253" s="1">
        <v>2015</v>
      </c>
      <c r="U253" s="1">
        <v>2016</v>
      </c>
      <c r="V253" s="1">
        <v>2017</v>
      </c>
      <c r="W253" s="1">
        <v>2018</v>
      </c>
      <c r="X253" s="1">
        <v>2019</v>
      </c>
      <c r="Y253" s="1">
        <v>2020</v>
      </c>
      <c r="Z253" s="1">
        <v>2021</v>
      </c>
      <c r="AA253" s="1">
        <v>2022</v>
      </c>
      <c r="AB253" s="1">
        <v>2023</v>
      </c>
      <c r="AC253" s="1">
        <v>2024</v>
      </c>
      <c r="AD253" s="1">
        <v>2025</v>
      </c>
      <c r="AE253" s="1">
        <v>2026</v>
      </c>
      <c r="AF253" s="1">
        <v>2027</v>
      </c>
      <c r="AG253" s="1">
        <v>2028</v>
      </c>
      <c r="AH253" s="1">
        <v>2029</v>
      </c>
      <c r="AI253" s="1">
        <v>2030</v>
      </c>
      <c r="AJ253" s="1">
        <v>2031</v>
      </c>
      <c r="AK253" s="1">
        <v>2032</v>
      </c>
      <c r="AL253" s="1">
        <v>2033</v>
      </c>
      <c r="AM253" s="1">
        <v>2034</v>
      </c>
      <c r="AN253" s="1">
        <v>2035</v>
      </c>
      <c r="AO253" s="1">
        <v>2036</v>
      </c>
      <c r="AP253" s="1">
        <v>2037</v>
      </c>
      <c r="AQ253" s="1">
        <v>2038</v>
      </c>
      <c r="AR253" s="1">
        <v>2039</v>
      </c>
      <c r="AS253" s="1">
        <v>2040</v>
      </c>
      <c r="AT253" s="1">
        <v>2041</v>
      </c>
      <c r="AU253" s="1">
        <v>2042</v>
      </c>
      <c r="AV253" s="1">
        <v>2043</v>
      </c>
      <c r="AW253" s="1">
        <v>2044</v>
      </c>
      <c r="AX253" s="1">
        <v>2045</v>
      </c>
      <c r="AY253" s="1">
        <v>2046</v>
      </c>
      <c r="AZ253" s="1">
        <v>2047</v>
      </c>
      <c r="BA253" s="1">
        <v>2048</v>
      </c>
      <c r="BB253" s="1">
        <v>2049</v>
      </c>
      <c r="BC253" s="1">
        <v>2050</v>
      </c>
    </row>
    <row r="254" spans="1:57">
      <c r="A254" s="1" t="str">
        <f>'Population Definitions'!$A$2</f>
        <v>PWID_males</v>
      </c>
      <c r="C254" t="s">
        <v>32</v>
      </c>
      <c r="D254" s="3"/>
      <c r="E254" s="3">
        <v>1023.7712505696</v>
      </c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</row>
    <row r="255" spans="1:57">
      <c r="A255" s="1" t="str">
        <f>'Population Definitions'!$A$3</f>
        <v>PWID_females</v>
      </c>
      <c r="C255" t="s">
        <v>32</v>
      </c>
      <c r="D255" s="3"/>
      <c r="E255" s="3">
        <v>146.113856478</v>
      </c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</row>
    <row r="256" spans="1:57">
      <c r="A256" s="1" t="str">
        <f>'Population Definitions'!$A$4</f>
        <v>0-9_males</v>
      </c>
      <c r="C256" t="s">
        <v>32</v>
      </c>
      <c r="D256" s="3"/>
      <c r="E256" s="3">
        <v>0</v>
      </c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</row>
    <row r="257" spans="1:55">
      <c r="A257" s="1" t="str">
        <f>'Population Definitions'!$A$5</f>
        <v>0-9_females</v>
      </c>
      <c r="C257" t="s">
        <v>32</v>
      </c>
      <c r="D257" s="3"/>
      <c r="E257" s="3">
        <v>0</v>
      </c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</row>
    <row r="258" spans="1:55">
      <c r="A258" s="1" t="str">
        <f>'Population Definitions'!$A$6</f>
        <v>10-17_males</v>
      </c>
      <c r="C258" t="s">
        <v>32</v>
      </c>
      <c r="D258" s="3"/>
      <c r="E258" s="3">
        <v>0</v>
      </c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</row>
    <row r="259" spans="1:55">
      <c r="A259" s="1" t="str">
        <f>'Population Definitions'!$A$7</f>
        <v>10-17_females</v>
      </c>
      <c r="C259" t="s">
        <v>32</v>
      </c>
      <c r="D259" s="3"/>
      <c r="E259" s="3">
        <v>0</v>
      </c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</row>
    <row r="260" spans="1:55">
      <c r="A260" s="1" t="str">
        <f>'Population Definitions'!$A$8</f>
        <v>18-64_males</v>
      </c>
      <c r="C260" t="s">
        <v>32</v>
      </c>
      <c r="D260" s="3"/>
      <c r="E260" s="3">
        <v>120020.2088889306</v>
      </c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</row>
    <row r="261" spans="1:55">
      <c r="A261" s="1" t="str">
        <f>'Population Definitions'!$A$9</f>
        <v>18-64_females</v>
      </c>
      <c r="C261" t="s">
        <v>32</v>
      </c>
      <c r="D261" s="3"/>
      <c r="E261" s="3">
        <v>130602.4530437527</v>
      </c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</row>
    <row r="262" spans="1:55">
      <c r="A262" s="1" t="str">
        <f>'Population Definitions'!$A$10</f>
        <v>65+_males</v>
      </c>
      <c r="C262" t="s">
        <v>32</v>
      </c>
      <c r="D262" s="3"/>
      <c r="E262" s="3">
        <v>7143.649770649035</v>
      </c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</row>
    <row r="263" spans="1:55">
      <c r="A263" s="1" t="str">
        <f>'Population Definitions'!$A$11</f>
        <v>65+_females</v>
      </c>
      <c r="C263" t="s">
        <v>32</v>
      </c>
      <c r="D263" s="3"/>
      <c r="E263" s="3">
        <v>9857.530093909827</v>
      </c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</row>
    <row r="264" spans="1:55">
      <c r="A264" s="1" t="str">
        <f>'Population Definitions'!$A$12</f>
        <v>Prisoners_males</v>
      </c>
      <c r="C264" t="s">
        <v>32</v>
      </c>
      <c r="D264" s="3"/>
      <c r="E264" s="3">
        <v>263.610364753148</v>
      </c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</row>
    <row r="265" spans="1:55">
      <c r="A265" s="1" t="str">
        <f>'Population Definitions'!$A$13</f>
        <v>Prisoners_females</v>
      </c>
      <c r="C265" t="s">
        <v>32</v>
      </c>
      <c r="D265" s="3"/>
      <c r="E265" s="3">
        <v>2.662730957102508</v>
      </c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</row>
    <row r="267" spans="1:55">
      <c r="A267" s="1" t="s">
        <v>145</v>
      </c>
      <c r="B267" s="1" t="s">
        <v>29</v>
      </c>
      <c r="C267" s="1" t="s">
        <v>30</v>
      </c>
      <c r="D267" s="1" t="s">
        <v>31</v>
      </c>
      <c r="E267" s="1">
        <v>2000</v>
      </c>
      <c r="F267" s="1">
        <v>2001</v>
      </c>
      <c r="G267" s="1">
        <v>2002</v>
      </c>
      <c r="H267" s="1">
        <v>2003</v>
      </c>
      <c r="I267" s="1">
        <v>2004</v>
      </c>
      <c r="J267" s="1">
        <v>2005</v>
      </c>
      <c r="K267" s="1">
        <v>2006</v>
      </c>
      <c r="L267" s="1">
        <v>2007</v>
      </c>
      <c r="M267" s="1">
        <v>2008</v>
      </c>
      <c r="N267" s="1">
        <v>2009</v>
      </c>
      <c r="O267" s="1">
        <v>2010</v>
      </c>
      <c r="P267" s="1">
        <v>2011</v>
      </c>
      <c r="Q267" s="1">
        <v>2012</v>
      </c>
      <c r="R267" s="1">
        <v>2013</v>
      </c>
      <c r="S267" s="1">
        <v>2014</v>
      </c>
      <c r="T267" s="1">
        <v>2015</v>
      </c>
      <c r="U267" s="1">
        <v>2016</v>
      </c>
      <c r="V267" s="1">
        <v>2017</v>
      </c>
      <c r="W267" s="1">
        <v>2018</v>
      </c>
      <c r="X267" s="1">
        <v>2019</v>
      </c>
      <c r="Y267" s="1">
        <v>2020</v>
      </c>
      <c r="Z267" s="1">
        <v>2021</v>
      </c>
      <c r="AA267" s="1">
        <v>2022</v>
      </c>
      <c r="AB267" s="1">
        <v>2023</v>
      </c>
      <c r="AC267" s="1">
        <v>2024</v>
      </c>
      <c r="AD267" s="1">
        <v>2025</v>
      </c>
      <c r="AE267" s="1">
        <v>2026</v>
      </c>
      <c r="AF267" s="1">
        <v>2027</v>
      </c>
      <c r="AG267" s="1">
        <v>2028</v>
      </c>
      <c r="AH267" s="1">
        <v>2029</v>
      </c>
      <c r="AI267" s="1">
        <v>2030</v>
      </c>
      <c r="AJ267" s="1">
        <v>2031</v>
      </c>
      <c r="AK267" s="1">
        <v>2032</v>
      </c>
      <c r="AL267" s="1">
        <v>2033</v>
      </c>
      <c r="AM267" s="1">
        <v>2034</v>
      </c>
      <c r="AN267" s="1">
        <v>2035</v>
      </c>
      <c r="AO267" s="1">
        <v>2036</v>
      </c>
      <c r="AP267" s="1">
        <v>2037</v>
      </c>
      <c r="AQ267" s="1">
        <v>2038</v>
      </c>
      <c r="AR267" s="1">
        <v>2039</v>
      </c>
      <c r="AS267" s="1">
        <v>2040</v>
      </c>
      <c r="AT267" s="1">
        <v>2041</v>
      </c>
      <c r="AU267" s="1">
        <v>2042</v>
      </c>
      <c r="AV267" s="1">
        <v>2043</v>
      </c>
      <c r="AW267" s="1">
        <v>2044</v>
      </c>
      <c r="AX267" s="1">
        <v>2045</v>
      </c>
      <c r="AY267" s="1">
        <v>2046</v>
      </c>
      <c r="AZ267" s="1">
        <v>2047</v>
      </c>
      <c r="BA267" s="1">
        <v>2048</v>
      </c>
      <c r="BB267" s="1">
        <v>2049</v>
      </c>
      <c r="BC267" s="1">
        <v>2050</v>
      </c>
    </row>
    <row r="268" spans="1:55">
      <c r="A268" s="1" t="str">
        <f>'Population Definitions'!$A$2</f>
        <v>PWID_males</v>
      </c>
      <c r="C268" t="s">
        <v>32</v>
      </c>
      <c r="D268" s="3"/>
      <c r="E268" s="3">
        <v>0</v>
      </c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</row>
    <row r="269" spans="1:55">
      <c r="A269" s="1" t="str">
        <f>'Population Definitions'!$A$3</f>
        <v>PWID_females</v>
      </c>
      <c r="C269" t="s">
        <v>32</v>
      </c>
      <c r="D269" s="3"/>
      <c r="E269" s="3">
        <v>0</v>
      </c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</row>
    <row r="270" spans="1:55">
      <c r="A270" s="1" t="str">
        <f>'Population Definitions'!$A$4</f>
        <v>0-9_males</v>
      </c>
      <c r="C270" t="s">
        <v>32</v>
      </c>
      <c r="D270" s="3"/>
      <c r="E270" s="3">
        <v>0</v>
      </c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</row>
    <row r="271" spans="1:55">
      <c r="A271" s="1" t="str">
        <f>'Population Definitions'!$A$5</f>
        <v>0-9_females</v>
      </c>
      <c r="C271" t="s">
        <v>32</v>
      </c>
      <c r="D271" s="3"/>
      <c r="E271" s="3">
        <v>0</v>
      </c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</row>
    <row r="272" spans="1:55">
      <c r="A272" s="1" t="str">
        <f>'Population Definitions'!$A$6</f>
        <v>10-17_males</v>
      </c>
      <c r="C272" t="s">
        <v>32</v>
      </c>
      <c r="D272" s="3"/>
      <c r="E272" s="3">
        <v>0</v>
      </c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</row>
    <row r="273" spans="1:55">
      <c r="A273" s="1" t="str">
        <f>'Population Definitions'!$A$7</f>
        <v>10-17_females</v>
      </c>
      <c r="C273" t="s">
        <v>32</v>
      </c>
      <c r="D273" s="3"/>
      <c r="E273" s="3">
        <v>0</v>
      </c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</row>
    <row r="274" spans="1:55">
      <c r="A274" s="1" t="str">
        <f>'Population Definitions'!$A$8</f>
        <v>18-64_males</v>
      </c>
      <c r="C274" t="s">
        <v>32</v>
      </c>
      <c r="D274" s="3"/>
      <c r="E274" s="3">
        <v>0</v>
      </c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</row>
    <row r="275" spans="1:55">
      <c r="A275" s="1" t="str">
        <f>'Population Definitions'!$A$9</f>
        <v>18-64_females</v>
      </c>
      <c r="C275" t="s">
        <v>32</v>
      </c>
      <c r="D275" s="3"/>
      <c r="E275" s="3">
        <v>0</v>
      </c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</row>
    <row r="276" spans="1:55">
      <c r="A276" s="1" t="str">
        <f>'Population Definitions'!$A$10</f>
        <v>65+_males</v>
      </c>
      <c r="C276" t="s">
        <v>32</v>
      </c>
      <c r="D276" s="3"/>
      <c r="E276" s="3">
        <v>0</v>
      </c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</row>
    <row r="277" spans="1:55">
      <c r="A277" s="1" t="str">
        <f>'Population Definitions'!$A$11</f>
        <v>65+_females</v>
      </c>
      <c r="C277" t="s">
        <v>32</v>
      </c>
      <c r="D277" s="3"/>
      <c r="E277" s="3">
        <v>0</v>
      </c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</row>
    <row r="278" spans="1:55">
      <c r="A278" s="1" t="str">
        <f>'Population Definitions'!$A$12</f>
        <v>Prisoners_males</v>
      </c>
      <c r="C278" t="s">
        <v>32</v>
      </c>
      <c r="D278" s="3"/>
      <c r="E278" s="3">
        <v>0</v>
      </c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</row>
    <row r="279" spans="1:55">
      <c r="A279" s="1" t="str">
        <f>'Population Definitions'!$A$13</f>
        <v>Prisoners_females</v>
      </c>
      <c r="C279" t="s">
        <v>32</v>
      </c>
      <c r="D279" s="3"/>
      <c r="E279" s="3">
        <v>0</v>
      </c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</row>
    <row r="281" spans="1:55">
      <c r="A281" s="1" t="s">
        <v>146</v>
      </c>
      <c r="B281" s="1" t="s">
        <v>29</v>
      </c>
      <c r="C281" s="1" t="s">
        <v>30</v>
      </c>
      <c r="D281" s="1" t="s">
        <v>31</v>
      </c>
      <c r="E281" s="1">
        <v>2000</v>
      </c>
      <c r="F281" s="1">
        <v>2001</v>
      </c>
      <c r="G281" s="1">
        <v>2002</v>
      </c>
      <c r="H281" s="1">
        <v>2003</v>
      </c>
      <c r="I281" s="1">
        <v>2004</v>
      </c>
      <c r="J281" s="1">
        <v>2005</v>
      </c>
      <c r="K281" s="1">
        <v>2006</v>
      </c>
      <c r="L281" s="1">
        <v>2007</v>
      </c>
      <c r="M281" s="1">
        <v>2008</v>
      </c>
      <c r="N281" s="1">
        <v>2009</v>
      </c>
      <c r="O281" s="1">
        <v>2010</v>
      </c>
      <c r="P281" s="1">
        <v>2011</v>
      </c>
      <c r="Q281" s="1">
        <v>2012</v>
      </c>
      <c r="R281" s="1">
        <v>2013</v>
      </c>
      <c r="S281" s="1">
        <v>2014</v>
      </c>
      <c r="T281" s="1">
        <v>2015</v>
      </c>
      <c r="U281" s="1">
        <v>2016</v>
      </c>
      <c r="V281" s="1">
        <v>2017</v>
      </c>
      <c r="W281" s="1">
        <v>2018</v>
      </c>
      <c r="X281" s="1">
        <v>2019</v>
      </c>
      <c r="Y281" s="1">
        <v>2020</v>
      </c>
      <c r="Z281" s="1">
        <v>2021</v>
      </c>
      <c r="AA281" s="1">
        <v>2022</v>
      </c>
      <c r="AB281" s="1">
        <v>2023</v>
      </c>
      <c r="AC281" s="1">
        <v>2024</v>
      </c>
      <c r="AD281" s="1">
        <v>2025</v>
      </c>
      <c r="AE281" s="1">
        <v>2026</v>
      </c>
      <c r="AF281" s="1">
        <v>2027</v>
      </c>
      <c r="AG281" s="1">
        <v>2028</v>
      </c>
      <c r="AH281" s="1">
        <v>2029</v>
      </c>
      <c r="AI281" s="1">
        <v>2030</v>
      </c>
      <c r="AJ281" s="1">
        <v>2031</v>
      </c>
      <c r="AK281" s="1">
        <v>2032</v>
      </c>
      <c r="AL281" s="1">
        <v>2033</v>
      </c>
      <c r="AM281" s="1">
        <v>2034</v>
      </c>
      <c r="AN281" s="1">
        <v>2035</v>
      </c>
      <c r="AO281" s="1">
        <v>2036</v>
      </c>
      <c r="AP281" s="1">
        <v>2037</v>
      </c>
      <c r="AQ281" s="1">
        <v>2038</v>
      </c>
      <c r="AR281" s="1">
        <v>2039</v>
      </c>
      <c r="AS281" s="1">
        <v>2040</v>
      </c>
      <c r="AT281" s="1">
        <v>2041</v>
      </c>
      <c r="AU281" s="1">
        <v>2042</v>
      </c>
      <c r="AV281" s="1">
        <v>2043</v>
      </c>
      <c r="AW281" s="1">
        <v>2044</v>
      </c>
      <c r="AX281" s="1">
        <v>2045</v>
      </c>
      <c r="AY281" s="1">
        <v>2046</v>
      </c>
      <c r="AZ281" s="1">
        <v>2047</v>
      </c>
      <c r="BA281" s="1">
        <v>2048</v>
      </c>
      <c r="BB281" s="1">
        <v>2049</v>
      </c>
      <c r="BC281" s="1">
        <v>2050</v>
      </c>
    </row>
    <row r="282" spans="1:55">
      <c r="A282" s="1" t="str">
        <f>'Population Definitions'!$A$2</f>
        <v>PWID_males</v>
      </c>
      <c r="C282" t="s">
        <v>32</v>
      </c>
      <c r="D282" s="3"/>
      <c r="E282" s="3">
        <v>0</v>
      </c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</row>
    <row r="283" spans="1:55">
      <c r="A283" s="1" t="str">
        <f>'Population Definitions'!$A$3</f>
        <v>PWID_females</v>
      </c>
      <c r="C283" t="s">
        <v>32</v>
      </c>
      <c r="D283" s="3"/>
      <c r="E283" s="3">
        <v>0</v>
      </c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</row>
    <row r="284" spans="1:55">
      <c r="A284" s="1" t="str">
        <f>'Population Definitions'!$A$4</f>
        <v>0-9_males</v>
      </c>
      <c r="C284" t="s">
        <v>32</v>
      </c>
      <c r="D284" s="3"/>
      <c r="E284" s="3">
        <v>0</v>
      </c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</row>
    <row r="285" spans="1:55">
      <c r="A285" s="1" t="str">
        <f>'Population Definitions'!$A$5</f>
        <v>0-9_females</v>
      </c>
      <c r="C285" t="s">
        <v>32</v>
      </c>
      <c r="D285" s="3"/>
      <c r="E285" s="3">
        <v>0</v>
      </c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</row>
    <row r="286" spans="1:55">
      <c r="A286" s="1" t="str">
        <f>'Population Definitions'!$A$6</f>
        <v>10-17_males</v>
      </c>
      <c r="C286" t="s">
        <v>32</v>
      </c>
      <c r="D286" s="3"/>
      <c r="E286" s="3">
        <v>0</v>
      </c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</row>
    <row r="287" spans="1:55">
      <c r="A287" s="1" t="str">
        <f>'Population Definitions'!$A$7</f>
        <v>10-17_females</v>
      </c>
      <c r="C287" t="s">
        <v>32</v>
      </c>
      <c r="D287" s="3"/>
      <c r="E287" s="3">
        <v>0</v>
      </c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</row>
    <row r="288" spans="1:55">
      <c r="A288" s="1" t="str">
        <f>'Population Definitions'!$A$8</f>
        <v>18-64_males</v>
      </c>
      <c r="C288" t="s">
        <v>32</v>
      </c>
      <c r="D288" s="3"/>
      <c r="E288" s="3">
        <v>0</v>
      </c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</row>
    <row r="289" spans="1:55">
      <c r="A289" s="1" t="str">
        <f>'Population Definitions'!$A$9</f>
        <v>18-64_females</v>
      </c>
      <c r="C289" t="s">
        <v>32</v>
      </c>
      <c r="D289" s="3"/>
      <c r="E289" s="3">
        <v>0</v>
      </c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</row>
    <row r="290" spans="1:55">
      <c r="A290" s="1" t="str">
        <f>'Population Definitions'!$A$10</f>
        <v>65+_males</v>
      </c>
      <c r="C290" t="s">
        <v>32</v>
      </c>
      <c r="D290" s="3"/>
      <c r="E290" s="3">
        <v>0</v>
      </c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</row>
    <row r="291" spans="1:55">
      <c r="A291" s="1" t="str">
        <f>'Population Definitions'!$A$11</f>
        <v>65+_females</v>
      </c>
      <c r="C291" t="s">
        <v>32</v>
      </c>
      <c r="D291" s="3"/>
      <c r="E291" s="3">
        <v>0</v>
      </c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</row>
    <row r="292" spans="1:55">
      <c r="A292" s="1" t="str">
        <f>'Population Definitions'!$A$12</f>
        <v>Prisoners_males</v>
      </c>
      <c r="C292" t="s">
        <v>32</v>
      </c>
      <c r="D292" s="3"/>
      <c r="E292" s="3">
        <v>0</v>
      </c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</row>
    <row r="293" spans="1:55">
      <c r="A293" s="1" t="str">
        <f>'Population Definitions'!$A$13</f>
        <v>Prisoners_females</v>
      </c>
      <c r="C293" t="s">
        <v>32</v>
      </c>
      <c r="D293" s="3"/>
      <c r="E293" s="3">
        <v>0</v>
      </c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</row>
    <row r="295" spans="1:55">
      <c r="A295" s="1" t="s">
        <v>147</v>
      </c>
      <c r="B295" s="1" t="s">
        <v>29</v>
      </c>
      <c r="C295" s="1" t="s">
        <v>30</v>
      </c>
      <c r="D295" s="1" t="s">
        <v>31</v>
      </c>
      <c r="E295" s="1">
        <v>2000</v>
      </c>
      <c r="F295" s="1">
        <v>2001</v>
      </c>
      <c r="G295" s="1">
        <v>2002</v>
      </c>
      <c r="H295" s="1">
        <v>2003</v>
      </c>
      <c r="I295" s="1">
        <v>2004</v>
      </c>
      <c r="J295" s="1">
        <v>2005</v>
      </c>
      <c r="K295" s="1">
        <v>2006</v>
      </c>
      <c r="L295" s="1">
        <v>2007</v>
      </c>
      <c r="M295" s="1">
        <v>2008</v>
      </c>
      <c r="N295" s="1">
        <v>2009</v>
      </c>
      <c r="O295" s="1">
        <v>2010</v>
      </c>
      <c r="P295" s="1">
        <v>2011</v>
      </c>
      <c r="Q295" s="1">
        <v>2012</v>
      </c>
      <c r="R295" s="1">
        <v>2013</v>
      </c>
      <c r="S295" s="1">
        <v>2014</v>
      </c>
      <c r="T295" s="1">
        <v>2015</v>
      </c>
      <c r="U295" s="1">
        <v>2016</v>
      </c>
      <c r="V295" s="1">
        <v>2017</v>
      </c>
      <c r="W295" s="1">
        <v>2018</v>
      </c>
      <c r="X295" s="1">
        <v>2019</v>
      </c>
      <c r="Y295" s="1">
        <v>2020</v>
      </c>
      <c r="Z295" s="1">
        <v>2021</v>
      </c>
      <c r="AA295" s="1">
        <v>2022</v>
      </c>
      <c r="AB295" s="1">
        <v>2023</v>
      </c>
      <c r="AC295" s="1">
        <v>2024</v>
      </c>
      <c r="AD295" s="1">
        <v>2025</v>
      </c>
      <c r="AE295" s="1">
        <v>2026</v>
      </c>
      <c r="AF295" s="1">
        <v>2027</v>
      </c>
      <c r="AG295" s="1">
        <v>2028</v>
      </c>
      <c r="AH295" s="1">
        <v>2029</v>
      </c>
      <c r="AI295" s="1">
        <v>2030</v>
      </c>
      <c r="AJ295" s="1">
        <v>2031</v>
      </c>
      <c r="AK295" s="1">
        <v>2032</v>
      </c>
      <c r="AL295" s="1">
        <v>2033</v>
      </c>
      <c r="AM295" s="1">
        <v>2034</v>
      </c>
      <c r="AN295" s="1">
        <v>2035</v>
      </c>
      <c r="AO295" s="1">
        <v>2036</v>
      </c>
      <c r="AP295" s="1">
        <v>2037</v>
      </c>
      <c r="AQ295" s="1">
        <v>2038</v>
      </c>
      <c r="AR295" s="1">
        <v>2039</v>
      </c>
      <c r="AS295" s="1">
        <v>2040</v>
      </c>
      <c r="AT295" s="1">
        <v>2041</v>
      </c>
      <c r="AU295" s="1">
        <v>2042</v>
      </c>
      <c r="AV295" s="1">
        <v>2043</v>
      </c>
      <c r="AW295" s="1">
        <v>2044</v>
      </c>
      <c r="AX295" s="1">
        <v>2045</v>
      </c>
      <c r="AY295" s="1">
        <v>2046</v>
      </c>
      <c r="AZ295" s="1">
        <v>2047</v>
      </c>
      <c r="BA295" s="1">
        <v>2048</v>
      </c>
      <c r="BB295" s="1">
        <v>2049</v>
      </c>
      <c r="BC295" s="1">
        <v>2050</v>
      </c>
    </row>
    <row r="296" spans="1:55">
      <c r="A296" s="1" t="str">
        <f>'Population Definitions'!$A$2</f>
        <v>PWID_males</v>
      </c>
      <c r="C296" t="s">
        <v>32</v>
      </c>
      <c r="D296" s="3"/>
      <c r="E296" s="3">
        <v>0</v>
      </c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</row>
    <row r="297" spans="1:55">
      <c r="A297" s="1" t="str">
        <f>'Population Definitions'!$A$3</f>
        <v>PWID_females</v>
      </c>
      <c r="C297" t="s">
        <v>32</v>
      </c>
      <c r="D297" s="3"/>
      <c r="E297" s="3">
        <v>0</v>
      </c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</row>
    <row r="298" spans="1:55">
      <c r="A298" s="1" t="str">
        <f>'Population Definitions'!$A$4</f>
        <v>0-9_males</v>
      </c>
      <c r="C298" t="s">
        <v>32</v>
      </c>
      <c r="D298" s="3"/>
      <c r="E298" s="3">
        <v>0</v>
      </c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</row>
    <row r="299" spans="1:55">
      <c r="A299" s="1" t="str">
        <f>'Population Definitions'!$A$5</f>
        <v>0-9_females</v>
      </c>
      <c r="C299" t="s">
        <v>32</v>
      </c>
      <c r="D299" s="3"/>
      <c r="E299" s="3">
        <v>0</v>
      </c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</row>
    <row r="300" spans="1:55">
      <c r="A300" s="1" t="str">
        <f>'Population Definitions'!$A$6</f>
        <v>10-17_males</v>
      </c>
      <c r="C300" t="s">
        <v>32</v>
      </c>
      <c r="D300" s="3"/>
      <c r="E300" s="3">
        <v>0</v>
      </c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</row>
    <row r="301" spans="1:55">
      <c r="A301" s="1" t="str">
        <f>'Population Definitions'!$A$7</f>
        <v>10-17_females</v>
      </c>
      <c r="C301" t="s">
        <v>32</v>
      </c>
      <c r="D301" s="3"/>
      <c r="E301" s="3">
        <v>0</v>
      </c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</row>
    <row r="302" spans="1:55">
      <c r="A302" s="1" t="str">
        <f>'Population Definitions'!$A$8</f>
        <v>18-64_males</v>
      </c>
      <c r="C302" t="s">
        <v>32</v>
      </c>
      <c r="D302" s="3"/>
      <c r="E302" s="3">
        <v>0</v>
      </c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</row>
    <row r="303" spans="1:55">
      <c r="A303" s="1" t="str">
        <f>'Population Definitions'!$A$9</f>
        <v>18-64_females</v>
      </c>
      <c r="C303" t="s">
        <v>32</v>
      </c>
      <c r="D303" s="3"/>
      <c r="E303" s="3">
        <v>0</v>
      </c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</row>
    <row r="304" spans="1:55">
      <c r="A304" s="1" t="str">
        <f>'Population Definitions'!$A$10</f>
        <v>65+_males</v>
      </c>
      <c r="C304" t="s">
        <v>32</v>
      </c>
      <c r="D304" s="3"/>
      <c r="E304" s="3">
        <v>0</v>
      </c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</row>
    <row r="305" spans="1:55">
      <c r="A305" s="1" t="str">
        <f>'Population Definitions'!$A$11</f>
        <v>65+_females</v>
      </c>
      <c r="C305" t="s">
        <v>32</v>
      </c>
      <c r="D305" s="3"/>
      <c r="E305" s="3">
        <v>0</v>
      </c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</row>
    <row r="306" spans="1:55">
      <c r="A306" s="1" t="str">
        <f>'Population Definitions'!$A$12</f>
        <v>Prisoners_males</v>
      </c>
      <c r="C306" t="s">
        <v>32</v>
      </c>
      <c r="D306" s="3"/>
      <c r="E306" s="3">
        <v>0</v>
      </c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</row>
    <row r="307" spans="1:55">
      <c r="A307" s="1" t="str">
        <f>'Population Definitions'!$A$13</f>
        <v>Prisoners_females</v>
      </c>
      <c r="C307" t="s">
        <v>32</v>
      </c>
      <c r="D307" s="3"/>
      <c r="E307" s="3">
        <v>0</v>
      </c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</row>
    <row r="309" spans="1:55">
      <c r="A309" s="1" t="s">
        <v>148</v>
      </c>
      <c r="B309" s="1" t="s">
        <v>29</v>
      </c>
      <c r="C309" s="1" t="s">
        <v>30</v>
      </c>
      <c r="D309" s="1" t="s">
        <v>31</v>
      </c>
      <c r="E309" s="1">
        <v>2000</v>
      </c>
      <c r="F309" s="1">
        <v>2001</v>
      </c>
      <c r="G309" s="1">
        <v>2002</v>
      </c>
      <c r="H309" s="1">
        <v>2003</v>
      </c>
      <c r="I309" s="1">
        <v>2004</v>
      </c>
      <c r="J309" s="1">
        <v>2005</v>
      </c>
      <c r="K309" s="1">
        <v>2006</v>
      </c>
      <c r="L309" s="1">
        <v>2007</v>
      </c>
      <c r="M309" s="1">
        <v>2008</v>
      </c>
      <c r="N309" s="1">
        <v>2009</v>
      </c>
      <c r="O309" s="1">
        <v>2010</v>
      </c>
      <c r="P309" s="1">
        <v>2011</v>
      </c>
      <c r="Q309" s="1">
        <v>2012</v>
      </c>
      <c r="R309" s="1">
        <v>2013</v>
      </c>
      <c r="S309" s="1">
        <v>2014</v>
      </c>
      <c r="T309" s="1">
        <v>2015</v>
      </c>
      <c r="U309" s="1">
        <v>2016</v>
      </c>
      <c r="V309" s="1">
        <v>2017</v>
      </c>
      <c r="W309" s="1">
        <v>2018</v>
      </c>
      <c r="X309" s="1">
        <v>2019</v>
      </c>
      <c r="Y309" s="1">
        <v>2020</v>
      </c>
      <c r="Z309" s="1">
        <v>2021</v>
      </c>
      <c r="AA309" s="1">
        <v>2022</v>
      </c>
      <c r="AB309" s="1">
        <v>2023</v>
      </c>
      <c r="AC309" s="1">
        <v>2024</v>
      </c>
      <c r="AD309" s="1">
        <v>2025</v>
      </c>
      <c r="AE309" s="1">
        <v>2026</v>
      </c>
      <c r="AF309" s="1">
        <v>2027</v>
      </c>
      <c r="AG309" s="1">
        <v>2028</v>
      </c>
      <c r="AH309" s="1">
        <v>2029</v>
      </c>
      <c r="AI309" s="1">
        <v>2030</v>
      </c>
      <c r="AJ309" s="1">
        <v>2031</v>
      </c>
      <c r="AK309" s="1">
        <v>2032</v>
      </c>
      <c r="AL309" s="1">
        <v>2033</v>
      </c>
      <c r="AM309" s="1">
        <v>2034</v>
      </c>
      <c r="AN309" s="1">
        <v>2035</v>
      </c>
      <c r="AO309" s="1">
        <v>2036</v>
      </c>
      <c r="AP309" s="1">
        <v>2037</v>
      </c>
      <c r="AQ309" s="1">
        <v>2038</v>
      </c>
      <c r="AR309" s="1">
        <v>2039</v>
      </c>
      <c r="AS309" s="1">
        <v>2040</v>
      </c>
      <c r="AT309" s="1">
        <v>2041</v>
      </c>
      <c r="AU309" s="1">
        <v>2042</v>
      </c>
      <c r="AV309" s="1">
        <v>2043</v>
      </c>
      <c r="AW309" s="1">
        <v>2044</v>
      </c>
      <c r="AX309" s="1">
        <v>2045</v>
      </c>
      <c r="AY309" s="1">
        <v>2046</v>
      </c>
      <c r="AZ309" s="1">
        <v>2047</v>
      </c>
      <c r="BA309" s="1">
        <v>2048</v>
      </c>
      <c r="BB309" s="1">
        <v>2049</v>
      </c>
      <c r="BC309" s="1">
        <v>2050</v>
      </c>
    </row>
    <row r="310" spans="1:55">
      <c r="A310" s="1" t="str">
        <f>'Population Definitions'!$A$2</f>
        <v>PWID_males</v>
      </c>
      <c r="C310" t="s">
        <v>32</v>
      </c>
      <c r="D310" s="3"/>
      <c r="E310" s="3">
        <v>0</v>
      </c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</row>
    <row r="311" spans="1:55">
      <c r="A311" s="1" t="str">
        <f>'Population Definitions'!$A$3</f>
        <v>PWID_females</v>
      </c>
      <c r="C311" t="s">
        <v>32</v>
      </c>
      <c r="D311" s="3"/>
      <c r="E311" s="3">
        <v>0</v>
      </c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</row>
    <row r="312" spans="1:55">
      <c r="A312" s="1" t="str">
        <f>'Population Definitions'!$A$4</f>
        <v>0-9_males</v>
      </c>
      <c r="C312" t="s">
        <v>32</v>
      </c>
      <c r="D312" s="3"/>
      <c r="E312" s="3">
        <v>0</v>
      </c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</row>
    <row r="313" spans="1:55">
      <c r="A313" s="1" t="str">
        <f>'Population Definitions'!$A$5</f>
        <v>0-9_females</v>
      </c>
      <c r="C313" t="s">
        <v>32</v>
      </c>
      <c r="D313" s="3"/>
      <c r="E313" s="3">
        <v>0</v>
      </c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</row>
    <row r="314" spans="1:55">
      <c r="A314" s="1" t="str">
        <f>'Population Definitions'!$A$6</f>
        <v>10-17_males</v>
      </c>
      <c r="C314" t="s">
        <v>32</v>
      </c>
      <c r="D314" s="3"/>
      <c r="E314" s="3">
        <v>0</v>
      </c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</row>
    <row r="315" spans="1:55">
      <c r="A315" s="1" t="str">
        <f>'Population Definitions'!$A$7</f>
        <v>10-17_females</v>
      </c>
      <c r="C315" t="s">
        <v>32</v>
      </c>
      <c r="D315" s="3"/>
      <c r="E315" s="3">
        <v>0</v>
      </c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</row>
    <row r="316" spans="1:55">
      <c r="A316" s="1" t="str">
        <f>'Population Definitions'!$A$8</f>
        <v>18-64_males</v>
      </c>
      <c r="C316" t="s">
        <v>32</v>
      </c>
      <c r="D316" s="3"/>
      <c r="E316" s="3">
        <v>0</v>
      </c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</row>
    <row r="317" spans="1:55">
      <c r="A317" s="1" t="str">
        <f>'Population Definitions'!$A$9</f>
        <v>18-64_females</v>
      </c>
      <c r="C317" t="s">
        <v>32</v>
      </c>
      <c r="D317" s="3"/>
      <c r="E317" s="3">
        <v>0</v>
      </c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</row>
    <row r="318" spans="1:55">
      <c r="A318" s="1" t="str">
        <f>'Population Definitions'!$A$10</f>
        <v>65+_males</v>
      </c>
      <c r="C318" t="s">
        <v>32</v>
      </c>
      <c r="D318" s="3"/>
      <c r="E318" s="3">
        <v>0</v>
      </c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</row>
    <row r="319" spans="1:55">
      <c r="A319" s="1" t="str">
        <f>'Population Definitions'!$A$11</f>
        <v>65+_females</v>
      </c>
      <c r="C319" t="s">
        <v>32</v>
      </c>
      <c r="D319" s="3"/>
      <c r="E319" s="3">
        <v>0</v>
      </c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</row>
    <row r="320" spans="1:55">
      <c r="A320" s="1" t="str">
        <f>'Population Definitions'!$A$12</f>
        <v>Prisoners_males</v>
      </c>
      <c r="C320" t="s">
        <v>32</v>
      </c>
      <c r="D320" s="3"/>
      <c r="E320" s="3">
        <v>0</v>
      </c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</row>
    <row r="321" spans="1:55">
      <c r="A321" s="1" t="str">
        <f>'Population Definitions'!$A$13</f>
        <v>Prisoners_females</v>
      </c>
      <c r="C321" t="s">
        <v>32</v>
      </c>
      <c r="D321" s="3"/>
      <c r="E321" s="3">
        <v>0</v>
      </c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</row>
    <row r="323" spans="1:55">
      <c r="A323" s="1" t="s">
        <v>149</v>
      </c>
      <c r="B323" s="1" t="s">
        <v>29</v>
      </c>
      <c r="C323" s="1" t="s">
        <v>30</v>
      </c>
      <c r="D323" s="1" t="s">
        <v>31</v>
      </c>
      <c r="E323" s="1">
        <v>2000</v>
      </c>
      <c r="F323" s="1">
        <v>2001</v>
      </c>
      <c r="G323" s="1">
        <v>2002</v>
      </c>
      <c r="H323" s="1">
        <v>2003</v>
      </c>
      <c r="I323" s="1">
        <v>2004</v>
      </c>
      <c r="J323" s="1">
        <v>2005</v>
      </c>
      <c r="K323" s="1">
        <v>2006</v>
      </c>
      <c r="L323" s="1">
        <v>2007</v>
      </c>
      <c r="M323" s="1">
        <v>2008</v>
      </c>
      <c r="N323" s="1">
        <v>2009</v>
      </c>
      <c r="O323" s="1">
        <v>2010</v>
      </c>
      <c r="P323" s="1">
        <v>2011</v>
      </c>
      <c r="Q323" s="1">
        <v>2012</v>
      </c>
      <c r="R323" s="1">
        <v>2013</v>
      </c>
      <c r="S323" s="1">
        <v>2014</v>
      </c>
      <c r="T323" s="1">
        <v>2015</v>
      </c>
      <c r="U323" s="1">
        <v>2016</v>
      </c>
      <c r="V323" s="1">
        <v>2017</v>
      </c>
      <c r="W323" s="1">
        <v>2018</v>
      </c>
      <c r="X323" s="1">
        <v>2019</v>
      </c>
      <c r="Y323" s="1">
        <v>2020</v>
      </c>
      <c r="Z323" s="1">
        <v>2021</v>
      </c>
      <c r="AA323" s="1">
        <v>2022</v>
      </c>
      <c r="AB323" s="1">
        <v>2023</v>
      </c>
      <c r="AC323" s="1">
        <v>2024</v>
      </c>
      <c r="AD323" s="1">
        <v>2025</v>
      </c>
      <c r="AE323" s="1">
        <v>2026</v>
      </c>
      <c r="AF323" s="1">
        <v>2027</v>
      </c>
      <c r="AG323" s="1">
        <v>2028</v>
      </c>
      <c r="AH323" s="1">
        <v>2029</v>
      </c>
      <c r="AI323" s="1">
        <v>2030</v>
      </c>
      <c r="AJ323" s="1">
        <v>2031</v>
      </c>
      <c r="AK323" s="1">
        <v>2032</v>
      </c>
      <c r="AL323" s="1">
        <v>2033</v>
      </c>
      <c r="AM323" s="1">
        <v>2034</v>
      </c>
      <c r="AN323" s="1">
        <v>2035</v>
      </c>
      <c r="AO323" s="1">
        <v>2036</v>
      </c>
      <c r="AP323" s="1">
        <v>2037</v>
      </c>
      <c r="AQ323" s="1">
        <v>2038</v>
      </c>
      <c r="AR323" s="1">
        <v>2039</v>
      </c>
      <c r="AS323" s="1">
        <v>2040</v>
      </c>
      <c r="AT323" s="1">
        <v>2041</v>
      </c>
      <c r="AU323" s="1">
        <v>2042</v>
      </c>
      <c r="AV323" s="1">
        <v>2043</v>
      </c>
      <c r="AW323" s="1">
        <v>2044</v>
      </c>
      <c r="AX323" s="1">
        <v>2045</v>
      </c>
      <c r="AY323" s="1">
        <v>2046</v>
      </c>
      <c r="AZ323" s="1">
        <v>2047</v>
      </c>
      <c r="BA323" s="1">
        <v>2048</v>
      </c>
      <c r="BB323" s="1">
        <v>2049</v>
      </c>
      <c r="BC323" s="1">
        <v>2050</v>
      </c>
    </row>
    <row r="324" spans="1:55">
      <c r="A324" s="1" t="str">
        <f>'Population Definitions'!$A$2</f>
        <v>PWID_males</v>
      </c>
      <c r="C324" t="s">
        <v>32</v>
      </c>
      <c r="D324" s="3"/>
      <c r="E324" s="3">
        <v>0</v>
      </c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</row>
    <row r="325" spans="1:55">
      <c r="A325" s="1" t="str">
        <f>'Population Definitions'!$A$3</f>
        <v>PWID_females</v>
      </c>
      <c r="C325" t="s">
        <v>32</v>
      </c>
      <c r="D325" s="3"/>
      <c r="E325" s="3">
        <v>0</v>
      </c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</row>
    <row r="326" spans="1:55">
      <c r="A326" s="1" t="str">
        <f>'Population Definitions'!$A$4</f>
        <v>0-9_males</v>
      </c>
      <c r="C326" t="s">
        <v>32</v>
      </c>
      <c r="D326" s="3"/>
      <c r="E326" s="3">
        <v>0</v>
      </c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</row>
    <row r="327" spans="1:55">
      <c r="A327" s="1" t="str">
        <f>'Population Definitions'!$A$5</f>
        <v>0-9_females</v>
      </c>
      <c r="C327" t="s">
        <v>32</v>
      </c>
      <c r="D327" s="3"/>
      <c r="E327" s="3">
        <v>0</v>
      </c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</row>
    <row r="328" spans="1:55">
      <c r="A328" s="1" t="str">
        <f>'Population Definitions'!$A$6</f>
        <v>10-17_males</v>
      </c>
      <c r="C328" t="s">
        <v>32</v>
      </c>
      <c r="D328" s="3"/>
      <c r="E328" s="3">
        <v>0</v>
      </c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</row>
    <row r="329" spans="1:55">
      <c r="A329" s="1" t="str">
        <f>'Population Definitions'!$A$7</f>
        <v>10-17_females</v>
      </c>
      <c r="C329" t="s">
        <v>32</v>
      </c>
      <c r="D329" s="3"/>
      <c r="E329" s="3">
        <v>0</v>
      </c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</row>
    <row r="330" spans="1:55">
      <c r="A330" s="1" t="str">
        <f>'Population Definitions'!$A$8</f>
        <v>18-64_males</v>
      </c>
      <c r="C330" t="s">
        <v>32</v>
      </c>
      <c r="D330" s="3"/>
      <c r="E330" s="3">
        <v>0</v>
      </c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</row>
    <row r="331" spans="1:55">
      <c r="A331" s="1" t="str">
        <f>'Population Definitions'!$A$9</f>
        <v>18-64_females</v>
      </c>
      <c r="C331" t="s">
        <v>32</v>
      </c>
      <c r="D331" s="3"/>
      <c r="E331" s="3">
        <v>0</v>
      </c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</row>
    <row r="332" spans="1:55">
      <c r="A332" s="1" t="str">
        <f>'Population Definitions'!$A$10</f>
        <v>65+_males</v>
      </c>
      <c r="C332" t="s">
        <v>32</v>
      </c>
      <c r="D332" s="3"/>
      <c r="E332" s="3">
        <v>0</v>
      </c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</row>
    <row r="333" spans="1:55">
      <c r="A333" s="1" t="str">
        <f>'Population Definitions'!$A$11</f>
        <v>65+_females</v>
      </c>
      <c r="C333" t="s">
        <v>32</v>
      </c>
      <c r="D333" s="3"/>
      <c r="E333" s="3">
        <v>0</v>
      </c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</row>
    <row r="334" spans="1:55">
      <c r="A334" s="1" t="str">
        <f>'Population Definitions'!$A$12</f>
        <v>Prisoners_males</v>
      </c>
      <c r="C334" t="s">
        <v>32</v>
      </c>
      <c r="D334" s="3"/>
      <c r="E334" s="3">
        <v>0</v>
      </c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</row>
    <row r="335" spans="1:55">
      <c r="A335" s="1" t="str">
        <f>'Population Definitions'!$A$13</f>
        <v>Prisoners_females</v>
      </c>
      <c r="C335" t="s">
        <v>32</v>
      </c>
      <c r="D335" s="3"/>
      <c r="E335" s="3">
        <v>0</v>
      </c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</row>
    <row r="337" spans="1:55">
      <c r="A337" s="1" t="s">
        <v>150</v>
      </c>
      <c r="B337" s="1" t="s">
        <v>29</v>
      </c>
      <c r="C337" s="1" t="s">
        <v>30</v>
      </c>
      <c r="D337" s="1" t="s">
        <v>31</v>
      </c>
      <c r="E337" s="1">
        <v>2000</v>
      </c>
      <c r="F337" s="1">
        <v>2001</v>
      </c>
      <c r="G337" s="1">
        <v>2002</v>
      </c>
      <c r="H337" s="1">
        <v>2003</v>
      </c>
      <c r="I337" s="1">
        <v>2004</v>
      </c>
      <c r="J337" s="1">
        <v>2005</v>
      </c>
      <c r="K337" s="1">
        <v>2006</v>
      </c>
      <c r="L337" s="1">
        <v>2007</v>
      </c>
      <c r="M337" s="1">
        <v>2008</v>
      </c>
      <c r="N337" s="1">
        <v>2009</v>
      </c>
      <c r="O337" s="1">
        <v>2010</v>
      </c>
      <c r="P337" s="1">
        <v>2011</v>
      </c>
      <c r="Q337" s="1">
        <v>2012</v>
      </c>
      <c r="R337" s="1">
        <v>2013</v>
      </c>
      <c r="S337" s="1">
        <v>2014</v>
      </c>
      <c r="T337" s="1">
        <v>2015</v>
      </c>
      <c r="U337" s="1">
        <v>2016</v>
      </c>
      <c r="V337" s="1">
        <v>2017</v>
      </c>
      <c r="W337" s="1">
        <v>2018</v>
      </c>
      <c r="X337" s="1">
        <v>2019</v>
      </c>
      <c r="Y337" s="1">
        <v>2020</v>
      </c>
      <c r="Z337" s="1">
        <v>2021</v>
      </c>
      <c r="AA337" s="1">
        <v>2022</v>
      </c>
      <c r="AB337" s="1">
        <v>2023</v>
      </c>
      <c r="AC337" s="1">
        <v>2024</v>
      </c>
      <c r="AD337" s="1">
        <v>2025</v>
      </c>
      <c r="AE337" s="1">
        <v>2026</v>
      </c>
      <c r="AF337" s="1">
        <v>2027</v>
      </c>
      <c r="AG337" s="1">
        <v>2028</v>
      </c>
      <c r="AH337" s="1">
        <v>2029</v>
      </c>
      <c r="AI337" s="1">
        <v>2030</v>
      </c>
      <c r="AJ337" s="1">
        <v>2031</v>
      </c>
      <c r="AK337" s="1">
        <v>2032</v>
      </c>
      <c r="AL337" s="1">
        <v>2033</v>
      </c>
      <c r="AM337" s="1">
        <v>2034</v>
      </c>
      <c r="AN337" s="1">
        <v>2035</v>
      </c>
      <c r="AO337" s="1">
        <v>2036</v>
      </c>
      <c r="AP337" s="1">
        <v>2037</v>
      </c>
      <c r="AQ337" s="1">
        <v>2038</v>
      </c>
      <c r="AR337" s="1">
        <v>2039</v>
      </c>
      <c r="AS337" s="1">
        <v>2040</v>
      </c>
      <c r="AT337" s="1">
        <v>2041</v>
      </c>
      <c r="AU337" s="1">
        <v>2042</v>
      </c>
      <c r="AV337" s="1">
        <v>2043</v>
      </c>
      <c r="AW337" s="1">
        <v>2044</v>
      </c>
      <c r="AX337" s="1">
        <v>2045</v>
      </c>
      <c r="AY337" s="1">
        <v>2046</v>
      </c>
      <c r="AZ337" s="1">
        <v>2047</v>
      </c>
      <c r="BA337" s="1">
        <v>2048</v>
      </c>
      <c r="BB337" s="1">
        <v>2049</v>
      </c>
      <c r="BC337" s="1">
        <v>2050</v>
      </c>
    </row>
    <row r="338" spans="1:55">
      <c r="A338" s="1" t="str">
        <f>'Population Definitions'!$A$2</f>
        <v>PWID_males</v>
      </c>
      <c r="C338" t="s">
        <v>32</v>
      </c>
      <c r="D338" s="3"/>
      <c r="E338" s="3">
        <v>0</v>
      </c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</row>
    <row r="339" spans="1:55">
      <c r="A339" s="1" t="str">
        <f>'Population Definitions'!$A$3</f>
        <v>PWID_females</v>
      </c>
      <c r="C339" t="s">
        <v>32</v>
      </c>
      <c r="D339" s="3"/>
      <c r="E339" s="3">
        <v>0</v>
      </c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</row>
    <row r="340" spans="1:55">
      <c r="A340" s="1" t="str">
        <f>'Population Definitions'!$A$4</f>
        <v>0-9_males</v>
      </c>
      <c r="C340" t="s">
        <v>32</v>
      </c>
      <c r="D340" s="3"/>
      <c r="E340" s="3">
        <v>0</v>
      </c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</row>
    <row r="341" spans="1:55">
      <c r="A341" s="1" t="str">
        <f>'Population Definitions'!$A$5</f>
        <v>0-9_females</v>
      </c>
      <c r="C341" t="s">
        <v>32</v>
      </c>
      <c r="D341" s="3"/>
      <c r="E341" s="3">
        <v>0</v>
      </c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</row>
    <row r="342" spans="1:55">
      <c r="A342" s="1" t="str">
        <f>'Population Definitions'!$A$6</f>
        <v>10-17_males</v>
      </c>
      <c r="C342" t="s">
        <v>32</v>
      </c>
      <c r="D342" s="3"/>
      <c r="E342" s="3">
        <v>0</v>
      </c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</row>
    <row r="343" spans="1:55">
      <c r="A343" s="1" t="str">
        <f>'Population Definitions'!$A$7</f>
        <v>10-17_females</v>
      </c>
      <c r="C343" t="s">
        <v>32</v>
      </c>
      <c r="D343" s="3"/>
      <c r="E343" s="3">
        <v>0</v>
      </c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</row>
    <row r="344" spans="1:55">
      <c r="A344" s="1" t="str">
        <f>'Population Definitions'!$A$8</f>
        <v>18-64_males</v>
      </c>
      <c r="C344" t="s">
        <v>32</v>
      </c>
      <c r="D344" s="3"/>
      <c r="E344" s="3">
        <v>0</v>
      </c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</row>
    <row r="345" spans="1:55">
      <c r="A345" s="1" t="str">
        <f>'Population Definitions'!$A$9</f>
        <v>18-64_females</v>
      </c>
      <c r="C345" t="s">
        <v>32</v>
      </c>
      <c r="D345" s="3"/>
      <c r="E345" s="3">
        <v>0</v>
      </c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</row>
    <row r="346" spans="1:55">
      <c r="A346" s="1" t="str">
        <f>'Population Definitions'!$A$10</f>
        <v>65+_males</v>
      </c>
      <c r="C346" t="s">
        <v>32</v>
      </c>
      <c r="D346" s="3"/>
      <c r="E346" s="3">
        <v>0</v>
      </c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</row>
    <row r="347" spans="1:55">
      <c r="A347" s="1" t="str">
        <f>'Population Definitions'!$A$11</f>
        <v>65+_females</v>
      </c>
      <c r="C347" t="s">
        <v>32</v>
      </c>
      <c r="D347" s="3"/>
      <c r="E347" s="3">
        <v>0</v>
      </c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</row>
    <row r="348" spans="1:55">
      <c r="A348" s="1" t="str">
        <f>'Population Definitions'!$A$12</f>
        <v>Prisoners_males</v>
      </c>
      <c r="C348" t="s">
        <v>32</v>
      </c>
      <c r="D348" s="3"/>
      <c r="E348" s="3">
        <v>0</v>
      </c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</row>
    <row r="349" spans="1:55">
      <c r="A349" s="1" t="str">
        <f>'Population Definitions'!$A$13</f>
        <v>Prisoners_females</v>
      </c>
      <c r="C349" t="s">
        <v>32</v>
      </c>
      <c r="D349" s="3"/>
      <c r="E349" s="3">
        <v>0</v>
      </c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  <c r="AA349" s="3"/>
      <c r="AB349" s="3"/>
      <c r="AC349" s="3"/>
      <c r="AD349" s="3"/>
      <c r="AE349" s="3"/>
      <c r="AF349" s="3"/>
      <c r="AG349" s="3"/>
      <c r="AH349" s="3"/>
      <c r="AI349" s="3"/>
      <c r="AJ349" s="3"/>
      <c r="AK349" s="3"/>
      <c r="AL349" s="3"/>
      <c r="AM349" s="3"/>
      <c r="AN349" s="3"/>
      <c r="AO349" s="3"/>
      <c r="AP349" s="3"/>
      <c r="AQ349" s="3"/>
      <c r="AR349" s="3"/>
      <c r="AS349" s="3"/>
      <c r="AT349" s="3"/>
      <c r="AU349" s="3"/>
      <c r="AV349" s="3"/>
      <c r="AW349" s="3"/>
      <c r="AX349" s="3"/>
      <c r="AY349" s="3"/>
      <c r="AZ349" s="3"/>
      <c r="BA349" s="3"/>
      <c r="BB349" s="3"/>
      <c r="BC349" s="3"/>
    </row>
    <row r="351" spans="1:55">
      <c r="A351" s="1" t="s">
        <v>151</v>
      </c>
      <c r="B351" s="1" t="s">
        <v>29</v>
      </c>
      <c r="C351" s="1" t="s">
        <v>30</v>
      </c>
      <c r="D351" s="1" t="s">
        <v>31</v>
      </c>
      <c r="E351" s="1">
        <v>2000</v>
      </c>
      <c r="F351" s="1">
        <v>2001</v>
      </c>
      <c r="G351" s="1">
        <v>2002</v>
      </c>
      <c r="H351" s="1">
        <v>2003</v>
      </c>
      <c r="I351" s="1">
        <v>2004</v>
      </c>
      <c r="J351" s="1">
        <v>2005</v>
      </c>
      <c r="K351" s="1">
        <v>2006</v>
      </c>
      <c r="L351" s="1">
        <v>2007</v>
      </c>
      <c r="M351" s="1">
        <v>2008</v>
      </c>
      <c r="N351" s="1">
        <v>2009</v>
      </c>
      <c r="O351" s="1">
        <v>2010</v>
      </c>
      <c r="P351" s="1">
        <v>2011</v>
      </c>
      <c r="Q351" s="1">
        <v>2012</v>
      </c>
      <c r="R351" s="1">
        <v>2013</v>
      </c>
      <c r="S351" s="1">
        <v>2014</v>
      </c>
      <c r="T351" s="1">
        <v>2015</v>
      </c>
      <c r="U351" s="1">
        <v>2016</v>
      </c>
      <c r="V351" s="1">
        <v>2017</v>
      </c>
      <c r="W351" s="1">
        <v>2018</v>
      </c>
      <c r="X351" s="1">
        <v>2019</v>
      </c>
      <c r="Y351" s="1">
        <v>2020</v>
      </c>
      <c r="Z351" s="1">
        <v>2021</v>
      </c>
      <c r="AA351" s="1">
        <v>2022</v>
      </c>
      <c r="AB351" s="1">
        <v>2023</v>
      </c>
      <c r="AC351" s="1">
        <v>2024</v>
      </c>
      <c r="AD351" s="1">
        <v>2025</v>
      </c>
      <c r="AE351" s="1">
        <v>2026</v>
      </c>
      <c r="AF351" s="1">
        <v>2027</v>
      </c>
      <c r="AG351" s="1">
        <v>2028</v>
      </c>
      <c r="AH351" s="1">
        <v>2029</v>
      </c>
      <c r="AI351" s="1">
        <v>2030</v>
      </c>
      <c r="AJ351" s="1">
        <v>2031</v>
      </c>
      <c r="AK351" s="1">
        <v>2032</v>
      </c>
      <c r="AL351" s="1">
        <v>2033</v>
      </c>
      <c r="AM351" s="1">
        <v>2034</v>
      </c>
      <c r="AN351" s="1">
        <v>2035</v>
      </c>
      <c r="AO351" s="1">
        <v>2036</v>
      </c>
      <c r="AP351" s="1">
        <v>2037</v>
      </c>
      <c r="AQ351" s="1">
        <v>2038</v>
      </c>
      <c r="AR351" s="1">
        <v>2039</v>
      </c>
      <c r="AS351" s="1">
        <v>2040</v>
      </c>
      <c r="AT351" s="1">
        <v>2041</v>
      </c>
      <c r="AU351" s="1">
        <v>2042</v>
      </c>
      <c r="AV351" s="1">
        <v>2043</v>
      </c>
      <c r="AW351" s="1">
        <v>2044</v>
      </c>
      <c r="AX351" s="1">
        <v>2045</v>
      </c>
      <c r="AY351" s="1">
        <v>2046</v>
      </c>
      <c r="AZ351" s="1">
        <v>2047</v>
      </c>
      <c r="BA351" s="1">
        <v>2048</v>
      </c>
      <c r="BB351" s="1">
        <v>2049</v>
      </c>
      <c r="BC351" s="1">
        <v>2050</v>
      </c>
    </row>
    <row r="352" spans="1:55">
      <c r="A352" s="1" t="str">
        <f>'Population Definitions'!$A$2</f>
        <v>PWID_males</v>
      </c>
      <c r="C352" t="s">
        <v>32</v>
      </c>
      <c r="D352" s="3"/>
      <c r="E352" s="3">
        <v>0</v>
      </c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  <c r="AA352" s="3"/>
      <c r="AB352" s="3"/>
      <c r="AC352" s="3"/>
      <c r="AD352" s="3"/>
      <c r="AE352" s="3"/>
      <c r="AF352" s="3"/>
      <c r="AG352" s="3"/>
      <c r="AH352" s="3"/>
      <c r="AI352" s="3"/>
      <c r="AJ352" s="3"/>
      <c r="AK352" s="3"/>
      <c r="AL352" s="3"/>
      <c r="AM352" s="3"/>
      <c r="AN352" s="3"/>
      <c r="AO352" s="3"/>
      <c r="AP352" s="3"/>
      <c r="AQ352" s="3"/>
      <c r="AR352" s="3"/>
      <c r="AS352" s="3"/>
      <c r="AT352" s="3"/>
      <c r="AU352" s="3"/>
      <c r="AV352" s="3"/>
      <c r="AW352" s="3"/>
      <c r="AX352" s="3"/>
      <c r="AY352" s="3"/>
      <c r="AZ352" s="3"/>
      <c r="BA352" s="3"/>
      <c r="BB352" s="3"/>
      <c r="BC352" s="3"/>
    </row>
    <row r="353" spans="1:55">
      <c r="A353" s="1" t="str">
        <f>'Population Definitions'!$A$3</f>
        <v>PWID_females</v>
      </c>
      <c r="C353" t="s">
        <v>32</v>
      </c>
      <c r="D353" s="3"/>
      <c r="E353" s="3">
        <v>0</v>
      </c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  <c r="AA353" s="3"/>
      <c r="AB353" s="3"/>
      <c r="AC353" s="3"/>
      <c r="AD353" s="3"/>
      <c r="AE353" s="3"/>
      <c r="AF353" s="3"/>
      <c r="AG353" s="3"/>
      <c r="AH353" s="3"/>
      <c r="AI353" s="3"/>
      <c r="AJ353" s="3"/>
      <c r="AK353" s="3"/>
      <c r="AL353" s="3"/>
      <c r="AM353" s="3"/>
      <c r="AN353" s="3"/>
      <c r="AO353" s="3"/>
      <c r="AP353" s="3"/>
      <c r="AQ353" s="3"/>
      <c r="AR353" s="3"/>
      <c r="AS353" s="3"/>
      <c r="AT353" s="3"/>
      <c r="AU353" s="3"/>
      <c r="AV353" s="3"/>
      <c r="AW353" s="3"/>
      <c r="AX353" s="3"/>
      <c r="AY353" s="3"/>
      <c r="AZ353" s="3"/>
      <c r="BA353" s="3"/>
      <c r="BB353" s="3"/>
      <c r="BC353" s="3"/>
    </row>
    <row r="354" spans="1:55">
      <c r="A354" s="1" t="str">
        <f>'Population Definitions'!$A$4</f>
        <v>0-9_males</v>
      </c>
      <c r="C354" t="s">
        <v>32</v>
      </c>
      <c r="D354" s="3"/>
      <c r="E354" s="3">
        <v>0</v>
      </c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  <c r="AA354" s="3"/>
      <c r="AB354" s="3"/>
      <c r="AC354" s="3"/>
      <c r="AD354" s="3"/>
      <c r="AE354" s="3"/>
      <c r="AF354" s="3"/>
      <c r="AG354" s="3"/>
      <c r="AH354" s="3"/>
      <c r="AI354" s="3"/>
      <c r="AJ354" s="3"/>
      <c r="AK354" s="3"/>
      <c r="AL354" s="3"/>
      <c r="AM354" s="3"/>
      <c r="AN354" s="3"/>
      <c r="AO354" s="3"/>
      <c r="AP354" s="3"/>
      <c r="AQ354" s="3"/>
      <c r="AR354" s="3"/>
      <c r="AS354" s="3"/>
      <c r="AT354" s="3"/>
      <c r="AU354" s="3"/>
      <c r="AV354" s="3"/>
      <c r="AW354" s="3"/>
      <c r="AX354" s="3"/>
      <c r="AY354" s="3"/>
      <c r="AZ354" s="3"/>
      <c r="BA354" s="3"/>
      <c r="BB354" s="3"/>
      <c r="BC354" s="3"/>
    </row>
    <row r="355" spans="1:55">
      <c r="A355" s="1" t="str">
        <f>'Population Definitions'!$A$5</f>
        <v>0-9_females</v>
      </c>
      <c r="C355" t="s">
        <v>32</v>
      </c>
      <c r="D355" s="3"/>
      <c r="E355" s="3">
        <v>0</v>
      </c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</row>
    <row r="356" spans="1:55">
      <c r="A356" s="1" t="str">
        <f>'Population Definitions'!$A$6</f>
        <v>10-17_males</v>
      </c>
      <c r="C356" t="s">
        <v>32</v>
      </c>
      <c r="D356" s="3"/>
      <c r="E356" s="3">
        <v>0</v>
      </c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  <c r="AA356" s="3"/>
      <c r="AB356" s="3"/>
      <c r="AC356" s="3"/>
      <c r="AD356" s="3"/>
      <c r="AE356" s="3"/>
      <c r="AF356" s="3"/>
      <c r="AG356" s="3"/>
      <c r="AH356" s="3"/>
      <c r="AI356" s="3"/>
      <c r="AJ356" s="3"/>
      <c r="AK356" s="3"/>
      <c r="AL356" s="3"/>
      <c r="AM356" s="3"/>
      <c r="AN356" s="3"/>
      <c r="AO356" s="3"/>
      <c r="AP356" s="3"/>
      <c r="AQ356" s="3"/>
      <c r="AR356" s="3"/>
      <c r="AS356" s="3"/>
      <c r="AT356" s="3"/>
      <c r="AU356" s="3"/>
      <c r="AV356" s="3"/>
      <c r="AW356" s="3"/>
      <c r="AX356" s="3"/>
      <c r="AY356" s="3"/>
      <c r="AZ356" s="3"/>
      <c r="BA356" s="3"/>
      <c r="BB356" s="3"/>
      <c r="BC356" s="3"/>
    </row>
    <row r="357" spans="1:55">
      <c r="A357" s="1" t="str">
        <f>'Population Definitions'!$A$7</f>
        <v>10-17_females</v>
      </c>
      <c r="C357" t="s">
        <v>32</v>
      </c>
      <c r="D357" s="3"/>
      <c r="E357" s="3">
        <v>0</v>
      </c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  <c r="AA357" s="3"/>
      <c r="AB357" s="3"/>
      <c r="AC357" s="3"/>
      <c r="AD357" s="3"/>
      <c r="AE357" s="3"/>
      <c r="AF357" s="3"/>
      <c r="AG357" s="3"/>
      <c r="AH357" s="3"/>
      <c r="AI357" s="3"/>
      <c r="AJ357" s="3"/>
      <c r="AK357" s="3"/>
      <c r="AL357" s="3"/>
      <c r="AM357" s="3"/>
      <c r="AN357" s="3"/>
      <c r="AO357" s="3"/>
      <c r="AP357" s="3"/>
      <c r="AQ357" s="3"/>
      <c r="AR357" s="3"/>
      <c r="AS357" s="3"/>
      <c r="AT357" s="3"/>
      <c r="AU357" s="3"/>
      <c r="AV357" s="3"/>
      <c r="AW357" s="3"/>
      <c r="AX357" s="3"/>
      <c r="AY357" s="3"/>
      <c r="AZ357" s="3"/>
      <c r="BA357" s="3"/>
      <c r="BB357" s="3"/>
      <c r="BC357" s="3"/>
    </row>
    <row r="358" spans="1:55">
      <c r="A358" s="1" t="str">
        <f>'Population Definitions'!$A$8</f>
        <v>18-64_males</v>
      </c>
      <c r="C358" t="s">
        <v>32</v>
      </c>
      <c r="D358" s="3"/>
      <c r="E358" s="3">
        <v>0</v>
      </c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  <c r="AA358" s="3"/>
      <c r="AB358" s="3"/>
      <c r="AC358" s="3"/>
      <c r="AD358" s="3"/>
      <c r="AE358" s="3"/>
      <c r="AF358" s="3"/>
      <c r="AG358" s="3"/>
      <c r="AH358" s="3"/>
      <c r="AI358" s="3"/>
      <c r="AJ358" s="3"/>
      <c r="AK358" s="3"/>
      <c r="AL358" s="3"/>
      <c r="AM358" s="3"/>
      <c r="AN358" s="3"/>
      <c r="AO358" s="3"/>
      <c r="AP358" s="3"/>
      <c r="AQ358" s="3"/>
      <c r="AR358" s="3"/>
      <c r="AS358" s="3"/>
      <c r="AT358" s="3"/>
      <c r="AU358" s="3"/>
      <c r="AV358" s="3"/>
      <c r="AW358" s="3"/>
      <c r="AX358" s="3"/>
      <c r="AY358" s="3"/>
      <c r="AZ358" s="3"/>
      <c r="BA358" s="3"/>
      <c r="BB358" s="3"/>
      <c r="BC358" s="3"/>
    </row>
    <row r="359" spans="1:55">
      <c r="A359" s="1" t="str">
        <f>'Population Definitions'!$A$9</f>
        <v>18-64_females</v>
      </c>
      <c r="C359" t="s">
        <v>32</v>
      </c>
      <c r="D359" s="3"/>
      <c r="E359" s="3">
        <v>0</v>
      </c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  <c r="AA359" s="3"/>
      <c r="AB359" s="3"/>
      <c r="AC359" s="3"/>
      <c r="AD359" s="3"/>
      <c r="AE359" s="3"/>
      <c r="AF359" s="3"/>
      <c r="AG359" s="3"/>
      <c r="AH359" s="3"/>
      <c r="AI359" s="3"/>
      <c r="AJ359" s="3"/>
      <c r="AK359" s="3"/>
      <c r="AL359" s="3"/>
      <c r="AM359" s="3"/>
      <c r="AN359" s="3"/>
      <c r="AO359" s="3"/>
      <c r="AP359" s="3"/>
      <c r="AQ359" s="3"/>
      <c r="AR359" s="3"/>
      <c r="AS359" s="3"/>
      <c r="AT359" s="3"/>
      <c r="AU359" s="3"/>
      <c r="AV359" s="3"/>
      <c r="AW359" s="3"/>
      <c r="AX359" s="3"/>
      <c r="AY359" s="3"/>
      <c r="AZ359" s="3"/>
      <c r="BA359" s="3"/>
      <c r="BB359" s="3"/>
      <c r="BC359" s="3"/>
    </row>
    <row r="360" spans="1:55">
      <c r="A360" s="1" t="str">
        <f>'Population Definitions'!$A$10</f>
        <v>65+_males</v>
      </c>
      <c r="C360" t="s">
        <v>32</v>
      </c>
      <c r="D360" s="3"/>
      <c r="E360" s="3">
        <v>0</v>
      </c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  <c r="AA360" s="3"/>
      <c r="AB360" s="3"/>
      <c r="AC360" s="3"/>
      <c r="AD360" s="3"/>
      <c r="AE360" s="3"/>
      <c r="AF360" s="3"/>
      <c r="AG360" s="3"/>
      <c r="AH360" s="3"/>
      <c r="AI360" s="3"/>
      <c r="AJ360" s="3"/>
      <c r="AK360" s="3"/>
      <c r="AL360" s="3"/>
      <c r="AM360" s="3"/>
      <c r="AN360" s="3"/>
      <c r="AO360" s="3"/>
      <c r="AP360" s="3"/>
      <c r="AQ360" s="3"/>
      <c r="AR360" s="3"/>
      <c r="AS360" s="3"/>
      <c r="AT360" s="3"/>
      <c r="AU360" s="3"/>
      <c r="AV360" s="3"/>
      <c r="AW360" s="3"/>
      <c r="AX360" s="3"/>
      <c r="AY360" s="3"/>
      <c r="AZ360" s="3"/>
      <c r="BA360" s="3"/>
      <c r="BB360" s="3"/>
      <c r="BC360" s="3"/>
    </row>
    <row r="361" spans="1:55">
      <c r="A361" s="1" t="str">
        <f>'Population Definitions'!$A$11</f>
        <v>65+_females</v>
      </c>
      <c r="C361" t="s">
        <v>32</v>
      </c>
      <c r="D361" s="3"/>
      <c r="E361" s="3">
        <v>0</v>
      </c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  <c r="AA361" s="3"/>
      <c r="AB361" s="3"/>
      <c r="AC361" s="3"/>
      <c r="AD361" s="3"/>
      <c r="AE361" s="3"/>
      <c r="AF361" s="3"/>
      <c r="AG361" s="3"/>
      <c r="AH361" s="3"/>
      <c r="AI361" s="3"/>
      <c r="AJ361" s="3"/>
      <c r="AK361" s="3"/>
      <c r="AL361" s="3"/>
      <c r="AM361" s="3"/>
      <c r="AN361" s="3"/>
      <c r="AO361" s="3"/>
      <c r="AP361" s="3"/>
      <c r="AQ361" s="3"/>
      <c r="AR361" s="3"/>
      <c r="AS361" s="3"/>
      <c r="AT361" s="3"/>
      <c r="AU361" s="3"/>
      <c r="AV361" s="3"/>
      <c r="AW361" s="3"/>
      <c r="AX361" s="3"/>
      <c r="AY361" s="3"/>
      <c r="AZ361" s="3"/>
      <c r="BA361" s="3"/>
      <c r="BB361" s="3"/>
      <c r="BC361" s="3"/>
    </row>
    <row r="362" spans="1:55">
      <c r="A362" s="1" t="str">
        <f>'Population Definitions'!$A$12</f>
        <v>Prisoners_males</v>
      </c>
      <c r="C362" t="s">
        <v>32</v>
      </c>
      <c r="D362" s="3"/>
      <c r="E362" s="3">
        <v>0</v>
      </c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  <c r="AA362" s="3"/>
      <c r="AB362" s="3"/>
      <c r="AC362" s="3"/>
      <c r="AD362" s="3"/>
      <c r="AE362" s="3"/>
      <c r="AF362" s="3"/>
      <c r="AG362" s="3"/>
      <c r="AH362" s="3"/>
      <c r="AI362" s="3"/>
      <c r="AJ362" s="3"/>
      <c r="AK362" s="3"/>
      <c r="AL362" s="3"/>
      <c r="AM362" s="3"/>
      <c r="AN362" s="3"/>
      <c r="AO362" s="3"/>
      <c r="AP362" s="3"/>
      <c r="AQ362" s="3"/>
      <c r="AR362" s="3"/>
      <c r="AS362" s="3"/>
      <c r="AT362" s="3"/>
      <c r="AU362" s="3"/>
      <c r="AV362" s="3"/>
      <c r="AW362" s="3"/>
      <c r="AX362" s="3"/>
      <c r="AY362" s="3"/>
      <c r="AZ362" s="3"/>
      <c r="BA362" s="3"/>
      <c r="BB362" s="3"/>
      <c r="BC362" s="3"/>
    </row>
    <row r="363" spans="1:55">
      <c r="A363" s="1" t="str">
        <f>'Population Definitions'!$A$13</f>
        <v>Prisoners_females</v>
      </c>
      <c r="C363" t="s">
        <v>32</v>
      </c>
      <c r="D363" s="3"/>
      <c r="E363" s="3">
        <v>0</v>
      </c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  <c r="AA363" s="3"/>
      <c r="AB363" s="3"/>
      <c r="AC363" s="3"/>
      <c r="AD363" s="3"/>
      <c r="AE363" s="3"/>
      <c r="AF363" s="3"/>
      <c r="AG363" s="3"/>
      <c r="AH363" s="3"/>
      <c r="AI363" s="3"/>
      <c r="AJ363" s="3"/>
      <c r="AK363" s="3"/>
      <c r="AL363" s="3"/>
      <c r="AM363" s="3"/>
      <c r="AN363" s="3"/>
      <c r="AO363" s="3"/>
      <c r="AP363" s="3"/>
      <c r="AQ363" s="3"/>
      <c r="AR363" s="3"/>
      <c r="AS363" s="3"/>
      <c r="AT363" s="3"/>
      <c r="AU363" s="3"/>
      <c r="AV363" s="3"/>
      <c r="AW363" s="3"/>
      <c r="AX363" s="3"/>
      <c r="AY363" s="3"/>
      <c r="AZ363" s="3"/>
      <c r="BA363" s="3"/>
      <c r="BB363" s="3"/>
      <c r="BC363" s="3"/>
    </row>
    <row r="365" spans="1:55">
      <c r="A365" s="1" t="s">
        <v>152</v>
      </c>
      <c r="B365" s="1" t="s">
        <v>29</v>
      </c>
      <c r="C365" s="1" t="s">
        <v>30</v>
      </c>
      <c r="D365" s="1" t="s">
        <v>31</v>
      </c>
      <c r="E365" s="1">
        <v>2000</v>
      </c>
      <c r="F365" s="1">
        <v>2001</v>
      </c>
      <c r="G365" s="1">
        <v>2002</v>
      </c>
      <c r="H365" s="1">
        <v>2003</v>
      </c>
      <c r="I365" s="1">
        <v>2004</v>
      </c>
      <c r="J365" s="1">
        <v>2005</v>
      </c>
      <c r="K365" s="1">
        <v>2006</v>
      </c>
      <c r="L365" s="1">
        <v>2007</v>
      </c>
      <c r="M365" s="1">
        <v>2008</v>
      </c>
      <c r="N365" s="1">
        <v>2009</v>
      </c>
      <c r="O365" s="1">
        <v>2010</v>
      </c>
      <c r="P365" s="1">
        <v>2011</v>
      </c>
      <c r="Q365" s="1">
        <v>2012</v>
      </c>
      <c r="R365" s="1">
        <v>2013</v>
      </c>
      <c r="S365" s="1">
        <v>2014</v>
      </c>
      <c r="T365" s="1">
        <v>2015</v>
      </c>
      <c r="U365" s="1">
        <v>2016</v>
      </c>
      <c r="V365" s="1">
        <v>2017</v>
      </c>
      <c r="W365" s="1">
        <v>2018</v>
      </c>
      <c r="X365" s="1">
        <v>2019</v>
      </c>
      <c r="Y365" s="1">
        <v>2020</v>
      </c>
      <c r="Z365" s="1">
        <v>2021</v>
      </c>
      <c r="AA365" s="1">
        <v>2022</v>
      </c>
      <c r="AB365" s="1">
        <v>2023</v>
      </c>
      <c r="AC365" s="1">
        <v>2024</v>
      </c>
      <c r="AD365" s="1">
        <v>2025</v>
      </c>
      <c r="AE365" s="1">
        <v>2026</v>
      </c>
      <c r="AF365" s="1">
        <v>2027</v>
      </c>
      <c r="AG365" s="1">
        <v>2028</v>
      </c>
      <c r="AH365" s="1">
        <v>2029</v>
      </c>
      <c r="AI365" s="1">
        <v>2030</v>
      </c>
      <c r="AJ365" s="1">
        <v>2031</v>
      </c>
      <c r="AK365" s="1">
        <v>2032</v>
      </c>
      <c r="AL365" s="1">
        <v>2033</v>
      </c>
      <c r="AM365" s="1">
        <v>2034</v>
      </c>
      <c r="AN365" s="1">
        <v>2035</v>
      </c>
      <c r="AO365" s="1">
        <v>2036</v>
      </c>
      <c r="AP365" s="1">
        <v>2037</v>
      </c>
      <c r="AQ365" s="1">
        <v>2038</v>
      </c>
      <c r="AR365" s="1">
        <v>2039</v>
      </c>
      <c r="AS365" s="1">
        <v>2040</v>
      </c>
      <c r="AT365" s="1">
        <v>2041</v>
      </c>
      <c r="AU365" s="1">
        <v>2042</v>
      </c>
      <c r="AV365" s="1">
        <v>2043</v>
      </c>
      <c r="AW365" s="1">
        <v>2044</v>
      </c>
      <c r="AX365" s="1">
        <v>2045</v>
      </c>
      <c r="AY365" s="1">
        <v>2046</v>
      </c>
      <c r="AZ365" s="1">
        <v>2047</v>
      </c>
      <c r="BA365" s="1">
        <v>2048</v>
      </c>
      <c r="BB365" s="1">
        <v>2049</v>
      </c>
      <c r="BC365" s="1">
        <v>2050</v>
      </c>
    </row>
    <row r="366" spans="1:55">
      <c r="A366" s="1" t="str">
        <f>'Population Definitions'!$A$2</f>
        <v>PWID_males</v>
      </c>
      <c r="C366" t="s">
        <v>32</v>
      </c>
      <c r="D366" s="3"/>
      <c r="E366" s="3">
        <v>0</v>
      </c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  <c r="AA366" s="3"/>
      <c r="AB366" s="3"/>
      <c r="AC366" s="3"/>
      <c r="AD366" s="3"/>
      <c r="AE366" s="3"/>
      <c r="AF366" s="3"/>
      <c r="AG366" s="3"/>
      <c r="AH366" s="3"/>
      <c r="AI366" s="3"/>
      <c r="AJ366" s="3"/>
      <c r="AK366" s="3"/>
      <c r="AL366" s="3"/>
      <c r="AM366" s="3"/>
      <c r="AN366" s="3"/>
      <c r="AO366" s="3"/>
      <c r="AP366" s="3"/>
      <c r="AQ366" s="3"/>
      <c r="AR366" s="3"/>
      <c r="AS366" s="3"/>
      <c r="AT366" s="3"/>
      <c r="AU366" s="3"/>
      <c r="AV366" s="3"/>
      <c r="AW366" s="3"/>
      <c r="AX366" s="3"/>
      <c r="AY366" s="3"/>
      <c r="AZ366" s="3"/>
      <c r="BA366" s="3"/>
      <c r="BB366" s="3"/>
      <c r="BC366" s="3"/>
    </row>
    <row r="367" spans="1:55">
      <c r="A367" s="1" t="str">
        <f>'Population Definitions'!$A$3</f>
        <v>PWID_females</v>
      </c>
      <c r="C367" t="s">
        <v>32</v>
      </c>
      <c r="D367" s="3"/>
      <c r="E367" s="3">
        <v>0</v>
      </c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  <c r="AA367" s="3"/>
      <c r="AB367" s="3"/>
      <c r="AC367" s="3"/>
      <c r="AD367" s="3"/>
      <c r="AE367" s="3"/>
      <c r="AF367" s="3"/>
      <c r="AG367" s="3"/>
      <c r="AH367" s="3"/>
      <c r="AI367" s="3"/>
      <c r="AJ367" s="3"/>
      <c r="AK367" s="3"/>
      <c r="AL367" s="3"/>
      <c r="AM367" s="3"/>
      <c r="AN367" s="3"/>
      <c r="AO367" s="3"/>
      <c r="AP367" s="3"/>
      <c r="AQ367" s="3"/>
      <c r="AR367" s="3"/>
      <c r="AS367" s="3"/>
      <c r="AT367" s="3"/>
      <c r="AU367" s="3"/>
      <c r="AV367" s="3"/>
      <c r="AW367" s="3"/>
      <c r="AX367" s="3"/>
      <c r="AY367" s="3"/>
      <c r="AZ367" s="3"/>
      <c r="BA367" s="3"/>
      <c r="BB367" s="3"/>
      <c r="BC367" s="3"/>
    </row>
    <row r="368" spans="1:55">
      <c r="A368" s="1" t="str">
        <f>'Population Definitions'!$A$4</f>
        <v>0-9_males</v>
      </c>
      <c r="C368" t="s">
        <v>32</v>
      </c>
      <c r="D368" s="3"/>
      <c r="E368" s="3">
        <v>0</v>
      </c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</row>
    <row r="369" spans="1:55">
      <c r="A369" s="1" t="str">
        <f>'Population Definitions'!$A$5</f>
        <v>0-9_females</v>
      </c>
      <c r="C369" t="s">
        <v>32</v>
      </c>
      <c r="D369" s="3"/>
      <c r="E369" s="3">
        <v>0</v>
      </c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  <c r="AA369" s="3"/>
      <c r="AB369" s="3"/>
      <c r="AC369" s="3"/>
      <c r="AD369" s="3"/>
      <c r="AE369" s="3"/>
      <c r="AF369" s="3"/>
      <c r="AG369" s="3"/>
      <c r="AH369" s="3"/>
      <c r="AI369" s="3"/>
      <c r="AJ369" s="3"/>
      <c r="AK369" s="3"/>
      <c r="AL369" s="3"/>
      <c r="AM369" s="3"/>
      <c r="AN369" s="3"/>
      <c r="AO369" s="3"/>
      <c r="AP369" s="3"/>
      <c r="AQ369" s="3"/>
      <c r="AR369" s="3"/>
      <c r="AS369" s="3"/>
      <c r="AT369" s="3"/>
      <c r="AU369" s="3"/>
      <c r="AV369" s="3"/>
      <c r="AW369" s="3"/>
      <c r="AX369" s="3"/>
      <c r="AY369" s="3"/>
      <c r="AZ369" s="3"/>
      <c r="BA369" s="3"/>
      <c r="BB369" s="3"/>
      <c r="BC369" s="3"/>
    </row>
    <row r="370" spans="1:55">
      <c r="A370" s="1" t="str">
        <f>'Population Definitions'!$A$6</f>
        <v>10-17_males</v>
      </c>
      <c r="C370" t="s">
        <v>32</v>
      </c>
      <c r="D370" s="3"/>
      <c r="E370" s="3">
        <v>0</v>
      </c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  <c r="AA370" s="3"/>
      <c r="AB370" s="3"/>
      <c r="AC370" s="3"/>
      <c r="AD370" s="3"/>
      <c r="AE370" s="3"/>
      <c r="AF370" s="3"/>
      <c r="AG370" s="3"/>
      <c r="AH370" s="3"/>
      <c r="AI370" s="3"/>
      <c r="AJ370" s="3"/>
      <c r="AK370" s="3"/>
      <c r="AL370" s="3"/>
      <c r="AM370" s="3"/>
      <c r="AN370" s="3"/>
      <c r="AO370" s="3"/>
      <c r="AP370" s="3"/>
      <c r="AQ370" s="3"/>
      <c r="AR370" s="3"/>
      <c r="AS370" s="3"/>
      <c r="AT370" s="3"/>
      <c r="AU370" s="3"/>
      <c r="AV370" s="3"/>
      <c r="AW370" s="3"/>
      <c r="AX370" s="3"/>
      <c r="AY370" s="3"/>
      <c r="AZ370" s="3"/>
      <c r="BA370" s="3"/>
      <c r="BB370" s="3"/>
      <c r="BC370" s="3"/>
    </row>
    <row r="371" spans="1:55">
      <c r="A371" s="1" t="str">
        <f>'Population Definitions'!$A$7</f>
        <v>10-17_females</v>
      </c>
      <c r="C371" t="s">
        <v>32</v>
      </c>
      <c r="D371" s="3"/>
      <c r="E371" s="3">
        <v>0</v>
      </c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  <c r="AA371" s="3"/>
      <c r="AB371" s="3"/>
      <c r="AC371" s="3"/>
      <c r="AD371" s="3"/>
      <c r="AE371" s="3"/>
      <c r="AF371" s="3"/>
      <c r="AG371" s="3"/>
      <c r="AH371" s="3"/>
      <c r="AI371" s="3"/>
      <c r="AJ371" s="3"/>
      <c r="AK371" s="3"/>
      <c r="AL371" s="3"/>
      <c r="AM371" s="3"/>
      <c r="AN371" s="3"/>
      <c r="AO371" s="3"/>
      <c r="AP371" s="3"/>
      <c r="AQ371" s="3"/>
      <c r="AR371" s="3"/>
      <c r="AS371" s="3"/>
      <c r="AT371" s="3"/>
      <c r="AU371" s="3"/>
      <c r="AV371" s="3"/>
      <c r="AW371" s="3"/>
      <c r="AX371" s="3"/>
      <c r="AY371" s="3"/>
      <c r="AZ371" s="3"/>
      <c r="BA371" s="3"/>
      <c r="BB371" s="3"/>
      <c r="BC371" s="3"/>
    </row>
    <row r="372" spans="1:55">
      <c r="A372" s="1" t="str">
        <f>'Population Definitions'!$A$8</f>
        <v>18-64_males</v>
      </c>
      <c r="C372" t="s">
        <v>32</v>
      </c>
      <c r="D372" s="3"/>
      <c r="E372" s="3">
        <v>0</v>
      </c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  <c r="AA372" s="3"/>
      <c r="AB372" s="3"/>
      <c r="AC372" s="3"/>
      <c r="AD372" s="3"/>
      <c r="AE372" s="3"/>
      <c r="AF372" s="3"/>
      <c r="AG372" s="3"/>
      <c r="AH372" s="3"/>
      <c r="AI372" s="3"/>
      <c r="AJ372" s="3"/>
      <c r="AK372" s="3"/>
      <c r="AL372" s="3"/>
      <c r="AM372" s="3"/>
      <c r="AN372" s="3"/>
      <c r="AO372" s="3"/>
      <c r="AP372" s="3"/>
      <c r="AQ372" s="3"/>
      <c r="AR372" s="3"/>
      <c r="AS372" s="3"/>
      <c r="AT372" s="3"/>
      <c r="AU372" s="3"/>
      <c r="AV372" s="3"/>
      <c r="AW372" s="3"/>
      <c r="AX372" s="3"/>
      <c r="AY372" s="3"/>
      <c r="AZ372" s="3"/>
      <c r="BA372" s="3"/>
      <c r="BB372" s="3"/>
      <c r="BC372" s="3"/>
    </row>
    <row r="373" spans="1:55">
      <c r="A373" s="1" t="str">
        <f>'Population Definitions'!$A$9</f>
        <v>18-64_females</v>
      </c>
      <c r="C373" t="s">
        <v>32</v>
      </c>
      <c r="D373" s="3"/>
      <c r="E373" s="3">
        <v>0</v>
      </c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  <c r="AA373" s="3"/>
      <c r="AB373" s="3"/>
      <c r="AC373" s="3"/>
      <c r="AD373" s="3"/>
      <c r="AE373" s="3"/>
      <c r="AF373" s="3"/>
      <c r="AG373" s="3"/>
      <c r="AH373" s="3"/>
      <c r="AI373" s="3"/>
      <c r="AJ373" s="3"/>
      <c r="AK373" s="3"/>
      <c r="AL373" s="3"/>
      <c r="AM373" s="3"/>
      <c r="AN373" s="3"/>
      <c r="AO373" s="3"/>
      <c r="AP373" s="3"/>
      <c r="AQ373" s="3"/>
      <c r="AR373" s="3"/>
      <c r="AS373" s="3"/>
      <c r="AT373" s="3"/>
      <c r="AU373" s="3"/>
      <c r="AV373" s="3"/>
      <c r="AW373" s="3"/>
      <c r="AX373" s="3"/>
      <c r="AY373" s="3"/>
      <c r="AZ373" s="3"/>
      <c r="BA373" s="3"/>
      <c r="BB373" s="3"/>
      <c r="BC373" s="3"/>
    </row>
    <row r="374" spans="1:55">
      <c r="A374" s="1" t="str">
        <f>'Population Definitions'!$A$10</f>
        <v>65+_males</v>
      </c>
      <c r="C374" t="s">
        <v>32</v>
      </c>
      <c r="D374" s="3"/>
      <c r="E374" s="3">
        <v>0</v>
      </c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  <c r="AA374" s="3"/>
      <c r="AB374" s="3"/>
      <c r="AC374" s="3"/>
      <c r="AD374" s="3"/>
      <c r="AE374" s="3"/>
      <c r="AF374" s="3"/>
      <c r="AG374" s="3"/>
      <c r="AH374" s="3"/>
      <c r="AI374" s="3"/>
      <c r="AJ374" s="3"/>
      <c r="AK374" s="3"/>
      <c r="AL374" s="3"/>
      <c r="AM374" s="3"/>
      <c r="AN374" s="3"/>
      <c r="AO374" s="3"/>
      <c r="AP374" s="3"/>
      <c r="AQ374" s="3"/>
      <c r="AR374" s="3"/>
      <c r="AS374" s="3"/>
      <c r="AT374" s="3"/>
      <c r="AU374" s="3"/>
      <c r="AV374" s="3"/>
      <c r="AW374" s="3"/>
      <c r="AX374" s="3"/>
      <c r="AY374" s="3"/>
      <c r="AZ374" s="3"/>
      <c r="BA374" s="3"/>
      <c r="BB374" s="3"/>
      <c r="BC374" s="3"/>
    </row>
    <row r="375" spans="1:55">
      <c r="A375" s="1" t="str">
        <f>'Population Definitions'!$A$11</f>
        <v>65+_females</v>
      </c>
      <c r="C375" t="s">
        <v>32</v>
      </c>
      <c r="D375" s="3"/>
      <c r="E375" s="3">
        <v>0</v>
      </c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  <c r="AA375" s="3"/>
      <c r="AB375" s="3"/>
      <c r="AC375" s="3"/>
      <c r="AD375" s="3"/>
      <c r="AE375" s="3"/>
      <c r="AF375" s="3"/>
      <c r="AG375" s="3"/>
      <c r="AH375" s="3"/>
      <c r="AI375" s="3"/>
      <c r="AJ375" s="3"/>
      <c r="AK375" s="3"/>
      <c r="AL375" s="3"/>
      <c r="AM375" s="3"/>
      <c r="AN375" s="3"/>
      <c r="AO375" s="3"/>
      <c r="AP375" s="3"/>
      <c r="AQ375" s="3"/>
      <c r="AR375" s="3"/>
      <c r="AS375" s="3"/>
      <c r="AT375" s="3"/>
      <c r="AU375" s="3"/>
      <c r="AV375" s="3"/>
      <c r="AW375" s="3"/>
      <c r="AX375" s="3"/>
      <c r="AY375" s="3"/>
      <c r="AZ375" s="3"/>
      <c r="BA375" s="3"/>
      <c r="BB375" s="3"/>
      <c r="BC375" s="3"/>
    </row>
    <row r="376" spans="1:55">
      <c r="A376" s="1" t="str">
        <f>'Population Definitions'!$A$12</f>
        <v>Prisoners_males</v>
      </c>
      <c r="C376" t="s">
        <v>32</v>
      </c>
      <c r="D376" s="3"/>
      <c r="E376" s="3">
        <v>0</v>
      </c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  <c r="AA376" s="3"/>
      <c r="AB376" s="3"/>
      <c r="AC376" s="3"/>
      <c r="AD376" s="3"/>
      <c r="AE376" s="3"/>
      <c r="AF376" s="3"/>
      <c r="AG376" s="3"/>
      <c r="AH376" s="3"/>
      <c r="AI376" s="3"/>
      <c r="AJ376" s="3"/>
      <c r="AK376" s="3"/>
      <c r="AL376" s="3"/>
      <c r="AM376" s="3"/>
      <c r="AN376" s="3"/>
      <c r="AO376" s="3"/>
      <c r="AP376" s="3"/>
      <c r="AQ376" s="3"/>
      <c r="AR376" s="3"/>
      <c r="AS376" s="3"/>
      <c r="AT376" s="3"/>
      <c r="AU376" s="3"/>
      <c r="AV376" s="3"/>
      <c r="AW376" s="3"/>
      <c r="AX376" s="3"/>
      <c r="AY376" s="3"/>
      <c r="AZ376" s="3"/>
      <c r="BA376" s="3"/>
      <c r="BB376" s="3"/>
      <c r="BC376" s="3"/>
    </row>
    <row r="377" spans="1:55">
      <c r="A377" s="1" t="str">
        <f>'Population Definitions'!$A$13</f>
        <v>Prisoners_females</v>
      </c>
      <c r="C377" t="s">
        <v>32</v>
      </c>
      <c r="D377" s="3"/>
      <c r="E377" s="3">
        <v>0</v>
      </c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  <c r="AA377" s="3"/>
      <c r="AB377" s="3"/>
      <c r="AC377" s="3"/>
      <c r="AD377" s="3"/>
      <c r="AE377" s="3"/>
      <c r="AF377" s="3"/>
      <c r="AG377" s="3"/>
      <c r="AH377" s="3"/>
      <c r="AI377" s="3"/>
      <c r="AJ377" s="3"/>
      <c r="AK377" s="3"/>
      <c r="AL377" s="3"/>
      <c r="AM377" s="3"/>
      <c r="AN377" s="3"/>
      <c r="AO377" s="3"/>
      <c r="AP377" s="3"/>
      <c r="AQ377" s="3"/>
      <c r="AR377" s="3"/>
      <c r="AS377" s="3"/>
      <c r="AT377" s="3"/>
      <c r="AU377" s="3"/>
      <c r="AV377" s="3"/>
      <c r="AW377" s="3"/>
      <c r="AX377" s="3"/>
      <c r="AY377" s="3"/>
      <c r="AZ377" s="3"/>
      <c r="BA377" s="3"/>
      <c r="BB377" s="3"/>
      <c r="BC377" s="3"/>
    </row>
    <row r="379" spans="1:55">
      <c r="A379" s="1" t="s">
        <v>153</v>
      </c>
      <c r="B379" s="1" t="s">
        <v>29</v>
      </c>
      <c r="C379" s="1" t="s">
        <v>30</v>
      </c>
      <c r="D379" s="1" t="s">
        <v>31</v>
      </c>
      <c r="E379" s="1">
        <v>2000</v>
      </c>
      <c r="F379" s="1">
        <v>2001</v>
      </c>
      <c r="G379" s="1">
        <v>2002</v>
      </c>
      <c r="H379" s="1">
        <v>2003</v>
      </c>
      <c r="I379" s="1">
        <v>2004</v>
      </c>
      <c r="J379" s="1">
        <v>2005</v>
      </c>
      <c r="K379" s="1">
        <v>2006</v>
      </c>
      <c r="L379" s="1">
        <v>2007</v>
      </c>
      <c r="M379" s="1">
        <v>2008</v>
      </c>
      <c r="N379" s="1">
        <v>2009</v>
      </c>
      <c r="O379" s="1">
        <v>2010</v>
      </c>
      <c r="P379" s="1">
        <v>2011</v>
      </c>
      <c r="Q379" s="1">
        <v>2012</v>
      </c>
      <c r="R379" s="1">
        <v>2013</v>
      </c>
      <c r="S379" s="1">
        <v>2014</v>
      </c>
      <c r="T379" s="1">
        <v>2015</v>
      </c>
      <c r="U379" s="1">
        <v>2016</v>
      </c>
      <c r="V379" s="1">
        <v>2017</v>
      </c>
      <c r="W379" s="1">
        <v>2018</v>
      </c>
      <c r="X379" s="1">
        <v>2019</v>
      </c>
      <c r="Y379" s="1">
        <v>2020</v>
      </c>
      <c r="Z379" s="1">
        <v>2021</v>
      </c>
      <c r="AA379" s="1">
        <v>2022</v>
      </c>
      <c r="AB379" s="1">
        <v>2023</v>
      </c>
      <c r="AC379" s="1">
        <v>2024</v>
      </c>
      <c r="AD379" s="1">
        <v>2025</v>
      </c>
      <c r="AE379" s="1">
        <v>2026</v>
      </c>
      <c r="AF379" s="1">
        <v>2027</v>
      </c>
      <c r="AG379" s="1">
        <v>2028</v>
      </c>
      <c r="AH379" s="1">
        <v>2029</v>
      </c>
      <c r="AI379" s="1">
        <v>2030</v>
      </c>
      <c r="AJ379" s="1">
        <v>2031</v>
      </c>
      <c r="AK379" s="1">
        <v>2032</v>
      </c>
      <c r="AL379" s="1">
        <v>2033</v>
      </c>
      <c r="AM379" s="1">
        <v>2034</v>
      </c>
      <c r="AN379" s="1">
        <v>2035</v>
      </c>
      <c r="AO379" s="1">
        <v>2036</v>
      </c>
      <c r="AP379" s="1">
        <v>2037</v>
      </c>
      <c r="AQ379" s="1">
        <v>2038</v>
      </c>
      <c r="AR379" s="1">
        <v>2039</v>
      </c>
      <c r="AS379" s="1">
        <v>2040</v>
      </c>
      <c r="AT379" s="1">
        <v>2041</v>
      </c>
      <c r="AU379" s="1">
        <v>2042</v>
      </c>
      <c r="AV379" s="1">
        <v>2043</v>
      </c>
      <c r="AW379" s="1">
        <v>2044</v>
      </c>
      <c r="AX379" s="1">
        <v>2045</v>
      </c>
      <c r="AY379" s="1">
        <v>2046</v>
      </c>
      <c r="AZ379" s="1">
        <v>2047</v>
      </c>
      <c r="BA379" s="1">
        <v>2048</v>
      </c>
      <c r="BB379" s="1">
        <v>2049</v>
      </c>
      <c r="BC379" s="1">
        <v>2050</v>
      </c>
    </row>
    <row r="380" spans="1:55">
      <c r="A380" s="1" t="str">
        <f>'Population Definitions'!$A$2</f>
        <v>PWID_males</v>
      </c>
      <c r="C380" t="s">
        <v>32</v>
      </c>
      <c r="D380" s="3"/>
      <c r="E380" s="3">
        <v>0</v>
      </c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  <c r="AA380" s="3"/>
      <c r="AB380" s="3"/>
      <c r="AC380" s="3"/>
      <c r="AD380" s="3"/>
      <c r="AE380" s="3"/>
      <c r="AF380" s="3"/>
      <c r="AG380" s="3"/>
      <c r="AH380" s="3"/>
      <c r="AI380" s="3"/>
      <c r="AJ380" s="3"/>
      <c r="AK380" s="3"/>
      <c r="AL380" s="3"/>
      <c r="AM380" s="3"/>
      <c r="AN380" s="3"/>
      <c r="AO380" s="3"/>
      <c r="AP380" s="3"/>
      <c r="AQ380" s="3"/>
      <c r="AR380" s="3"/>
      <c r="AS380" s="3"/>
      <c r="AT380" s="3"/>
      <c r="AU380" s="3"/>
      <c r="AV380" s="3"/>
      <c r="AW380" s="3"/>
      <c r="AX380" s="3"/>
      <c r="AY380" s="3"/>
      <c r="AZ380" s="3"/>
      <c r="BA380" s="3"/>
      <c r="BB380" s="3"/>
      <c r="BC380" s="3"/>
    </row>
    <row r="381" spans="1:55">
      <c r="A381" s="1" t="str">
        <f>'Population Definitions'!$A$3</f>
        <v>PWID_females</v>
      </c>
      <c r="C381" t="s">
        <v>32</v>
      </c>
      <c r="D381" s="3"/>
      <c r="E381" s="3">
        <v>0</v>
      </c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  <c r="AA381" s="3"/>
      <c r="AB381" s="3"/>
      <c r="AC381" s="3"/>
      <c r="AD381" s="3"/>
      <c r="AE381" s="3"/>
      <c r="AF381" s="3"/>
      <c r="AG381" s="3"/>
      <c r="AH381" s="3"/>
      <c r="AI381" s="3"/>
      <c r="AJ381" s="3"/>
      <c r="AK381" s="3"/>
      <c r="AL381" s="3"/>
      <c r="AM381" s="3"/>
      <c r="AN381" s="3"/>
      <c r="AO381" s="3"/>
      <c r="AP381" s="3"/>
      <c r="AQ381" s="3"/>
      <c r="AR381" s="3"/>
      <c r="AS381" s="3"/>
      <c r="AT381" s="3"/>
      <c r="AU381" s="3"/>
      <c r="AV381" s="3"/>
      <c r="AW381" s="3"/>
      <c r="AX381" s="3"/>
      <c r="AY381" s="3"/>
      <c r="AZ381" s="3"/>
      <c r="BA381" s="3"/>
      <c r="BB381" s="3"/>
      <c r="BC381" s="3"/>
    </row>
    <row r="382" spans="1:55">
      <c r="A382" s="1" t="str">
        <f>'Population Definitions'!$A$4</f>
        <v>0-9_males</v>
      </c>
      <c r="C382" t="s">
        <v>32</v>
      </c>
      <c r="D382" s="3"/>
      <c r="E382" s="3">
        <v>0</v>
      </c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  <c r="AA382" s="3"/>
      <c r="AB382" s="3"/>
      <c r="AC382" s="3"/>
      <c r="AD382" s="3"/>
      <c r="AE382" s="3"/>
      <c r="AF382" s="3"/>
      <c r="AG382" s="3"/>
      <c r="AH382" s="3"/>
      <c r="AI382" s="3"/>
      <c r="AJ382" s="3"/>
      <c r="AK382" s="3"/>
      <c r="AL382" s="3"/>
      <c r="AM382" s="3"/>
      <c r="AN382" s="3"/>
      <c r="AO382" s="3"/>
      <c r="AP382" s="3"/>
      <c r="AQ382" s="3"/>
      <c r="AR382" s="3"/>
      <c r="AS382" s="3"/>
      <c r="AT382" s="3"/>
      <c r="AU382" s="3"/>
      <c r="AV382" s="3"/>
      <c r="AW382" s="3"/>
      <c r="AX382" s="3"/>
      <c r="AY382" s="3"/>
      <c r="AZ382" s="3"/>
      <c r="BA382" s="3"/>
      <c r="BB382" s="3"/>
      <c r="BC382" s="3"/>
    </row>
    <row r="383" spans="1:55">
      <c r="A383" s="1" t="str">
        <f>'Population Definitions'!$A$5</f>
        <v>0-9_females</v>
      </c>
      <c r="C383" t="s">
        <v>32</v>
      </c>
      <c r="D383" s="3"/>
      <c r="E383" s="3">
        <v>0</v>
      </c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  <c r="AA383" s="3"/>
      <c r="AB383" s="3"/>
      <c r="AC383" s="3"/>
      <c r="AD383" s="3"/>
      <c r="AE383" s="3"/>
      <c r="AF383" s="3"/>
      <c r="AG383" s="3"/>
      <c r="AH383" s="3"/>
      <c r="AI383" s="3"/>
      <c r="AJ383" s="3"/>
      <c r="AK383" s="3"/>
      <c r="AL383" s="3"/>
      <c r="AM383" s="3"/>
      <c r="AN383" s="3"/>
      <c r="AO383" s="3"/>
      <c r="AP383" s="3"/>
      <c r="AQ383" s="3"/>
      <c r="AR383" s="3"/>
      <c r="AS383" s="3"/>
      <c r="AT383" s="3"/>
      <c r="AU383" s="3"/>
      <c r="AV383" s="3"/>
      <c r="AW383" s="3"/>
      <c r="AX383" s="3"/>
      <c r="AY383" s="3"/>
      <c r="AZ383" s="3"/>
      <c r="BA383" s="3"/>
      <c r="BB383" s="3"/>
      <c r="BC383" s="3"/>
    </row>
    <row r="384" spans="1:55">
      <c r="A384" s="1" t="str">
        <f>'Population Definitions'!$A$6</f>
        <v>10-17_males</v>
      </c>
      <c r="C384" t="s">
        <v>32</v>
      </c>
      <c r="D384" s="3"/>
      <c r="E384" s="3">
        <v>0</v>
      </c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  <c r="AA384" s="3"/>
      <c r="AB384" s="3"/>
      <c r="AC384" s="3"/>
      <c r="AD384" s="3"/>
      <c r="AE384" s="3"/>
      <c r="AF384" s="3"/>
      <c r="AG384" s="3"/>
      <c r="AH384" s="3"/>
      <c r="AI384" s="3"/>
      <c r="AJ384" s="3"/>
      <c r="AK384" s="3"/>
      <c r="AL384" s="3"/>
      <c r="AM384" s="3"/>
      <c r="AN384" s="3"/>
      <c r="AO384" s="3"/>
      <c r="AP384" s="3"/>
      <c r="AQ384" s="3"/>
      <c r="AR384" s="3"/>
      <c r="AS384" s="3"/>
      <c r="AT384" s="3"/>
      <c r="AU384" s="3"/>
      <c r="AV384" s="3"/>
      <c r="AW384" s="3"/>
      <c r="AX384" s="3"/>
      <c r="AY384" s="3"/>
      <c r="AZ384" s="3"/>
      <c r="BA384" s="3"/>
      <c r="BB384" s="3"/>
      <c r="BC384" s="3"/>
    </row>
    <row r="385" spans="1:55">
      <c r="A385" s="1" t="str">
        <f>'Population Definitions'!$A$7</f>
        <v>10-17_females</v>
      </c>
      <c r="C385" t="s">
        <v>32</v>
      </c>
      <c r="D385" s="3"/>
      <c r="E385" s="3">
        <v>0</v>
      </c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  <c r="AA385" s="3"/>
      <c r="AB385" s="3"/>
      <c r="AC385" s="3"/>
      <c r="AD385" s="3"/>
      <c r="AE385" s="3"/>
      <c r="AF385" s="3"/>
      <c r="AG385" s="3"/>
      <c r="AH385" s="3"/>
      <c r="AI385" s="3"/>
      <c r="AJ385" s="3"/>
      <c r="AK385" s="3"/>
      <c r="AL385" s="3"/>
      <c r="AM385" s="3"/>
      <c r="AN385" s="3"/>
      <c r="AO385" s="3"/>
      <c r="AP385" s="3"/>
      <c r="AQ385" s="3"/>
      <c r="AR385" s="3"/>
      <c r="AS385" s="3"/>
      <c r="AT385" s="3"/>
      <c r="AU385" s="3"/>
      <c r="AV385" s="3"/>
      <c r="AW385" s="3"/>
      <c r="AX385" s="3"/>
      <c r="AY385" s="3"/>
      <c r="AZ385" s="3"/>
      <c r="BA385" s="3"/>
      <c r="BB385" s="3"/>
      <c r="BC385" s="3"/>
    </row>
    <row r="386" spans="1:55">
      <c r="A386" s="1" t="str">
        <f>'Population Definitions'!$A$8</f>
        <v>18-64_males</v>
      </c>
      <c r="C386" t="s">
        <v>32</v>
      </c>
      <c r="D386" s="3"/>
      <c r="E386" s="3">
        <v>0</v>
      </c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  <c r="AA386" s="3"/>
      <c r="AB386" s="3"/>
      <c r="AC386" s="3"/>
      <c r="AD386" s="3"/>
      <c r="AE386" s="3"/>
      <c r="AF386" s="3"/>
      <c r="AG386" s="3"/>
      <c r="AH386" s="3"/>
      <c r="AI386" s="3"/>
      <c r="AJ386" s="3"/>
      <c r="AK386" s="3"/>
      <c r="AL386" s="3"/>
      <c r="AM386" s="3"/>
      <c r="AN386" s="3"/>
      <c r="AO386" s="3"/>
      <c r="AP386" s="3"/>
      <c r="AQ386" s="3"/>
      <c r="AR386" s="3"/>
      <c r="AS386" s="3"/>
      <c r="AT386" s="3"/>
      <c r="AU386" s="3"/>
      <c r="AV386" s="3"/>
      <c r="AW386" s="3"/>
      <c r="AX386" s="3"/>
      <c r="AY386" s="3"/>
      <c r="AZ386" s="3"/>
      <c r="BA386" s="3"/>
      <c r="BB386" s="3"/>
      <c r="BC386" s="3"/>
    </row>
    <row r="387" spans="1:55">
      <c r="A387" s="1" t="str">
        <f>'Population Definitions'!$A$9</f>
        <v>18-64_females</v>
      </c>
      <c r="C387" t="s">
        <v>32</v>
      </c>
      <c r="D387" s="3"/>
      <c r="E387" s="3">
        <v>0</v>
      </c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  <c r="AA387" s="3"/>
      <c r="AB387" s="3"/>
      <c r="AC387" s="3"/>
      <c r="AD387" s="3"/>
      <c r="AE387" s="3"/>
      <c r="AF387" s="3"/>
      <c r="AG387" s="3"/>
      <c r="AH387" s="3"/>
      <c r="AI387" s="3"/>
      <c r="AJ387" s="3"/>
      <c r="AK387" s="3"/>
      <c r="AL387" s="3"/>
      <c r="AM387" s="3"/>
      <c r="AN387" s="3"/>
      <c r="AO387" s="3"/>
      <c r="AP387" s="3"/>
      <c r="AQ387" s="3"/>
      <c r="AR387" s="3"/>
      <c r="AS387" s="3"/>
      <c r="AT387" s="3"/>
      <c r="AU387" s="3"/>
      <c r="AV387" s="3"/>
      <c r="AW387" s="3"/>
      <c r="AX387" s="3"/>
      <c r="AY387" s="3"/>
      <c r="AZ387" s="3"/>
      <c r="BA387" s="3"/>
      <c r="BB387" s="3"/>
      <c r="BC387" s="3"/>
    </row>
    <row r="388" spans="1:55">
      <c r="A388" s="1" t="str">
        <f>'Population Definitions'!$A$10</f>
        <v>65+_males</v>
      </c>
      <c r="C388" t="s">
        <v>32</v>
      </c>
      <c r="D388" s="3"/>
      <c r="E388" s="3">
        <v>0</v>
      </c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  <c r="AA388" s="3"/>
      <c r="AB388" s="3"/>
      <c r="AC388" s="3"/>
      <c r="AD388" s="3"/>
      <c r="AE388" s="3"/>
      <c r="AF388" s="3"/>
      <c r="AG388" s="3"/>
      <c r="AH388" s="3"/>
      <c r="AI388" s="3"/>
      <c r="AJ388" s="3"/>
      <c r="AK388" s="3"/>
      <c r="AL388" s="3"/>
      <c r="AM388" s="3"/>
      <c r="AN388" s="3"/>
      <c r="AO388" s="3"/>
      <c r="AP388" s="3"/>
      <c r="AQ388" s="3"/>
      <c r="AR388" s="3"/>
      <c r="AS388" s="3"/>
      <c r="AT388" s="3"/>
      <c r="AU388" s="3"/>
      <c r="AV388" s="3"/>
      <c r="AW388" s="3"/>
      <c r="AX388" s="3"/>
      <c r="AY388" s="3"/>
      <c r="AZ388" s="3"/>
      <c r="BA388" s="3"/>
      <c r="BB388" s="3"/>
      <c r="BC388" s="3"/>
    </row>
    <row r="389" spans="1:55">
      <c r="A389" s="1" t="str">
        <f>'Population Definitions'!$A$11</f>
        <v>65+_females</v>
      </c>
      <c r="C389" t="s">
        <v>32</v>
      </c>
      <c r="D389" s="3"/>
      <c r="E389" s="3">
        <v>0</v>
      </c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  <c r="AA389" s="3"/>
      <c r="AB389" s="3"/>
      <c r="AC389" s="3"/>
      <c r="AD389" s="3"/>
      <c r="AE389" s="3"/>
      <c r="AF389" s="3"/>
      <c r="AG389" s="3"/>
      <c r="AH389" s="3"/>
      <c r="AI389" s="3"/>
      <c r="AJ389" s="3"/>
      <c r="AK389" s="3"/>
      <c r="AL389" s="3"/>
      <c r="AM389" s="3"/>
      <c r="AN389" s="3"/>
      <c r="AO389" s="3"/>
      <c r="AP389" s="3"/>
      <c r="AQ389" s="3"/>
      <c r="AR389" s="3"/>
      <c r="AS389" s="3"/>
      <c r="AT389" s="3"/>
      <c r="AU389" s="3"/>
      <c r="AV389" s="3"/>
      <c r="AW389" s="3"/>
      <c r="AX389" s="3"/>
      <c r="AY389" s="3"/>
      <c r="AZ389" s="3"/>
      <c r="BA389" s="3"/>
      <c r="BB389" s="3"/>
      <c r="BC389" s="3"/>
    </row>
    <row r="390" spans="1:55">
      <c r="A390" s="1" t="str">
        <f>'Population Definitions'!$A$12</f>
        <v>Prisoners_males</v>
      </c>
      <c r="C390" t="s">
        <v>32</v>
      </c>
      <c r="D390" s="3"/>
      <c r="E390" s="3">
        <v>0</v>
      </c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  <c r="AA390" s="3"/>
      <c r="AB390" s="3"/>
      <c r="AC390" s="3"/>
      <c r="AD390" s="3"/>
      <c r="AE390" s="3"/>
      <c r="AF390" s="3"/>
      <c r="AG390" s="3"/>
      <c r="AH390" s="3"/>
      <c r="AI390" s="3"/>
      <c r="AJ390" s="3"/>
      <c r="AK390" s="3"/>
      <c r="AL390" s="3"/>
      <c r="AM390" s="3"/>
      <c r="AN390" s="3"/>
      <c r="AO390" s="3"/>
      <c r="AP390" s="3"/>
      <c r="AQ390" s="3"/>
      <c r="AR390" s="3"/>
      <c r="AS390" s="3"/>
      <c r="AT390" s="3"/>
      <c r="AU390" s="3"/>
      <c r="AV390" s="3"/>
      <c r="AW390" s="3"/>
      <c r="AX390" s="3"/>
      <c r="AY390" s="3"/>
      <c r="AZ390" s="3"/>
      <c r="BA390" s="3"/>
      <c r="BB390" s="3"/>
      <c r="BC390" s="3"/>
    </row>
    <row r="391" spans="1:55">
      <c r="A391" s="1" t="str">
        <f>'Population Definitions'!$A$13</f>
        <v>Prisoners_females</v>
      </c>
      <c r="C391" t="s">
        <v>32</v>
      </c>
      <c r="D391" s="3"/>
      <c r="E391" s="3">
        <v>0</v>
      </c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  <c r="AA391" s="3"/>
      <c r="AB391" s="3"/>
      <c r="AC391" s="3"/>
      <c r="AD391" s="3"/>
      <c r="AE391" s="3"/>
      <c r="AF391" s="3"/>
      <c r="AG391" s="3"/>
      <c r="AH391" s="3"/>
      <c r="AI391" s="3"/>
      <c r="AJ391" s="3"/>
      <c r="AK391" s="3"/>
      <c r="AL391" s="3"/>
      <c r="AM391" s="3"/>
      <c r="AN391" s="3"/>
      <c r="AO391" s="3"/>
      <c r="AP391" s="3"/>
      <c r="AQ391" s="3"/>
      <c r="AR391" s="3"/>
      <c r="AS391" s="3"/>
      <c r="AT391" s="3"/>
      <c r="AU391" s="3"/>
      <c r="AV391" s="3"/>
      <c r="AW391" s="3"/>
      <c r="AX391" s="3"/>
      <c r="AY391" s="3"/>
      <c r="AZ391" s="3"/>
      <c r="BA391" s="3"/>
      <c r="BB391" s="3"/>
      <c r="BC391" s="3"/>
    </row>
    <row r="393" spans="1:55">
      <c r="A393" s="1" t="s">
        <v>154</v>
      </c>
      <c r="B393" s="1" t="s">
        <v>29</v>
      </c>
      <c r="C393" s="1" t="s">
        <v>30</v>
      </c>
      <c r="D393" s="1" t="s">
        <v>31</v>
      </c>
      <c r="E393" s="1">
        <v>2000</v>
      </c>
      <c r="F393" s="1">
        <v>2001</v>
      </c>
      <c r="G393" s="1">
        <v>2002</v>
      </c>
      <c r="H393" s="1">
        <v>2003</v>
      </c>
      <c r="I393" s="1">
        <v>2004</v>
      </c>
      <c r="J393" s="1">
        <v>2005</v>
      </c>
      <c r="K393" s="1">
        <v>2006</v>
      </c>
      <c r="L393" s="1">
        <v>2007</v>
      </c>
      <c r="M393" s="1">
        <v>2008</v>
      </c>
      <c r="N393" s="1">
        <v>2009</v>
      </c>
      <c r="O393" s="1">
        <v>2010</v>
      </c>
      <c r="P393" s="1">
        <v>2011</v>
      </c>
      <c r="Q393" s="1">
        <v>2012</v>
      </c>
      <c r="R393" s="1">
        <v>2013</v>
      </c>
      <c r="S393" s="1">
        <v>2014</v>
      </c>
      <c r="T393" s="1">
        <v>2015</v>
      </c>
      <c r="U393" s="1">
        <v>2016</v>
      </c>
      <c r="V393" s="1">
        <v>2017</v>
      </c>
      <c r="W393" s="1">
        <v>2018</v>
      </c>
      <c r="X393" s="1">
        <v>2019</v>
      </c>
      <c r="Y393" s="1">
        <v>2020</v>
      </c>
      <c r="Z393" s="1">
        <v>2021</v>
      </c>
      <c r="AA393" s="1">
        <v>2022</v>
      </c>
      <c r="AB393" s="1">
        <v>2023</v>
      </c>
      <c r="AC393" s="1">
        <v>2024</v>
      </c>
      <c r="AD393" s="1">
        <v>2025</v>
      </c>
      <c r="AE393" s="1">
        <v>2026</v>
      </c>
      <c r="AF393" s="1">
        <v>2027</v>
      </c>
      <c r="AG393" s="1">
        <v>2028</v>
      </c>
      <c r="AH393" s="1">
        <v>2029</v>
      </c>
      <c r="AI393" s="1">
        <v>2030</v>
      </c>
      <c r="AJ393" s="1">
        <v>2031</v>
      </c>
      <c r="AK393" s="1">
        <v>2032</v>
      </c>
      <c r="AL393" s="1">
        <v>2033</v>
      </c>
      <c r="AM393" s="1">
        <v>2034</v>
      </c>
      <c r="AN393" s="1">
        <v>2035</v>
      </c>
      <c r="AO393" s="1">
        <v>2036</v>
      </c>
      <c r="AP393" s="1">
        <v>2037</v>
      </c>
      <c r="AQ393" s="1">
        <v>2038</v>
      </c>
      <c r="AR393" s="1">
        <v>2039</v>
      </c>
      <c r="AS393" s="1">
        <v>2040</v>
      </c>
      <c r="AT393" s="1">
        <v>2041</v>
      </c>
      <c r="AU393" s="1">
        <v>2042</v>
      </c>
      <c r="AV393" s="1">
        <v>2043</v>
      </c>
      <c r="AW393" s="1">
        <v>2044</v>
      </c>
      <c r="AX393" s="1">
        <v>2045</v>
      </c>
      <c r="AY393" s="1">
        <v>2046</v>
      </c>
      <c r="AZ393" s="1">
        <v>2047</v>
      </c>
      <c r="BA393" s="1">
        <v>2048</v>
      </c>
      <c r="BB393" s="1">
        <v>2049</v>
      </c>
      <c r="BC393" s="1">
        <v>2050</v>
      </c>
    </row>
    <row r="394" spans="1:55">
      <c r="A394" s="1" t="str">
        <f>'Population Definitions'!$A$2</f>
        <v>PWID_males</v>
      </c>
      <c r="C394" t="s">
        <v>32</v>
      </c>
      <c r="D394" s="3"/>
      <c r="E394" s="3">
        <v>0</v>
      </c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  <c r="AA394" s="3"/>
      <c r="AB394" s="3"/>
      <c r="AC394" s="3"/>
      <c r="AD394" s="3"/>
      <c r="AE394" s="3"/>
      <c r="AF394" s="3"/>
      <c r="AG394" s="3"/>
      <c r="AH394" s="3"/>
      <c r="AI394" s="3"/>
      <c r="AJ394" s="3"/>
      <c r="AK394" s="3"/>
      <c r="AL394" s="3"/>
      <c r="AM394" s="3"/>
      <c r="AN394" s="3"/>
      <c r="AO394" s="3"/>
      <c r="AP394" s="3"/>
      <c r="AQ394" s="3"/>
      <c r="AR394" s="3"/>
      <c r="AS394" s="3"/>
      <c r="AT394" s="3"/>
      <c r="AU394" s="3"/>
      <c r="AV394" s="3"/>
      <c r="AW394" s="3"/>
      <c r="AX394" s="3"/>
      <c r="AY394" s="3"/>
      <c r="AZ394" s="3"/>
      <c r="BA394" s="3"/>
      <c r="BB394" s="3"/>
      <c r="BC394" s="3"/>
    </row>
    <row r="395" spans="1:55">
      <c r="A395" s="1" t="str">
        <f>'Population Definitions'!$A$3</f>
        <v>PWID_females</v>
      </c>
      <c r="C395" t="s">
        <v>32</v>
      </c>
      <c r="D395" s="3"/>
      <c r="E395" s="3">
        <v>0</v>
      </c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  <c r="AA395" s="3"/>
      <c r="AB395" s="3"/>
      <c r="AC395" s="3"/>
      <c r="AD395" s="3"/>
      <c r="AE395" s="3"/>
      <c r="AF395" s="3"/>
      <c r="AG395" s="3"/>
      <c r="AH395" s="3"/>
      <c r="AI395" s="3"/>
      <c r="AJ395" s="3"/>
      <c r="AK395" s="3"/>
      <c r="AL395" s="3"/>
      <c r="AM395" s="3"/>
      <c r="AN395" s="3"/>
      <c r="AO395" s="3"/>
      <c r="AP395" s="3"/>
      <c r="AQ395" s="3"/>
      <c r="AR395" s="3"/>
      <c r="AS395" s="3"/>
      <c r="AT395" s="3"/>
      <c r="AU395" s="3"/>
      <c r="AV395" s="3"/>
      <c r="AW395" s="3"/>
      <c r="AX395" s="3"/>
      <c r="AY395" s="3"/>
      <c r="AZ395" s="3"/>
      <c r="BA395" s="3"/>
      <c r="BB395" s="3"/>
      <c r="BC395" s="3"/>
    </row>
    <row r="396" spans="1:55">
      <c r="A396" s="1" t="str">
        <f>'Population Definitions'!$A$4</f>
        <v>0-9_males</v>
      </c>
      <c r="C396" t="s">
        <v>32</v>
      </c>
      <c r="D396" s="3"/>
      <c r="E396" s="3">
        <v>0</v>
      </c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  <c r="AA396" s="3"/>
      <c r="AB396" s="3"/>
      <c r="AC396" s="3"/>
      <c r="AD396" s="3"/>
      <c r="AE396" s="3"/>
      <c r="AF396" s="3"/>
      <c r="AG396" s="3"/>
      <c r="AH396" s="3"/>
      <c r="AI396" s="3"/>
      <c r="AJ396" s="3"/>
      <c r="AK396" s="3"/>
      <c r="AL396" s="3"/>
      <c r="AM396" s="3"/>
      <c r="AN396" s="3"/>
      <c r="AO396" s="3"/>
      <c r="AP396" s="3"/>
      <c r="AQ396" s="3"/>
      <c r="AR396" s="3"/>
      <c r="AS396" s="3"/>
      <c r="AT396" s="3"/>
      <c r="AU396" s="3"/>
      <c r="AV396" s="3"/>
      <c r="AW396" s="3"/>
      <c r="AX396" s="3"/>
      <c r="AY396" s="3"/>
      <c r="AZ396" s="3"/>
      <c r="BA396" s="3"/>
      <c r="BB396" s="3"/>
      <c r="BC396" s="3"/>
    </row>
    <row r="397" spans="1:55">
      <c r="A397" s="1" t="str">
        <f>'Population Definitions'!$A$5</f>
        <v>0-9_females</v>
      </c>
      <c r="C397" t="s">
        <v>32</v>
      </c>
      <c r="D397" s="3"/>
      <c r="E397" s="3">
        <v>0</v>
      </c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  <c r="AA397" s="3"/>
      <c r="AB397" s="3"/>
      <c r="AC397" s="3"/>
      <c r="AD397" s="3"/>
      <c r="AE397" s="3"/>
      <c r="AF397" s="3"/>
      <c r="AG397" s="3"/>
      <c r="AH397" s="3"/>
      <c r="AI397" s="3"/>
      <c r="AJ397" s="3"/>
      <c r="AK397" s="3"/>
      <c r="AL397" s="3"/>
      <c r="AM397" s="3"/>
      <c r="AN397" s="3"/>
      <c r="AO397" s="3"/>
      <c r="AP397" s="3"/>
      <c r="AQ397" s="3"/>
      <c r="AR397" s="3"/>
      <c r="AS397" s="3"/>
      <c r="AT397" s="3"/>
      <c r="AU397" s="3"/>
      <c r="AV397" s="3"/>
      <c r="AW397" s="3"/>
      <c r="AX397" s="3"/>
      <c r="AY397" s="3"/>
      <c r="AZ397" s="3"/>
      <c r="BA397" s="3"/>
      <c r="BB397" s="3"/>
      <c r="BC397" s="3"/>
    </row>
    <row r="398" spans="1:55">
      <c r="A398" s="1" t="str">
        <f>'Population Definitions'!$A$6</f>
        <v>10-17_males</v>
      </c>
      <c r="C398" t="s">
        <v>32</v>
      </c>
      <c r="D398" s="3"/>
      <c r="E398" s="3">
        <v>0</v>
      </c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  <c r="AA398" s="3"/>
      <c r="AB398" s="3"/>
      <c r="AC398" s="3"/>
      <c r="AD398" s="3"/>
      <c r="AE398" s="3"/>
      <c r="AF398" s="3"/>
      <c r="AG398" s="3"/>
      <c r="AH398" s="3"/>
      <c r="AI398" s="3"/>
      <c r="AJ398" s="3"/>
      <c r="AK398" s="3"/>
      <c r="AL398" s="3"/>
      <c r="AM398" s="3"/>
      <c r="AN398" s="3"/>
      <c r="AO398" s="3"/>
      <c r="AP398" s="3"/>
      <c r="AQ398" s="3"/>
      <c r="AR398" s="3"/>
      <c r="AS398" s="3"/>
      <c r="AT398" s="3"/>
      <c r="AU398" s="3"/>
      <c r="AV398" s="3"/>
      <c r="AW398" s="3"/>
      <c r="AX398" s="3"/>
      <c r="AY398" s="3"/>
      <c r="AZ398" s="3"/>
      <c r="BA398" s="3"/>
      <c r="BB398" s="3"/>
      <c r="BC398" s="3"/>
    </row>
    <row r="399" spans="1:55">
      <c r="A399" s="1" t="str">
        <f>'Population Definitions'!$A$7</f>
        <v>10-17_females</v>
      </c>
      <c r="C399" t="s">
        <v>32</v>
      </c>
      <c r="D399" s="3"/>
      <c r="E399" s="3">
        <v>0</v>
      </c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  <c r="AA399" s="3"/>
      <c r="AB399" s="3"/>
      <c r="AC399" s="3"/>
      <c r="AD399" s="3"/>
      <c r="AE399" s="3"/>
      <c r="AF399" s="3"/>
      <c r="AG399" s="3"/>
      <c r="AH399" s="3"/>
      <c r="AI399" s="3"/>
      <c r="AJ399" s="3"/>
      <c r="AK399" s="3"/>
      <c r="AL399" s="3"/>
      <c r="AM399" s="3"/>
      <c r="AN399" s="3"/>
      <c r="AO399" s="3"/>
      <c r="AP399" s="3"/>
      <c r="AQ399" s="3"/>
      <c r="AR399" s="3"/>
      <c r="AS399" s="3"/>
      <c r="AT399" s="3"/>
      <c r="AU399" s="3"/>
      <c r="AV399" s="3"/>
      <c r="AW399" s="3"/>
      <c r="AX399" s="3"/>
      <c r="AY399" s="3"/>
      <c r="AZ399" s="3"/>
      <c r="BA399" s="3"/>
      <c r="BB399" s="3"/>
      <c r="BC399" s="3"/>
    </row>
    <row r="400" spans="1:55">
      <c r="A400" s="1" t="str">
        <f>'Population Definitions'!$A$8</f>
        <v>18-64_males</v>
      </c>
      <c r="C400" t="s">
        <v>32</v>
      </c>
      <c r="D400" s="3"/>
      <c r="E400" s="3">
        <v>0</v>
      </c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  <c r="AA400" s="3"/>
      <c r="AB400" s="3"/>
      <c r="AC400" s="3"/>
      <c r="AD400" s="3"/>
      <c r="AE400" s="3"/>
      <c r="AF400" s="3"/>
      <c r="AG400" s="3"/>
      <c r="AH400" s="3"/>
      <c r="AI400" s="3"/>
      <c r="AJ400" s="3"/>
      <c r="AK400" s="3"/>
      <c r="AL400" s="3"/>
      <c r="AM400" s="3"/>
      <c r="AN400" s="3"/>
      <c r="AO400" s="3"/>
      <c r="AP400" s="3"/>
      <c r="AQ400" s="3"/>
      <c r="AR400" s="3"/>
      <c r="AS400" s="3"/>
      <c r="AT400" s="3"/>
      <c r="AU400" s="3"/>
      <c r="AV400" s="3"/>
      <c r="AW400" s="3"/>
      <c r="AX400" s="3"/>
      <c r="AY400" s="3"/>
      <c r="AZ400" s="3"/>
      <c r="BA400" s="3"/>
      <c r="BB400" s="3"/>
      <c r="BC400" s="3"/>
    </row>
    <row r="401" spans="1:55">
      <c r="A401" s="1" t="str">
        <f>'Population Definitions'!$A$9</f>
        <v>18-64_females</v>
      </c>
      <c r="C401" t="s">
        <v>32</v>
      </c>
      <c r="D401" s="3"/>
      <c r="E401" s="3">
        <v>0</v>
      </c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  <c r="AA401" s="3"/>
      <c r="AB401" s="3"/>
      <c r="AC401" s="3"/>
      <c r="AD401" s="3"/>
      <c r="AE401" s="3"/>
      <c r="AF401" s="3"/>
      <c r="AG401" s="3"/>
      <c r="AH401" s="3"/>
      <c r="AI401" s="3"/>
      <c r="AJ401" s="3"/>
      <c r="AK401" s="3"/>
      <c r="AL401" s="3"/>
      <c r="AM401" s="3"/>
      <c r="AN401" s="3"/>
      <c r="AO401" s="3"/>
      <c r="AP401" s="3"/>
      <c r="AQ401" s="3"/>
      <c r="AR401" s="3"/>
      <c r="AS401" s="3"/>
      <c r="AT401" s="3"/>
      <c r="AU401" s="3"/>
      <c r="AV401" s="3"/>
      <c r="AW401" s="3"/>
      <c r="AX401" s="3"/>
      <c r="AY401" s="3"/>
      <c r="AZ401" s="3"/>
      <c r="BA401" s="3"/>
      <c r="BB401" s="3"/>
      <c r="BC401" s="3"/>
    </row>
    <row r="402" spans="1:55">
      <c r="A402" s="1" t="str">
        <f>'Population Definitions'!$A$10</f>
        <v>65+_males</v>
      </c>
      <c r="C402" t="s">
        <v>32</v>
      </c>
      <c r="D402" s="3"/>
      <c r="E402" s="3">
        <v>0</v>
      </c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  <c r="AA402" s="3"/>
      <c r="AB402" s="3"/>
      <c r="AC402" s="3"/>
      <c r="AD402" s="3"/>
      <c r="AE402" s="3"/>
      <c r="AF402" s="3"/>
      <c r="AG402" s="3"/>
      <c r="AH402" s="3"/>
      <c r="AI402" s="3"/>
      <c r="AJ402" s="3"/>
      <c r="AK402" s="3"/>
      <c r="AL402" s="3"/>
      <c r="AM402" s="3"/>
      <c r="AN402" s="3"/>
      <c r="AO402" s="3"/>
      <c r="AP402" s="3"/>
      <c r="AQ402" s="3"/>
      <c r="AR402" s="3"/>
      <c r="AS402" s="3"/>
      <c r="AT402" s="3"/>
      <c r="AU402" s="3"/>
      <c r="AV402" s="3"/>
      <c r="AW402" s="3"/>
      <c r="AX402" s="3"/>
      <c r="AY402" s="3"/>
      <c r="AZ402" s="3"/>
      <c r="BA402" s="3"/>
      <c r="BB402" s="3"/>
      <c r="BC402" s="3"/>
    </row>
    <row r="403" spans="1:55">
      <c r="A403" s="1" t="str">
        <f>'Population Definitions'!$A$11</f>
        <v>65+_females</v>
      </c>
      <c r="C403" t="s">
        <v>32</v>
      </c>
      <c r="D403" s="3"/>
      <c r="E403" s="3">
        <v>0</v>
      </c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  <c r="AA403" s="3"/>
      <c r="AB403" s="3"/>
      <c r="AC403" s="3"/>
      <c r="AD403" s="3"/>
      <c r="AE403" s="3"/>
      <c r="AF403" s="3"/>
      <c r="AG403" s="3"/>
      <c r="AH403" s="3"/>
      <c r="AI403" s="3"/>
      <c r="AJ403" s="3"/>
      <c r="AK403" s="3"/>
      <c r="AL403" s="3"/>
      <c r="AM403" s="3"/>
      <c r="AN403" s="3"/>
      <c r="AO403" s="3"/>
      <c r="AP403" s="3"/>
      <c r="AQ403" s="3"/>
      <c r="AR403" s="3"/>
      <c r="AS403" s="3"/>
      <c r="AT403" s="3"/>
      <c r="AU403" s="3"/>
      <c r="AV403" s="3"/>
      <c r="AW403" s="3"/>
      <c r="AX403" s="3"/>
      <c r="AY403" s="3"/>
      <c r="AZ403" s="3"/>
      <c r="BA403" s="3"/>
      <c r="BB403" s="3"/>
      <c r="BC403" s="3"/>
    </row>
    <row r="404" spans="1:55">
      <c r="A404" s="1" t="str">
        <f>'Population Definitions'!$A$12</f>
        <v>Prisoners_males</v>
      </c>
      <c r="C404" t="s">
        <v>32</v>
      </c>
      <c r="D404" s="3"/>
      <c r="E404" s="3">
        <v>0</v>
      </c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  <c r="AA404" s="3"/>
      <c r="AB404" s="3"/>
      <c r="AC404" s="3"/>
      <c r="AD404" s="3"/>
      <c r="AE404" s="3"/>
      <c r="AF404" s="3"/>
      <c r="AG404" s="3"/>
      <c r="AH404" s="3"/>
      <c r="AI404" s="3"/>
      <c r="AJ404" s="3"/>
      <c r="AK404" s="3"/>
      <c r="AL404" s="3"/>
      <c r="AM404" s="3"/>
      <c r="AN404" s="3"/>
      <c r="AO404" s="3"/>
      <c r="AP404" s="3"/>
      <c r="AQ404" s="3"/>
      <c r="AR404" s="3"/>
      <c r="AS404" s="3"/>
      <c r="AT404" s="3"/>
      <c r="AU404" s="3"/>
      <c r="AV404" s="3"/>
      <c r="AW404" s="3"/>
      <c r="AX404" s="3"/>
      <c r="AY404" s="3"/>
      <c r="AZ404" s="3"/>
      <c r="BA404" s="3"/>
      <c r="BB404" s="3"/>
      <c r="BC404" s="3"/>
    </row>
    <row r="405" spans="1:55">
      <c r="A405" s="1" t="str">
        <f>'Population Definitions'!$A$13</f>
        <v>Prisoners_females</v>
      </c>
      <c r="C405" t="s">
        <v>32</v>
      </c>
      <c r="D405" s="3"/>
      <c r="E405" s="3">
        <v>0</v>
      </c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  <c r="AA405" s="3"/>
      <c r="AB405" s="3"/>
      <c r="AC405" s="3"/>
      <c r="AD405" s="3"/>
      <c r="AE405" s="3"/>
      <c r="AF405" s="3"/>
      <c r="AG405" s="3"/>
      <c r="AH405" s="3"/>
      <c r="AI405" s="3"/>
      <c r="AJ405" s="3"/>
      <c r="AK405" s="3"/>
      <c r="AL405" s="3"/>
      <c r="AM405" s="3"/>
      <c r="AN405" s="3"/>
      <c r="AO405" s="3"/>
      <c r="AP405" s="3"/>
      <c r="AQ405" s="3"/>
      <c r="AR405" s="3"/>
      <c r="AS405" s="3"/>
      <c r="AT405" s="3"/>
      <c r="AU405" s="3"/>
      <c r="AV405" s="3"/>
      <c r="AW405" s="3"/>
      <c r="AX405" s="3"/>
      <c r="AY405" s="3"/>
      <c r="AZ405" s="3"/>
      <c r="BA405" s="3"/>
      <c r="BB405" s="3"/>
      <c r="BC405" s="3"/>
    </row>
    <row r="407" spans="1:55">
      <c r="A407" s="1" t="s">
        <v>155</v>
      </c>
      <c r="B407" s="1" t="s">
        <v>29</v>
      </c>
      <c r="C407" s="1" t="s">
        <v>30</v>
      </c>
      <c r="D407" s="1" t="s">
        <v>31</v>
      </c>
      <c r="E407" s="1">
        <v>2000</v>
      </c>
      <c r="F407" s="1">
        <v>2001</v>
      </c>
      <c r="G407" s="1">
        <v>2002</v>
      </c>
      <c r="H407" s="1">
        <v>2003</v>
      </c>
      <c r="I407" s="1">
        <v>2004</v>
      </c>
      <c r="J407" s="1">
        <v>2005</v>
      </c>
      <c r="K407" s="1">
        <v>2006</v>
      </c>
      <c r="L407" s="1">
        <v>2007</v>
      </c>
      <c r="M407" s="1">
        <v>2008</v>
      </c>
      <c r="N407" s="1">
        <v>2009</v>
      </c>
      <c r="O407" s="1">
        <v>2010</v>
      </c>
      <c r="P407" s="1">
        <v>2011</v>
      </c>
      <c r="Q407" s="1">
        <v>2012</v>
      </c>
      <c r="R407" s="1">
        <v>2013</v>
      </c>
      <c r="S407" s="1">
        <v>2014</v>
      </c>
      <c r="T407" s="1">
        <v>2015</v>
      </c>
      <c r="U407" s="1">
        <v>2016</v>
      </c>
      <c r="V407" s="1">
        <v>2017</v>
      </c>
      <c r="W407" s="1">
        <v>2018</v>
      </c>
      <c r="X407" s="1">
        <v>2019</v>
      </c>
      <c r="Y407" s="1">
        <v>2020</v>
      </c>
      <c r="Z407" s="1">
        <v>2021</v>
      </c>
      <c r="AA407" s="1">
        <v>2022</v>
      </c>
      <c r="AB407" s="1">
        <v>2023</v>
      </c>
      <c r="AC407" s="1">
        <v>2024</v>
      </c>
      <c r="AD407" s="1">
        <v>2025</v>
      </c>
      <c r="AE407" s="1">
        <v>2026</v>
      </c>
      <c r="AF407" s="1">
        <v>2027</v>
      </c>
      <c r="AG407" s="1">
        <v>2028</v>
      </c>
      <c r="AH407" s="1">
        <v>2029</v>
      </c>
      <c r="AI407" s="1">
        <v>2030</v>
      </c>
      <c r="AJ407" s="1">
        <v>2031</v>
      </c>
      <c r="AK407" s="1">
        <v>2032</v>
      </c>
      <c r="AL407" s="1">
        <v>2033</v>
      </c>
      <c r="AM407" s="1">
        <v>2034</v>
      </c>
      <c r="AN407" s="1">
        <v>2035</v>
      </c>
      <c r="AO407" s="1">
        <v>2036</v>
      </c>
      <c r="AP407" s="1">
        <v>2037</v>
      </c>
      <c r="AQ407" s="1">
        <v>2038</v>
      </c>
      <c r="AR407" s="1">
        <v>2039</v>
      </c>
      <c r="AS407" s="1">
        <v>2040</v>
      </c>
      <c r="AT407" s="1">
        <v>2041</v>
      </c>
      <c r="AU407" s="1">
        <v>2042</v>
      </c>
      <c r="AV407" s="1">
        <v>2043</v>
      </c>
      <c r="AW407" s="1">
        <v>2044</v>
      </c>
      <c r="AX407" s="1">
        <v>2045</v>
      </c>
      <c r="AY407" s="1">
        <v>2046</v>
      </c>
      <c r="AZ407" s="1">
        <v>2047</v>
      </c>
      <c r="BA407" s="1">
        <v>2048</v>
      </c>
      <c r="BB407" s="1">
        <v>2049</v>
      </c>
      <c r="BC407" s="1">
        <v>2050</v>
      </c>
    </row>
    <row r="408" spans="1:55">
      <c r="A408" s="1" t="str">
        <f>'Population Definitions'!$A$2</f>
        <v>PWID_males</v>
      </c>
      <c r="C408" t="s">
        <v>32</v>
      </c>
      <c r="D408" s="3"/>
      <c r="E408" s="3">
        <v>0</v>
      </c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  <c r="AA408" s="3"/>
      <c r="AB408" s="3"/>
      <c r="AC408" s="3"/>
      <c r="AD408" s="3"/>
      <c r="AE408" s="3"/>
      <c r="AF408" s="3"/>
      <c r="AG408" s="3"/>
      <c r="AH408" s="3"/>
      <c r="AI408" s="3"/>
      <c r="AJ408" s="3"/>
      <c r="AK408" s="3"/>
      <c r="AL408" s="3"/>
      <c r="AM408" s="3"/>
      <c r="AN408" s="3"/>
      <c r="AO408" s="3"/>
      <c r="AP408" s="3"/>
      <c r="AQ408" s="3"/>
      <c r="AR408" s="3"/>
      <c r="AS408" s="3"/>
      <c r="AT408" s="3"/>
      <c r="AU408" s="3"/>
      <c r="AV408" s="3"/>
      <c r="AW408" s="3"/>
      <c r="AX408" s="3"/>
      <c r="AY408" s="3"/>
      <c r="AZ408" s="3"/>
      <c r="BA408" s="3"/>
      <c r="BB408" s="3"/>
      <c r="BC408" s="3"/>
    </row>
    <row r="409" spans="1:55">
      <c r="A409" s="1" t="str">
        <f>'Population Definitions'!$A$3</f>
        <v>PWID_females</v>
      </c>
      <c r="C409" t="s">
        <v>32</v>
      </c>
      <c r="D409" s="3"/>
      <c r="E409" s="3">
        <v>0</v>
      </c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  <c r="AA409" s="3"/>
      <c r="AB409" s="3"/>
      <c r="AC409" s="3"/>
      <c r="AD409" s="3"/>
      <c r="AE409" s="3"/>
      <c r="AF409" s="3"/>
      <c r="AG409" s="3"/>
      <c r="AH409" s="3"/>
      <c r="AI409" s="3"/>
      <c r="AJ409" s="3"/>
      <c r="AK409" s="3"/>
      <c r="AL409" s="3"/>
      <c r="AM409" s="3"/>
      <c r="AN409" s="3"/>
      <c r="AO409" s="3"/>
      <c r="AP409" s="3"/>
      <c r="AQ409" s="3"/>
      <c r="AR409" s="3"/>
      <c r="AS409" s="3"/>
      <c r="AT409" s="3"/>
      <c r="AU409" s="3"/>
      <c r="AV409" s="3"/>
      <c r="AW409" s="3"/>
      <c r="AX409" s="3"/>
      <c r="AY409" s="3"/>
      <c r="AZ409" s="3"/>
      <c r="BA409" s="3"/>
      <c r="BB409" s="3"/>
      <c r="BC409" s="3"/>
    </row>
    <row r="410" spans="1:55">
      <c r="A410" s="1" t="str">
        <f>'Population Definitions'!$A$4</f>
        <v>0-9_males</v>
      </c>
      <c r="C410" t="s">
        <v>32</v>
      </c>
      <c r="D410" s="3"/>
      <c r="E410" s="3">
        <v>0</v>
      </c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  <c r="AA410" s="3"/>
      <c r="AB410" s="3"/>
      <c r="AC410" s="3"/>
      <c r="AD410" s="3"/>
      <c r="AE410" s="3"/>
      <c r="AF410" s="3"/>
      <c r="AG410" s="3"/>
      <c r="AH410" s="3"/>
      <c r="AI410" s="3"/>
      <c r="AJ410" s="3"/>
      <c r="AK410" s="3"/>
      <c r="AL410" s="3"/>
      <c r="AM410" s="3"/>
      <c r="AN410" s="3"/>
      <c r="AO410" s="3"/>
      <c r="AP410" s="3"/>
      <c r="AQ410" s="3"/>
      <c r="AR410" s="3"/>
      <c r="AS410" s="3"/>
      <c r="AT410" s="3"/>
      <c r="AU410" s="3"/>
      <c r="AV410" s="3"/>
      <c r="AW410" s="3"/>
      <c r="AX410" s="3"/>
      <c r="AY410" s="3"/>
      <c r="AZ410" s="3"/>
      <c r="BA410" s="3"/>
      <c r="BB410" s="3"/>
      <c r="BC410" s="3"/>
    </row>
    <row r="411" spans="1:55">
      <c r="A411" s="1" t="str">
        <f>'Population Definitions'!$A$5</f>
        <v>0-9_females</v>
      </c>
      <c r="C411" t="s">
        <v>32</v>
      </c>
      <c r="D411" s="3"/>
      <c r="E411" s="3">
        <v>0</v>
      </c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  <c r="AA411" s="3"/>
      <c r="AB411" s="3"/>
      <c r="AC411" s="3"/>
      <c r="AD411" s="3"/>
      <c r="AE411" s="3"/>
      <c r="AF411" s="3"/>
      <c r="AG411" s="3"/>
      <c r="AH411" s="3"/>
      <c r="AI411" s="3"/>
      <c r="AJ411" s="3"/>
      <c r="AK411" s="3"/>
      <c r="AL411" s="3"/>
      <c r="AM411" s="3"/>
      <c r="AN411" s="3"/>
      <c r="AO411" s="3"/>
      <c r="AP411" s="3"/>
      <c r="AQ411" s="3"/>
      <c r="AR411" s="3"/>
      <c r="AS411" s="3"/>
      <c r="AT411" s="3"/>
      <c r="AU411" s="3"/>
      <c r="AV411" s="3"/>
      <c r="AW411" s="3"/>
      <c r="AX411" s="3"/>
      <c r="AY411" s="3"/>
      <c r="AZ411" s="3"/>
      <c r="BA411" s="3"/>
      <c r="BB411" s="3"/>
      <c r="BC411" s="3"/>
    </row>
    <row r="412" spans="1:55">
      <c r="A412" s="1" t="str">
        <f>'Population Definitions'!$A$6</f>
        <v>10-17_males</v>
      </c>
      <c r="C412" t="s">
        <v>32</v>
      </c>
      <c r="D412" s="3"/>
      <c r="E412" s="3">
        <v>0</v>
      </c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  <c r="AA412" s="3"/>
      <c r="AB412" s="3"/>
      <c r="AC412" s="3"/>
      <c r="AD412" s="3"/>
      <c r="AE412" s="3"/>
      <c r="AF412" s="3"/>
      <c r="AG412" s="3"/>
      <c r="AH412" s="3"/>
      <c r="AI412" s="3"/>
      <c r="AJ412" s="3"/>
      <c r="AK412" s="3"/>
      <c r="AL412" s="3"/>
      <c r="AM412" s="3"/>
      <c r="AN412" s="3"/>
      <c r="AO412" s="3"/>
      <c r="AP412" s="3"/>
      <c r="AQ412" s="3"/>
      <c r="AR412" s="3"/>
      <c r="AS412" s="3"/>
      <c r="AT412" s="3"/>
      <c r="AU412" s="3"/>
      <c r="AV412" s="3"/>
      <c r="AW412" s="3"/>
      <c r="AX412" s="3"/>
      <c r="AY412" s="3"/>
      <c r="AZ412" s="3"/>
      <c r="BA412" s="3"/>
      <c r="BB412" s="3"/>
      <c r="BC412" s="3"/>
    </row>
    <row r="413" spans="1:55">
      <c r="A413" s="1" t="str">
        <f>'Population Definitions'!$A$7</f>
        <v>10-17_females</v>
      </c>
      <c r="C413" t="s">
        <v>32</v>
      </c>
      <c r="D413" s="3"/>
      <c r="E413" s="3">
        <v>0</v>
      </c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  <c r="AA413" s="3"/>
      <c r="AB413" s="3"/>
      <c r="AC413" s="3"/>
      <c r="AD413" s="3"/>
      <c r="AE413" s="3"/>
      <c r="AF413" s="3"/>
      <c r="AG413" s="3"/>
      <c r="AH413" s="3"/>
      <c r="AI413" s="3"/>
      <c r="AJ413" s="3"/>
      <c r="AK413" s="3"/>
      <c r="AL413" s="3"/>
      <c r="AM413" s="3"/>
      <c r="AN413" s="3"/>
      <c r="AO413" s="3"/>
      <c r="AP413" s="3"/>
      <c r="AQ413" s="3"/>
      <c r="AR413" s="3"/>
      <c r="AS413" s="3"/>
      <c r="AT413" s="3"/>
      <c r="AU413" s="3"/>
      <c r="AV413" s="3"/>
      <c r="AW413" s="3"/>
      <c r="AX413" s="3"/>
      <c r="AY413" s="3"/>
      <c r="AZ413" s="3"/>
      <c r="BA413" s="3"/>
      <c r="BB413" s="3"/>
      <c r="BC413" s="3"/>
    </row>
    <row r="414" spans="1:55">
      <c r="A414" s="1" t="str">
        <f>'Population Definitions'!$A$8</f>
        <v>18-64_males</v>
      </c>
      <c r="C414" t="s">
        <v>32</v>
      </c>
      <c r="D414" s="3"/>
      <c r="E414" s="3">
        <v>0</v>
      </c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  <c r="AA414" s="3"/>
      <c r="AB414" s="3"/>
      <c r="AC414" s="3"/>
      <c r="AD414" s="3"/>
      <c r="AE414" s="3"/>
      <c r="AF414" s="3"/>
      <c r="AG414" s="3"/>
      <c r="AH414" s="3"/>
      <c r="AI414" s="3"/>
      <c r="AJ414" s="3"/>
      <c r="AK414" s="3"/>
      <c r="AL414" s="3"/>
      <c r="AM414" s="3"/>
      <c r="AN414" s="3"/>
      <c r="AO414" s="3"/>
      <c r="AP414" s="3"/>
      <c r="AQ414" s="3"/>
      <c r="AR414" s="3"/>
      <c r="AS414" s="3"/>
      <c r="AT414" s="3"/>
      <c r="AU414" s="3"/>
      <c r="AV414" s="3"/>
      <c r="AW414" s="3"/>
      <c r="AX414" s="3"/>
      <c r="AY414" s="3"/>
      <c r="AZ414" s="3"/>
      <c r="BA414" s="3"/>
      <c r="BB414" s="3"/>
      <c r="BC414" s="3"/>
    </row>
    <row r="415" spans="1:55">
      <c r="A415" s="1" t="str">
        <f>'Population Definitions'!$A$9</f>
        <v>18-64_females</v>
      </c>
      <c r="C415" t="s">
        <v>32</v>
      </c>
      <c r="D415" s="3"/>
      <c r="E415" s="3">
        <v>0</v>
      </c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  <c r="AA415" s="3"/>
      <c r="AB415" s="3"/>
      <c r="AC415" s="3"/>
      <c r="AD415" s="3"/>
      <c r="AE415" s="3"/>
      <c r="AF415" s="3"/>
      <c r="AG415" s="3"/>
      <c r="AH415" s="3"/>
      <c r="AI415" s="3"/>
      <c r="AJ415" s="3"/>
      <c r="AK415" s="3"/>
      <c r="AL415" s="3"/>
      <c r="AM415" s="3"/>
      <c r="AN415" s="3"/>
      <c r="AO415" s="3"/>
      <c r="AP415" s="3"/>
      <c r="AQ415" s="3"/>
      <c r="AR415" s="3"/>
      <c r="AS415" s="3"/>
      <c r="AT415" s="3"/>
      <c r="AU415" s="3"/>
      <c r="AV415" s="3"/>
      <c r="AW415" s="3"/>
      <c r="AX415" s="3"/>
      <c r="AY415" s="3"/>
      <c r="AZ415" s="3"/>
      <c r="BA415" s="3"/>
      <c r="BB415" s="3"/>
      <c r="BC415" s="3"/>
    </row>
    <row r="416" spans="1:55">
      <c r="A416" s="1" t="str">
        <f>'Population Definitions'!$A$10</f>
        <v>65+_males</v>
      </c>
      <c r="C416" t="s">
        <v>32</v>
      </c>
      <c r="D416" s="3"/>
      <c r="E416" s="3">
        <v>0</v>
      </c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  <c r="AA416" s="3"/>
      <c r="AB416" s="3"/>
      <c r="AC416" s="3"/>
      <c r="AD416" s="3"/>
      <c r="AE416" s="3"/>
      <c r="AF416" s="3"/>
      <c r="AG416" s="3"/>
      <c r="AH416" s="3"/>
      <c r="AI416" s="3"/>
      <c r="AJ416" s="3"/>
      <c r="AK416" s="3"/>
      <c r="AL416" s="3"/>
      <c r="AM416" s="3"/>
      <c r="AN416" s="3"/>
      <c r="AO416" s="3"/>
      <c r="AP416" s="3"/>
      <c r="AQ416" s="3"/>
      <c r="AR416" s="3"/>
      <c r="AS416" s="3"/>
      <c r="AT416" s="3"/>
      <c r="AU416" s="3"/>
      <c r="AV416" s="3"/>
      <c r="AW416" s="3"/>
      <c r="AX416" s="3"/>
      <c r="AY416" s="3"/>
      <c r="AZ416" s="3"/>
      <c r="BA416" s="3"/>
      <c r="BB416" s="3"/>
      <c r="BC416" s="3"/>
    </row>
    <row r="417" spans="1:55">
      <c r="A417" s="1" t="str">
        <f>'Population Definitions'!$A$11</f>
        <v>65+_females</v>
      </c>
      <c r="C417" t="s">
        <v>32</v>
      </c>
      <c r="D417" s="3"/>
      <c r="E417" s="3">
        <v>0</v>
      </c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  <c r="AA417" s="3"/>
      <c r="AB417" s="3"/>
      <c r="AC417" s="3"/>
      <c r="AD417" s="3"/>
      <c r="AE417" s="3"/>
      <c r="AF417" s="3"/>
      <c r="AG417" s="3"/>
      <c r="AH417" s="3"/>
      <c r="AI417" s="3"/>
      <c r="AJ417" s="3"/>
      <c r="AK417" s="3"/>
      <c r="AL417" s="3"/>
      <c r="AM417" s="3"/>
      <c r="AN417" s="3"/>
      <c r="AO417" s="3"/>
      <c r="AP417" s="3"/>
      <c r="AQ417" s="3"/>
      <c r="AR417" s="3"/>
      <c r="AS417" s="3"/>
      <c r="AT417" s="3"/>
      <c r="AU417" s="3"/>
      <c r="AV417" s="3"/>
      <c r="AW417" s="3"/>
      <c r="AX417" s="3"/>
      <c r="AY417" s="3"/>
      <c r="AZ417" s="3"/>
      <c r="BA417" s="3"/>
      <c r="BB417" s="3"/>
      <c r="BC417" s="3"/>
    </row>
    <row r="418" spans="1:55">
      <c r="A418" s="1" t="str">
        <f>'Population Definitions'!$A$12</f>
        <v>Prisoners_males</v>
      </c>
      <c r="C418" t="s">
        <v>32</v>
      </c>
      <c r="D418" s="3"/>
      <c r="E418" s="3">
        <v>0</v>
      </c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  <c r="AA418" s="3"/>
      <c r="AB418" s="3"/>
      <c r="AC418" s="3"/>
      <c r="AD418" s="3"/>
      <c r="AE418" s="3"/>
      <c r="AF418" s="3"/>
      <c r="AG418" s="3"/>
      <c r="AH418" s="3"/>
      <c r="AI418" s="3"/>
      <c r="AJ418" s="3"/>
      <c r="AK418" s="3"/>
      <c r="AL418" s="3"/>
      <c r="AM418" s="3"/>
      <c r="AN418" s="3"/>
      <c r="AO418" s="3"/>
      <c r="AP418" s="3"/>
      <c r="AQ418" s="3"/>
      <c r="AR418" s="3"/>
      <c r="AS418" s="3"/>
      <c r="AT418" s="3"/>
      <c r="AU418" s="3"/>
      <c r="AV418" s="3"/>
      <c r="AW418" s="3"/>
      <c r="AX418" s="3"/>
      <c r="AY418" s="3"/>
      <c r="AZ418" s="3"/>
      <c r="BA418" s="3"/>
      <c r="BB418" s="3"/>
      <c r="BC418" s="3"/>
    </row>
    <row r="419" spans="1:55">
      <c r="A419" s="1" t="str">
        <f>'Population Definitions'!$A$13</f>
        <v>Prisoners_females</v>
      </c>
      <c r="C419" t="s">
        <v>32</v>
      </c>
      <c r="D419" s="3"/>
      <c r="E419" s="3">
        <v>0</v>
      </c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  <c r="AA419" s="3"/>
      <c r="AB419" s="3"/>
      <c r="AC419" s="3"/>
      <c r="AD419" s="3"/>
      <c r="AE419" s="3"/>
      <c r="AF419" s="3"/>
      <c r="AG419" s="3"/>
      <c r="AH419" s="3"/>
      <c r="AI419" s="3"/>
      <c r="AJ419" s="3"/>
      <c r="AK419" s="3"/>
      <c r="AL419" s="3"/>
      <c r="AM419" s="3"/>
      <c r="AN419" s="3"/>
      <c r="AO419" s="3"/>
      <c r="AP419" s="3"/>
      <c r="AQ419" s="3"/>
      <c r="AR419" s="3"/>
      <c r="AS419" s="3"/>
      <c r="AT419" s="3"/>
      <c r="AU419" s="3"/>
      <c r="AV419" s="3"/>
      <c r="AW419" s="3"/>
      <c r="AX419" s="3"/>
      <c r="AY419" s="3"/>
      <c r="AZ419" s="3"/>
      <c r="BA419" s="3"/>
      <c r="BB419" s="3"/>
      <c r="BC419" s="3"/>
    </row>
    <row r="421" spans="1:55">
      <c r="A421" s="1" t="s">
        <v>156</v>
      </c>
      <c r="B421" s="1" t="s">
        <v>29</v>
      </c>
      <c r="C421" s="1" t="s">
        <v>30</v>
      </c>
      <c r="D421" s="1" t="s">
        <v>31</v>
      </c>
      <c r="E421" s="1">
        <v>2000</v>
      </c>
      <c r="F421" s="1">
        <v>2001</v>
      </c>
      <c r="G421" s="1">
        <v>2002</v>
      </c>
      <c r="H421" s="1">
        <v>2003</v>
      </c>
      <c r="I421" s="1">
        <v>2004</v>
      </c>
      <c r="J421" s="1">
        <v>2005</v>
      </c>
      <c r="K421" s="1">
        <v>2006</v>
      </c>
      <c r="L421" s="1">
        <v>2007</v>
      </c>
      <c r="M421" s="1">
        <v>2008</v>
      </c>
      <c r="N421" s="1">
        <v>2009</v>
      </c>
      <c r="O421" s="1">
        <v>2010</v>
      </c>
      <c r="P421" s="1">
        <v>2011</v>
      </c>
      <c r="Q421" s="1">
        <v>2012</v>
      </c>
      <c r="R421" s="1">
        <v>2013</v>
      </c>
      <c r="S421" s="1">
        <v>2014</v>
      </c>
      <c r="T421" s="1">
        <v>2015</v>
      </c>
      <c r="U421" s="1">
        <v>2016</v>
      </c>
      <c r="V421" s="1">
        <v>2017</v>
      </c>
      <c r="W421" s="1">
        <v>2018</v>
      </c>
      <c r="X421" s="1">
        <v>2019</v>
      </c>
      <c r="Y421" s="1">
        <v>2020</v>
      </c>
      <c r="Z421" s="1">
        <v>2021</v>
      </c>
      <c r="AA421" s="1">
        <v>2022</v>
      </c>
      <c r="AB421" s="1">
        <v>2023</v>
      </c>
      <c r="AC421" s="1">
        <v>2024</v>
      </c>
      <c r="AD421" s="1">
        <v>2025</v>
      </c>
      <c r="AE421" s="1">
        <v>2026</v>
      </c>
      <c r="AF421" s="1">
        <v>2027</v>
      </c>
      <c r="AG421" s="1">
        <v>2028</v>
      </c>
      <c r="AH421" s="1">
        <v>2029</v>
      </c>
      <c r="AI421" s="1">
        <v>2030</v>
      </c>
      <c r="AJ421" s="1">
        <v>2031</v>
      </c>
      <c r="AK421" s="1">
        <v>2032</v>
      </c>
      <c r="AL421" s="1">
        <v>2033</v>
      </c>
      <c r="AM421" s="1">
        <v>2034</v>
      </c>
      <c r="AN421" s="1">
        <v>2035</v>
      </c>
      <c r="AO421" s="1">
        <v>2036</v>
      </c>
      <c r="AP421" s="1">
        <v>2037</v>
      </c>
      <c r="AQ421" s="1">
        <v>2038</v>
      </c>
      <c r="AR421" s="1">
        <v>2039</v>
      </c>
      <c r="AS421" s="1">
        <v>2040</v>
      </c>
      <c r="AT421" s="1">
        <v>2041</v>
      </c>
      <c r="AU421" s="1">
        <v>2042</v>
      </c>
      <c r="AV421" s="1">
        <v>2043</v>
      </c>
      <c r="AW421" s="1">
        <v>2044</v>
      </c>
      <c r="AX421" s="1">
        <v>2045</v>
      </c>
      <c r="AY421" s="1">
        <v>2046</v>
      </c>
      <c r="AZ421" s="1">
        <v>2047</v>
      </c>
      <c r="BA421" s="1">
        <v>2048</v>
      </c>
      <c r="BB421" s="1">
        <v>2049</v>
      </c>
      <c r="BC421" s="1">
        <v>2050</v>
      </c>
    </row>
    <row r="422" spans="1:55">
      <c r="A422" s="1" t="str">
        <f>'Population Definitions'!$A$2</f>
        <v>PWID_males</v>
      </c>
      <c r="C422" t="s">
        <v>32</v>
      </c>
      <c r="D422" s="3"/>
      <c r="E422" s="3">
        <v>0</v>
      </c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  <c r="AA422" s="3"/>
      <c r="AB422" s="3"/>
      <c r="AC422" s="3"/>
      <c r="AD422" s="3"/>
      <c r="AE422" s="3"/>
      <c r="AF422" s="3"/>
      <c r="AG422" s="3"/>
      <c r="AH422" s="3"/>
      <c r="AI422" s="3"/>
      <c r="AJ422" s="3"/>
      <c r="AK422" s="3"/>
      <c r="AL422" s="3"/>
      <c r="AM422" s="3"/>
      <c r="AN422" s="3"/>
      <c r="AO422" s="3"/>
      <c r="AP422" s="3"/>
      <c r="AQ422" s="3"/>
      <c r="AR422" s="3"/>
      <c r="AS422" s="3"/>
      <c r="AT422" s="3"/>
      <c r="AU422" s="3"/>
      <c r="AV422" s="3"/>
      <c r="AW422" s="3"/>
      <c r="AX422" s="3"/>
      <c r="AY422" s="3"/>
      <c r="AZ422" s="3"/>
      <c r="BA422" s="3"/>
      <c r="BB422" s="3"/>
      <c r="BC422" s="3"/>
    </row>
    <row r="423" spans="1:55">
      <c r="A423" s="1" t="str">
        <f>'Population Definitions'!$A$3</f>
        <v>PWID_females</v>
      </c>
      <c r="C423" t="s">
        <v>32</v>
      </c>
      <c r="D423" s="3"/>
      <c r="E423" s="3">
        <v>0</v>
      </c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  <c r="AA423" s="3"/>
      <c r="AB423" s="3"/>
      <c r="AC423" s="3"/>
      <c r="AD423" s="3"/>
      <c r="AE423" s="3"/>
      <c r="AF423" s="3"/>
      <c r="AG423" s="3"/>
      <c r="AH423" s="3"/>
      <c r="AI423" s="3"/>
      <c r="AJ423" s="3"/>
      <c r="AK423" s="3"/>
      <c r="AL423" s="3"/>
      <c r="AM423" s="3"/>
      <c r="AN423" s="3"/>
      <c r="AO423" s="3"/>
      <c r="AP423" s="3"/>
      <c r="AQ423" s="3"/>
      <c r="AR423" s="3"/>
      <c r="AS423" s="3"/>
      <c r="AT423" s="3"/>
      <c r="AU423" s="3"/>
      <c r="AV423" s="3"/>
      <c r="AW423" s="3"/>
      <c r="AX423" s="3"/>
      <c r="AY423" s="3"/>
      <c r="AZ423" s="3"/>
      <c r="BA423" s="3"/>
      <c r="BB423" s="3"/>
      <c r="BC423" s="3"/>
    </row>
    <row r="424" spans="1:55">
      <c r="A424" s="1" t="str">
        <f>'Population Definitions'!$A$4</f>
        <v>0-9_males</v>
      </c>
      <c r="C424" t="s">
        <v>32</v>
      </c>
      <c r="D424" s="3"/>
      <c r="E424" s="3">
        <v>0</v>
      </c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  <c r="AA424" s="3"/>
      <c r="AB424" s="3"/>
      <c r="AC424" s="3"/>
      <c r="AD424" s="3"/>
      <c r="AE424" s="3"/>
      <c r="AF424" s="3"/>
      <c r="AG424" s="3"/>
      <c r="AH424" s="3"/>
      <c r="AI424" s="3"/>
      <c r="AJ424" s="3"/>
      <c r="AK424" s="3"/>
      <c r="AL424" s="3"/>
      <c r="AM424" s="3"/>
      <c r="AN424" s="3"/>
      <c r="AO424" s="3"/>
      <c r="AP424" s="3"/>
      <c r="AQ424" s="3"/>
      <c r="AR424" s="3"/>
      <c r="AS424" s="3"/>
      <c r="AT424" s="3"/>
      <c r="AU424" s="3"/>
      <c r="AV424" s="3"/>
      <c r="AW424" s="3"/>
      <c r="AX424" s="3"/>
      <c r="AY424" s="3"/>
      <c r="AZ424" s="3"/>
      <c r="BA424" s="3"/>
      <c r="BB424" s="3"/>
      <c r="BC424" s="3"/>
    </row>
    <row r="425" spans="1:55">
      <c r="A425" s="1" t="str">
        <f>'Population Definitions'!$A$5</f>
        <v>0-9_females</v>
      </c>
      <c r="C425" t="s">
        <v>32</v>
      </c>
      <c r="D425" s="3"/>
      <c r="E425" s="3">
        <v>0</v>
      </c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  <c r="AA425" s="3"/>
      <c r="AB425" s="3"/>
      <c r="AC425" s="3"/>
      <c r="AD425" s="3"/>
      <c r="AE425" s="3"/>
      <c r="AF425" s="3"/>
      <c r="AG425" s="3"/>
      <c r="AH425" s="3"/>
      <c r="AI425" s="3"/>
      <c r="AJ425" s="3"/>
      <c r="AK425" s="3"/>
      <c r="AL425" s="3"/>
      <c r="AM425" s="3"/>
      <c r="AN425" s="3"/>
      <c r="AO425" s="3"/>
      <c r="AP425" s="3"/>
      <c r="AQ425" s="3"/>
      <c r="AR425" s="3"/>
      <c r="AS425" s="3"/>
      <c r="AT425" s="3"/>
      <c r="AU425" s="3"/>
      <c r="AV425" s="3"/>
      <c r="AW425" s="3"/>
      <c r="AX425" s="3"/>
      <c r="AY425" s="3"/>
      <c r="AZ425" s="3"/>
      <c r="BA425" s="3"/>
      <c r="BB425" s="3"/>
      <c r="BC425" s="3"/>
    </row>
    <row r="426" spans="1:55">
      <c r="A426" s="1" t="str">
        <f>'Population Definitions'!$A$6</f>
        <v>10-17_males</v>
      </c>
      <c r="C426" t="s">
        <v>32</v>
      </c>
      <c r="D426" s="3"/>
      <c r="E426" s="3">
        <v>0</v>
      </c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  <c r="AA426" s="3"/>
      <c r="AB426" s="3"/>
      <c r="AC426" s="3"/>
      <c r="AD426" s="3"/>
      <c r="AE426" s="3"/>
      <c r="AF426" s="3"/>
      <c r="AG426" s="3"/>
      <c r="AH426" s="3"/>
      <c r="AI426" s="3"/>
      <c r="AJ426" s="3"/>
      <c r="AK426" s="3"/>
      <c r="AL426" s="3"/>
      <c r="AM426" s="3"/>
      <c r="AN426" s="3"/>
      <c r="AO426" s="3"/>
      <c r="AP426" s="3"/>
      <c r="AQ426" s="3"/>
      <c r="AR426" s="3"/>
      <c r="AS426" s="3"/>
      <c r="AT426" s="3"/>
      <c r="AU426" s="3"/>
      <c r="AV426" s="3"/>
      <c r="AW426" s="3"/>
      <c r="AX426" s="3"/>
      <c r="AY426" s="3"/>
      <c r="AZ426" s="3"/>
      <c r="BA426" s="3"/>
      <c r="BB426" s="3"/>
      <c r="BC426" s="3"/>
    </row>
    <row r="427" spans="1:55">
      <c r="A427" s="1" t="str">
        <f>'Population Definitions'!$A$7</f>
        <v>10-17_females</v>
      </c>
      <c r="C427" t="s">
        <v>32</v>
      </c>
      <c r="D427" s="3"/>
      <c r="E427" s="3">
        <v>0</v>
      </c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</row>
    <row r="428" spans="1:55">
      <c r="A428" s="1" t="str">
        <f>'Population Definitions'!$A$8</f>
        <v>18-64_males</v>
      </c>
      <c r="C428" t="s">
        <v>32</v>
      </c>
      <c r="D428" s="3"/>
      <c r="E428" s="3">
        <v>0</v>
      </c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  <c r="AA428" s="3"/>
      <c r="AB428" s="3"/>
      <c r="AC428" s="3"/>
      <c r="AD428" s="3"/>
      <c r="AE428" s="3"/>
      <c r="AF428" s="3"/>
      <c r="AG428" s="3"/>
      <c r="AH428" s="3"/>
      <c r="AI428" s="3"/>
      <c r="AJ428" s="3"/>
      <c r="AK428" s="3"/>
      <c r="AL428" s="3"/>
      <c r="AM428" s="3"/>
      <c r="AN428" s="3"/>
      <c r="AO428" s="3"/>
      <c r="AP428" s="3"/>
      <c r="AQ428" s="3"/>
      <c r="AR428" s="3"/>
      <c r="AS428" s="3"/>
      <c r="AT428" s="3"/>
      <c r="AU428" s="3"/>
      <c r="AV428" s="3"/>
      <c r="AW428" s="3"/>
      <c r="AX428" s="3"/>
      <c r="AY428" s="3"/>
      <c r="AZ428" s="3"/>
      <c r="BA428" s="3"/>
      <c r="BB428" s="3"/>
      <c r="BC428" s="3"/>
    </row>
    <row r="429" spans="1:55">
      <c r="A429" s="1" t="str">
        <f>'Population Definitions'!$A$9</f>
        <v>18-64_females</v>
      </c>
      <c r="C429" t="s">
        <v>32</v>
      </c>
      <c r="D429" s="3"/>
      <c r="E429" s="3">
        <v>0</v>
      </c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  <c r="AA429" s="3"/>
      <c r="AB429" s="3"/>
      <c r="AC429" s="3"/>
      <c r="AD429" s="3"/>
      <c r="AE429" s="3"/>
      <c r="AF429" s="3"/>
      <c r="AG429" s="3"/>
      <c r="AH429" s="3"/>
      <c r="AI429" s="3"/>
      <c r="AJ429" s="3"/>
      <c r="AK429" s="3"/>
      <c r="AL429" s="3"/>
      <c r="AM429" s="3"/>
      <c r="AN429" s="3"/>
      <c r="AO429" s="3"/>
      <c r="AP429" s="3"/>
      <c r="AQ429" s="3"/>
      <c r="AR429" s="3"/>
      <c r="AS429" s="3"/>
      <c r="AT429" s="3"/>
      <c r="AU429" s="3"/>
      <c r="AV429" s="3"/>
      <c r="AW429" s="3"/>
      <c r="AX429" s="3"/>
      <c r="AY429" s="3"/>
      <c r="AZ429" s="3"/>
      <c r="BA429" s="3"/>
      <c r="BB429" s="3"/>
      <c r="BC429" s="3"/>
    </row>
    <row r="430" spans="1:55">
      <c r="A430" s="1" t="str">
        <f>'Population Definitions'!$A$10</f>
        <v>65+_males</v>
      </c>
      <c r="C430" t="s">
        <v>32</v>
      </c>
      <c r="D430" s="3"/>
      <c r="E430" s="3">
        <v>0</v>
      </c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  <c r="AA430" s="3"/>
      <c r="AB430" s="3"/>
      <c r="AC430" s="3"/>
      <c r="AD430" s="3"/>
      <c r="AE430" s="3"/>
      <c r="AF430" s="3"/>
      <c r="AG430" s="3"/>
      <c r="AH430" s="3"/>
      <c r="AI430" s="3"/>
      <c r="AJ430" s="3"/>
      <c r="AK430" s="3"/>
      <c r="AL430" s="3"/>
      <c r="AM430" s="3"/>
      <c r="AN430" s="3"/>
      <c r="AO430" s="3"/>
      <c r="AP430" s="3"/>
      <c r="AQ430" s="3"/>
      <c r="AR430" s="3"/>
      <c r="AS430" s="3"/>
      <c r="AT430" s="3"/>
      <c r="AU430" s="3"/>
      <c r="AV430" s="3"/>
      <c r="AW430" s="3"/>
      <c r="AX430" s="3"/>
      <c r="AY430" s="3"/>
      <c r="AZ430" s="3"/>
      <c r="BA430" s="3"/>
      <c r="BB430" s="3"/>
      <c r="BC430" s="3"/>
    </row>
    <row r="431" spans="1:55">
      <c r="A431" s="1" t="str">
        <f>'Population Definitions'!$A$11</f>
        <v>65+_females</v>
      </c>
      <c r="C431" t="s">
        <v>32</v>
      </c>
      <c r="D431" s="3"/>
      <c r="E431" s="3">
        <v>0</v>
      </c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  <c r="AA431" s="3"/>
      <c r="AB431" s="3"/>
      <c r="AC431" s="3"/>
      <c r="AD431" s="3"/>
      <c r="AE431" s="3"/>
      <c r="AF431" s="3"/>
      <c r="AG431" s="3"/>
      <c r="AH431" s="3"/>
      <c r="AI431" s="3"/>
      <c r="AJ431" s="3"/>
      <c r="AK431" s="3"/>
      <c r="AL431" s="3"/>
      <c r="AM431" s="3"/>
      <c r="AN431" s="3"/>
      <c r="AO431" s="3"/>
      <c r="AP431" s="3"/>
      <c r="AQ431" s="3"/>
      <c r="AR431" s="3"/>
      <c r="AS431" s="3"/>
      <c r="AT431" s="3"/>
      <c r="AU431" s="3"/>
      <c r="AV431" s="3"/>
      <c r="AW431" s="3"/>
      <c r="AX431" s="3"/>
      <c r="AY431" s="3"/>
      <c r="AZ431" s="3"/>
      <c r="BA431" s="3"/>
      <c r="BB431" s="3"/>
      <c r="BC431" s="3"/>
    </row>
    <row r="432" spans="1:55">
      <c r="A432" s="1" t="str">
        <f>'Population Definitions'!$A$12</f>
        <v>Prisoners_males</v>
      </c>
      <c r="C432" t="s">
        <v>32</v>
      </c>
      <c r="D432" s="3"/>
      <c r="E432" s="3">
        <v>0</v>
      </c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  <c r="AA432" s="3"/>
      <c r="AB432" s="3"/>
      <c r="AC432" s="3"/>
      <c r="AD432" s="3"/>
      <c r="AE432" s="3"/>
      <c r="AF432" s="3"/>
      <c r="AG432" s="3"/>
      <c r="AH432" s="3"/>
      <c r="AI432" s="3"/>
      <c r="AJ432" s="3"/>
      <c r="AK432" s="3"/>
      <c r="AL432" s="3"/>
      <c r="AM432" s="3"/>
      <c r="AN432" s="3"/>
      <c r="AO432" s="3"/>
      <c r="AP432" s="3"/>
      <c r="AQ432" s="3"/>
      <c r="AR432" s="3"/>
      <c r="AS432" s="3"/>
      <c r="AT432" s="3"/>
      <c r="AU432" s="3"/>
      <c r="AV432" s="3"/>
      <c r="AW432" s="3"/>
      <c r="AX432" s="3"/>
      <c r="AY432" s="3"/>
      <c r="AZ432" s="3"/>
      <c r="BA432" s="3"/>
      <c r="BB432" s="3"/>
      <c r="BC432" s="3"/>
    </row>
    <row r="433" spans="1:55">
      <c r="A433" s="1" t="str">
        <f>'Population Definitions'!$A$13</f>
        <v>Prisoners_females</v>
      </c>
      <c r="C433" t="s">
        <v>32</v>
      </c>
      <c r="D433" s="3"/>
      <c r="E433" s="3">
        <v>0</v>
      </c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  <c r="AA433" s="3"/>
      <c r="AB433" s="3"/>
      <c r="AC433" s="3"/>
      <c r="AD433" s="3"/>
      <c r="AE433" s="3"/>
      <c r="AF433" s="3"/>
      <c r="AG433" s="3"/>
      <c r="AH433" s="3"/>
      <c r="AI433" s="3"/>
      <c r="AJ433" s="3"/>
      <c r="AK433" s="3"/>
      <c r="AL433" s="3"/>
      <c r="AM433" s="3"/>
      <c r="AN433" s="3"/>
      <c r="AO433" s="3"/>
      <c r="AP433" s="3"/>
      <c r="AQ433" s="3"/>
      <c r="AR433" s="3"/>
      <c r="AS433" s="3"/>
      <c r="AT433" s="3"/>
      <c r="AU433" s="3"/>
      <c r="AV433" s="3"/>
      <c r="AW433" s="3"/>
      <c r="AX433" s="3"/>
      <c r="AY433" s="3"/>
      <c r="AZ433" s="3"/>
      <c r="BA433" s="3"/>
      <c r="BB433" s="3"/>
      <c r="BC433" s="3"/>
    </row>
    <row r="435" spans="1:55">
      <c r="A435" s="1" t="s">
        <v>157</v>
      </c>
      <c r="B435" s="1" t="s">
        <v>29</v>
      </c>
      <c r="C435" s="1" t="s">
        <v>30</v>
      </c>
      <c r="D435" s="1" t="s">
        <v>31</v>
      </c>
      <c r="E435" s="1">
        <v>2000</v>
      </c>
      <c r="F435" s="1">
        <v>2001</v>
      </c>
      <c r="G435" s="1">
        <v>2002</v>
      </c>
      <c r="H435" s="1">
        <v>2003</v>
      </c>
      <c r="I435" s="1">
        <v>2004</v>
      </c>
      <c r="J435" s="1">
        <v>2005</v>
      </c>
      <c r="K435" s="1">
        <v>2006</v>
      </c>
      <c r="L435" s="1">
        <v>2007</v>
      </c>
      <c r="M435" s="1">
        <v>2008</v>
      </c>
      <c r="N435" s="1">
        <v>2009</v>
      </c>
      <c r="O435" s="1">
        <v>2010</v>
      </c>
      <c r="P435" s="1">
        <v>2011</v>
      </c>
      <c r="Q435" s="1">
        <v>2012</v>
      </c>
      <c r="R435" s="1">
        <v>2013</v>
      </c>
      <c r="S435" s="1">
        <v>2014</v>
      </c>
      <c r="T435" s="1">
        <v>2015</v>
      </c>
      <c r="U435" s="1">
        <v>2016</v>
      </c>
      <c r="V435" s="1">
        <v>2017</v>
      </c>
      <c r="W435" s="1">
        <v>2018</v>
      </c>
      <c r="X435" s="1">
        <v>2019</v>
      </c>
      <c r="Y435" s="1">
        <v>2020</v>
      </c>
      <c r="Z435" s="1">
        <v>2021</v>
      </c>
      <c r="AA435" s="1">
        <v>2022</v>
      </c>
      <c r="AB435" s="1">
        <v>2023</v>
      </c>
      <c r="AC435" s="1">
        <v>2024</v>
      </c>
      <c r="AD435" s="1">
        <v>2025</v>
      </c>
      <c r="AE435" s="1">
        <v>2026</v>
      </c>
      <c r="AF435" s="1">
        <v>2027</v>
      </c>
      <c r="AG435" s="1">
        <v>2028</v>
      </c>
      <c r="AH435" s="1">
        <v>2029</v>
      </c>
      <c r="AI435" s="1">
        <v>2030</v>
      </c>
      <c r="AJ435" s="1">
        <v>2031</v>
      </c>
      <c r="AK435" s="1">
        <v>2032</v>
      </c>
      <c r="AL435" s="1">
        <v>2033</v>
      </c>
      <c r="AM435" s="1">
        <v>2034</v>
      </c>
      <c r="AN435" s="1">
        <v>2035</v>
      </c>
      <c r="AO435" s="1">
        <v>2036</v>
      </c>
      <c r="AP435" s="1">
        <v>2037</v>
      </c>
      <c r="AQ435" s="1">
        <v>2038</v>
      </c>
      <c r="AR435" s="1">
        <v>2039</v>
      </c>
      <c r="AS435" s="1">
        <v>2040</v>
      </c>
      <c r="AT435" s="1">
        <v>2041</v>
      </c>
      <c r="AU435" s="1">
        <v>2042</v>
      </c>
      <c r="AV435" s="1">
        <v>2043</v>
      </c>
      <c r="AW435" s="1">
        <v>2044</v>
      </c>
      <c r="AX435" s="1">
        <v>2045</v>
      </c>
      <c r="AY435" s="1">
        <v>2046</v>
      </c>
      <c r="AZ435" s="1">
        <v>2047</v>
      </c>
      <c r="BA435" s="1">
        <v>2048</v>
      </c>
      <c r="BB435" s="1">
        <v>2049</v>
      </c>
      <c r="BC435" s="1">
        <v>2050</v>
      </c>
    </row>
    <row r="436" spans="1:55">
      <c r="A436" s="1" t="str">
        <f>'Population Definitions'!$A$2</f>
        <v>PWID_males</v>
      </c>
      <c r="C436" t="s">
        <v>32</v>
      </c>
      <c r="D436" s="3"/>
      <c r="E436" s="3">
        <v>0</v>
      </c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  <c r="AA436" s="3"/>
      <c r="AB436" s="3"/>
      <c r="AC436" s="3"/>
      <c r="AD436" s="3"/>
      <c r="AE436" s="3"/>
      <c r="AF436" s="3"/>
      <c r="AG436" s="3"/>
      <c r="AH436" s="3"/>
      <c r="AI436" s="3"/>
      <c r="AJ436" s="3"/>
      <c r="AK436" s="3"/>
      <c r="AL436" s="3"/>
      <c r="AM436" s="3"/>
      <c r="AN436" s="3"/>
      <c r="AO436" s="3"/>
      <c r="AP436" s="3"/>
      <c r="AQ436" s="3"/>
      <c r="AR436" s="3"/>
      <c r="AS436" s="3"/>
      <c r="AT436" s="3"/>
      <c r="AU436" s="3"/>
      <c r="AV436" s="3"/>
      <c r="AW436" s="3"/>
      <c r="AX436" s="3"/>
      <c r="AY436" s="3"/>
      <c r="AZ436" s="3"/>
      <c r="BA436" s="3"/>
      <c r="BB436" s="3"/>
      <c r="BC436" s="3"/>
    </row>
    <row r="437" spans="1:55">
      <c r="A437" s="1" t="str">
        <f>'Population Definitions'!$A$3</f>
        <v>PWID_females</v>
      </c>
      <c r="C437" t="s">
        <v>32</v>
      </c>
      <c r="D437" s="3"/>
      <c r="E437" s="3">
        <v>0</v>
      </c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  <c r="AA437" s="3"/>
      <c r="AB437" s="3"/>
      <c r="AC437" s="3"/>
      <c r="AD437" s="3"/>
      <c r="AE437" s="3"/>
      <c r="AF437" s="3"/>
      <c r="AG437" s="3"/>
      <c r="AH437" s="3"/>
      <c r="AI437" s="3"/>
      <c r="AJ437" s="3"/>
      <c r="AK437" s="3"/>
      <c r="AL437" s="3"/>
      <c r="AM437" s="3"/>
      <c r="AN437" s="3"/>
      <c r="AO437" s="3"/>
      <c r="AP437" s="3"/>
      <c r="AQ437" s="3"/>
      <c r="AR437" s="3"/>
      <c r="AS437" s="3"/>
      <c r="AT437" s="3"/>
      <c r="AU437" s="3"/>
      <c r="AV437" s="3"/>
      <c r="AW437" s="3"/>
      <c r="AX437" s="3"/>
      <c r="AY437" s="3"/>
      <c r="AZ437" s="3"/>
      <c r="BA437" s="3"/>
      <c r="BB437" s="3"/>
      <c r="BC437" s="3"/>
    </row>
    <row r="438" spans="1:55">
      <c r="A438" s="1" t="str">
        <f>'Population Definitions'!$A$4</f>
        <v>0-9_males</v>
      </c>
      <c r="C438" t="s">
        <v>32</v>
      </c>
      <c r="D438" s="3"/>
      <c r="E438" s="3">
        <v>0</v>
      </c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  <c r="AA438" s="3"/>
      <c r="AB438" s="3"/>
      <c r="AC438" s="3"/>
      <c r="AD438" s="3"/>
      <c r="AE438" s="3"/>
      <c r="AF438" s="3"/>
      <c r="AG438" s="3"/>
      <c r="AH438" s="3"/>
      <c r="AI438" s="3"/>
      <c r="AJ438" s="3"/>
      <c r="AK438" s="3"/>
      <c r="AL438" s="3"/>
      <c r="AM438" s="3"/>
      <c r="AN438" s="3"/>
      <c r="AO438" s="3"/>
      <c r="AP438" s="3"/>
      <c r="AQ438" s="3"/>
      <c r="AR438" s="3"/>
      <c r="AS438" s="3"/>
      <c r="AT438" s="3"/>
      <c r="AU438" s="3"/>
      <c r="AV438" s="3"/>
      <c r="AW438" s="3"/>
      <c r="AX438" s="3"/>
      <c r="AY438" s="3"/>
      <c r="AZ438" s="3"/>
      <c r="BA438" s="3"/>
      <c r="BB438" s="3"/>
      <c r="BC438" s="3"/>
    </row>
    <row r="439" spans="1:55">
      <c r="A439" s="1" t="str">
        <f>'Population Definitions'!$A$5</f>
        <v>0-9_females</v>
      </c>
      <c r="C439" t="s">
        <v>32</v>
      </c>
      <c r="D439" s="3"/>
      <c r="E439" s="3">
        <v>0</v>
      </c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  <c r="AA439" s="3"/>
      <c r="AB439" s="3"/>
      <c r="AC439" s="3"/>
      <c r="AD439" s="3"/>
      <c r="AE439" s="3"/>
      <c r="AF439" s="3"/>
      <c r="AG439" s="3"/>
      <c r="AH439" s="3"/>
      <c r="AI439" s="3"/>
      <c r="AJ439" s="3"/>
      <c r="AK439" s="3"/>
      <c r="AL439" s="3"/>
      <c r="AM439" s="3"/>
      <c r="AN439" s="3"/>
      <c r="AO439" s="3"/>
      <c r="AP439" s="3"/>
      <c r="AQ439" s="3"/>
      <c r="AR439" s="3"/>
      <c r="AS439" s="3"/>
      <c r="AT439" s="3"/>
      <c r="AU439" s="3"/>
      <c r="AV439" s="3"/>
      <c r="AW439" s="3"/>
      <c r="AX439" s="3"/>
      <c r="AY439" s="3"/>
      <c r="AZ439" s="3"/>
      <c r="BA439" s="3"/>
      <c r="BB439" s="3"/>
      <c r="BC439" s="3"/>
    </row>
    <row r="440" spans="1:55">
      <c r="A440" s="1" t="str">
        <f>'Population Definitions'!$A$6</f>
        <v>10-17_males</v>
      </c>
      <c r="C440" t="s">
        <v>32</v>
      </c>
      <c r="D440" s="3"/>
      <c r="E440" s="3">
        <v>0</v>
      </c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</row>
    <row r="441" spans="1:55">
      <c r="A441" s="1" t="str">
        <f>'Population Definitions'!$A$7</f>
        <v>10-17_females</v>
      </c>
      <c r="C441" t="s">
        <v>32</v>
      </c>
      <c r="D441" s="3"/>
      <c r="E441" s="3">
        <v>0</v>
      </c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  <c r="AA441" s="3"/>
      <c r="AB441" s="3"/>
      <c r="AC441" s="3"/>
      <c r="AD441" s="3"/>
      <c r="AE441" s="3"/>
      <c r="AF441" s="3"/>
      <c r="AG441" s="3"/>
      <c r="AH441" s="3"/>
      <c r="AI441" s="3"/>
      <c r="AJ441" s="3"/>
      <c r="AK441" s="3"/>
      <c r="AL441" s="3"/>
      <c r="AM441" s="3"/>
      <c r="AN441" s="3"/>
      <c r="AO441" s="3"/>
      <c r="AP441" s="3"/>
      <c r="AQ441" s="3"/>
      <c r="AR441" s="3"/>
      <c r="AS441" s="3"/>
      <c r="AT441" s="3"/>
      <c r="AU441" s="3"/>
      <c r="AV441" s="3"/>
      <c r="AW441" s="3"/>
      <c r="AX441" s="3"/>
      <c r="AY441" s="3"/>
      <c r="AZ441" s="3"/>
      <c r="BA441" s="3"/>
      <c r="BB441" s="3"/>
      <c r="BC441" s="3"/>
    </row>
    <row r="442" spans="1:55">
      <c r="A442" s="1" t="str">
        <f>'Population Definitions'!$A$8</f>
        <v>18-64_males</v>
      </c>
      <c r="C442" t="s">
        <v>32</v>
      </c>
      <c r="D442" s="3"/>
      <c r="E442" s="3">
        <v>0</v>
      </c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  <c r="AA442" s="3"/>
      <c r="AB442" s="3"/>
      <c r="AC442" s="3"/>
      <c r="AD442" s="3"/>
      <c r="AE442" s="3"/>
      <c r="AF442" s="3"/>
      <c r="AG442" s="3"/>
      <c r="AH442" s="3"/>
      <c r="AI442" s="3"/>
      <c r="AJ442" s="3"/>
      <c r="AK442" s="3"/>
      <c r="AL442" s="3"/>
      <c r="AM442" s="3"/>
      <c r="AN442" s="3"/>
      <c r="AO442" s="3"/>
      <c r="AP442" s="3"/>
      <c r="AQ442" s="3"/>
      <c r="AR442" s="3"/>
      <c r="AS442" s="3"/>
      <c r="AT442" s="3"/>
      <c r="AU442" s="3"/>
      <c r="AV442" s="3"/>
      <c r="AW442" s="3"/>
      <c r="AX442" s="3"/>
      <c r="AY442" s="3"/>
      <c r="AZ442" s="3"/>
      <c r="BA442" s="3"/>
      <c r="BB442" s="3"/>
      <c r="BC442" s="3"/>
    </row>
    <row r="443" spans="1:55">
      <c r="A443" s="1" t="str">
        <f>'Population Definitions'!$A$9</f>
        <v>18-64_females</v>
      </c>
      <c r="C443" t="s">
        <v>32</v>
      </c>
      <c r="D443" s="3"/>
      <c r="E443" s="3">
        <v>0</v>
      </c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  <c r="AA443" s="3"/>
      <c r="AB443" s="3"/>
      <c r="AC443" s="3"/>
      <c r="AD443" s="3"/>
      <c r="AE443" s="3"/>
      <c r="AF443" s="3"/>
      <c r="AG443" s="3"/>
      <c r="AH443" s="3"/>
      <c r="AI443" s="3"/>
      <c r="AJ443" s="3"/>
      <c r="AK443" s="3"/>
      <c r="AL443" s="3"/>
      <c r="AM443" s="3"/>
      <c r="AN443" s="3"/>
      <c r="AO443" s="3"/>
      <c r="AP443" s="3"/>
      <c r="AQ443" s="3"/>
      <c r="AR443" s="3"/>
      <c r="AS443" s="3"/>
      <c r="AT443" s="3"/>
      <c r="AU443" s="3"/>
      <c r="AV443" s="3"/>
      <c r="AW443" s="3"/>
      <c r="AX443" s="3"/>
      <c r="AY443" s="3"/>
      <c r="AZ443" s="3"/>
      <c r="BA443" s="3"/>
      <c r="BB443" s="3"/>
      <c r="BC443" s="3"/>
    </row>
    <row r="444" spans="1:55">
      <c r="A444" s="1" t="str">
        <f>'Population Definitions'!$A$10</f>
        <v>65+_males</v>
      </c>
      <c r="C444" t="s">
        <v>32</v>
      </c>
      <c r="D444" s="3"/>
      <c r="E444" s="3">
        <v>0</v>
      </c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  <c r="AA444" s="3"/>
      <c r="AB444" s="3"/>
      <c r="AC444" s="3"/>
      <c r="AD444" s="3"/>
      <c r="AE444" s="3"/>
      <c r="AF444" s="3"/>
      <c r="AG444" s="3"/>
      <c r="AH444" s="3"/>
      <c r="AI444" s="3"/>
      <c r="AJ444" s="3"/>
      <c r="AK444" s="3"/>
      <c r="AL444" s="3"/>
      <c r="AM444" s="3"/>
      <c r="AN444" s="3"/>
      <c r="AO444" s="3"/>
      <c r="AP444" s="3"/>
      <c r="AQ444" s="3"/>
      <c r="AR444" s="3"/>
      <c r="AS444" s="3"/>
      <c r="AT444" s="3"/>
      <c r="AU444" s="3"/>
      <c r="AV444" s="3"/>
      <c r="AW444" s="3"/>
      <c r="AX444" s="3"/>
      <c r="AY444" s="3"/>
      <c r="AZ444" s="3"/>
      <c r="BA444" s="3"/>
      <c r="BB444" s="3"/>
      <c r="BC444" s="3"/>
    </row>
    <row r="445" spans="1:55">
      <c r="A445" s="1" t="str">
        <f>'Population Definitions'!$A$11</f>
        <v>65+_females</v>
      </c>
      <c r="C445" t="s">
        <v>32</v>
      </c>
      <c r="D445" s="3"/>
      <c r="E445" s="3">
        <v>0</v>
      </c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  <c r="AA445" s="3"/>
      <c r="AB445" s="3"/>
      <c r="AC445" s="3"/>
      <c r="AD445" s="3"/>
      <c r="AE445" s="3"/>
      <c r="AF445" s="3"/>
      <c r="AG445" s="3"/>
      <c r="AH445" s="3"/>
      <c r="AI445" s="3"/>
      <c r="AJ445" s="3"/>
      <c r="AK445" s="3"/>
      <c r="AL445" s="3"/>
      <c r="AM445" s="3"/>
      <c r="AN445" s="3"/>
      <c r="AO445" s="3"/>
      <c r="AP445" s="3"/>
      <c r="AQ445" s="3"/>
      <c r="AR445" s="3"/>
      <c r="AS445" s="3"/>
      <c r="AT445" s="3"/>
      <c r="AU445" s="3"/>
      <c r="AV445" s="3"/>
      <c r="AW445" s="3"/>
      <c r="AX445" s="3"/>
      <c r="AY445" s="3"/>
      <c r="AZ445" s="3"/>
      <c r="BA445" s="3"/>
      <c r="BB445" s="3"/>
      <c r="BC445" s="3"/>
    </row>
    <row r="446" spans="1:55">
      <c r="A446" s="1" t="str">
        <f>'Population Definitions'!$A$12</f>
        <v>Prisoners_males</v>
      </c>
      <c r="C446" t="s">
        <v>32</v>
      </c>
      <c r="D446" s="3"/>
      <c r="E446" s="3">
        <v>0</v>
      </c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  <c r="AA446" s="3"/>
      <c r="AB446" s="3"/>
      <c r="AC446" s="3"/>
      <c r="AD446" s="3"/>
      <c r="AE446" s="3"/>
      <c r="AF446" s="3"/>
      <c r="AG446" s="3"/>
      <c r="AH446" s="3"/>
      <c r="AI446" s="3"/>
      <c r="AJ446" s="3"/>
      <c r="AK446" s="3"/>
      <c r="AL446" s="3"/>
      <c r="AM446" s="3"/>
      <c r="AN446" s="3"/>
      <c r="AO446" s="3"/>
      <c r="AP446" s="3"/>
      <c r="AQ446" s="3"/>
      <c r="AR446" s="3"/>
      <c r="AS446" s="3"/>
      <c r="AT446" s="3"/>
      <c r="AU446" s="3"/>
      <c r="AV446" s="3"/>
      <c r="AW446" s="3"/>
      <c r="AX446" s="3"/>
      <c r="AY446" s="3"/>
      <c r="AZ446" s="3"/>
      <c r="BA446" s="3"/>
      <c r="BB446" s="3"/>
      <c r="BC446" s="3"/>
    </row>
    <row r="447" spans="1:55">
      <c r="A447" s="1" t="str">
        <f>'Population Definitions'!$A$13</f>
        <v>Prisoners_females</v>
      </c>
      <c r="C447" t="s">
        <v>32</v>
      </c>
      <c r="D447" s="3"/>
      <c r="E447" s="3">
        <v>0</v>
      </c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  <c r="AA447" s="3"/>
      <c r="AB447" s="3"/>
      <c r="AC447" s="3"/>
      <c r="AD447" s="3"/>
      <c r="AE447" s="3"/>
      <c r="AF447" s="3"/>
      <c r="AG447" s="3"/>
      <c r="AH447" s="3"/>
      <c r="AI447" s="3"/>
      <c r="AJ447" s="3"/>
      <c r="AK447" s="3"/>
      <c r="AL447" s="3"/>
      <c r="AM447" s="3"/>
      <c r="AN447" s="3"/>
      <c r="AO447" s="3"/>
      <c r="AP447" s="3"/>
      <c r="AQ447" s="3"/>
      <c r="AR447" s="3"/>
      <c r="AS447" s="3"/>
      <c r="AT447" s="3"/>
      <c r="AU447" s="3"/>
      <c r="AV447" s="3"/>
      <c r="AW447" s="3"/>
      <c r="AX447" s="3"/>
      <c r="AY447" s="3"/>
      <c r="AZ447" s="3"/>
      <c r="BA447" s="3"/>
      <c r="BB447" s="3"/>
      <c r="BC447" s="3"/>
    </row>
    <row r="449" spans="1:55">
      <c r="A449" s="1" t="s">
        <v>158</v>
      </c>
      <c r="B449" s="1" t="s">
        <v>29</v>
      </c>
      <c r="C449" s="1" t="s">
        <v>30</v>
      </c>
      <c r="D449" s="1" t="s">
        <v>31</v>
      </c>
      <c r="E449" s="1">
        <v>2000</v>
      </c>
      <c r="F449" s="1">
        <v>2001</v>
      </c>
      <c r="G449" s="1">
        <v>2002</v>
      </c>
      <c r="H449" s="1">
        <v>2003</v>
      </c>
      <c r="I449" s="1">
        <v>2004</v>
      </c>
      <c r="J449" s="1">
        <v>2005</v>
      </c>
      <c r="K449" s="1">
        <v>2006</v>
      </c>
      <c r="L449" s="1">
        <v>2007</v>
      </c>
      <c r="M449" s="1">
        <v>2008</v>
      </c>
      <c r="N449" s="1">
        <v>2009</v>
      </c>
      <c r="O449" s="1">
        <v>2010</v>
      </c>
      <c r="P449" s="1">
        <v>2011</v>
      </c>
      <c r="Q449" s="1">
        <v>2012</v>
      </c>
      <c r="R449" s="1">
        <v>2013</v>
      </c>
      <c r="S449" s="1">
        <v>2014</v>
      </c>
      <c r="T449" s="1">
        <v>2015</v>
      </c>
      <c r="U449" s="1">
        <v>2016</v>
      </c>
      <c r="V449" s="1">
        <v>2017</v>
      </c>
      <c r="W449" s="1">
        <v>2018</v>
      </c>
      <c r="X449" s="1">
        <v>2019</v>
      </c>
      <c r="Y449" s="1">
        <v>2020</v>
      </c>
      <c r="Z449" s="1">
        <v>2021</v>
      </c>
      <c r="AA449" s="1">
        <v>2022</v>
      </c>
      <c r="AB449" s="1">
        <v>2023</v>
      </c>
      <c r="AC449" s="1">
        <v>2024</v>
      </c>
      <c r="AD449" s="1">
        <v>2025</v>
      </c>
      <c r="AE449" s="1">
        <v>2026</v>
      </c>
      <c r="AF449" s="1">
        <v>2027</v>
      </c>
      <c r="AG449" s="1">
        <v>2028</v>
      </c>
      <c r="AH449" s="1">
        <v>2029</v>
      </c>
      <c r="AI449" s="1">
        <v>2030</v>
      </c>
      <c r="AJ449" s="1">
        <v>2031</v>
      </c>
      <c r="AK449" s="1">
        <v>2032</v>
      </c>
      <c r="AL449" s="1">
        <v>2033</v>
      </c>
      <c r="AM449" s="1">
        <v>2034</v>
      </c>
      <c r="AN449" s="1">
        <v>2035</v>
      </c>
      <c r="AO449" s="1">
        <v>2036</v>
      </c>
      <c r="AP449" s="1">
        <v>2037</v>
      </c>
      <c r="AQ449" s="1">
        <v>2038</v>
      </c>
      <c r="AR449" s="1">
        <v>2039</v>
      </c>
      <c r="AS449" s="1">
        <v>2040</v>
      </c>
      <c r="AT449" s="1">
        <v>2041</v>
      </c>
      <c r="AU449" s="1">
        <v>2042</v>
      </c>
      <c r="AV449" s="1">
        <v>2043</v>
      </c>
      <c r="AW449" s="1">
        <v>2044</v>
      </c>
      <c r="AX449" s="1">
        <v>2045</v>
      </c>
      <c r="AY449" s="1">
        <v>2046</v>
      </c>
      <c r="AZ449" s="1">
        <v>2047</v>
      </c>
      <c r="BA449" s="1">
        <v>2048</v>
      </c>
      <c r="BB449" s="1">
        <v>2049</v>
      </c>
      <c r="BC449" s="1">
        <v>2050</v>
      </c>
    </row>
    <row r="450" spans="1:55">
      <c r="A450" s="1" t="str">
        <f>'Population Definitions'!$A$2</f>
        <v>PWID_males</v>
      </c>
      <c r="C450" t="s">
        <v>32</v>
      </c>
      <c r="D450" s="3"/>
      <c r="E450" s="3">
        <v>0</v>
      </c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  <c r="AA450" s="3"/>
      <c r="AB450" s="3"/>
      <c r="AC450" s="3"/>
      <c r="AD450" s="3"/>
      <c r="AE450" s="3"/>
      <c r="AF450" s="3"/>
      <c r="AG450" s="3"/>
      <c r="AH450" s="3"/>
      <c r="AI450" s="3"/>
      <c r="AJ450" s="3"/>
      <c r="AK450" s="3"/>
      <c r="AL450" s="3"/>
      <c r="AM450" s="3"/>
      <c r="AN450" s="3"/>
      <c r="AO450" s="3"/>
      <c r="AP450" s="3"/>
      <c r="AQ450" s="3"/>
      <c r="AR450" s="3"/>
      <c r="AS450" s="3"/>
      <c r="AT450" s="3"/>
      <c r="AU450" s="3"/>
      <c r="AV450" s="3"/>
      <c r="AW450" s="3"/>
      <c r="AX450" s="3"/>
      <c r="AY450" s="3"/>
      <c r="AZ450" s="3"/>
      <c r="BA450" s="3"/>
      <c r="BB450" s="3"/>
      <c r="BC450" s="3"/>
    </row>
    <row r="451" spans="1:55">
      <c r="A451" s="1" t="str">
        <f>'Population Definitions'!$A$3</f>
        <v>PWID_females</v>
      </c>
      <c r="C451" t="s">
        <v>32</v>
      </c>
      <c r="D451" s="3"/>
      <c r="E451" s="3">
        <v>0</v>
      </c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  <c r="AA451" s="3"/>
      <c r="AB451" s="3"/>
      <c r="AC451" s="3"/>
      <c r="AD451" s="3"/>
      <c r="AE451" s="3"/>
      <c r="AF451" s="3"/>
      <c r="AG451" s="3"/>
      <c r="AH451" s="3"/>
      <c r="AI451" s="3"/>
      <c r="AJ451" s="3"/>
      <c r="AK451" s="3"/>
      <c r="AL451" s="3"/>
      <c r="AM451" s="3"/>
      <c r="AN451" s="3"/>
      <c r="AO451" s="3"/>
      <c r="AP451" s="3"/>
      <c r="AQ451" s="3"/>
      <c r="AR451" s="3"/>
      <c r="AS451" s="3"/>
      <c r="AT451" s="3"/>
      <c r="AU451" s="3"/>
      <c r="AV451" s="3"/>
      <c r="AW451" s="3"/>
      <c r="AX451" s="3"/>
      <c r="AY451" s="3"/>
      <c r="AZ451" s="3"/>
      <c r="BA451" s="3"/>
      <c r="BB451" s="3"/>
      <c r="BC451" s="3"/>
    </row>
    <row r="452" spans="1:55">
      <c r="A452" s="1" t="str">
        <f>'Population Definitions'!$A$4</f>
        <v>0-9_males</v>
      </c>
      <c r="C452" t="s">
        <v>32</v>
      </c>
      <c r="D452" s="3"/>
      <c r="E452" s="3">
        <v>0</v>
      </c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  <c r="AA452" s="3"/>
      <c r="AB452" s="3"/>
      <c r="AC452" s="3"/>
      <c r="AD452" s="3"/>
      <c r="AE452" s="3"/>
      <c r="AF452" s="3"/>
      <c r="AG452" s="3"/>
      <c r="AH452" s="3"/>
      <c r="AI452" s="3"/>
      <c r="AJ452" s="3"/>
      <c r="AK452" s="3"/>
      <c r="AL452" s="3"/>
      <c r="AM452" s="3"/>
      <c r="AN452" s="3"/>
      <c r="AO452" s="3"/>
      <c r="AP452" s="3"/>
      <c r="AQ452" s="3"/>
      <c r="AR452" s="3"/>
      <c r="AS452" s="3"/>
      <c r="AT452" s="3"/>
      <c r="AU452" s="3"/>
      <c r="AV452" s="3"/>
      <c r="AW452" s="3"/>
      <c r="AX452" s="3"/>
      <c r="AY452" s="3"/>
      <c r="AZ452" s="3"/>
      <c r="BA452" s="3"/>
      <c r="BB452" s="3"/>
      <c r="BC452" s="3"/>
    </row>
    <row r="453" spans="1:55">
      <c r="A453" s="1" t="str">
        <f>'Population Definitions'!$A$5</f>
        <v>0-9_females</v>
      </c>
      <c r="C453" t="s">
        <v>32</v>
      </c>
      <c r="D453" s="3"/>
      <c r="E453" s="3">
        <v>0</v>
      </c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  <c r="AA453" s="3"/>
      <c r="AB453" s="3"/>
      <c r="AC453" s="3"/>
      <c r="AD453" s="3"/>
      <c r="AE453" s="3"/>
      <c r="AF453" s="3"/>
      <c r="AG453" s="3"/>
      <c r="AH453" s="3"/>
      <c r="AI453" s="3"/>
      <c r="AJ453" s="3"/>
      <c r="AK453" s="3"/>
      <c r="AL453" s="3"/>
      <c r="AM453" s="3"/>
      <c r="AN453" s="3"/>
      <c r="AO453" s="3"/>
      <c r="AP453" s="3"/>
      <c r="AQ453" s="3"/>
      <c r="AR453" s="3"/>
      <c r="AS453" s="3"/>
      <c r="AT453" s="3"/>
      <c r="AU453" s="3"/>
      <c r="AV453" s="3"/>
      <c r="AW453" s="3"/>
      <c r="AX453" s="3"/>
      <c r="AY453" s="3"/>
      <c r="AZ453" s="3"/>
      <c r="BA453" s="3"/>
      <c r="BB453" s="3"/>
      <c r="BC453" s="3"/>
    </row>
    <row r="454" spans="1:55">
      <c r="A454" s="1" t="str">
        <f>'Population Definitions'!$A$6</f>
        <v>10-17_males</v>
      </c>
      <c r="C454" t="s">
        <v>32</v>
      </c>
      <c r="D454" s="3"/>
      <c r="E454" s="3">
        <v>0</v>
      </c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  <c r="AA454" s="3"/>
      <c r="AB454" s="3"/>
      <c r="AC454" s="3"/>
      <c r="AD454" s="3"/>
      <c r="AE454" s="3"/>
      <c r="AF454" s="3"/>
      <c r="AG454" s="3"/>
      <c r="AH454" s="3"/>
      <c r="AI454" s="3"/>
      <c r="AJ454" s="3"/>
      <c r="AK454" s="3"/>
      <c r="AL454" s="3"/>
      <c r="AM454" s="3"/>
      <c r="AN454" s="3"/>
      <c r="AO454" s="3"/>
      <c r="AP454" s="3"/>
      <c r="AQ454" s="3"/>
      <c r="AR454" s="3"/>
      <c r="AS454" s="3"/>
      <c r="AT454" s="3"/>
      <c r="AU454" s="3"/>
      <c r="AV454" s="3"/>
      <c r="AW454" s="3"/>
      <c r="AX454" s="3"/>
      <c r="AY454" s="3"/>
      <c r="AZ454" s="3"/>
      <c r="BA454" s="3"/>
      <c r="BB454" s="3"/>
      <c r="BC454" s="3"/>
    </row>
    <row r="455" spans="1:55">
      <c r="A455" s="1" t="str">
        <f>'Population Definitions'!$A$7</f>
        <v>10-17_females</v>
      </c>
      <c r="C455" t="s">
        <v>32</v>
      </c>
      <c r="D455" s="3"/>
      <c r="E455" s="3">
        <v>0</v>
      </c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  <c r="AA455" s="3"/>
      <c r="AB455" s="3"/>
      <c r="AC455" s="3"/>
      <c r="AD455" s="3"/>
      <c r="AE455" s="3"/>
      <c r="AF455" s="3"/>
      <c r="AG455" s="3"/>
      <c r="AH455" s="3"/>
      <c r="AI455" s="3"/>
      <c r="AJ455" s="3"/>
      <c r="AK455" s="3"/>
      <c r="AL455" s="3"/>
      <c r="AM455" s="3"/>
      <c r="AN455" s="3"/>
      <c r="AO455" s="3"/>
      <c r="AP455" s="3"/>
      <c r="AQ455" s="3"/>
      <c r="AR455" s="3"/>
      <c r="AS455" s="3"/>
      <c r="AT455" s="3"/>
      <c r="AU455" s="3"/>
      <c r="AV455" s="3"/>
      <c r="AW455" s="3"/>
      <c r="AX455" s="3"/>
      <c r="AY455" s="3"/>
      <c r="AZ455" s="3"/>
      <c r="BA455" s="3"/>
      <c r="BB455" s="3"/>
      <c r="BC455" s="3"/>
    </row>
    <row r="456" spans="1:55">
      <c r="A456" s="1" t="str">
        <f>'Population Definitions'!$A$8</f>
        <v>18-64_males</v>
      </c>
      <c r="C456" t="s">
        <v>32</v>
      </c>
      <c r="D456" s="3"/>
      <c r="E456" s="3">
        <v>0</v>
      </c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  <c r="AA456" s="3"/>
      <c r="AB456" s="3"/>
      <c r="AC456" s="3"/>
      <c r="AD456" s="3"/>
      <c r="AE456" s="3"/>
      <c r="AF456" s="3"/>
      <c r="AG456" s="3"/>
      <c r="AH456" s="3"/>
      <c r="AI456" s="3"/>
      <c r="AJ456" s="3"/>
      <c r="AK456" s="3"/>
      <c r="AL456" s="3"/>
      <c r="AM456" s="3"/>
      <c r="AN456" s="3"/>
      <c r="AO456" s="3"/>
      <c r="AP456" s="3"/>
      <c r="AQ456" s="3"/>
      <c r="AR456" s="3"/>
      <c r="AS456" s="3"/>
      <c r="AT456" s="3"/>
      <c r="AU456" s="3"/>
      <c r="AV456" s="3"/>
      <c r="AW456" s="3"/>
      <c r="AX456" s="3"/>
      <c r="AY456" s="3"/>
      <c r="AZ456" s="3"/>
      <c r="BA456" s="3"/>
      <c r="BB456" s="3"/>
      <c r="BC456" s="3"/>
    </row>
    <row r="457" spans="1:55">
      <c r="A457" s="1" t="str">
        <f>'Population Definitions'!$A$9</f>
        <v>18-64_females</v>
      </c>
      <c r="C457" t="s">
        <v>32</v>
      </c>
      <c r="D457" s="3"/>
      <c r="E457" s="3">
        <v>0</v>
      </c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  <c r="AA457" s="3"/>
      <c r="AB457" s="3"/>
      <c r="AC457" s="3"/>
      <c r="AD457" s="3"/>
      <c r="AE457" s="3"/>
      <c r="AF457" s="3"/>
      <c r="AG457" s="3"/>
      <c r="AH457" s="3"/>
      <c r="AI457" s="3"/>
      <c r="AJ457" s="3"/>
      <c r="AK457" s="3"/>
      <c r="AL457" s="3"/>
      <c r="AM457" s="3"/>
      <c r="AN457" s="3"/>
      <c r="AO457" s="3"/>
      <c r="AP457" s="3"/>
      <c r="AQ457" s="3"/>
      <c r="AR457" s="3"/>
      <c r="AS457" s="3"/>
      <c r="AT457" s="3"/>
      <c r="AU457" s="3"/>
      <c r="AV457" s="3"/>
      <c r="AW457" s="3"/>
      <c r="AX457" s="3"/>
      <c r="AY457" s="3"/>
      <c r="AZ457" s="3"/>
      <c r="BA457" s="3"/>
      <c r="BB457" s="3"/>
      <c r="BC457" s="3"/>
    </row>
    <row r="458" spans="1:55">
      <c r="A458" s="1" t="str">
        <f>'Population Definitions'!$A$10</f>
        <v>65+_males</v>
      </c>
      <c r="C458" t="s">
        <v>32</v>
      </c>
      <c r="D458" s="3"/>
      <c r="E458" s="3">
        <v>0</v>
      </c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  <c r="AA458" s="3"/>
      <c r="AB458" s="3"/>
      <c r="AC458" s="3"/>
      <c r="AD458" s="3"/>
      <c r="AE458" s="3"/>
      <c r="AF458" s="3"/>
      <c r="AG458" s="3"/>
      <c r="AH458" s="3"/>
      <c r="AI458" s="3"/>
      <c r="AJ458" s="3"/>
      <c r="AK458" s="3"/>
      <c r="AL458" s="3"/>
      <c r="AM458" s="3"/>
      <c r="AN458" s="3"/>
      <c r="AO458" s="3"/>
      <c r="AP458" s="3"/>
      <c r="AQ458" s="3"/>
      <c r="AR458" s="3"/>
      <c r="AS458" s="3"/>
      <c r="AT458" s="3"/>
      <c r="AU458" s="3"/>
      <c r="AV458" s="3"/>
      <c r="AW458" s="3"/>
      <c r="AX458" s="3"/>
      <c r="AY458" s="3"/>
      <c r="AZ458" s="3"/>
      <c r="BA458" s="3"/>
      <c r="BB458" s="3"/>
      <c r="BC458" s="3"/>
    </row>
    <row r="459" spans="1:55">
      <c r="A459" s="1" t="str">
        <f>'Population Definitions'!$A$11</f>
        <v>65+_females</v>
      </c>
      <c r="C459" t="s">
        <v>32</v>
      </c>
      <c r="D459" s="3"/>
      <c r="E459" s="3">
        <v>0</v>
      </c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  <c r="AA459" s="3"/>
      <c r="AB459" s="3"/>
      <c r="AC459" s="3"/>
      <c r="AD459" s="3"/>
      <c r="AE459" s="3"/>
      <c r="AF459" s="3"/>
      <c r="AG459" s="3"/>
      <c r="AH459" s="3"/>
      <c r="AI459" s="3"/>
      <c r="AJ459" s="3"/>
      <c r="AK459" s="3"/>
      <c r="AL459" s="3"/>
      <c r="AM459" s="3"/>
      <c r="AN459" s="3"/>
      <c r="AO459" s="3"/>
      <c r="AP459" s="3"/>
      <c r="AQ459" s="3"/>
      <c r="AR459" s="3"/>
      <c r="AS459" s="3"/>
      <c r="AT459" s="3"/>
      <c r="AU459" s="3"/>
      <c r="AV459" s="3"/>
      <c r="AW459" s="3"/>
      <c r="AX459" s="3"/>
      <c r="AY459" s="3"/>
      <c r="AZ459" s="3"/>
      <c r="BA459" s="3"/>
      <c r="BB459" s="3"/>
      <c r="BC459" s="3"/>
    </row>
    <row r="460" spans="1:55">
      <c r="A460" s="1" t="str">
        <f>'Population Definitions'!$A$12</f>
        <v>Prisoners_males</v>
      </c>
      <c r="C460" t="s">
        <v>32</v>
      </c>
      <c r="D460" s="3"/>
      <c r="E460" s="3">
        <v>0</v>
      </c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  <c r="AA460" s="3"/>
      <c r="AB460" s="3"/>
      <c r="AC460" s="3"/>
      <c r="AD460" s="3"/>
      <c r="AE460" s="3"/>
      <c r="AF460" s="3"/>
      <c r="AG460" s="3"/>
      <c r="AH460" s="3"/>
      <c r="AI460" s="3"/>
      <c r="AJ460" s="3"/>
      <c r="AK460" s="3"/>
      <c r="AL460" s="3"/>
      <c r="AM460" s="3"/>
      <c r="AN460" s="3"/>
      <c r="AO460" s="3"/>
      <c r="AP460" s="3"/>
      <c r="AQ460" s="3"/>
      <c r="AR460" s="3"/>
      <c r="AS460" s="3"/>
      <c r="AT460" s="3"/>
      <c r="AU460" s="3"/>
      <c r="AV460" s="3"/>
      <c r="AW460" s="3"/>
      <c r="AX460" s="3"/>
      <c r="AY460" s="3"/>
      <c r="AZ460" s="3"/>
      <c r="BA460" s="3"/>
      <c r="BB460" s="3"/>
      <c r="BC460" s="3"/>
    </row>
    <row r="461" spans="1:55">
      <c r="A461" s="1" t="str">
        <f>'Population Definitions'!$A$13</f>
        <v>Prisoners_females</v>
      </c>
      <c r="C461" t="s">
        <v>32</v>
      </c>
      <c r="D461" s="3"/>
      <c r="E461" s="3">
        <v>0</v>
      </c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  <c r="AA461" s="3"/>
      <c r="AB461" s="3"/>
      <c r="AC461" s="3"/>
      <c r="AD461" s="3"/>
      <c r="AE461" s="3"/>
      <c r="AF461" s="3"/>
      <c r="AG461" s="3"/>
      <c r="AH461" s="3"/>
      <c r="AI461" s="3"/>
      <c r="AJ461" s="3"/>
      <c r="AK461" s="3"/>
      <c r="AL461" s="3"/>
      <c r="AM461" s="3"/>
      <c r="AN461" s="3"/>
      <c r="AO461" s="3"/>
      <c r="AP461" s="3"/>
      <c r="AQ461" s="3"/>
      <c r="AR461" s="3"/>
      <c r="AS461" s="3"/>
      <c r="AT461" s="3"/>
      <c r="AU461" s="3"/>
      <c r="AV461" s="3"/>
      <c r="AW461" s="3"/>
      <c r="AX461" s="3"/>
      <c r="AY461" s="3"/>
      <c r="AZ461" s="3"/>
      <c r="BA461" s="3"/>
      <c r="BB461" s="3"/>
      <c r="BC461" s="3"/>
    </row>
    <row r="463" spans="1:55">
      <c r="A463" s="1" t="s">
        <v>159</v>
      </c>
      <c r="B463" s="1" t="s">
        <v>29</v>
      </c>
      <c r="C463" s="1" t="s">
        <v>30</v>
      </c>
      <c r="D463" s="1" t="s">
        <v>31</v>
      </c>
      <c r="E463" s="1">
        <v>2000</v>
      </c>
      <c r="F463" s="1">
        <v>2001</v>
      </c>
      <c r="G463" s="1">
        <v>2002</v>
      </c>
      <c r="H463" s="1">
        <v>2003</v>
      </c>
      <c r="I463" s="1">
        <v>2004</v>
      </c>
      <c r="J463" s="1">
        <v>2005</v>
      </c>
      <c r="K463" s="1">
        <v>2006</v>
      </c>
      <c r="L463" s="1">
        <v>2007</v>
      </c>
      <c r="M463" s="1">
        <v>2008</v>
      </c>
      <c r="N463" s="1">
        <v>2009</v>
      </c>
      <c r="O463" s="1">
        <v>2010</v>
      </c>
      <c r="P463" s="1">
        <v>2011</v>
      </c>
      <c r="Q463" s="1">
        <v>2012</v>
      </c>
      <c r="R463" s="1">
        <v>2013</v>
      </c>
      <c r="S463" s="1">
        <v>2014</v>
      </c>
      <c r="T463" s="1">
        <v>2015</v>
      </c>
      <c r="U463" s="1">
        <v>2016</v>
      </c>
      <c r="V463" s="1">
        <v>2017</v>
      </c>
      <c r="W463" s="1">
        <v>2018</v>
      </c>
      <c r="X463" s="1">
        <v>2019</v>
      </c>
      <c r="Y463" s="1">
        <v>2020</v>
      </c>
      <c r="Z463" s="1">
        <v>2021</v>
      </c>
      <c r="AA463" s="1">
        <v>2022</v>
      </c>
      <c r="AB463" s="1">
        <v>2023</v>
      </c>
      <c r="AC463" s="1">
        <v>2024</v>
      </c>
      <c r="AD463" s="1">
        <v>2025</v>
      </c>
      <c r="AE463" s="1">
        <v>2026</v>
      </c>
      <c r="AF463" s="1">
        <v>2027</v>
      </c>
      <c r="AG463" s="1">
        <v>2028</v>
      </c>
      <c r="AH463" s="1">
        <v>2029</v>
      </c>
      <c r="AI463" s="1">
        <v>2030</v>
      </c>
      <c r="AJ463" s="1">
        <v>2031</v>
      </c>
      <c r="AK463" s="1">
        <v>2032</v>
      </c>
      <c r="AL463" s="1">
        <v>2033</v>
      </c>
      <c r="AM463" s="1">
        <v>2034</v>
      </c>
      <c r="AN463" s="1">
        <v>2035</v>
      </c>
      <c r="AO463" s="1">
        <v>2036</v>
      </c>
      <c r="AP463" s="1">
        <v>2037</v>
      </c>
      <c r="AQ463" s="1">
        <v>2038</v>
      </c>
      <c r="AR463" s="1">
        <v>2039</v>
      </c>
      <c r="AS463" s="1">
        <v>2040</v>
      </c>
      <c r="AT463" s="1">
        <v>2041</v>
      </c>
      <c r="AU463" s="1">
        <v>2042</v>
      </c>
      <c r="AV463" s="1">
        <v>2043</v>
      </c>
      <c r="AW463" s="1">
        <v>2044</v>
      </c>
      <c r="AX463" s="1">
        <v>2045</v>
      </c>
      <c r="AY463" s="1">
        <v>2046</v>
      </c>
      <c r="AZ463" s="1">
        <v>2047</v>
      </c>
      <c r="BA463" s="1">
        <v>2048</v>
      </c>
      <c r="BB463" s="1">
        <v>2049</v>
      </c>
      <c r="BC463" s="1">
        <v>2050</v>
      </c>
    </row>
    <row r="464" spans="1:55">
      <c r="A464" s="1" t="str">
        <f>'Population Definitions'!$A$2</f>
        <v>PWID_males</v>
      </c>
      <c r="C464" t="s">
        <v>32</v>
      </c>
      <c r="D464" s="3"/>
      <c r="E464" s="3">
        <v>389.6309822070314</v>
      </c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  <c r="AA464" s="3"/>
      <c r="AB464" s="3"/>
      <c r="AC464" s="3"/>
      <c r="AD464" s="3"/>
      <c r="AE464" s="3"/>
      <c r="AF464" s="3"/>
      <c r="AG464" s="3"/>
      <c r="AH464" s="3"/>
      <c r="AI464" s="3"/>
      <c r="AJ464" s="3"/>
      <c r="AK464" s="3"/>
      <c r="AL464" s="3"/>
      <c r="AM464" s="3"/>
      <c r="AN464" s="3"/>
      <c r="AO464" s="3"/>
      <c r="AP464" s="3"/>
      <c r="AQ464" s="3"/>
      <c r="AR464" s="3"/>
      <c r="AS464" s="3"/>
      <c r="AT464" s="3"/>
      <c r="AU464" s="3"/>
      <c r="AV464" s="3"/>
      <c r="AW464" s="3"/>
      <c r="AX464" s="3"/>
      <c r="AY464" s="3"/>
      <c r="AZ464" s="3"/>
      <c r="BA464" s="3"/>
      <c r="BB464" s="3"/>
      <c r="BC464" s="3"/>
    </row>
    <row r="465" spans="1:55">
      <c r="A465" s="1" t="str">
        <f>'Population Definitions'!$A$3</f>
        <v>PWID_females</v>
      </c>
      <c r="C465" t="s">
        <v>32</v>
      </c>
      <c r="D465" s="3"/>
      <c r="E465" s="3">
        <v>55.60859946194592</v>
      </c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</row>
    <row r="466" spans="1:55">
      <c r="A466" s="1" t="str">
        <f>'Population Definitions'!$A$4</f>
        <v>0-9_males</v>
      </c>
      <c r="C466" t="s">
        <v>32</v>
      </c>
      <c r="D466" s="3"/>
      <c r="E466" s="3">
        <v>0</v>
      </c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  <c r="AA466" s="3"/>
      <c r="AB466" s="3"/>
      <c r="AC466" s="3"/>
      <c r="AD466" s="3"/>
      <c r="AE466" s="3"/>
      <c r="AF466" s="3"/>
      <c r="AG466" s="3"/>
      <c r="AH466" s="3"/>
      <c r="AI466" s="3"/>
      <c r="AJ466" s="3"/>
      <c r="AK466" s="3"/>
      <c r="AL466" s="3"/>
      <c r="AM466" s="3"/>
      <c r="AN466" s="3"/>
      <c r="AO466" s="3"/>
      <c r="AP466" s="3"/>
      <c r="AQ466" s="3"/>
      <c r="AR466" s="3"/>
      <c r="AS466" s="3"/>
      <c r="AT466" s="3"/>
      <c r="AU466" s="3"/>
      <c r="AV466" s="3"/>
      <c r="AW466" s="3"/>
      <c r="AX466" s="3"/>
      <c r="AY466" s="3"/>
      <c r="AZ466" s="3"/>
      <c r="BA466" s="3"/>
      <c r="BB466" s="3"/>
      <c r="BC466" s="3"/>
    </row>
    <row r="467" spans="1:55">
      <c r="A467" s="1" t="str">
        <f>'Population Definitions'!$A$5</f>
        <v>0-9_females</v>
      </c>
      <c r="C467" t="s">
        <v>32</v>
      </c>
      <c r="D467" s="3"/>
      <c r="E467" s="3">
        <v>0</v>
      </c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  <c r="AA467" s="3"/>
      <c r="AB467" s="3"/>
      <c r="AC467" s="3"/>
      <c r="AD467" s="3"/>
      <c r="AE467" s="3"/>
      <c r="AF467" s="3"/>
      <c r="AG467" s="3"/>
      <c r="AH467" s="3"/>
      <c r="AI467" s="3"/>
      <c r="AJ467" s="3"/>
      <c r="AK467" s="3"/>
      <c r="AL467" s="3"/>
      <c r="AM467" s="3"/>
      <c r="AN467" s="3"/>
      <c r="AO467" s="3"/>
      <c r="AP467" s="3"/>
      <c r="AQ467" s="3"/>
      <c r="AR467" s="3"/>
      <c r="AS467" s="3"/>
      <c r="AT467" s="3"/>
      <c r="AU467" s="3"/>
      <c r="AV467" s="3"/>
      <c r="AW467" s="3"/>
      <c r="AX467" s="3"/>
      <c r="AY467" s="3"/>
      <c r="AZ467" s="3"/>
      <c r="BA467" s="3"/>
      <c r="BB467" s="3"/>
      <c r="BC467" s="3"/>
    </row>
    <row r="468" spans="1:55">
      <c r="A468" s="1" t="str">
        <f>'Population Definitions'!$A$6</f>
        <v>10-17_males</v>
      </c>
      <c r="C468" t="s">
        <v>32</v>
      </c>
      <c r="D468" s="3"/>
      <c r="E468" s="3">
        <v>0</v>
      </c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  <c r="AA468" s="3"/>
      <c r="AB468" s="3"/>
      <c r="AC468" s="3"/>
      <c r="AD468" s="3"/>
      <c r="AE468" s="3"/>
      <c r="AF468" s="3"/>
      <c r="AG468" s="3"/>
      <c r="AH468" s="3"/>
      <c r="AI468" s="3"/>
      <c r="AJ468" s="3"/>
      <c r="AK468" s="3"/>
      <c r="AL468" s="3"/>
      <c r="AM468" s="3"/>
      <c r="AN468" s="3"/>
      <c r="AO468" s="3"/>
      <c r="AP468" s="3"/>
      <c r="AQ468" s="3"/>
      <c r="AR468" s="3"/>
      <c r="AS468" s="3"/>
      <c r="AT468" s="3"/>
      <c r="AU468" s="3"/>
      <c r="AV468" s="3"/>
      <c r="AW468" s="3"/>
      <c r="AX468" s="3"/>
      <c r="AY468" s="3"/>
      <c r="AZ468" s="3"/>
      <c r="BA468" s="3"/>
      <c r="BB468" s="3"/>
      <c r="BC468" s="3"/>
    </row>
    <row r="469" spans="1:55">
      <c r="A469" s="1" t="str">
        <f>'Population Definitions'!$A$7</f>
        <v>10-17_females</v>
      </c>
      <c r="C469" t="s">
        <v>32</v>
      </c>
      <c r="D469" s="3"/>
      <c r="E469" s="3">
        <v>0</v>
      </c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  <c r="AA469" s="3"/>
      <c r="AB469" s="3"/>
      <c r="AC469" s="3"/>
      <c r="AD469" s="3"/>
      <c r="AE469" s="3"/>
      <c r="AF469" s="3"/>
      <c r="AG469" s="3"/>
      <c r="AH469" s="3"/>
      <c r="AI469" s="3"/>
      <c r="AJ469" s="3"/>
      <c r="AK469" s="3"/>
      <c r="AL469" s="3"/>
      <c r="AM469" s="3"/>
      <c r="AN469" s="3"/>
      <c r="AO469" s="3"/>
      <c r="AP469" s="3"/>
      <c r="AQ469" s="3"/>
      <c r="AR469" s="3"/>
      <c r="AS469" s="3"/>
      <c r="AT469" s="3"/>
      <c r="AU469" s="3"/>
      <c r="AV469" s="3"/>
      <c r="AW469" s="3"/>
      <c r="AX469" s="3"/>
      <c r="AY469" s="3"/>
      <c r="AZ469" s="3"/>
      <c r="BA469" s="3"/>
      <c r="BB469" s="3"/>
      <c r="BC469" s="3"/>
    </row>
    <row r="470" spans="1:55">
      <c r="A470" s="1" t="str">
        <f>'Population Definitions'!$A$8</f>
        <v>18-64_males</v>
      </c>
      <c r="C470" t="s">
        <v>32</v>
      </c>
      <c r="D470" s="3"/>
      <c r="E470" s="3">
        <v>45677.77406141171</v>
      </c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  <c r="AA470" s="3"/>
      <c r="AB470" s="3"/>
      <c r="AC470" s="3"/>
      <c r="AD470" s="3"/>
      <c r="AE470" s="3"/>
      <c r="AF470" s="3"/>
      <c r="AG470" s="3"/>
      <c r="AH470" s="3"/>
      <c r="AI470" s="3"/>
      <c r="AJ470" s="3"/>
      <c r="AK470" s="3"/>
      <c r="AL470" s="3"/>
      <c r="AM470" s="3"/>
      <c r="AN470" s="3"/>
      <c r="AO470" s="3"/>
      <c r="AP470" s="3"/>
      <c r="AQ470" s="3"/>
      <c r="AR470" s="3"/>
      <c r="AS470" s="3"/>
      <c r="AT470" s="3"/>
      <c r="AU470" s="3"/>
      <c r="AV470" s="3"/>
      <c r="AW470" s="3"/>
      <c r="AX470" s="3"/>
      <c r="AY470" s="3"/>
      <c r="AZ470" s="3"/>
      <c r="BA470" s="3"/>
      <c r="BB470" s="3"/>
      <c r="BC470" s="3"/>
    </row>
    <row r="471" spans="1:55">
      <c r="A471" s="1" t="str">
        <f>'Population Definitions'!$A$9</f>
        <v>18-64_females</v>
      </c>
      <c r="C471" t="s">
        <v>32</v>
      </c>
      <c r="D471" s="3"/>
      <c r="E471" s="3">
        <v>49705.20712490509</v>
      </c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</row>
    <row r="472" spans="1:55">
      <c r="A472" s="1" t="str">
        <f>'Population Definitions'!$A$10</f>
        <v>65+_males</v>
      </c>
      <c r="C472" t="s">
        <v>32</v>
      </c>
      <c r="D472" s="3"/>
      <c r="E472" s="3">
        <v>2718.758975828256</v>
      </c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  <c r="AA472" s="3"/>
      <c r="AB472" s="3"/>
      <c r="AC472" s="3"/>
      <c r="AD472" s="3"/>
      <c r="AE472" s="3"/>
      <c r="AF472" s="3"/>
      <c r="AG472" s="3"/>
      <c r="AH472" s="3"/>
      <c r="AI472" s="3"/>
      <c r="AJ472" s="3"/>
      <c r="AK472" s="3"/>
      <c r="AL472" s="3"/>
      <c r="AM472" s="3"/>
      <c r="AN472" s="3"/>
      <c r="AO472" s="3"/>
      <c r="AP472" s="3"/>
      <c r="AQ472" s="3"/>
      <c r="AR472" s="3"/>
      <c r="AS472" s="3"/>
      <c r="AT472" s="3"/>
      <c r="AU472" s="3"/>
      <c r="AV472" s="3"/>
      <c r="AW472" s="3"/>
      <c r="AX472" s="3"/>
      <c r="AY472" s="3"/>
      <c r="AZ472" s="3"/>
      <c r="BA472" s="3"/>
      <c r="BB472" s="3"/>
      <c r="BC472" s="3"/>
    </row>
    <row r="473" spans="1:55">
      <c r="A473" s="1" t="str">
        <f>'Population Definitions'!$A$11</f>
        <v>65+_females</v>
      </c>
      <c r="C473" t="s">
        <v>32</v>
      </c>
      <c r="D473" s="3"/>
      <c r="E473" s="3">
        <v>3751.61846993509</v>
      </c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  <c r="AA473" s="3"/>
      <c r="AB473" s="3"/>
      <c r="AC473" s="3"/>
      <c r="AD473" s="3"/>
      <c r="AE473" s="3"/>
      <c r="AF473" s="3"/>
      <c r="AG473" s="3"/>
      <c r="AH473" s="3"/>
      <c r="AI473" s="3"/>
      <c r="AJ473" s="3"/>
      <c r="AK473" s="3"/>
      <c r="AL473" s="3"/>
      <c r="AM473" s="3"/>
      <c r="AN473" s="3"/>
      <c r="AO473" s="3"/>
      <c r="AP473" s="3"/>
      <c r="AQ473" s="3"/>
      <c r="AR473" s="3"/>
      <c r="AS473" s="3"/>
      <c r="AT473" s="3"/>
      <c r="AU473" s="3"/>
      <c r="AV473" s="3"/>
      <c r="AW473" s="3"/>
      <c r="AX473" s="3"/>
      <c r="AY473" s="3"/>
      <c r="AZ473" s="3"/>
      <c r="BA473" s="3"/>
      <c r="BB473" s="3"/>
      <c r="BC473" s="3"/>
    </row>
    <row r="474" spans="1:55">
      <c r="A474" s="1" t="str">
        <f>'Population Definitions'!$A$12</f>
        <v>Prisoners_males</v>
      </c>
      <c r="C474" t="s">
        <v>32</v>
      </c>
      <c r="D474" s="3"/>
      <c r="E474" s="3">
        <v>100.325893388369</v>
      </c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  <c r="AA474" s="3"/>
      <c r="AB474" s="3"/>
      <c r="AC474" s="3"/>
      <c r="AD474" s="3"/>
      <c r="AE474" s="3"/>
      <c r="AF474" s="3"/>
      <c r="AG474" s="3"/>
      <c r="AH474" s="3"/>
      <c r="AI474" s="3"/>
      <c r="AJ474" s="3"/>
      <c r="AK474" s="3"/>
      <c r="AL474" s="3"/>
      <c r="AM474" s="3"/>
      <c r="AN474" s="3"/>
      <c r="AO474" s="3"/>
      <c r="AP474" s="3"/>
      <c r="AQ474" s="3"/>
      <c r="AR474" s="3"/>
      <c r="AS474" s="3"/>
      <c r="AT474" s="3"/>
      <c r="AU474" s="3"/>
      <c r="AV474" s="3"/>
      <c r="AW474" s="3"/>
      <c r="AX474" s="3"/>
      <c r="AY474" s="3"/>
      <c r="AZ474" s="3"/>
      <c r="BA474" s="3"/>
      <c r="BB474" s="3"/>
      <c r="BC474" s="3"/>
    </row>
    <row r="475" spans="1:55">
      <c r="A475" s="1" t="str">
        <f>'Population Definitions'!$A$13</f>
        <v>Prisoners_females</v>
      </c>
      <c r="C475" t="s">
        <v>32</v>
      </c>
      <c r="D475" s="3"/>
      <c r="E475" s="3">
        <v>1.013392862508779</v>
      </c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  <c r="AA475" s="3"/>
      <c r="AB475" s="3"/>
      <c r="AC475" s="3"/>
      <c r="AD475" s="3"/>
      <c r="AE475" s="3"/>
      <c r="AF475" s="3"/>
      <c r="AG475" s="3"/>
      <c r="AH475" s="3"/>
      <c r="AI475" s="3"/>
      <c r="AJ475" s="3"/>
      <c r="AK475" s="3"/>
      <c r="AL475" s="3"/>
      <c r="AM475" s="3"/>
      <c r="AN475" s="3"/>
      <c r="AO475" s="3"/>
      <c r="AP475" s="3"/>
      <c r="AQ475" s="3"/>
      <c r="AR475" s="3"/>
      <c r="AS475" s="3"/>
      <c r="AT475" s="3"/>
      <c r="AU475" s="3"/>
      <c r="AV475" s="3"/>
      <c r="AW475" s="3"/>
      <c r="AX475" s="3"/>
      <c r="AY475" s="3"/>
      <c r="AZ475" s="3"/>
      <c r="BA475" s="3"/>
      <c r="BB475" s="3"/>
      <c r="BC475" s="3"/>
    </row>
    <row r="477" spans="1:55">
      <c r="A477" s="1" t="s">
        <v>160</v>
      </c>
      <c r="B477" s="1" t="s">
        <v>29</v>
      </c>
      <c r="C477" s="1" t="s">
        <v>30</v>
      </c>
      <c r="D477" s="1" t="s">
        <v>31</v>
      </c>
      <c r="E477" s="1">
        <v>2000</v>
      </c>
      <c r="F477" s="1">
        <v>2001</v>
      </c>
      <c r="G477" s="1">
        <v>2002</v>
      </c>
      <c r="H477" s="1">
        <v>2003</v>
      </c>
      <c r="I477" s="1">
        <v>2004</v>
      </c>
      <c r="J477" s="1">
        <v>2005</v>
      </c>
      <c r="K477" s="1">
        <v>2006</v>
      </c>
      <c r="L477" s="1">
        <v>2007</v>
      </c>
      <c r="M477" s="1">
        <v>2008</v>
      </c>
      <c r="N477" s="1">
        <v>2009</v>
      </c>
      <c r="O477" s="1">
        <v>2010</v>
      </c>
      <c r="P477" s="1">
        <v>2011</v>
      </c>
      <c r="Q477" s="1">
        <v>2012</v>
      </c>
      <c r="R477" s="1">
        <v>2013</v>
      </c>
      <c r="S477" s="1">
        <v>2014</v>
      </c>
      <c r="T477" s="1">
        <v>2015</v>
      </c>
      <c r="U477" s="1">
        <v>2016</v>
      </c>
      <c r="V477" s="1">
        <v>2017</v>
      </c>
      <c r="W477" s="1">
        <v>2018</v>
      </c>
      <c r="X477" s="1">
        <v>2019</v>
      </c>
      <c r="Y477" s="1">
        <v>2020</v>
      </c>
      <c r="Z477" s="1">
        <v>2021</v>
      </c>
      <c r="AA477" s="1">
        <v>2022</v>
      </c>
      <c r="AB477" s="1">
        <v>2023</v>
      </c>
      <c r="AC477" s="1">
        <v>2024</v>
      </c>
      <c r="AD477" s="1">
        <v>2025</v>
      </c>
      <c r="AE477" s="1">
        <v>2026</v>
      </c>
      <c r="AF477" s="1">
        <v>2027</v>
      </c>
      <c r="AG477" s="1">
        <v>2028</v>
      </c>
      <c r="AH477" s="1">
        <v>2029</v>
      </c>
      <c r="AI477" s="1">
        <v>2030</v>
      </c>
      <c r="AJ477" s="1">
        <v>2031</v>
      </c>
      <c r="AK477" s="1">
        <v>2032</v>
      </c>
      <c r="AL477" s="1">
        <v>2033</v>
      </c>
      <c r="AM477" s="1">
        <v>2034</v>
      </c>
      <c r="AN477" s="1">
        <v>2035</v>
      </c>
      <c r="AO477" s="1">
        <v>2036</v>
      </c>
      <c r="AP477" s="1">
        <v>2037</v>
      </c>
      <c r="AQ477" s="1">
        <v>2038</v>
      </c>
      <c r="AR477" s="1">
        <v>2039</v>
      </c>
      <c r="AS477" s="1">
        <v>2040</v>
      </c>
      <c r="AT477" s="1">
        <v>2041</v>
      </c>
      <c r="AU477" s="1">
        <v>2042</v>
      </c>
      <c r="AV477" s="1">
        <v>2043</v>
      </c>
      <c r="AW477" s="1">
        <v>2044</v>
      </c>
      <c r="AX477" s="1">
        <v>2045</v>
      </c>
      <c r="AY477" s="1">
        <v>2046</v>
      </c>
      <c r="AZ477" s="1">
        <v>2047</v>
      </c>
      <c r="BA477" s="1">
        <v>2048</v>
      </c>
      <c r="BB477" s="1">
        <v>2049</v>
      </c>
      <c r="BC477" s="1">
        <v>2050</v>
      </c>
    </row>
    <row r="478" spans="1:55">
      <c r="A478" s="1" t="str">
        <f>'Population Definitions'!$A$2</f>
        <v>PWID_males</v>
      </c>
      <c r="C478" t="s">
        <v>32</v>
      </c>
      <c r="D478" s="3"/>
      <c r="E478" s="3">
        <v>389.6309822070314</v>
      </c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</row>
    <row r="479" spans="1:55">
      <c r="A479" s="1" t="str">
        <f>'Population Definitions'!$A$3</f>
        <v>PWID_females</v>
      </c>
      <c r="C479" t="s">
        <v>32</v>
      </c>
      <c r="D479" s="3"/>
      <c r="E479" s="3">
        <v>55.60859946194592</v>
      </c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  <c r="AA479" s="3"/>
      <c r="AB479" s="3"/>
      <c r="AC479" s="3"/>
      <c r="AD479" s="3"/>
      <c r="AE479" s="3"/>
      <c r="AF479" s="3"/>
      <c r="AG479" s="3"/>
      <c r="AH479" s="3"/>
      <c r="AI479" s="3"/>
      <c r="AJ479" s="3"/>
      <c r="AK479" s="3"/>
      <c r="AL479" s="3"/>
      <c r="AM479" s="3"/>
      <c r="AN479" s="3"/>
      <c r="AO479" s="3"/>
      <c r="AP479" s="3"/>
      <c r="AQ479" s="3"/>
      <c r="AR479" s="3"/>
      <c r="AS479" s="3"/>
      <c r="AT479" s="3"/>
      <c r="AU479" s="3"/>
      <c r="AV479" s="3"/>
      <c r="AW479" s="3"/>
      <c r="AX479" s="3"/>
      <c r="AY479" s="3"/>
      <c r="AZ479" s="3"/>
      <c r="BA479" s="3"/>
      <c r="BB479" s="3"/>
      <c r="BC479" s="3"/>
    </row>
    <row r="480" spans="1:55">
      <c r="A480" s="1" t="str">
        <f>'Population Definitions'!$A$4</f>
        <v>0-9_males</v>
      </c>
      <c r="C480" t="s">
        <v>32</v>
      </c>
      <c r="D480" s="3"/>
      <c r="E480" s="3">
        <v>0</v>
      </c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  <c r="AA480" s="3"/>
      <c r="AB480" s="3"/>
      <c r="AC480" s="3"/>
      <c r="AD480" s="3"/>
      <c r="AE480" s="3"/>
      <c r="AF480" s="3"/>
      <c r="AG480" s="3"/>
      <c r="AH480" s="3"/>
      <c r="AI480" s="3"/>
      <c r="AJ480" s="3"/>
      <c r="AK480" s="3"/>
      <c r="AL480" s="3"/>
      <c r="AM480" s="3"/>
      <c r="AN480" s="3"/>
      <c r="AO480" s="3"/>
      <c r="AP480" s="3"/>
      <c r="AQ480" s="3"/>
      <c r="AR480" s="3"/>
      <c r="AS480" s="3"/>
      <c r="AT480" s="3"/>
      <c r="AU480" s="3"/>
      <c r="AV480" s="3"/>
      <c r="AW480" s="3"/>
      <c r="AX480" s="3"/>
      <c r="AY480" s="3"/>
      <c r="AZ480" s="3"/>
      <c r="BA480" s="3"/>
      <c r="BB480" s="3"/>
      <c r="BC480" s="3"/>
    </row>
    <row r="481" spans="1:55">
      <c r="A481" s="1" t="str">
        <f>'Population Definitions'!$A$5</f>
        <v>0-9_females</v>
      </c>
      <c r="C481" t="s">
        <v>32</v>
      </c>
      <c r="D481" s="3"/>
      <c r="E481" s="3">
        <v>0</v>
      </c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  <c r="AA481" s="3"/>
      <c r="AB481" s="3"/>
      <c r="AC481" s="3"/>
      <c r="AD481" s="3"/>
      <c r="AE481" s="3"/>
      <c r="AF481" s="3"/>
      <c r="AG481" s="3"/>
      <c r="AH481" s="3"/>
      <c r="AI481" s="3"/>
      <c r="AJ481" s="3"/>
      <c r="AK481" s="3"/>
      <c r="AL481" s="3"/>
      <c r="AM481" s="3"/>
      <c r="AN481" s="3"/>
      <c r="AO481" s="3"/>
      <c r="AP481" s="3"/>
      <c r="AQ481" s="3"/>
      <c r="AR481" s="3"/>
      <c r="AS481" s="3"/>
      <c r="AT481" s="3"/>
      <c r="AU481" s="3"/>
      <c r="AV481" s="3"/>
      <c r="AW481" s="3"/>
      <c r="AX481" s="3"/>
      <c r="AY481" s="3"/>
      <c r="AZ481" s="3"/>
      <c r="BA481" s="3"/>
      <c r="BB481" s="3"/>
      <c r="BC481" s="3"/>
    </row>
    <row r="482" spans="1:55">
      <c r="A482" s="1" t="str">
        <f>'Population Definitions'!$A$6</f>
        <v>10-17_males</v>
      </c>
      <c r="C482" t="s">
        <v>32</v>
      </c>
      <c r="D482" s="3"/>
      <c r="E482" s="3">
        <v>0</v>
      </c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  <c r="AA482" s="3"/>
      <c r="AB482" s="3"/>
      <c r="AC482" s="3"/>
      <c r="AD482" s="3"/>
      <c r="AE482" s="3"/>
      <c r="AF482" s="3"/>
      <c r="AG482" s="3"/>
      <c r="AH482" s="3"/>
      <c r="AI482" s="3"/>
      <c r="AJ482" s="3"/>
      <c r="AK482" s="3"/>
      <c r="AL482" s="3"/>
      <c r="AM482" s="3"/>
      <c r="AN482" s="3"/>
      <c r="AO482" s="3"/>
      <c r="AP482" s="3"/>
      <c r="AQ482" s="3"/>
      <c r="AR482" s="3"/>
      <c r="AS482" s="3"/>
      <c r="AT482" s="3"/>
      <c r="AU482" s="3"/>
      <c r="AV482" s="3"/>
      <c r="AW482" s="3"/>
      <c r="AX482" s="3"/>
      <c r="AY482" s="3"/>
      <c r="AZ482" s="3"/>
      <c r="BA482" s="3"/>
      <c r="BB482" s="3"/>
      <c r="BC482" s="3"/>
    </row>
    <row r="483" spans="1:55">
      <c r="A483" s="1" t="str">
        <f>'Population Definitions'!$A$7</f>
        <v>10-17_females</v>
      </c>
      <c r="C483" t="s">
        <v>32</v>
      </c>
      <c r="D483" s="3"/>
      <c r="E483" s="3">
        <v>0</v>
      </c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  <c r="AA483" s="3"/>
      <c r="AB483" s="3"/>
      <c r="AC483" s="3"/>
      <c r="AD483" s="3"/>
      <c r="AE483" s="3"/>
      <c r="AF483" s="3"/>
      <c r="AG483" s="3"/>
      <c r="AH483" s="3"/>
      <c r="AI483" s="3"/>
      <c r="AJ483" s="3"/>
      <c r="AK483" s="3"/>
      <c r="AL483" s="3"/>
      <c r="AM483" s="3"/>
      <c r="AN483" s="3"/>
      <c r="AO483" s="3"/>
      <c r="AP483" s="3"/>
      <c r="AQ483" s="3"/>
      <c r="AR483" s="3"/>
      <c r="AS483" s="3"/>
      <c r="AT483" s="3"/>
      <c r="AU483" s="3"/>
      <c r="AV483" s="3"/>
      <c r="AW483" s="3"/>
      <c r="AX483" s="3"/>
      <c r="AY483" s="3"/>
      <c r="AZ483" s="3"/>
      <c r="BA483" s="3"/>
      <c r="BB483" s="3"/>
      <c r="BC483" s="3"/>
    </row>
    <row r="484" spans="1:55">
      <c r="A484" s="1" t="str">
        <f>'Population Definitions'!$A$8</f>
        <v>18-64_males</v>
      </c>
      <c r="C484" t="s">
        <v>32</v>
      </c>
      <c r="D484" s="3"/>
      <c r="E484" s="3">
        <v>45677.77406141171</v>
      </c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</row>
    <row r="485" spans="1:55">
      <c r="A485" s="1" t="str">
        <f>'Population Definitions'!$A$9</f>
        <v>18-64_females</v>
      </c>
      <c r="C485" t="s">
        <v>32</v>
      </c>
      <c r="D485" s="3"/>
      <c r="E485" s="3">
        <v>49705.20712490509</v>
      </c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  <c r="AA485" s="3"/>
      <c r="AB485" s="3"/>
      <c r="AC485" s="3"/>
      <c r="AD485" s="3"/>
      <c r="AE485" s="3"/>
      <c r="AF485" s="3"/>
      <c r="AG485" s="3"/>
      <c r="AH485" s="3"/>
      <c r="AI485" s="3"/>
      <c r="AJ485" s="3"/>
      <c r="AK485" s="3"/>
      <c r="AL485" s="3"/>
      <c r="AM485" s="3"/>
      <c r="AN485" s="3"/>
      <c r="AO485" s="3"/>
      <c r="AP485" s="3"/>
      <c r="AQ485" s="3"/>
      <c r="AR485" s="3"/>
      <c r="AS485" s="3"/>
      <c r="AT485" s="3"/>
      <c r="AU485" s="3"/>
      <c r="AV485" s="3"/>
      <c r="AW485" s="3"/>
      <c r="AX485" s="3"/>
      <c r="AY485" s="3"/>
      <c r="AZ485" s="3"/>
      <c r="BA485" s="3"/>
      <c r="BB485" s="3"/>
      <c r="BC485" s="3"/>
    </row>
    <row r="486" spans="1:55">
      <c r="A486" s="1" t="str">
        <f>'Population Definitions'!$A$10</f>
        <v>65+_males</v>
      </c>
      <c r="C486" t="s">
        <v>32</v>
      </c>
      <c r="D486" s="3"/>
      <c r="E486" s="3">
        <v>2718.758975828256</v>
      </c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  <c r="AA486" s="3"/>
      <c r="AB486" s="3"/>
      <c r="AC486" s="3"/>
      <c r="AD486" s="3"/>
      <c r="AE486" s="3"/>
      <c r="AF486" s="3"/>
      <c r="AG486" s="3"/>
      <c r="AH486" s="3"/>
      <c r="AI486" s="3"/>
      <c r="AJ486" s="3"/>
      <c r="AK486" s="3"/>
      <c r="AL486" s="3"/>
      <c r="AM486" s="3"/>
      <c r="AN486" s="3"/>
      <c r="AO486" s="3"/>
      <c r="AP486" s="3"/>
      <c r="AQ486" s="3"/>
      <c r="AR486" s="3"/>
      <c r="AS486" s="3"/>
      <c r="AT486" s="3"/>
      <c r="AU486" s="3"/>
      <c r="AV486" s="3"/>
      <c r="AW486" s="3"/>
      <c r="AX486" s="3"/>
      <c r="AY486" s="3"/>
      <c r="AZ486" s="3"/>
      <c r="BA486" s="3"/>
      <c r="BB486" s="3"/>
      <c r="BC486" s="3"/>
    </row>
    <row r="487" spans="1:55">
      <c r="A487" s="1" t="str">
        <f>'Population Definitions'!$A$11</f>
        <v>65+_females</v>
      </c>
      <c r="C487" t="s">
        <v>32</v>
      </c>
      <c r="D487" s="3"/>
      <c r="E487" s="3">
        <v>3751.61846993509</v>
      </c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  <c r="AA487" s="3"/>
      <c r="AB487" s="3"/>
      <c r="AC487" s="3"/>
      <c r="AD487" s="3"/>
      <c r="AE487" s="3"/>
      <c r="AF487" s="3"/>
      <c r="AG487" s="3"/>
      <c r="AH487" s="3"/>
      <c r="AI487" s="3"/>
      <c r="AJ487" s="3"/>
      <c r="AK487" s="3"/>
      <c r="AL487" s="3"/>
      <c r="AM487" s="3"/>
      <c r="AN487" s="3"/>
      <c r="AO487" s="3"/>
      <c r="AP487" s="3"/>
      <c r="AQ487" s="3"/>
      <c r="AR487" s="3"/>
      <c r="AS487" s="3"/>
      <c r="AT487" s="3"/>
      <c r="AU487" s="3"/>
      <c r="AV487" s="3"/>
      <c r="AW487" s="3"/>
      <c r="AX487" s="3"/>
      <c r="AY487" s="3"/>
      <c r="AZ487" s="3"/>
      <c r="BA487" s="3"/>
      <c r="BB487" s="3"/>
      <c r="BC487" s="3"/>
    </row>
    <row r="488" spans="1:55">
      <c r="A488" s="1" t="str">
        <f>'Population Definitions'!$A$12</f>
        <v>Prisoners_males</v>
      </c>
      <c r="C488" t="s">
        <v>32</v>
      </c>
      <c r="D488" s="3"/>
      <c r="E488" s="3">
        <v>100.325893388369</v>
      </c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  <c r="AA488" s="3"/>
      <c r="AB488" s="3"/>
      <c r="AC488" s="3"/>
      <c r="AD488" s="3"/>
      <c r="AE488" s="3"/>
      <c r="AF488" s="3"/>
      <c r="AG488" s="3"/>
      <c r="AH488" s="3"/>
      <c r="AI488" s="3"/>
      <c r="AJ488" s="3"/>
      <c r="AK488" s="3"/>
      <c r="AL488" s="3"/>
      <c r="AM488" s="3"/>
      <c r="AN488" s="3"/>
      <c r="AO488" s="3"/>
      <c r="AP488" s="3"/>
      <c r="AQ488" s="3"/>
      <c r="AR488" s="3"/>
      <c r="AS488" s="3"/>
      <c r="AT488" s="3"/>
      <c r="AU488" s="3"/>
      <c r="AV488" s="3"/>
      <c r="AW488" s="3"/>
      <c r="AX488" s="3"/>
      <c r="AY488" s="3"/>
      <c r="AZ488" s="3"/>
      <c r="BA488" s="3"/>
      <c r="BB488" s="3"/>
      <c r="BC488" s="3"/>
    </row>
    <row r="489" spans="1:55">
      <c r="A489" s="1" t="str">
        <f>'Population Definitions'!$A$13</f>
        <v>Prisoners_females</v>
      </c>
      <c r="C489" t="s">
        <v>32</v>
      </c>
      <c r="D489" s="3"/>
      <c r="E489" s="3">
        <v>1.013392862508779</v>
      </c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  <c r="AA489" s="3"/>
      <c r="AB489" s="3"/>
      <c r="AC489" s="3"/>
      <c r="AD489" s="3"/>
      <c r="AE489" s="3"/>
      <c r="AF489" s="3"/>
      <c r="AG489" s="3"/>
      <c r="AH489" s="3"/>
      <c r="AI489" s="3"/>
      <c r="AJ489" s="3"/>
      <c r="AK489" s="3"/>
      <c r="AL489" s="3"/>
      <c r="AM489" s="3"/>
      <c r="AN489" s="3"/>
      <c r="AO489" s="3"/>
      <c r="AP489" s="3"/>
      <c r="AQ489" s="3"/>
      <c r="AR489" s="3"/>
      <c r="AS489" s="3"/>
      <c r="AT489" s="3"/>
      <c r="AU489" s="3"/>
      <c r="AV489" s="3"/>
      <c r="AW489" s="3"/>
      <c r="AX489" s="3"/>
      <c r="AY489" s="3"/>
      <c r="AZ489" s="3"/>
      <c r="BA489" s="3"/>
      <c r="BB489" s="3"/>
      <c r="BC489" s="3"/>
    </row>
    <row r="491" spans="1:55">
      <c r="A491" s="1" t="s">
        <v>161</v>
      </c>
      <c r="B491" s="1" t="s">
        <v>29</v>
      </c>
      <c r="C491" s="1" t="s">
        <v>30</v>
      </c>
      <c r="D491" s="1" t="s">
        <v>31</v>
      </c>
      <c r="E491" s="1">
        <v>2000</v>
      </c>
      <c r="F491" s="1">
        <v>2001</v>
      </c>
      <c r="G491" s="1">
        <v>2002</v>
      </c>
      <c r="H491" s="1">
        <v>2003</v>
      </c>
      <c r="I491" s="1">
        <v>2004</v>
      </c>
      <c r="J491" s="1">
        <v>2005</v>
      </c>
      <c r="K491" s="1">
        <v>2006</v>
      </c>
      <c r="L491" s="1">
        <v>2007</v>
      </c>
      <c r="M491" s="1">
        <v>2008</v>
      </c>
      <c r="N491" s="1">
        <v>2009</v>
      </c>
      <c r="O491" s="1">
        <v>2010</v>
      </c>
      <c r="P491" s="1">
        <v>2011</v>
      </c>
      <c r="Q491" s="1">
        <v>2012</v>
      </c>
      <c r="R491" s="1">
        <v>2013</v>
      </c>
      <c r="S491" s="1">
        <v>2014</v>
      </c>
      <c r="T491" s="1">
        <v>2015</v>
      </c>
      <c r="U491" s="1">
        <v>2016</v>
      </c>
      <c r="V491" s="1">
        <v>2017</v>
      </c>
      <c r="W491" s="1">
        <v>2018</v>
      </c>
      <c r="X491" s="1">
        <v>2019</v>
      </c>
      <c r="Y491" s="1">
        <v>2020</v>
      </c>
      <c r="Z491" s="1">
        <v>2021</v>
      </c>
      <c r="AA491" s="1">
        <v>2022</v>
      </c>
      <c r="AB491" s="1">
        <v>2023</v>
      </c>
      <c r="AC491" s="1">
        <v>2024</v>
      </c>
      <c r="AD491" s="1">
        <v>2025</v>
      </c>
      <c r="AE491" s="1">
        <v>2026</v>
      </c>
      <c r="AF491" s="1">
        <v>2027</v>
      </c>
      <c r="AG491" s="1">
        <v>2028</v>
      </c>
      <c r="AH491" s="1">
        <v>2029</v>
      </c>
      <c r="AI491" s="1">
        <v>2030</v>
      </c>
      <c r="AJ491" s="1">
        <v>2031</v>
      </c>
      <c r="AK491" s="1">
        <v>2032</v>
      </c>
      <c r="AL491" s="1">
        <v>2033</v>
      </c>
      <c r="AM491" s="1">
        <v>2034</v>
      </c>
      <c r="AN491" s="1">
        <v>2035</v>
      </c>
      <c r="AO491" s="1">
        <v>2036</v>
      </c>
      <c r="AP491" s="1">
        <v>2037</v>
      </c>
      <c r="AQ491" s="1">
        <v>2038</v>
      </c>
      <c r="AR491" s="1">
        <v>2039</v>
      </c>
      <c r="AS491" s="1">
        <v>2040</v>
      </c>
      <c r="AT491" s="1">
        <v>2041</v>
      </c>
      <c r="AU491" s="1">
        <v>2042</v>
      </c>
      <c r="AV491" s="1">
        <v>2043</v>
      </c>
      <c r="AW491" s="1">
        <v>2044</v>
      </c>
      <c r="AX491" s="1">
        <v>2045</v>
      </c>
      <c r="AY491" s="1">
        <v>2046</v>
      </c>
      <c r="AZ491" s="1">
        <v>2047</v>
      </c>
      <c r="BA491" s="1">
        <v>2048</v>
      </c>
      <c r="BB491" s="1">
        <v>2049</v>
      </c>
      <c r="BC491" s="1">
        <v>2050</v>
      </c>
    </row>
    <row r="492" spans="1:55">
      <c r="A492" s="1" t="str">
        <f>'Population Definitions'!$A$2</f>
        <v>PWID_males</v>
      </c>
      <c r="C492" t="s">
        <v>32</v>
      </c>
      <c r="D492" s="3"/>
      <c r="E492" s="3">
        <v>97.40774555175786</v>
      </c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  <c r="AA492" s="3"/>
      <c r="AB492" s="3"/>
      <c r="AC492" s="3"/>
      <c r="AD492" s="3"/>
      <c r="AE492" s="3"/>
      <c r="AF492" s="3"/>
      <c r="AG492" s="3"/>
      <c r="AH492" s="3"/>
      <c r="AI492" s="3"/>
      <c r="AJ492" s="3"/>
      <c r="AK492" s="3"/>
      <c r="AL492" s="3"/>
      <c r="AM492" s="3"/>
      <c r="AN492" s="3"/>
      <c r="AO492" s="3"/>
      <c r="AP492" s="3"/>
      <c r="AQ492" s="3"/>
      <c r="AR492" s="3"/>
      <c r="AS492" s="3"/>
      <c r="AT492" s="3"/>
      <c r="AU492" s="3"/>
      <c r="AV492" s="3"/>
      <c r="AW492" s="3"/>
      <c r="AX492" s="3"/>
      <c r="AY492" s="3"/>
      <c r="AZ492" s="3"/>
      <c r="BA492" s="3"/>
      <c r="BB492" s="3"/>
      <c r="BC492" s="3"/>
    </row>
    <row r="493" spans="1:55">
      <c r="A493" s="1" t="str">
        <f>'Population Definitions'!$A$3</f>
        <v>PWID_females</v>
      </c>
      <c r="C493" t="s">
        <v>32</v>
      </c>
      <c r="D493" s="3"/>
      <c r="E493" s="3">
        <v>13.90214986548648</v>
      </c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  <c r="AA493" s="3"/>
      <c r="AB493" s="3"/>
      <c r="AC493" s="3"/>
      <c r="AD493" s="3"/>
      <c r="AE493" s="3"/>
      <c r="AF493" s="3"/>
      <c r="AG493" s="3"/>
      <c r="AH493" s="3"/>
      <c r="AI493" s="3"/>
      <c r="AJ493" s="3"/>
      <c r="AK493" s="3"/>
      <c r="AL493" s="3"/>
      <c r="AM493" s="3"/>
      <c r="AN493" s="3"/>
      <c r="AO493" s="3"/>
      <c r="AP493" s="3"/>
      <c r="AQ493" s="3"/>
      <c r="AR493" s="3"/>
      <c r="AS493" s="3"/>
      <c r="AT493" s="3"/>
      <c r="AU493" s="3"/>
      <c r="AV493" s="3"/>
      <c r="AW493" s="3"/>
      <c r="AX493" s="3"/>
      <c r="AY493" s="3"/>
      <c r="AZ493" s="3"/>
      <c r="BA493" s="3"/>
      <c r="BB493" s="3"/>
      <c r="BC493" s="3"/>
    </row>
    <row r="494" spans="1:55">
      <c r="A494" s="1" t="str">
        <f>'Population Definitions'!$A$4</f>
        <v>0-9_males</v>
      </c>
      <c r="C494" t="s">
        <v>32</v>
      </c>
      <c r="D494" s="3"/>
      <c r="E494" s="3">
        <v>0</v>
      </c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  <c r="AA494" s="3"/>
      <c r="AB494" s="3"/>
      <c r="AC494" s="3"/>
      <c r="AD494" s="3"/>
      <c r="AE494" s="3"/>
      <c r="AF494" s="3"/>
      <c r="AG494" s="3"/>
      <c r="AH494" s="3"/>
      <c r="AI494" s="3"/>
      <c r="AJ494" s="3"/>
      <c r="AK494" s="3"/>
      <c r="AL494" s="3"/>
      <c r="AM494" s="3"/>
      <c r="AN494" s="3"/>
      <c r="AO494" s="3"/>
      <c r="AP494" s="3"/>
      <c r="AQ494" s="3"/>
      <c r="AR494" s="3"/>
      <c r="AS494" s="3"/>
      <c r="AT494" s="3"/>
      <c r="AU494" s="3"/>
      <c r="AV494" s="3"/>
      <c r="AW494" s="3"/>
      <c r="AX494" s="3"/>
      <c r="AY494" s="3"/>
      <c r="AZ494" s="3"/>
      <c r="BA494" s="3"/>
      <c r="BB494" s="3"/>
      <c r="BC494" s="3"/>
    </row>
    <row r="495" spans="1:55">
      <c r="A495" s="1" t="str">
        <f>'Population Definitions'!$A$5</f>
        <v>0-9_females</v>
      </c>
      <c r="C495" t="s">
        <v>32</v>
      </c>
      <c r="D495" s="3"/>
      <c r="E495" s="3">
        <v>0</v>
      </c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  <c r="AA495" s="3"/>
      <c r="AB495" s="3"/>
      <c r="AC495" s="3"/>
      <c r="AD495" s="3"/>
      <c r="AE495" s="3"/>
      <c r="AF495" s="3"/>
      <c r="AG495" s="3"/>
      <c r="AH495" s="3"/>
      <c r="AI495" s="3"/>
      <c r="AJ495" s="3"/>
      <c r="AK495" s="3"/>
      <c r="AL495" s="3"/>
      <c r="AM495" s="3"/>
      <c r="AN495" s="3"/>
      <c r="AO495" s="3"/>
      <c r="AP495" s="3"/>
      <c r="AQ495" s="3"/>
      <c r="AR495" s="3"/>
      <c r="AS495" s="3"/>
      <c r="AT495" s="3"/>
      <c r="AU495" s="3"/>
      <c r="AV495" s="3"/>
      <c r="AW495" s="3"/>
      <c r="AX495" s="3"/>
      <c r="AY495" s="3"/>
      <c r="AZ495" s="3"/>
      <c r="BA495" s="3"/>
      <c r="BB495" s="3"/>
      <c r="BC495" s="3"/>
    </row>
    <row r="496" spans="1:55">
      <c r="A496" s="1" t="str">
        <f>'Population Definitions'!$A$6</f>
        <v>10-17_males</v>
      </c>
      <c r="C496" t="s">
        <v>32</v>
      </c>
      <c r="D496" s="3"/>
      <c r="E496" s="3">
        <v>0</v>
      </c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  <c r="AA496" s="3"/>
      <c r="AB496" s="3"/>
      <c r="AC496" s="3"/>
      <c r="AD496" s="3"/>
      <c r="AE496" s="3"/>
      <c r="AF496" s="3"/>
      <c r="AG496" s="3"/>
      <c r="AH496" s="3"/>
      <c r="AI496" s="3"/>
      <c r="AJ496" s="3"/>
      <c r="AK496" s="3"/>
      <c r="AL496" s="3"/>
      <c r="AM496" s="3"/>
      <c r="AN496" s="3"/>
      <c r="AO496" s="3"/>
      <c r="AP496" s="3"/>
      <c r="AQ496" s="3"/>
      <c r="AR496" s="3"/>
      <c r="AS496" s="3"/>
      <c r="AT496" s="3"/>
      <c r="AU496" s="3"/>
      <c r="AV496" s="3"/>
      <c r="AW496" s="3"/>
      <c r="AX496" s="3"/>
      <c r="AY496" s="3"/>
      <c r="AZ496" s="3"/>
      <c r="BA496" s="3"/>
      <c r="BB496" s="3"/>
      <c r="BC496" s="3"/>
    </row>
    <row r="497" spans="1:55">
      <c r="A497" s="1" t="str">
        <f>'Population Definitions'!$A$7</f>
        <v>10-17_females</v>
      </c>
      <c r="C497" t="s">
        <v>32</v>
      </c>
      <c r="D497" s="3"/>
      <c r="E497" s="3">
        <v>0</v>
      </c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  <c r="AA497" s="3"/>
      <c r="AB497" s="3"/>
      <c r="AC497" s="3"/>
      <c r="AD497" s="3"/>
      <c r="AE497" s="3"/>
      <c r="AF497" s="3"/>
      <c r="AG497" s="3"/>
      <c r="AH497" s="3"/>
      <c r="AI497" s="3"/>
      <c r="AJ497" s="3"/>
      <c r="AK497" s="3"/>
      <c r="AL497" s="3"/>
      <c r="AM497" s="3"/>
      <c r="AN497" s="3"/>
      <c r="AO497" s="3"/>
      <c r="AP497" s="3"/>
      <c r="AQ497" s="3"/>
      <c r="AR497" s="3"/>
      <c r="AS497" s="3"/>
      <c r="AT497" s="3"/>
      <c r="AU497" s="3"/>
      <c r="AV497" s="3"/>
      <c r="AW497" s="3"/>
      <c r="AX497" s="3"/>
      <c r="AY497" s="3"/>
      <c r="AZ497" s="3"/>
      <c r="BA497" s="3"/>
      <c r="BB497" s="3"/>
      <c r="BC497" s="3"/>
    </row>
    <row r="498" spans="1:55">
      <c r="A498" s="1" t="str">
        <f>'Population Definitions'!$A$8</f>
        <v>18-64_males</v>
      </c>
      <c r="C498" t="s">
        <v>32</v>
      </c>
      <c r="D498" s="3"/>
      <c r="E498" s="3">
        <v>11419.44351535293</v>
      </c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  <c r="AA498" s="3"/>
      <c r="AB498" s="3"/>
      <c r="AC498" s="3"/>
      <c r="AD498" s="3"/>
      <c r="AE498" s="3"/>
      <c r="AF498" s="3"/>
      <c r="AG498" s="3"/>
      <c r="AH498" s="3"/>
      <c r="AI498" s="3"/>
      <c r="AJ498" s="3"/>
      <c r="AK498" s="3"/>
      <c r="AL498" s="3"/>
      <c r="AM498" s="3"/>
      <c r="AN498" s="3"/>
      <c r="AO498" s="3"/>
      <c r="AP498" s="3"/>
      <c r="AQ498" s="3"/>
      <c r="AR498" s="3"/>
      <c r="AS498" s="3"/>
      <c r="AT498" s="3"/>
      <c r="AU498" s="3"/>
      <c r="AV498" s="3"/>
      <c r="AW498" s="3"/>
      <c r="AX498" s="3"/>
      <c r="AY498" s="3"/>
      <c r="AZ498" s="3"/>
      <c r="BA498" s="3"/>
      <c r="BB498" s="3"/>
      <c r="BC498" s="3"/>
    </row>
    <row r="499" spans="1:55">
      <c r="A499" s="1" t="str">
        <f>'Population Definitions'!$A$9</f>
        <v>18-64_females</v>
      </c>
      <c r="C499" t="s">
        <v>32</v>
      </c>
      <c r="D499" s="3"/>
      <c r="E499" s="3">
        <v>12426.30178122627</v>
      </c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  <c r="AA499" s="3"/>
      <c r="AB499" s="3"/>
      <c r="AC499" s="3"/>
      <c r="AD499" s="3"/>
      <c r="AE499" s="3"/>
      <c r="AF499" s="3"/>
      <c r="AG499" s="3"/>
      <c r="AH499" s="3"/>
      <c r="AI499" s="3"/>
      <c r="AJ499" s="3"/>
      <c r="AK499" s="3"/>
      <c r="AL499" s="3"/>
      <c r="AM499" s="3"/>
      <c r="AN499" s="3"/>
      <c r="AO499" s="3"/>
      <c r="AP499" s="3"/>
      <c r="AQ499" s="3"/>
      <c r="AR499" s="3"/>
      <c r="AS499" s="3"/>
      <c r="AT499" s="3"/>
      <c r="AU499" s="3"/>
      <c r="AV499" s="3"/>
      <c r="AW499" s="3"/>
      <c r="AX499" s="3"/>
      <c r="AY499" s="3"/>
      <c r="AZ499" s="3"/>
      <c r="BA499" s="3"/>
      <c r="BB499" s="3"/>
      <c r="BC499" s="3"/>
    </row>
    <row r="500" spans="1:55">
      <c r="A500" s="1" t="str">
        <f>'Population Definitions'!$A$10</f>
        <v>65+_males</v>
      </c>
      <c r="C500" t="s">
        <v>32</v>
      </c>
      <c r="D500" s="3"/>
      <c r="E500" s="3">
        <v>679.6897439570639</v>
      </c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  <c r="AA500" s="3"/>
      <c r="AB500" s="3"/>
      <c r="AC500" s="3"/>
      <c r="AD500" s="3"/>
      <c r="AE500" s="3"/>
      <c r="AF500" s="3"/>
      <c r="AG500" s="3"/>
      <c r="AH500" s="3"/>
      <c r="AI500" s="3"/>
      <c r="AJ500" s="3"/>
      <c r="AK500" s="3"/>
      <c r="AL500" s="3"/>
      <c r="AM500" s="3"/>
      <c r="AN500" s="3"/>
      <c r="AO500" s="3"/>
      <c r="AP500" s="3"/>
      <c r="AQ500" s="3"/>
      <c r="AR500" s="3"/>
      <c r="AS500" s="3"/>
      <c r="AT500" s="3"/>
      <c r="AU500" s="3"/>
      <c r="AV500" s="3"/>
      <c r="AW500" s="3"/>
      <c r="AX500" s="3"/>
      <c r="AY500" s="3"/>
      <c r="AZ500" s="3"/>
      <c r="BA500" s="3"/>
      <c r="BB500" s="3"/>
      <c r="BC500" s="3"/>
    </row>
    <row r="501" spans="1:55">
      <c r="A501" s="1" t="str">
        <f>'Population Definitions'!$A$11</f>
        <v>65+_females</v>
      </c>
      <c r="C501" t="s">
        <v>32</v>
      </c>
      <c r="D501" s="3"/>
      <c r="E501" s="3">
        <v>937.9046174837725</v>
      </c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  <c r="AA501" s="3"/>
      <c r="AB501" s="3"/>
      <c r="AC501" s="3"/>
      <c r="AD501" s="3"/>
      <c r="AE501" s="3"/>
      <c r="AF501" s="3"/>
      <c r="AG501" s="3"/>
      <c r="AH501" s="3"/>
      <c r="AI501" s="3"/>
      <c r="AJ501" s="3"/>
      <c r="AK501" s="3"/>
      <c r="AL501" s="3"/>
      <c r="AM501" s="3"/>
      <c r="AN501" s="3"/>
      <c r="AO501" s="3"/>
      <c r="AP501" s="3"/>
      <c r="AQ501" s="3"/>
      <c r="AR501" s="3"/>
      <c r="AS501" s="3"/>
      <c r="AT501" s="3"/>
      <c r="AU501" s="3"/>
      <c r="AV501" s="3"/>
      <c r="AW501" s="3"/>
      <c r="AX501" s="3"/>
      <c r="AY501" s="3"/>
      <c r="AZ501" s="3"/>
      <c r="BA501" s="3"/>
      <c r="BB501" s="3"/>
      <c r="BC501" s="3"/>
    </row>
    <row r="502" spans="1:55">
      <c r="A502" s="1" t="str">
        <f>'Population Definitions'!$A$12</f>
        <v>Prisoners_males</v>
      </c>
      <c r="C502" t="s">
        <v>32</v>
      </c>
      <c r="D502" s="3"/>
      <c r="E502" s="3">
        <v>25.08147334709225</v>
      </c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  <c r="AA502" s="3"/>
      <c r="AB502" s="3"/>
      <c r="AC502" s="3"/>
      <c r="AD502" s="3"/>
      <c r="AE502" s="3"/>
      <c r="AF502" s="3"/>
      <c r="AG502" s="3"/>
      <c r="AH502" s="3"/>
      <c r="AI502" s="3"/>
      <c r="AJ502" s="3"/>
      <c r="AK502" s="3"/>
      <c r="AL502" s="3"/>
      <c r="AM502" s="3"/>
      <c r="AN502" s="3"/>
      <c r="AO502" s="3"/>
      <c r="AP502" s="3"/>
      <c r="AQ502" s="3"/>
      <c r="AR502" s="3"/>
      <c r="AS502" s="3"/>
      <c r="AT502" s="3"/>
      <c r="AU502" s="3"/>
      <c r="AV502" s="3"/>
      <c r="AW502" s="3"/>
      <c r="AX502" s="3"/>
      <c r="AY502" s="3"/>
      <c r="AZ502" s="3"/>
      <c r="BA502" s="3"/>
      <c r="BB502" s="3"/>
      <c r="BC502" s="3"/>
    </row>
    <row r="503" spans="1:55">
      <c r="A503" s="1" t="str">
        <f>'Population Definitions'!$A$13</f>
        <v>Prisoners_females</v>
      </c>
      <c r="C503" t="s">
        <v>32</v>
      </c>
      <c r="D503" s="3"/>
      <c r="E503" s="3">
        <v>0.2533482156271947</v>
      </c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  <c r="AA503" s="3"/>
      <c r="AB503" s="3"/>
      <c r="AC503" s="3"/>
      <c r="AD503" s="3"/>
      <c r="AE503" s="3"/>
      <c r="AF503" s="3"/>
      <c r="AG503" s="3"/>
      <c r="AH503" s="3"/>
      <c r="AI503" s="3"/>
      <c r="AJ503" s="3"/>
      <c r="AK503" s="3"/>
      <c r="AL503" s="3"/>
      <c r="AM503" s="3"/>
      <c r="AN503" s="3"/>
      <c r="AO503" s="3"/>
      <c r="AP503" s="3"/>
      <c r="AQ503" s="3"/>
      <c r="AR503" s="3"/>
      <c r="AS503" s="3"/>
      <c r="AT503" s="3"/>
      <c r="AU503" s="3"/>
      <c r="AV503" s="3"/>
      <c r="AW503" s="3"/>
      <c r="AX503" s="3"/>
      <c r="AY503" s="3"/>
      <c r="AZ503" s="3"/>
      <c r="BA503" s="3"/>
      <c r="BB503" s="3"/>
      <c r="BC503" s="3"/>
    </row>
    <row r="505" spans="1:55">
      <c r="A505" s="1" t="s">
        <v>162</v>
      </c>
      <c r="B505" s="1" t="s">
        <v>29</v>
      </c>
      <c r="C505" s="1" t="s">
        <v>30</v>
      </c>
      <c r="D505" s="1" t="s">
        <v>31</v>
      </c>
      <c r="E505" s="1">
        <v>2000</v>
      </c>
      <c r="F505" s="1">
        <v>2001</v>
      </c>
      <c r="G505" s="1">
        <v>2002</v>
      </c>
      <c r="H505" s="1">
        <v>2003</v>
      </c>
      <c r="I505" s="1">
        <v>2004</v>
      </c>
      <c r="J505" s="1">
        <v>2005</v>
      </c>
      <c r="K505" s="1">
        <v>2006</v>
      </c>
      <c r="L505" s="1">
        <v>2007</v>
      </c>
      <c r="M505" s="1">
        <v>2008</v>
      </c>
      <c r="N505" s="1">
        <v>2009</v>
      </c>
      <c r="O505" s="1">
        <v>2010</v>
      </c>
      <c r="P505" s="1">
        <v>2011</v>
      </c>
      <c r="Q505" s="1">
        <v>2012</v>
      </c>
      <c r="R505" s="1">
        <v>2013</v>
      </c>
      <c r="S505" s="1">
        <v>2014</v>
      </c>
      <c r="T505" s="1">
        <v>2015</v>
      </c>
      <c r="U505" s="1">
        <v>2016</v>
      </c>
      <c r="V505" s="1">
        <v>2017</v>
      </c>
      <c r="W505" s="1">
        <v>2018</v>
      </c>
      <c r="X505" s="1">
        <v>2019</v>
      </c>
      <c r="Y505" s="1">
        <v>2020</v>
      </c>
      <c r="Z505" s="1">
        <v>2021</v>
      </c>
      <c r="AA505" s="1">
        <v>2022</v>
      </c>
      <c r="AB505" s="1">
        <v>2023</v>
      </c>
      <c r="AC505" s="1">
        <v>2024</v>
      </c>
      <c r="AD505" s="1">
        <v>2025</v>
      </c>
      <c r="AE505" s="1">
        <v>2026</v>
      </c>
      <c r="AF505" s="1">
        <v>2027</v>
      </c>
      <c r="AG505" s="1">
        <v>2028</v>
      </c>
      <c r="AH505" s="1">
        <v>2029</v>
      </c>
      <c r="AI505" s="1">
        <v>2030</v>
      </c>
      <c r="AJ505" s="1">
        <v>2031</v>
      </c>
      <c r="AK505" s="1">
        <v>2032</v>
      </c>
      <c r="AL505" s="1">
        <v>2033</v>
      </c>
      <c r="AM505" s="1">
        <v>2034</v>
      </c>
      <c r="AN505" s="1">
        <v>2035</v>
      </c>
      <c r="AO505" s="1">
        <v>2036</v>
      </c>
      <c r="AP505" s="1">
        <v>2037</v>
      </c>
      <c r="AQ505" s="1">
        <v>2038</v>
      </c>
      <c r="AR505" s="1">
        <v>2039</v>
      </c>
      <c r="AS505" s="1">
        <v>2040</v>
      </c>
      <c r="AT505" s="1">
        <v>2041</v>
      </c>
      <c r="AU505" s="1">
        <v>2042</v>
      </c>
      <c r="AV505" s="1">
        <v>2043</v>
      </c>
      <c r="AW505" s="1">
        <v>2044</v>
      </c>
      <c r="AX505" s="1">
        <v>2045</v>
      </c>
      <c r="AY505" s="1">
        <v>2046</v>
      </c>
      <c r="AZ505" s="1">
        <v>2047</v>
      </c>
      <c r="BA505" s="1">
        <v>2048</v>
      </c>
      <c r="BB505" s="1">
        <v>2049</v>
      </c>
      <c r="BC505" s="1">
        <v>2050</v>
      </c>
    </row>
    <row r="506" spans="1:55">
      <c r="A506" s="1" t="str">
        <f>'Population Definitions'!$A$2</f>
        <v>PWID_males</v>
      </c>
      <c r="C506" t="s">
        <v>32</v>
      </c>
      <c r="D506" s="3"/>
      <c r="E506" s="3">
        <v>27.83078444335939</v>
      </c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  <c r="AA506" s="3"/>
      <c r="AB506" s="3"/>
      <c r="AC506" s="3"/>
      <c r="AD506" s="3"/>
      <c r="AE506" s="3"/>
      <c r="AF506" s="3"/>
      <c r="AG506" s="3"/>
      <c r="AH506" s="3"/>
      <c r="AI506" s="3"/>
      <c r="AJ506" s="3"/>
      <c r="AK506" s="3"/>
      <c r="AL506" s="3"/>
      <c r="AM506" s="3"/>
      <c r="AN506" s="3"/>
      <c r="AO506" s="3"/>
      <c r="AP506" s="3"/>
      <c r="AQ506" s="3"/>
      <c r="AR506" s="3"/>
      <c r="AS506" s="3"/>
      <c r="AT506" s="3"/>
      <c r="AU506" s="3"/>
      <c r="AV506" s="3"/>
      <c r="AW506" s="3"/>
      <c r="AX506" s="3"/>
      <c r="AY506" s="3"/>
      <c r="AZ506" s="3"/>
      <c r="BA506" s="3"/>
      <c r="BB506" s="3"/>
      <c r="BC506" s="3"/>
    </row>
    <row r="507" spans="1:55">
      <c r="A507" s="1" t="str">
        <f>'Population Definitions'!$A$3</f>
        <v>PWID_females</v>
      </c>
      <c r="C507" t="s">
        <v>32</v>
      </c>
      <c r="D507" s="3"/>
      <c r="E507" s="3">
        <v>3.972042818710423</v>
      </c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  <c r="AA507" s="3"/>
      <c r="AB507" s="3"/>
      <c r="AC507" s="3"/>
      <c r="AD507" s="3"/>
      <c r="AE507" s="3"/>
      <c r="AF507" s="3"/>
      <c r="AG507" s="3"/>
      <c r="AH507" s="3"/>
      <c r="AI507" s="3"/>
      <c r="AJ507" s="3"/>
      <c r="AK507" s="3"/>
      <c r="AL507" s="3"/>
      <c r="AM507" s="3"/>
      <c r="AN507" s="3"/>
      <c r="AO507" s="3"/>
      <c r="AP507" s="3"/>
      <c r="AQ507" s="3"/>
      <c r="AR507" s="3"/>
      <c r="AS507" s="3"/>
      <c r="AT507" s="3"/>
      <c r="AU507" s="3"/>
      <c r="AV507" s="3"/>
      <c r="AW507" s="3"/>
      <c r="AX507" s="3"/>
      <c r="AY507" s="3"/>
      <c r="AZ507" s="3"/>
      <c r="BA507" s="3"/>
      <c r="BB507" s="3"/>
      <c r="BC507" s="3"/>
    </row>
    <row r="508" spans="1:55">
      <c r="A508" s="1" t="str">
        <f>'Population Definitions'!$A$4</f>
        <v>0-9_males</v>
      </c>
      <c r="C508" t="s">
        <v>32</v>
      </c>
      <c r="D508" s="3"/>
      <c r="E508" s="3">
        <v>0</v>
      </c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  <c r="AA508" s="3"/>
      <c r="AB508" s="3"/>
      <c r="AC508" s="3"/>
      <c r="AD508" s="3"/>
      <c r="AE508" s="3"/>
      <c r="AF508" s="3"/>
      <c r="AG508" s="3"/>
      <c r="AH508" s="3"/>
      <c r="AI508" s="3"/>
      <c r="AJ508" s="3"/>
      <c r="AK508" s="3"/>
      <c r="AL508" s="3"/>
      <c r="AM508" s="3"/>
      <c r="AN508" s="3"/>
      <c r="AO508" s="3"/>
      <c r="AP508" s="3"/>
      <c r="AQ508" s="3"/>
      <c r="AR508" s="3"/>
      <c r="AS508" s="3"/>
      <c r="AT508" s="3"/>
      <c r="AU508" s="3"/>
      <c r="AV508" s="3"/>
      <c r="AW508" s="3"/>
      <c r="AX508" s="3"/>
      <c r="AY508" s="3"/>
      <c r="AZ508" s="3"/>
      <c r="BA508" s="3"/>
      <c r="BB508" s="3"/>
      <c r="BC508" s="3"/>
    </row>
    <row r="509" spans="1:55">
      <c r="A509" s="1" t="str">
        <f>'Population Definitions'!$A$5</f>
        <v>0-9_females</v>
      </c>
      <c r="C509" t="s">
        <v>32</v>
      </c>
      <c r="D509" s="3"/>
      <c r="E509" s="3">
        <v>0</v>
      </c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  <c r="AA509" s="3"/>
      <c r="AB509" s="3"/>
      <c r="AC509" s="3"/>
      <c r="AD509" s="3"/>
      <c r="AE509" s="3"/>
      <c r="AF509" s="3"/>
      <c r="AG509" s="3"/>
      <c r="AH509" s="3"/>
      <c r="AI509" s="3"/>
      <c r="AJ509" s="3"/>
      <c r="AK509" s="3"/>
      <c r="AL509" s="3"/>
      <c r="AM509" s="3"/>
      <c r="AN509" s="3"/>
      <c r="AO509" s="3"/>
      <c r="AP509" s="3"/>
      <c r="AQ509" s="3"/>
      <c r="AR509" s="3"/>
      <c r="AS509" s="3"/>
      <c r="AT509" s="3"/>
      <c r="AU509" s="3"/>
      <c r="AV509" s="3"/>
      <c r="AW509" s="3"/>
      <c r="AX509" s="3"/>
      <c r="AY509" s="3"/>
      <c r="AZ509" s="3"/>
      <c r="BA509" s="3"/>
      <c r="BB509" s="3"/>
      <c r="BC509" s="3"/>
    </row>
    <row r="510" spans="1:55">
      <c r="A510" s="1" t="str">
        <f>'Population Definitions'!$A$6</f>
        <v>10-17_males</v>
      </c>
      <c r="C510" t="s">
        <v>32</v>
      </c>
      <c r="D510" s="3"/>
      <c r="E510" s="3">
        <v>0</v>
      </c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  <c r="AA510" s="3"/>
      <c r="AB510" s="3"/>
      <c r="AC510" s="3"/>
      <c r="AD510" s="3"/>
      <c r="AE510" s="3"/>
      <c r="AF510" s="3"/>
      <c r="AG510" s="3"/>
      <c r="AH510" s="3"/>
      <c r="AI510" s="3"/>
      <c r="AJ510" s="3"/>
      <c r="AK510" s="3"/>
      <c r="AL510" s="3"/>
      <c r="AM510" s="3"/>
      <c r="AN510" s="3"/>
      <c r="AO510" s="3"/>
      <c r="AP510" s="3"/>
      <c r="AQ510" s="3"/>
      <c r="AR510" s="3"/>
      <c r="AS510" s="3"/>
      <c r="AT510" s="3"/>
      <c r="AU510" s="3"/>
      <c r="AV510" s="3"/>
      <c r="AW510" s="3"/>
      <c r="AX510" s="3"/>
      <c r="AY510" s="3"/>
      <c r="AZ510" s="3"/>
      <c r="BA510" s="3"/>
      <c r="BB510" s="3"/>
      <c r="BC510" s="3"/>
    </row>
    <row r="511" spans="1:55">
      <c r="A511" s="1" t="str">
        <f>'Population Definitions'!$A$7</f>
        <v>10-17_females</v>
      </c>
      <c r="C511" t="s">
        <v>32</v>
      </c>
      <c r="D511" s="3"/>
      <c r="E511" s="3">
        <v>0</v>
      </c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  <c r="AA511" s="3"/>
      <c r="AB511" s="3"/>
      <c r="AC511" s="3"/>
      <c r="AD511" s="3"/>
      <c r="AE511" s="3"/>
      <c r="AF511" s="3"/>
      <c r="AG511" s="3"/>
      <c r="AH511" s="3"/>
      <c r="AI511" s="3"/>
      <c r="AJ511" s="3"/>
      <c r="AK511" s="3"/>
      <c r="AL511" s="3"/>
      <c r="AM511" s="3"/>
      <c r="AN511" s="3"/>
      <c r="AO511" s="3"/>
      <c r="AP511" s="3"/>
      <c r="AQ511" s="3"/>
      <c r="AR511" s="3"/>
      <c r="AS511" s="3"/>
      <c r="AT511" s="3"/>
      <c r="AU511" s="3"/>
      <c r="AV511" s="3"/>
      <c r="AW511" s="3"/>
      <c r="AX511" s="3"/>
      <c r="AY511" s="3"/>
      <c r="AZ511" s="3"/>
      <c r="BA511" s="3"/>
      <c r="BB511" s="3"/>
      <c r="BC511" s="3"/>
    </row>
    <row r="512" spans="1:55">
      <c r="A512" s="1" t="str">
        <f>'Population Definitions'!$A$8</f>
        <v>18-64_males</v>
      </c>
      <c r="C512" t="s">
        <v>32</v>
      </c>
      <c r="D512" s="3"/>
      <c r="E512" s="3">
        <v>3262.698147243693</v>
      </c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  <c r="AA512" s="3"/>
      <c r="AB512" s="3"/>
      <c r="AC512" s="3"/>
      <c r="AD512" s="3"/>
      <c r="AE512" s="3"/>
      <c r="AF512" s="3"/>
      <c r="AG512" s="3"/>
      <c r="AH512" s="3"/>
      <c r="AI512" s="3"/>
      <c r="AJ512" s="3"/>
      <c r="AK512" s="3"/>
      <c r="AL512" s="3"/>
      <c r="AM512" s="3"/>
      <c r="AN512" s="3"/>
      <c r="AO512" s="3"/>
      <c r="AP512" s="3"/>
      <c r="AQ512" s="3"/>
      <c r="AR512" s="3"/>
      <c r="AS512" s="3"/>
      <c r="AT512" s="3"/>
      <c r="AU512" s="3"/>
      <c r="AV512" s="3"/>
      <c r="AW512" s="3"/>
      <c r="AX512" s="3"/>
      <c r="AY512" s="3"/>
      <c r="AZ512" s="3"/>
      <c r="BA512" s="3"/>
      <c r="BB512" s="3"/>
      <c r="BC512" s="3"/>
    </row>
    <row r="513" spans="1:55">
      <c r="A513" s="1" t="str">
        <f>'Population Definitions'!$A$9</f>
        <v>18-64_females</v>
      </c>
      <c r="C513" t="s">
        <v>32</v>
      </c>
      <c r="D513" s="3"/>
      <c r="E513" s="3">
        <v>3550.371937493221</v>
      </c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  <c r="AA513" s="3"/>
      <c r="AB513" s="3"/>
      <c r="AC513" s="3"/>
      <c r="AD513" s="3"/>
      <c r="AE513" s="3"/>
      <c r="AF513" s="3"/>
      <c r="AG513" s="3"/>
      <c r="AH513" s="3"/>
      <c r="AI513" s="3"/>
      <c r="AJ513" s="3"/>
      <c r="AK513" s="3"/>
      <c r="AL513" s="3"/>
      <c r="AM513" s="3"/>
      <c r="AN513" s="3"/>
      <c r="AO513" s="3"/>
      <c r="AP513" s="3"/>
      <c r="AQ513" s="3"/>
      <c r="AR513" s="3"/>
      <c r="AS513" s="3"/>
      <c r="AT513" s="3"/>
      <c r="AU513" s="3"/>
      <c r="AV513" s="3"/>
      <c r="AW513" s="3"/>
      <c r="AX513" s="3"/>
      <c r="AY513" s="3"/>
      <c r="AZ513" s="3"/>
      <c r="BA513" s="3"/>
      <c r="BB513" s="3"/>
      <c r="BC513" s="3"/>
    </row>
    <row r="514" spans="1:55">
      <c r="A514" s="1" t="str">
        <f>'Population Definitions'!$A$10</f>
        <v>65+_males</v>
      </c>
      <c r="C514" t="s">
        <v>32</v>
      </c>
      <c r="D514" s="3"/>
      <c r="E514" s="3">
        <v>194.1970697020183</v>
      </c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  <c r="AA514" s="3"/>
      <c r="AB514" s="3"/>
      <c r="AC514" s="3"/>
      <c r="AD514" s="3"/>
      <c r="AE514" s="3"/>
      <c r="AF514" s="3"/>
      <c r="AG514" s="3"/>
      <c r="AH514" s="3"/>
      <c r="AI514" s="3"/>
      <c r="AJ514" s="3"/>
      <c r="AK514" s="3"/>
      <c r="AL514" s="3"/>
      <c r="AM514" s="3"/>
      <c r="AN514" s="3"/>
      <c r="AO514" s="3"/>
      <c r="AP514" s="3"/>
      <c r="AQ514" s="3"/>
      <c r="AR514" s="3"/>
      <c r="AS514" s="3"/>
      <c r="AT514" s="3"/>
      <c r="AU514" s="3"/>
      <c r="AV514" s="3"/>
      <c r="AW514" s="3"/>
      <c r="AX514" s="3"/>
      <c r="AY514" s="3"/>
      <c r="AZ514" s="3"/>
      <c r="BA514" s="3"/>
      <c r="BB514" s="3"/>
      <c r="BC514" s="3"/>
    </row>
    <row r="515" spans="1:55">
      <c r="A515" s="1" t="str">
        <f>'Population Definitions'!$A$11</f>
        <v>65+_females</v>
      </c>
      <c r="C515" t="s">
        <v>32</v>
      </c>
      <c r="D515" s="3"/>
      <c r="E515" s="3">
        <v>267.9727478525065</v>
      </c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  <c r="AA515" s="3"/>
      <c r="AB515" s="3"/>
      <c r="AC515" s="3"/>
      <c r="AD515" s="3"/>
      <c r="AE515" s="3"/>
      <c r="AF515" s="3"/>
      <c r="AG515" s="3"/>
      <c r="AH515" s="3"/>
      <c r="AI515" s="3"/>
      <c r="AJ515" s="3"/>
      <c r="AK515" s="3"/>
      <c r="AL515" s="3"/>
      <c r="AM515" s="3"/>
      <c r="AN515" s="3"/>
      <c r="AO515" s="3"/>
      <c r="AP515" s="3"/>
      <c r="AQ515" s="3"/>
      <c r="AR515" s="3"/>
      <c r="AS515" s="3"/>
      <c r="AT515" s="3"/>
      <c r="AU515" s="3"/>
      <c r="AV515" s="3"/>
      <c r="AW515" s="3"/>
      <c r="AX515" s="3"/>
      <c r="AY515" s="3"/>
      <c r="AZ515" s="3"/>
      <c r="BA515" s="3"/>
      <c r="BB515" s="3"/>
      <c r="BC515" s="3"/>
    </row>
    <row r="516" spans="1:55">
      <c r="A516" s="1" t="str">
        <f>'Population Definitions'!$A$12</f>
        <v>Prisoners_males</v>
      </c>
      <c r="C516" t="s">
        <v>32</v>
      </c>
      <c r="D516" s="3"/>
      <c r="E516" s="3">
        <v>7.166135242026356</v>
      </c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  <c r="AA516" s="3"/>
      <c r="AB516" s="3"/>
      <c r="AC516" s="3"/>
      <c r="AD516" s="3"/>
      <c r="AE516" s="3"/>
      <c r="AF516" s="3"/>
      <c r="AG516" s="3"/>
      <c r="AH516" s="3"/>
      <c r="AI516" s="3"/>
      <c r="AJ516" s="3"/>
      <c r="AK516" s="3"/>
      <c r="AL516" s="3"/>
      <c r="AM516" s="3"/>
      <c r="AN516" s="3"/>
      <c r="AO516" s="3"/>
      <c r="AP516" s="3"/>
      <c r="AQ516" s="3"/>
      <c r="AR516" s="3"/>
      <c r="AS516" s="3"/>
      <c r="AT516" s="3"/>
      <c r="AU516" s="3"/>
      <c r="AV516" s="3"/>
      <c r="AW516" s="3"/>
      <c r="AX516" s="3"/>
      <c r="AY516" s="3"/>
      <c r="AZ516" s="3"/>
      <c r="BA516" s="3"/>
      <c r="BB516" s="3"/>
      <c r="BC516" s="3"/>
    </row>
    <row r="517" spans="1:55">
      <c r="A517" s="1" t="str">
        <f>'Population Definitions'!$A$13</f>
        <v>Prisoners_females</v>
      </c>
      <c r="C517" t="s">
        <v>32</v>
      </c>
      <c r="D517" s="3"/>
      <c r="E517" s="3">
        <v>0.07238520446491276</v>
      </c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  <c r="AA517" s="3"/>
      <c r="AB517" s="3"/>
      <c r="AC517" s="3"/>
      <c r="AD517" s="3"/>
      <c r="AE517" s="3"/>
      <c r="AF517" s="3"/>
      <c r="AG517" s="3"/>
      <c r="AH517" s="3"/>
      <c r="AI517" s="3"/>
      <c r="AJ517" s="3"/>
      <c r="AK517" s="3"/>
      <c r="AL517" s="3"/>
      <c r="AM517" s="3"/>
      <c r="AN517" s="3"/>
      <c r="AO517" s="3"/>
      <c r="AP517" s="3"/>
      <c r="AQ517" s="3"/>
      <c r="AR517" s="3"/>
      <c r="AS517" s="3"/>
      <c r="AT517" s="3"/>
      <c r="AU517" s="3"/>
      <c r="AV517" s="3"/>
      <c r="AW517" s="3"/>
      <c r="AX517" s="3"/>
      <c r="AY517" s="3"/>
      <c r="AZ517" s="3"/>
      <c r="BA517" s="3"/>
      <c r="BB517" s="3"/>
      <c r="BC517" s="3"/>
    </row>
    <row r="519" spans="1:55">
      <c r="A519" s="1" t="s">
        <v>163</v>
      </c>
      <c r="B519" s="1" t="s">
        <v>29</v>
      </c>
      <c r="C519" s="1" t="s">
        <v>30</v>
      </c>
      <c r="D519" s="1" t="s">
        <v>31</v>
      </c>
      <c r="E519" s="1">
        <v>2000</v>
      </c>
      <c r="F519" s="1">
        <v>2001</v>
      </c>
      <c r="G519" s="1">
        <v>2002</v>
      </c>
      <c r="H519" s="1">
        <v>2003</v>
      </c>
      <c r="I519" s="1">
        <v>2004</v>
      </c>
      <c r="J519" s="1">
        <v>2005</v>
      </c>
      <c r="K519" s="1">
        <v>2006</v>
      </c>
      <c r="L519" s="1">
        <v>2007</v>
      </c>
      <c r="M519" s="1">
        <v>2008</v>
      </c>
      <c r="N519" s="1">
        <v>2009</v>
      </c>
      <c r="O519" s="1">
        <v>2010</v>
      </c>
      <c r="P519" s="1">
        <v>2011</v>
      </c>
      <c r="Q519" s="1">
        <v>2012</v>
      </c>
      <c r="R519" s="1">
        <v>2013</v>
      </c>
      <c r="S519" s="1">
        <v>2014</v>
      </c>
      <c r="T519" s="1">
        <v>2015</v>
      </c>
      <c r="U519" s="1">
        <v>2016</v>
      </c>
      <c r="V519" s="1">
        <v>2017</v>
      </c>
      <c r="W519" s="1">
        <v>2018</v>
      </c>
      <c r="X519" s="1">
        <v>2019</v>
      </c>
      <c r="Y519" s="1">
        <v>2020</v>
      </c>
      <c r="Z519" s="1">
        <v>2021</v>
      </c>
      <c r="AA519" s="1">
        <v>2022</v>
      </c>
      <c r="AB519" s="1">
        <v>2023</v>
      </c>
      <c r="AC519" s="1">
        <v>2024</v>
      </c>
      <c r="AD519" s="1">
        <v>2025</v>
      </c>
      <c r="AE519" s="1">
        <v>2026</v>
      </c>
      <c r="AF519" s="1">
        <v>2027</v>
      </c>
      <c r="AG519" s="1">
        <v>2028</v>
      </c>
      <c r="AH519" s="1">
        <v>2029</v>
      </c>
      <c r="AI519" s="1">
        <v>2030</v>
      </c>
      <c r="AJ519" s="1">
        <v>2031</v>
      </c>
      <c r="AK519" s="1">
        <v>2032</v>
      </c>
      <c r="AL519" s="1">
        <v>2033</v>
      </c>
      <c r="AM519" s="1">
        <v>2034</v>
      </c>
      <c r="AN519" s="1">
        <v>2035</v>
      </c>
      <c r="AO519" s="1">
        <v>2036</v>
      </c>
      <c r="AP519" s="1">
        <v>2037</v>
      </c>
      <c r="AQ519" s="1">
        <v>2038</v>
      </c>
      <c r="AR519" s="1">
        <v>2039</v>
      </c>
      <c r="AS519" s="1">
        <v>2040</v>
      </c>
      <c r="AT519" s="1">
        <v>2041</v>
      </c>
      <c r="AU519" s="1">
        <v>2042</v>
      </c>
      <c r="AV519" s="1">
        <v>2043</v>
      </c>
      <c r="AW519" s="1">
        <v>2044</v>
      </c>
      <c r="AX519" s="1">
        <v>2045</v>
      </c>
      <c r="AY519" s="1">
        <v>2046</v>
      </c>
      <c r="AZ519" s="1">
        <v>2047</v>
      </c>
      <c r="BA519" s="1">
        <v>2048</v>
      </c>
      <c r="BB519" s="1">
        <v>2049</v>
      </c>
      <c r="BC519" s="1">
        <v>2050</v>
      </c>
    </row>
    <row r="520" spans="1:55">
      <c r="A520" s="1" t="str">
        <f>'Population Definitions'!$A$2</f>
        <v>PWID_males</v>
      </c>
      <c r="C520" t="s">
        <v>32</v>
      </c>
      <c r="D520" s="3"/>
      <c r="E520" s="3">
        <v>18.55385629557292</v>
      </c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  <c r="AA520" s="3"/>
      <c r="AB520" s="3"/>
      <c r="AC520" s="3"/>
      <c r="AD520" s="3"/>
      <c r="AE520" s="3"/>
      <c r="AF520" s="3"/>
      <c r="AG520" s="3"/>
      <c r="AH520" s="3"/>
      <c r="AI520" s="3"/>
      <c r="AJ520" s="3"/>
      <c r="AK520" s="3"/>
      <c r="AL520" s="3"/>
      <c r="AM520" s="3"/>
      <c r="AN520" s="3"/>
      <c r="AO520" s="3"/>
      <c r="AP520" s="3"/>
      <c r="AQ520" s="3"/>
      <c r="AR520" s="3"/>
      <c r="AS520" s="3"/>
      <c r="AT520" s="3"/>
      <c r="AU520" s="3"/>
      <c r="AV520" s="3"/>
      <c r="AW520" s="3"/>
      <c r="AX520" s="3"/>
      <c r="AY520" s="3"/>
      <c r="AZ520" s="3"/>
      <c r="BA520" s="3"/>
      <c r="BB520" s="3"/>
      <c r="BC520" s="3"/>
    </row>
    <row r="521" spans="1:55">
      <c r="A521" s="1" t="str">
        <f>'Population Definitions'!$A$3</f>
        <v>PWID_females</v>
      </c>
      <c r="C521" t="s">
        <v>32</v>
      </c>
      <c r="D521" s="3"/>
      <c r="E521" s="3">
        <v>2.648028545806949</v>
      </c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  <c r="AA521" s="3"/>
      <c r="AB521" s="3"/>
      <c r="AC521" s="3"/>
      <c r="AD521" s="3"/>
      <c r="AE521" s="3"/>
      <c r="AF521" s="3"/>
      <c r="AG521" s="3"/>
      <c r="AH521" s="3"/>
      <c r="AI521" s="3"/>
      <c r="AJ521" s="3"/>
      <c r="AK521" s="3"/>
      <c r="AL521" s="3"/>
      <c r="AM521" s="3"/>
      <c r="AN521" s="3"/>
      <c r="AO521" s="3"/>
      <c r="AP521" s="3"/>
      <c r="AQ521" s="3"/>
      <c r="AR521" s="3"/>
      <c r="AS521" s="3"/>
      <c r="AT521" s="3"/>
      <c r="AU521" s="3"/>
      <c r="AV521" s="3"/>
      <c r="AW521" s="3"/>
      <c r="AX521" s="3"/>
      <c r="AY521" s="3"/>
      <c r="AZ521" s="3"/>
      <c r="BA521" s="3"/>
      <c r="BB521" s="3"/>
      <c r="BC521" s="3"/>
    </row>
    <row r="522" spans="1:55">
      <c r="A522" s="1" t="str">
        <f>'Population Definitions'!$A$4</f>
        <v>0-9_males</v>
      </c>
      <c r="C522" t="s">
        <v>32</v>
      </c>
      <c r="D522" s="3"/>
      <c r="E522" s="3">
        <v>0</v>
      </c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  <c r="AA522" s="3"/>
      <c r="AB522" s="3"/>
      <c r="AC522" s="3"/>
      <c r="AD522" s="3"/>
      <c r="AE522" s="3"/>
      <c r="AF522" s="3"/>
      <c r="AG522" s="3"/>
      <c r="AH522" s="3"/>
      <c r="AI522" s="3"/>
      <c r="AJ522" s="3"/>
      <c r="AK522" s="3"/>
      <c r="AL522" s="3"/>
      <c r="AM522" s="3"/>
      <c r="AN522" s="3"/>
      <c r="AO522" s="3"/>
      <c r="AP522" s="3"/>
      <c r="AQ522" s="3"/>
      <c r="AR522" s="3"/>
      <c r="AS522" s="3"/>
      <c r="AT522" s="3"/>
      <c r="AU522" s="3"/>
      <c r="AV522" s="3"/>
      <c r="AW522" s="3"/>
      <c r="AX522" s="3"/>
      <c r="AY522" s="3"/>
      <c r="AZ522" s="3"/>
      <c r="BA522" s="3"/>
      <c r="BB522" s="3"/>
      <c r="BC522" s="3"/>
    </row>
    <row r="523" spans="1:55">
      <c r="A523" s="1" t="str">
        <f>'Population Definitions'!$A$5</f>
        <v>0-9_females</v>
      </c>
      <c r="C523" t="s">
        <v>32</v>
      </c>
      <c r="D523" s="3"/>
      <c r="E523" s="3">
        <v>0</v>
      </c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  <c r="AA523" s="3"/>
      <c r="AB523" s="3"/>
      <c r="AC523" s="3"/>
      <c r="AD523" s="3"/>
      <c r="AE523" s="3"/>
      <c r="AF523" s="3"/>
      <c r="AG523" s="3"/>
      <c r="AH523" s="3"/>
      <c r="AI523" s="3"/>
      <c r="AJ523" s="3"/>
      <c r="AK523" s="3"/>
      <c r="AL523" s="3"/>
      <c r="AM523" s="3"/>
      <c r="AN523" s="3"/>
      <c r="AO523" s="3"/>
      <c r="AP523" s="3"/>
      <c r="AQ523" s="3"/>
      <c r="AR523" s="3"/>
      <c r="AS523" s="3"/>
      <c r="AT523" s="3"/>
      <c r="AU523" s="3"/>
      <c r="AV523" s="3"/>
      <c r="AW523" s="3"/>
      <c r="AX523" s="3"/>
      <c r="AY523" s="3"/>
      <c r="AZ523" s="3"/>
      <c r="BA523" s="3"/>
      <c r="BB523" s="3"/>
      <c r="BC523" s="3"/>
    </row>
    <row r="524" spans="1:55">
      <c r="A524" s="1" t="str">
        <f>'Population Definitions'!$A$6</f>
        <v>10-17_males</v>
      </c>
      <c r="C524" t="s">
        <v>32</v>
      </c>
      <c r="D524" s="3"/>
      <c r="E524" s="3">
        <v>0</v>
      </c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  <c r="AA524" s="3"/>
      <c r="AB524" s="3"/>
      <c r="AC524" s="3"/>
      <c r="AD524" s="3"/>
      <c r="AE524" s="3"/>
      <c r="AF524" s="3"/>
      <c r="AG524" s="3"/>
      <c r="AH524" s="3"/>
      <c r="AI524" s="3"/>
      <c r="AJ524" s="3"/>
      <c r="AK524" s="3"/>
      <c r="AL524" s="3"/>
      <c r="AM524" s="3"/>
      <c r="AN524" s="3"/>
      <c r="AO524" s="3"/>
      <c r="AP524" s="3"/>
      <c r="AQ524" s="3"/>
      <c r="AR524" s="3"/>
      <c r="AS524" s="3"/>
      <c r="AT524" s="3"/>
      <c r="AU524" s="3"/>
      <c r="AV524" s="3"/>
      <c r="AW524" s="3"/>
      <c r="AX524" s="3"/>
      <c r="AY524" s="3"/>
      <c r="AZ524" s="3"/>
      <c r="BA524" s="3"/>
      <c r="BB524" s="3"/>
      <c r="BC524" s="3"/>
    </row>
    <row r="525" spans="1:55">
      <c r="A525" s="1" t="str">
        <f>'Population Definitions'!$A$7</f>
        <v>10-17_females</v>
      </c>
      <c r="C525" t="s">
        <v>32</v>
      </c>
      <c r="D525" s="3"/>
      <c r="E525" s="3">
        <v>0</v>
      </c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  <c r="AA525" s="3"/>
      <c r="AB525" s="3"/>
      <c r="AC525" s="3"/>
      <c r="AD525" s="3"/>
      <c r="AE525" s="3"/>
      <c r="AF525" s="3"/>
      <c r="AG525" s="3"/>
      <c r="AH525" s="3"/>
      <c r="AI525" s="3"/>
      <c r="AJ525" s="3"/>
      <c r="AK525" s="3"/>
      <c r="AL525" s="3"/>
      <c r="AM525" s="3"/>
      <c r="AN525" s="3"/>
      <c r="AO525" s="3"/>
      <c r="AP525" s="3"/>
      <c r="AQ525" s="3"/>
      <c r="AR525" s="3"/>
      <c r="AS525" s="3"/>
      <c r="AT525" s="3"/>
      <c r="AU525" s="3"/>
      <c r="AV525" s="3"/>
      <c r="AW525" s="3"/>
      <c r="AX525" s="3"/>
      <c r="AY525" s="3"/>
      <c r="AZ525" s="3"/>
      <c r="BA525" s="3"/>
      <c r="BB525" s="3"/>
      <c r="BC525" s="3"/>
    </row>
    <row r="526" spans="1:55">
      <c r="A526" s="1" t="str">
        <f>'Population Definitions'!$A$8</f>
        <v>18-64_males</v>
      </c>
      <c r="C526" t="s">
        <v>32</v>
      </c>
      <c r="D526" s="3"/>
      <c r="E526" s="3">
        <v>2175.132098162462</v>
      </c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  <c r="AA526" s="3"/>
      <c r="AB526" s="3"/>
      <c r="AC526" s="3"/>
      <c r="AD526" s="3"/>
      <c r="AE526" s="3"/>
      <c r="AF526" s="3"/>
      <c r="AG526" s="3"/>
      <c r="AH526" s="3"/>
      <c r="AI526" s="3"/>
      <c r="AJ526" s="3"/>
      <c r="AK526" s="3"/>
      <c r="AL526" s="3"/>
      <c r="AM526" s="3"/>
      <c r="AN526" s="3"/>
      <c r="AO526" s="3"/>
      <c r="AP526" s="3"/>
      <c r="AQ526" s="3"/>
      <c r="AR526" s="3"/>
      <c r="AS526" s="3"/>
      <c r="AT526" s="3"/>
      <c r="AU526" s="3"/>
      <c r="AV526" s="3"/>
      <c r="AW526" s="3"/>
      <c r="AX526" s="3"/>
      <c r="AY526" s="3"/>
      <c r="AZ526" s="3"/>
      <c r="BA526" s="3"/>
      <c r="BB526" s="3"/>
      <c r="BC526" s="3"/>
    </row>
    <row r="527" spans="1:55">
      <c r="A527" s="1" t="str">
        <f>'Population Definitions'!$A$9</f>
        <v>18-64_females</v>
      </c>
      <c r="C527" t="s">
        <v>32</v>
      </c>
      <c r="D527" s="3"/>
      <c r="E527" s="3">
        <v>2366.914624995481</v>
      </c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  <c r="AA527" s="3"/>
      <c r="AB527" s="3"/>
      <c r="AC527" s="3"/>
      <c r="AD527" s="3"/>
      <c r="AE527" s="3"/>
      <c r="AF527" s="3"/>
      <c r="AG527" s="3"/>
      <c r="AH527" s="3"/>
      <c r="AI527" s="3"/>
      <c r="AJ527" s="3"/>
      <c r="AK527" s="3"/>
      <c r="AL527" s="3"/>
      <c r="AM527" s="3"/>
      <c r="AN527" s="3"/>
      <c r="AO527" s="3"/>
      <c r="AP527" s="3"/>
      <c r="AQ527" s="3"/>
      <c r="AR527" s="3"/>
      <c r="AS527" s="3"/>
      <c r="AT527" s="3"/>
      <c r="AU527" s="3"/>
      <c r="AV527" s="3"/>
      <c r="AW527" s="3"/>
      <c r="AX527" s="3"/>
      <c r="AY527" s="3"/>
      <c r="AZ527" s="3"/>
      <c r="BA527" s="3"/>
      <c r="BB527" s="3"/>
      <c r="BC527" s="3"/>
    </row>
    <row r="528" spans="1:55">
      <c r="A528" s="1" t="str">
        <f>'Population Definitions'!$A$10</f>
        <v>65+_males</v>
      </c>
      <c r="C528" t="s">
        <v>32</v>
      </c>
      <c r="D528" s="3"/>
      <c r="E528" s="3">
        <v>129.4647131346788</v>
      </c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  <c r="AA528" s="3"/>
      <c r="AB528" s="3"/>
      <c r="AC528" s="3"/>
      <c r="AD528" s="3"/>
      <c r="AE528" s="3"/>
      <c r="AF528" s="3"/>
      <c r="AG528" s="3"/>
      <c r="AH528" s="3"/>
      <c r="AI528" s="3"/>
      <c r="AJ528" s="3"/>
      <c r="AK528" s="3"/>
      <c r="AL528" s="3"/>
      <c r="AM528" s="3"/>
      <c r="AN528" s="3"/>
      <c r="AO528" s="3"/>
      <c r="AP528" s="3"/>
      <c r="AQ528" s="3"/>
      <c r="AR528" s="3"/>
      <c r="AS528" s="3"/>
      <c r="AT528" s="3"/>
      <c r="AU528" s="3"/>
      <c r="AV528" s="3"/>
      <c r="AW528" s="3"/>
      <c r="AX528" s="3"/>
      <c r="AY528" s="3"/>
      <c r="AZ528" s="3"/>
      <c r="BA528" s="3"/>
      <c r="BB528" s="3"/>
      <c r="BC528" s="3"/>
    </row>
    <row r="529" spans="1:55">
      <c r="A529" s="1" t="str">
        <f>'Population Definitions'!$A$11</f>
        <v>65+_females</v>
      </c>
      <c r="C529" t="s">
        <v>32</v>
      </c>
      <c r="D529" s="3"/>
      <c r="E529" s="3">
        <v>178.6484985683376</v>
      </c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  <c r="AA529" s="3"/>
      <c r="AB529" s="3"/>
      <c r="AC529" s="3"/>
      <c r="AD529" s="3"/>
      <c r="AE529" s="3"/>
      <c r="AF529" s="3"/>
      <c r="AG529" s="3"/>
      <c r="AH529" s="3"/>
      <c r="AI529" s="3"/>
      <c r="AJ529" s="3"/>
      <c r="AK529" s="3"/>
      <c r="AL529" s="3"/>
      <c r="AM529" s="3"/>
      <c r="AN529" s="3"/>
      <c r="AO529" s="3"/>
      <c r="AP529" s="3"/>
      <c r="AQ529" s="3"/>
      <c r="AR529" s="3"/>
      <c r="AS529" s="3"/>
      <c r="AT529" s="3"/>
      <c r="AU529" s="3"/>
      <c r="AV529" s="3"/>
      <c r="AW529" s="3"/>
      <c r="AX529" s="3"/>
      <c r="AY529" s="3"/>
      <c r="AZ529" s="3"/>
      <c r="BA529" s="3"/>
      <c r="BB529" s="3"/>
      <c r="BC529" s="3"/>
    </row>
    <row r="530" spans="1:55">
      <c r="A530" s="1" t="str">
        <f>'Population Definitions'!$A$12</f>
        <v>Prisoners_males</v>
      </c>
      <c r="C530" t="s">
        <v>32</v>
      </c>
      <c r="D530" s="3"/>
      <c r="E530" s="3">
        <v>4.777423494684237</v>
      </c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  <c r="AA530" s="3"/>
      <c r="AB530" s="3"/>
      <c r="AC530" s="3"/>
      <c r="AD530" s="3"/>
      <c r="AE530" s="3"/>
      <c r="AF530" s="3"/>
      <c r="AG530" s="3"/>
      <c r="AH530" s="3"/>
      <c r="AI530" s="3"/>
      <c r="AJ530" s="3"/>
      <c r="AK530" s="3"/>
      <c r="AL530" s="3"/>
      <c r="AM530" s="3"/>
      <c r="AN530" s="3"/>
      <c r="AO530" s="3"/>
      <c r="AP530" s="3"/>
      <c r="AQ530" s="3"/>
      <c r="AR530" s="3"/>
      <c r="AS530" s="3"/>
      <c r="AT530" s="3"/>
      <c r="AU530" s="3"/>
      <c r="AV530" s="3"/>
      <c r="AW530" s="3"/>
      <c r="AX530" s="3"/>
      <c r="AY530" s="3"/>
      <c r="AZ530" s="3"/>
      <c r="BA530" s="3"/>
      <c r="BB530" s="3"/>
      <c r="BC530" s="3"/>
    </row>
    <row r="531" spans="1:55">
      <c r="A531" s="1" t="str">
        <f>'Population Definitions'!$A$13</f>
        <v>Prisoners_females</v>
      </c>
      <c r="C531" t="s">
        <v>32</v>
      </c>
      <c r="D531" s="3"/>
      <c r="E531" s="3">
        <v>0.04825680297660851</v>
      </c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  <c r="AA531" s="3"/>
      <c r="AB531" s="3"/>
      <c r="AC531" s="3"/>
      <c r="AD531" s="3"/>
      <c r="AE531" s="3"/>
      <c r="AF531" s="3"/>
      <c r="AG531" s="3"/>
      <c r="AH531" s="3"/>
      <c r="AI531" s="3"/>
      <c r="AJ531" s="3"/>
      <c r="AK531" s="3"/>
      <c r="AL531" s="3"/>
      <c r="AM531" s="3"/>
      <c r="AN531" s="3"/>
      <c r="AO531" s="3"/>
      <c r="AP531" s="3"/>
      <c r="AQ531" s="3"/>
      <c r="AR531" s="3"/>
      <c r="AS531" s="3"/>
      <c r="AT531" s="3"/>
      <c r="AU531" s="3"/>
      <c r="AV531" s="3"/>
      <c r="AW531" s="3"/>
      <c r="AX531" s="3"/>
      <c r="AY531" s="3"/>
      <c r="AZ531" s="3"/>
      <c r="BA531" s="3"/>
      <c r="BB531" s="3"/>
      <c r="BC531" s="3"/>
    </row>
    <row r="533" spans="1:55">
      <c r="A533" s="1" t="s">
        <v>164</v>
      </c>
      <c r="B533" s="1" t="s">
        <v>29</v>
      </c>
      <c r="C533" s="1" t="s">
        <v>30</v>
      </c>
      <c r="D533" s="1" t="s">
        <v>31</v>
      </c>
      <c r="E533" s="1">
        <v>2000</v>
      </c>
      <c r="F533" s="1">
        <v>2001</v>
      </c>
      <c r="G533" s="1">
        <v>2002</v>
      </c>
      <c r="H533" s="1">
        <v>2003</v>
      </c>
      <c r="I533" s="1">
        <v>2004</v>
      </c>
      <c r="J533" s="1">
        <v>2005</v>
      </c>
      <c r="K533" s="1">
        <v>2006</v>
      </c>
      <c r="L533" s="1">
        <v>2007</v>
      </c>
      <c r="M533" s="1">
        <v>2008</v>
      </c>
      <c r="N533" s="1">
        <v>2009</v>
      </c>
      <c r="O533" s="1">
        <v>2010</v>
      </c>
      <c r="P533" s="1">
        <v>2011</v>
      </c>
      <c r="Q533" s="1">
        <v>2012</v>
      </c>
      <c r="R533" s="1">
        <v>2013</v>
      </c>
      <c r="S533" s="1">
        <v>2014</v>
      </c>
      <c r="T533" s="1">
        <v>2015</v>
      </c>
      <c r="U533" s="1">
        <v>2016</v>
      </c>
      <c r="V533" s="1">
        <v>2017</v>
      </c>
      <c r="W533" s="1">
        <v>2018</v>
      </c>
      <c r="X533" s="1">
        <v>2019</v>
      </c>
      <c r="Y533" s="1">
        <v>2020</v>
      </c>
      <c r="Z533" s="1">
        <v>2021</v>
      </c>
      <c r="AA533" s="1">
        <v>2022</v>
      </c>
      <c r="AB533" s="1">
        <v>2023</v>
      </c>
      <c r="AC533" s="1">
        <v>2024</v>
      </c>
      <c r="AD533" s="1">
        <v>2025</v>
      </c>
      <c r="AE533" s="1">
        <v>2026</v>
      </c>
      <c r="AF533" s="1">
        <v>2027</v>
      </c>
      <c r="AG533" s="1">
        <v>2028</v>
      </c>
      <c r="AH533" s="1">
        <v>2029</v>
      </c>
      <c r="AI533" s="1">
        <v>2030</v>
      </c>
      <c r="AJ533" s="1">
        <v>2031</v>
      </c>
      <c r="AK533" s="1">
        <v>2032</v>
      </c>
      <c r="AL533" s="1">
        <v>2033</v>
      </c>
      <c r="AM533" s="1">
        <v>2034</v>
      </c>
      <c r="AN533" s="1">
        <v>2035</v>
      </c>
      <c r="AO533" s="1">
        <v>2036</v>
      </c>
      <c r="AP533" s="1">
        <v>2037</v>
      </c>
      <c r="AQ533" s="1">
        <v>2038</v>
      </c>
      <c r="AR533" s="1">
        <v>2039</v>
      </c>
      <c r="AS533" s="1">
        <v>2040</v>
      </c>
      <c r="AT533" s="1">
        <v>2041</v>
      </c>
      <c r="AU533" s="1">
        <v>2042</v>
      </c>
      <c r="AV533" s="1">
        <v>2043</v>
      </c>
      <c r="AW533" s="1">
        <v>2044</v>
      </c>
      <c r="AX533" s="1">
        <v>2045</v>
      </c>
      <c r="AY533" s="1">
        <v>2046</v>
      </c>
      <c r="AZ533" s="1">
        <v>2047</v>
      </c>
      <c r="BA533" s="1">
        <v>2048</v>
      </c>
      <c r="BB533" s="1">
        <v>2049</v>
      </c>
      <c r="BC533" s="1">
        <v>2050</v>
      </c>
    </row>
    <row r="534" spans="1:55">
      <c r="A534" s="1" t="str">
        <f>'Population Definitions'!$A$2</f>
        <v>PWID_males</v>
      </c>
      <c r="C534" t="s">
        <v>32</v>
      </c>
      <c r="D534" s="3"/>
      <c r="E534" s="3">
        <v>4.174617666503908</v>
      </c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  <c r="AA534" s="3"/>
      <c r="AB534" s="3"/>
      <c r="AC534" s="3"/>
      <c r="AD534" s="3"/>
      <c r="AE534" s="3"/>
      <c r="AF534" s="3"/>
      <c r="AG534" s="3"/>
      <c r="AH534" s="3"/>
      <c r="AI534" s="3"/>
      <c r="AJ534" s="3"/>
      <c r="AK534" s="3"/>
      <c r="AL534" s="3"/>
      <c r="AM534" s="3"/>
      <c r="AN534" s="3"/>
      <c r="AO534" s="3"/>
      <c r="AP534" s="3"/>
      <c r="AQ534" s="3"/>
      <c r="AR534" s="3"/>
      <c r="AS534" s="3"/>
      <c r="AT534" s="3"/>
      <c r="AU534" s="3"/>
      <c r="AV534" s="3"/>
      <c r="AW534" s="3"/>
      <c r="AX534" s="3"/>
      <c r="AY534" s="3"/>
      <c r="AZ534" s="3"/>
      <c r="BA534" s="3"/>
      <c r="BB534" s="3"/>
      <c r="BC534" s="3"/>
    </row>
    <row r="535" spans="1:55">
      <c r="A535" s="1" t="str">
        <f>'Population Definitions'!$A$3</f>
        <v>PWID_females</v>
      </c>
      <c r="C535" t="s">
        <v>32</v>
      </c>
      <c r="D535" s="3"/>
      <c r="E535" s="3">
        <v>0.5958064228065635</v>
      </c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  <c r="AA535" s="3"/>
      <c r="AB535" s="3"/>
      <c r="AC535" s="3"/>
      <c r="AD535" s="3"/>
      <c r="AE535" s="3"/>
      <c r="AF535" s="3"/>
      <c r="AG535" s="3"/>
      <c r="AH535" s="3"/>
      <c r="AI535" s="3"/>
      <c r="AJ535" s="3"/>
      <c r="AK535" s="3"/>
      <c r="AL535" s="3"/>
      <c r="AM535" s="3"/>
      <c r="AN535" s="3"/>
      <c r="AO535" s="3"/>
      <c r="AP535" s="3"/>
      <c r="AQ535" s="3"/>
      <c r="AR535" s="3"/>
      <c r="AS535" s="3"/>
      <c r="AT535" s="3"/>
      <c r="AU535" s="3"/>
      <c r="AV535" s="3"/>
      <c r="AW535" s="3"/>
      <c r="AX535" s="3"/>
      <c r="AY535" s="3"/>
      <c r="AZ535" s="3"/>
      <c r="BA535" s="3"/>
      <c r="BB535" s="3"/>
      <c r="BC535" s="3"/>
    </row>
    <row r="536" spans="1:55">
      <c r="A536" s="1" t="str">
        <f>'Population Definitions'!$A$4</f>
        <v>0-9_males</v>
      </c>
      <c r="C536" t="s">
        <v>32</v>
      </c>
      <c r="D536" s="3"/>
      <c r="E536" s="3">
        <v>0</v>
      </c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  <c r="AA536" s="3"/>
      <c r="AB536" s="3"/>
      <c r="AC536" s="3"/>
      <c r="AD536" s="3"/>
      <c r="AE536" s="3"/>
      <c r="AF536" s="3"/>
      <c r="AG536" s="3"/>
      <c r="AH536" s="3"/>
      <c r="AI536" s="3"/>
      <c r="AJ536" s="3"/>
      <c r="AK536" s="3"/>
      <c r="AL536" s="3"/>
      <c r="AM536" s="3"/>
      <c r="AN536" s="3"/>
      <c r="AO536" s="3"/>
      <c r="AP536" s="3"/>
      <c r="AQ536" s="3"/>
      <c r="AR536" s="3"/>
      <c r="AS536" s="3"/>
      <c r="AT536" s="3"/>
      <c r="AU536" s="3"/>
      <c r="AV536" s="3"/>
      <c r="AW536" s="3"/>
      <c r="AX536" s="3"/>
      <c r="AY536" s="3"/>
      <c r="AZ536" s="3"/>
      <c r="BA536" s="3"/>
      <c r="BB536" s="3"/>
      <c r="BC536" s="3"/>
    </row>
    <row r="537" spans="1:55">
      <c r="A537" s="1" t="str">
        <f>'Population Definitions'!$A$5</f>
        <v>0-9_females</v>
      </c>
      <c r="C537" t="s">
        <v>32</v>
      </c>
      <c r="D537" s="3"/>
      <c r="E537" s="3">
        <v>0</v>
      </c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  <c r="AA537" s="3"/>
      <c r="AB537" s="3"/>
      <c r="AC537" s="3"/>
      <c r="AD537" s="3"/>
      <c r="AE537" s="3"/>
      <c r="AF537" s="3"/>
      <c r="AG537" s="3"/>
      <c r="AH537" s="3"/>
      <c r="AI537" s="3"/>
      <c r="AJ537" s="3"/>
      <c r="AK537" s="3"/>
      <c r="AL537" s="3"/>
      <c r="AM537" s="3"/>
      <c r="AN537" s="3"/>
      <c r="AO537" s="3"/>
      <c r="AP537" s="3"/>
      <c r="AQ537" s="3"/>
      <c r="AR537" s="3"/>
      <c r="AS537" s="3"/>
      <c r="AT537" s="3"/>
      <c r="AU537" s="3"/>
      <c r="AV537" s="3"/>
      <c r="AW537" s="3"/>
      <c r="AX537" s="3"/>
      <c r="AY537" s="3"/>
      <c r="AZ537" s="3"/>
      <c r="BA537" s="3"/>
      <c r="BB537" s="3"/>
      <c r="BC537" s="3"/>
    </row>
    <row r="538" spans="1:55">
      <c r="A538" s="1" t="str">
        <f>'Population Definitions'!$A$6</f>
        <v>10-17_males</v>
      </c>
      <c r="C538" t="s">
        <v>32</v>
      </c>
      <c r="D538" s="3"/>
      <c r="E538" s="3">
        <v>0</v>
      </c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  <c r="AA538" s="3"/>
      <c r="AB538" s="3"/>
      <c r="AC538" s="3"/>
      <c r="AD538" s="3"/>
      <c r="AE538" s="3"/>
      <c r="AF538" s="3"/>
      <c r="AG538" s="3"/>
      <c r="AH538" s="3"/>
      <c r="AI538" s="3"/>
      <c r="AJ538" s="3"/>
      <c r="AK538" s="3"/>
      <c r="AL538" s="3"/>
      <c r="AM538" s="3"/>
      <c r="AN538" s="3"/>
      <c r="AO538" s="3"/>
      <c r="AP538" s="3"/>
      <c r="AQ538" s="3"/>
      <c r="AR538" s="3"/>
      <c r="AS538" s="3"/>
      <c r="AT538" s="3"/>
      <c r="AU538" s="3"/>
      <c r="AV538" s="3"/>
      <c r="AW538" s="3"/>
      <c r="AX538" s="3"/>
      <c r="AY538" s="3"/>
      <c r="AZ538" s="3"/>
      <c r="BA538" s="3"/>
      <c r="BB538" s="3"/>
      <c r="BC538" s="3"/>
    </row>
    <row r="539" spans="1:55">
      <c r="A539" s="1" t="str">
        <f>'Population Definitions'!$A$7</f>
        <v>10-17_females</v>
      </c>
      <c r="C539" t="s">
        <v>32</v>
      </c>
      <c r="D539" s="3"/>
      <c r="E539" s="3">
        <v>0</v>
      </c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  <c r="AA539" s="3"/>
      <c r="AB539" s="3"/>
      <c r="AC539" s="3"/>
      <c r="AD539" s="3"/>
      <c r="AE539" s="3"/>
      <c r="AF539" s="3"/>
      <c r="AG539" s="3"/>
      <c r="AH539" s="3"/>
      <c r="AI539" s="3"/>
      <c r="AJ539" s="3"/>
      <c r="AK539" s="3"/>
      <c r="AL539" s="3"/>
      <c r="AM539" s="3"/>
      <c r="AN539" s="3"/>
      <c r="AO539" s="3"/>
      <c r="AP539" s="3"/>
      <c r="AQ539" s="3"/>
      <c r="AR539" s="3"/>
      <c r="AS539" s="3"/>
      <c r="AT539" s="3"/>
      <c r="AU539" s="3"/>
      <c r="AV539" s="3"/>
      <c r="AW539" s="3"/>
      <c r="AX539" s="3"/>
      <c r="AY539" s="3"/>
      <c r="AZ539" s="3"/>
      <c r="BA539" s="3"/>
      <c r="BB539" s="3"/>
      <c r="BC539" s="3"/>
    </row>
    <row r="540" spans="1:55">
      <c r="A540" s="1" t="str">
        <f>'Population Definitions'!$A$8</f>
        <v>18-64_males</v>
      </c>
      <c r="C540" t="s">
        <v>32</v>
      </c>
      <c r="D540" s="3"/>
      <c r="E540" s="3">
        <v>489.404722086554</v>
      </c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  <c r="AA540" s="3"/>
      <c r="AB540" s="3"/>
      <c r="AC540" s="3"/>
      <c r="AD540" s="3"/>
      <c r="AE540" s="3"/>
      <c r="AF540" s="3"/>
      <c r="AG540" s="3"/>
      <c r="AH540" s="3"/>
      <c r="AI540" s="3"/>
      <c r="AJ540" s="3"/>
      <c r="AK540" s="3"/>
      <c r="AL540" s="3"/>
      <c r="AM540" s="3"/>
      <c r="AN540" s="3"/>
      <c r="AO540" s="3"/>
      <c r="AP540" s="3"/>
      <c r="AQ540" s="3"/>
      <c r="AR540" s="3"/>
      <c r="AS540" s="3"/>
      <c r="AT540" s="3"/>
      <c r="AU540" s="3"/>
      <c r="AV540" s="3"/>
      <c r="AW540" s="3"/>
      <c r="AX540" s="3"/>
      <c r="AY540" s="3"/>
      <c r="AZ540" s="3"/>
      <c r="BA540" s="3"/>
      <c r="BB540" s="3"/>
      <c r="BC540" s="3"/>
    </row>
    <row r="541" spans="1:55">
      <c r="A541" s="1" t="str">
        <f>'Population Definitions'!$A$9</f>
        <v>18-64_females</v>
      </c>
      <c r="C541" t="s">
        <v>32</v>
      </c>
      <c r="D541" s="3"/>
      <c r="E541" s="3">
        <v>532.5557906239831</v>
      </c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  <c r="AA541" s="3"/>
      <c r="AB541" s="3"/>
      <c r="AC541" s="3"/>
      <c r="AD541" s="3"/>
      <c r="AE541" s="3"/>
      <c r="AF541" s="3"/>
      <c r="AG541" s="3"/>
      <c r="AH541" s="3"/>
      <c r="AI541" s="3"/>
      <c r="AJ541" s="3"/>
      <c r="AK541" s="3"/>
      <c r="AL541" s="3"/>
      <c r="AM541" s="3"/>
      <c r="AN541" s="3"/>
      <c r="AO541" s="3"/>
      <c r="AP541" s="3"/>
      <c r="AQ541" s="3"/>
      <c r="AR541" s="3"/>
      <c r="AS541" s="3"/>
      <c r="AT541" s="3"/>
      <c r="AU541" s="3"/>
      <c r="AV541" s="3"/>
      <c r="AW541" s="3"/>
      <c r="AX541" s="3"/>
      <c r="AY541" s="3"/>
      <c r="AZ541" s="3"/>
      <c r="BA541" s="3"/>
      <c r="BB541" s="3"/>
      <c r="BC541" s="3"/>
    </row>
    <row r="542" spans="1:55">
      <c r="A542" s="1" t="str">
        <f>'Population Definitions'!$A$10</f>
        <v>65+_males</v>
      </c>
      <c r="C542" t="s">
        <v>32</v>
      </c>
      <c r="D542" s="3"/>
      <c r="E542" s="3">
        <v>29.12956045530274</v>
      </c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  <c r="AA542" s="3"/>
      <c r="AB542" s="3"/>
      <c r="AC542" s="3"/>
      <c r="AD542" s="3"/>
      <c r="AE542" s="3"/>
      <c r="AF542" s="3"/>
      <c r="AG542" s="3"/>
      <c r="AH542" s="3"/>
      <c r="AI542" s="3"/>
      <c r="AJ542" s="3"/>
      <c r="AK542" s="3"/>
      <c r="AL542" s="3"/>
      <c r="AM542" s="3"/>
      <c r="AN542" s="3"/>
      <c r="AO542" s="3"/>
      <c r="AP542" s="3"/>
      <c r="AQ542" s="3"/>
      <c r="AR542" s="3"/>
      <c r="AS542" s="3"/>
      <c r="AT542" s="3"/>
      <c r="AU542" s="3"/>
      <c r="AV542" s="3"/>
      <c r="AW542" s="3"/>
      <c r="AX542" s="3"/>
      <c r="AY542" s="3"/>
      <c r="AZ542" s="3"/>
      <c r="BA542" s="3"/>
      <c r="BB542" s="3"/>
      <c r="BC542" s="3"/>
    </row>
    <row r="543" spans="1:55">
      <c r="A543" s="1" t="str">
        <f>'Population Definitions'!$A$11</f>
        <v>65+_females</v>
      </c>
      <c r="C543" t="s">
        <v>32</v>
      </c>
      <c r="D543" s="3"/>
      <c r="E543" s="3">
        <v>40.19591217787597</v>
      </c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  <c r="AA543" s="3"/>
      <c r="AB543" s="3"/>
      <c r="AC543" s="3"/>
      <c r="AD543" s="3"/>
      <c r="AE543" s="3"/>
      <c r="AF543" s="3"/>
      <c r="AG543" s="3"/>
      <c r="AH543" s="3"/>
      <c r="AI543" s="3"/>
      <c r="AJ543" s="3"/>
      <c r="AK543" s="3"/>
      <c r="AL543" s="3"/>
      <c r="AM543" s="3"/>
      <c r="AN543" s="3"/>
      <c r="AO543" s="3"/>
      <c r="AP543" s="3"/>
      <c r="AQ543" s="3"/>
      <c r="AR543" s="3"/>
      <c r="AS543" s="3"/>
      <c r="AT543" s="3"/>
      <c r="AU543" s="3"/>
      <c r="AV543" s="3"/>
      <c r="AW543" s="3"/>
      <c r="AX543" s="3"/>
      <c r="AY543" s="3"/>
      <c r="AZ543" s="3"/>
      <c r="BA543" s="3"/>
      <c r="BB543" s="3"/>
      <c r="BC543" s="3"/>
    </row>
    <row r="544" spans="1:55">
      <c r="A544" s="1" t="str">
        <f>'Population Definitions'!$A$12</f>
        <v>Prisoners_males</v>
      </c>
      <c r="C544" t="s">
        <v>32</v>
      </c>
      <c r="D544" s="3"/>
      <c r="E544" s="3">
        <v>1.074920286303953</v>
      </c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  <c r="AA544" s="3"/>
      <c r="AB544" s="3"/>
      <c r="AC544" s="3"/>
      <c r="AD544" s="3"/>
      <c r="AE544" s="3"/>
      <c r="AF544" s="3"/>
      <c r="AG544" s="3"/>
      <c r="AH544" s="3"/>
      <c r="AI544" s="3"/>
      <c r="AJ544" s="3"/>
      <c r="AK544" s="3"/>
      <c r="AL544" s="3"/>
      <c r="AM544" s="3"/>
      <c r="AN544" s="3"/>
      <c r="AO544" s="3"/>
      <c r="AP544" s="3"/>
      <c r="AQ544" s="3"/>
      <c r="AR544" s="3"/>
      <c r="AS544" s="3"/>
      <c r="AT544" s="3"/>
      <c r="AU544" s="3"/>
      <c r="AV544" s="3"/>
      <c r="AW544" s="3"/>
      <c r="AX544" s="3"/>
      <c r="AY544" s="3"/>
      <c r="AZ544" s="3"/>
      <c r="BA544" s="3"/>
      <c r="BB544" s="3"/>
      <c r="BC544" s="3"/>
    </row>
    <row r="545" spans="1:55">
      <c r="A545" s="1" t="str">
        <f>'Population Definitions'!$A$13</f>
        <v>Prisoners_females</v>
      </c>
      <c r="C545" t="s">
        <v>32</v>
      </c>
      <c r="D545" s="3"/>
      <c r="E545" s="3">
        <v>0.01085778066973691</v>
      </c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  <c r="AA545" s="3"/>
      <c r="AB545" s="3"/>
      <c r="AC545" s="3"/>
      <c r="AD545" s="3"/>
      <c r="AE545" s="3"/>
      <c r="AF545" s="3"/>
      <c r="AG545" s="3"/>
      <c r="AH545" s="3"/>
      <c r="AI545" s="3"/>
      <c r="AJ545" s="3"/>
      <c r="AK545" s="3"/>
      <c r="AL545" s="3"/>
      <c r="AM545" s="3"/>
      <c r="AN545" s="3"/>
      <c r="AO545" s="3"/>
      <c r="AP545" s="3"/>
      <c r="AQ545" s="3"/>
      <c r="AR545" s="3"/>
      <c r="AS545" s="3"/>
      <c r="AT545" s="3"/>
      <c r="AU545" s="3"/>
      <c r="AV545" s="3"/>
      <c r="AW545" s="3"/>
      <c r="AX545" s="3"/>
      <c r="AY545" s="3"/>
      <c r="AZ545" s="3"/>
      <c r="BA545" s="3"/>
      <c r="BB545" s="3"/>
      <c r="BC545" s="3"/>
    </row>
    <row r="547" spans="1:55">
      <c r="A547" s="1" t="s">
        <v>165</v>
      </c>
      <c r="B547" s="1" t="s">
        <v>29</v>
      </c>
      <c r="C547" s="1" t="s">
        <v>30</v>
      </c>
      <c r="D547" s="1" t="s">
        <v>31</v>
      </c>
      <c r="E547" s="1">
        <v>2000</v>
      </c>
      <c r="F547" s="1">
        <v>2001</v>
      </c>
      <c r="G547" s="1">
        <v>2002</v>
      </c>
      <c r="H547" s="1">
        <v>2003</v>
      </c>
      <c r="I547" s="1">
        <v>2004</v>
      </c>
      <c r="J547" s="1">
        <v>2005</v>
      </c>
      <c r="K547" s="1">
        <v>2006</v>
      </c>
      <c r="L547" s="1">
        <v>2007</v>
      </c>
      <c r="M547" s="1">
        <v>2008</v>
      </c>
      <c r="N547" s="1">
        <v>2009</v>
      </c>
      <c r="O547" s="1">
        <v>2010</v>
      </c>
      <c r="P547" s="1">
        <v>2011</v>
      </c>
      <c r="Q547" s="1">
        <v>2012</v>
      </c>
      <c r="R547" s="1">
        <v>2013</v>
      </c>
      <c r="S547" s="1">
        <v>2014</v>
      </c>
      <c r="T547" s="1">
        <v>2015</v>
      </c>
      <c r="U547" s="1">
        <v>2016</v>
      </c>
      <c r="V547" s="1">
        <v>2017</v>
      </c>
      <c r="W547" s="1">
        <v>2018</v>
      </c>
      <c r="X547" s="1">
        <v>2019</v>
      </c>
      <c r="Y547" s="1">
        <v>2020</v>
      </c>
      <c r="Z547" s="1">
        <v>2021</v>
      </c>
      <c r="AA547" s="1">
        <v>2022</v>
      </c>
      <c r="AB547" s="1">
        <v>2023</v>
      </c>
      <c r="AC547" s="1">
        <v>2024</v>
      </c>
      <c r="AD547" s="1">
        <v>2025</v>
      </c>
      <c r="AE547" s="1">
        <v>2026</v>
      </c>
      <c r="AF547" s="1">
        <v>2027</v>
      </c>
      <c r="AG547" s="1">
        <v>2028</v>
      </c>
      <c r="AH547" s="1">
        <v>2029</v>
      </c>
      <c r="AI547" s="1">
        <v>2030</v>
      </c>
      <c r="AJ547" s="1">
        <v>2031</v>
      </c>
      <c r="AK547" s="1">
        <v>2032</v>
      </c>
      <c r="AL547" s="1">
        <v>2033</v>
      </c>
      <c r="AM547" s="1">
        <v>2034</v>
      </c>
      <c r="AN547" s="1">
        <v>2035</v>
      </c>
      <c r="AO547" s="1">
        <v>2036</v>
      </c>
      <c r="AP547" s="1">
        <v>2037</v>
      </c>
      <c r="AQ547" s="1">
        <v>2038</v>
      </c>
      <c r="AR547" s="1">
        <v>2039</v>
      </c>
      <c r="AS547" s="1">
        <v>2040</v>
      </c>
      <c r="AT547" s="1">
        <v>2041</v>
      </c>
      <c r="AU547" s="1">
        <v>2042</v>
      </c>
      <c r="AV547" s="1">
        <v>2043</v>
      </c>
      <c r="AW547" s="1">
        <v>2044</v>
      </c>
      <c r="AX547" s="1">
        <v>2045</v>
      </c>
      <c r="AY547" s="1">
        <v>2046</v>
      </c>
      <c r="AZ547" s="1">
        <v>2047</v>
      </c>
      <c r="BA547" s="1">
        <v>2048</v>
      </c>
      <c r="BB547" s="1">
        <v>2049</v>
      </c>
      <c r="BC547" s="1">
        <v>2050</v>
      </c>
    </row>
    <row r="548" spans="1:55">
      <c r="A548" s="1" t="str">
        <f>'Population Definitions'!$A$2</f>
        <v>PWID_males</v>
      </c>
      <c r="C548" t="s">
        <v>32</v>
      </c>
      <c r="D548" s="3"/>
      <c r="E548" s="3">
        <v>0.463846407389375</v>
      </c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  <c r="AA548" s="3"/>
      <c r="AB548" s="3"/>
      <c r="AC548" s="3"/>
      <c r="AD548" s="3"/>
      <c r="AE548" s="3"/>
      <c r="AF548" s="3"/>
      <c r="AG548" s="3"/>
      <c r="AH548" s="3"/>
      <c r="AI548" s="3"/>
      <c r="AJ548" s="3"/>
      <c r="AK548" s="3"/>
      <c r="AL548" s="3"/>
      <c r="AM548" s="3"/>
      <c r="AN548" s="3"/>
      <c r="AO548" s="3"/>
      <c r="AP548" s="3"/>
      <c r="AQ548" s="3"/>
      <c r="AR548" s="3"/>
      <c r="AS548" s="3"/>
      <c r="AT548" s="3"/>
      <c r="AU548" s="3"/>
      <c r="AV548" s="3"/>
      <c r="AW548" s="3"/>
      <c r="AX548" s="3"/>
      <c r="AY548" s="3"/>
      <c r="AZ548" s="3"/>
      <c r="BA548" s="3"/>
      <c r="BB548" s="3"/>
      <c r="BC548" s="3"/>
    </row>
    <row r="549" spans="1:55">
      <c r="A549" s="1" t="str">
        <f>'Population Definitions'!$A$3</f>
        <v>PWID_females</v>
      </c>
      <c r="C549" t="s">
        <v>32</v>
      </c>
      <c r="D549" s="3"/>
      <c r="E549" s="3">
        <v>0.06620071364518113</v>
      </c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  <c r="AA549" s="3"/>
      <c r="AB549" s="3"/>
      <c r="AC549" s="3"/>
      <c r="AD549" s="3"/>
      <c r="AE549" s="3"/>
      <c r="AF549" s="3"/>
      <c r="AG549" s="3"/>
      <c r="AH549" s="3"/>
      <c r="AI549" s="3"/>
      <c r="AJ549" s="3"/>
      <c r="AK549" s="3"/>
      <c r="AL549" s="3"/>
      <c r="AM549" s="3"/>
      <c r="AN549" s="3"/>
      <c r="AO549" s="3"/>
      <c r="AP549" s="3"/>
      <c r="AQ549" s="3"/>
      <c r="AR549" s="3"/>
      <c r="AS549" s="3"/>
      <c r="AT549" s="3"/>
      <c r="AU549" s="3"/>
      <c r="AV549" s="3"/>
      <c r="AW549" s="3"/>
      <c r="AX549" s="3"/>
      <c r="AY549" s="3"/>
      <c r="AZ549" s="3"/>
      <c r="BA549" s="3"/>
      <c r="BB549" s="3"/>
      <c r="BC549" s="3"/>
    </row>
    <row r="550" spans="1:55">
      <c r="A550" s="1" t="str">
        <f>'Population Definitions'!$A$4</f>
        <v>0-9_males</v>
      </c>
      <c r="C550" t="s">
        <v>32</v>
      </c>
      <c r="D550" s="3"/>
      <c r="E550" s="3">
        <v>0</v>
      </c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  <c r="AA550" s="3"/>
      <c r="AB550" s="3"/>
      <c r="AC550" s="3"/>
      <c r="AD550" s="3"/>
      <c r="AE550" s="3"/>
      <c r="AF550" s="3"/>
      <c r="AG550" s="3"/>
      <c r="AH550" s="3"/>
      <c r="AI550" s="3"/>
      <c r="AJ550" s="3"/>
      <c r="AK550" s="3"/>
      <c r="AL550" s="3"/>
      <c r="AM550" s="3"/>
      <c r="AN550" s="3"/>
      <c r="AO550" s="3"/>
      <c r="AP550" s="3"/>
      <c r="AQ550" s="3"/>
      <c r="AR550" s="3"/>
      <c r="AS550" s="3"/>
      <c r="AT550" s="3"/>
      <c r="AU550" s="3"/>
      <c r="AV550" s="3"/>
      <c r="AW550" s="3"/>
      <c r="AX550" s="3"/>
      <c r="AY550" s="3"/>
      <c r="AZ550" s="3"/>
      <c r="BA550" s="3"/>
      <c r="BB550" s="3"/>
      <c r="BC550" s="3"/>
    </row>
    <row r="551" spans="1:55">
      <c r="A551" s="1" t="str">
        <f>'Population Definitions'!$A$5</f>
        <v>0-9_females</v>
      </c>
      <c r="C551" t="s">
        <v>32</v>
      </c>
      <c r="D551" s="3"/>
      <c r="E551" s="3">
        <v>0</v>
      </c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  <c r="AA551" s="3"/>
      <c r="AB551" s="3"/>
      <c r="AC551" s="3"/>
      <c r="AD551" s="3"/>
      <c r="AE551" s="3"/>
      <c r="AF551" s="3"/>
      <c r="AG551" s="3"/>
      <c r="AH551" s="3"/>
      <c r="AI551" s="3"/>
      <c r="AJ551" s="3"/>
      <c r="AK551" s="3"/>
      <c r="AL551" s="3"/>
      <c r="AM551" s="3"/>
      <c r="AN551" s="3"/>
      <c r="AO551" s="3"/>
      <c r="AP551" s="3"/>
      <c r="AQ551" s="3"/>
      <c r="AR551" s="3"/>
      <c r="AS551" s="3"/>
      <c r="AT551" s="3"/>
      <c r="AU551" s="3"/>
      <c r="AV551" s="3"/>
      <c r="AW551" s="3"/>
      <c r="AX551" s="3"/>
      <c r="AY551" s="3"/>
      <c r="AZ551" s="3"/>
      <c r="BA551" s="3"/>
      <c r="BB551" s="3"/>
      <c r="BC551" s="3"/>
    </row>
    <row r="552" spans="1:55">
      <c r="A552" s="1" t="str">
        <f>'Population Definitions'!$A$6</f>
        <v>10-17_males</v>
      </c>
      <c r="C552" t="s">
        <v>32</v>
      </c>
      <c r="D552" s="3"/>
      <c r="E552" s="3">
        <v>0</v>
      </c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  <c r="AA552" s="3"/>
      <c r="AB552" s="3"/>
      <c r="AC552" s="3"/>
      <c r="AD552" s="3"/>
      <c r="AE552" s="3"/>
      <c r="AF552" s="3"/>
      <c r="AG552" s="3"/>
      <c r="AH552" s="3"/>
      <c r="AI552" s="3"/>
      <c r="AJ552" s="3"/>
      <c r="AK552" s="3"/>
      <c r="AL552" s="3"/>
      <c r="AM552" s="3"/>
      <c r="AN552" s="3"/>
      <c r="AO552" s="3"/>
      <c r="AP552" s="3"/>
      <c r="AQ552" s="3"/>
      <c r="AR552" s="3"/>
      <c r="AS552" s="3"/>
      <c r="AT552" s="3"/>
      <c r="AU552" s="3"/>
      <c r="AV552" s="3"/>
      <c r="AW552" s="3"/>
      <c r="AX552" s="3"/>
      <c r="AY552" s="3"/>
      <c r="AZ552" s="3"/>
      <c r="BA552" s="3"/>
      <c r="BB552" s="3"/>
      <c r="BC552" s="3"/>
    </row>
    <row r="553" spans="1:55">
      <c r="A553" s="1" t="str">
        <f>'Population Definitions'!$A$7</f>
        <v>10-17_females</v>
      </c>
      <c r="C553" t="s">
        <v>32</v>
      </c>
      <c r="D553" s="3"/>
      <c r="E553" s="3">
        <v>0</v>
      </c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  <c r="AA553" s="3"/>
      <c r="AB553" s="3"/>
      <c r="AC553" s="3"/>
      <c r="AD553" s="3"/>
      <c r="AE553" s="3"/>
      <c r="AF553" s="3"/>
      <c r="AG553" s="3"/>
      <c r="AH553" s="3"/>
      <c r="AI553" s="3"/>
      <c r="AJ553" s="3"/>
      <c r="AK553" s="3"/>
      <c r="AL553" s="3"/>
      <c r="AM553" s="3"/>
      <c r="AN553" s="3"/>
      <c r="AO553" s="3"/>
      <c r="AP553" s="3"/>
      <c r="AQ553" s="3"/>
      <c r="AR553" s="3"/>
      <c r="AS553" s="3"/>
      <c r="AT553" s="3"/>
      <c r="AU553" s="3"/>
      <c r="AV553" s="3"/>
      <c r="AW553" s="3"/>
      <c r="AX553" s="3"/>
      <c r="AY553" s="3"/>
      <c r="AZ553" s="3"/>
      <c r="BA553" s="3"/>
      <c r="BB553" s="3"/>
      <c r="BC553" s="3"/>
    </row>
    <row r="554" spans="1:55">
      <c r="A554" s="1" t="str">
        <f>'Population Definitions'!$A$8</f>
        <v>18-64_males</v>
      </c>
      <c r="C554" t="s">
        <v>32</v>
      </c>
      <c r="D554" s="3"/>
      <c r="E554" s="3">
        <v>54.37830245406764</v>
      </c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  <c r="AA554" s="3"/>
      <c r="AB554" s="3"/>
      <c r="AC554" s="3"/>
      <c r="AD554" s="3"/>
      <c r="AE554" s="3"/>
      <c r="AF554" s="3"/>
      <c r="AG554" s="3"/>
      <c r="AH554" s="3"/>
      <c r="AI554" s="3"/>
      <c r="AJ554" s="3"/>
      <c r="AK554" s="3"/>
      <c r="AL554" s="3"/>
      <c r="AM554" s="3"/>
      <c r="AN554" s="3"/>
      <c r="AO554" s="3"/>
      <c r="AP554" s="3"/>
      <c r="AQ554" s="3"/>
      <c r="AR554" s="3"/>
      <c r="AS554" s="3"/>
      <c r="AT554" s="3"/>
      <c r="AU554" s="3"/>
      <c r="AV554" s="3"/>
      <c r="AW554" s="3"/>
      <c r="AX554" s="3"/>
      <c r="AY554" s="3"/>
      <c r="AZ554" s="3"/>
      <c r="BA554" s="3"/>
      <c r="BB554" s="3"/>
      <c r="BC554" s="3"/>
    </row>
    <row r="555" spans="1:55">
      <c r="A555" s="1" t="str">
        <f>'Population Definitions'!$A$9</f>
        <v>18-64_females</v>
      </c>
      <c r="C555" t="s">
        <v>32</v>
      </c>
      <c r="D555" s="3"/>
      <c r="E555" s="3">
        <v>59.17286562489363</v>
      </c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  <c r="AA555" s="3"/>
      <c r="AB555" s="3"/>
      <c r="AC555" s="3"/>
      <c r="AD555" s="3"/>
      <c r="AE555" s="3"/>
      <c r="AF555" s="3"/>
      <c r="AG555" s="3"/>
      <c r="AH555" s="3"/>
      <c r="AI555" s="3"/>
      <c r="AJ555" s="3"/>
      <c r="AK555" s="3"/>
      <c r="AL555" s="3"/>
      <c r="AM555" s="3"/>
      <c r="AN555" s="3"/>
      <c r="AO555" s="3"/>
      <c r="AP555" s="3"/>
      <c r="AQ555" s="3"/>
      <c r="AR555" s="3"/>
      <c r="AS555" s="3"/>
      <c r="AT555" s="3"/>
      <c r="AU555" s="3"/>
      <c r="AV555" s="3"/>
      <c r="AW555" s="3"/>
      <c r="AX555" s="3"/>
      <c r="AY555" s="3"/>
      <c r="AZ555" s="3"/>
      <c r="BA555" s="3"/>
      <c r="BB555" s="3"/>
      <c r="BC555" s="3"/>
    </row>
    <row r="556" spans="1:55">
      <c r="A556" s="1" t="str">
        <f>'Population Definitions'!$A$10</f>
        <v>65+_males</v>
      </c>
      <c r="C556" t="s">
        <v>32</v>
      </c>
      <c r="D556" s="3"/>
      <c r="E556" s="3">
        <v>3.236617828367333</v>
      </c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  <c r="AA556" s="3"/>
      <c r="AB556" s="3"/>
      <c r="AC556" s="3"/>
      <c r="AD556" s="3"/>
      <c r="AE556" s="3"/>
      <c r="AF556" s="3"/>
      <c r="AG556" s="3"/>
      <c r="AH556" s="3"/>
      <c r="AI556" s="3"/>
      <c r="AJ556" s="3"/>
      <c r="AK556" s="3"/>
      <c r="AL556" s="3"/>
      <c r="AM556" s="3"/>
      <c r="AN556" s="3"/>
      <c r="AO556" s="3"/>
      <c r="AP556" s="3"/>
      <c r="AQ556" s="3"/>
      <c r="AR556" s="3"/>
      <c r="AS556" s="3"/>
      <c r="AT556" s="3"/>
      <c r="AU556" s="3"/>
      <c r="AV556" s="3"/>
      <c r="AW556" s="3"/>
      <c r="AX556" s="3"/>
      <c r="AY556" s="3"/>
      <c r="AZ556" s="3"/>
      <c r="BA556" s="3"/>
      <c r="BB556" s="3"/>
      <c r="BC556" s="3"/>
    </row>
    <row r="557" spans="1:55">
      <c r="A557" s="1" t="str">
        <f>'Population Definitions'!$A$11</f>
        <v>65+_females</v>
      </c>
      <c r="C557" t="s">
        <v>32</v>
      </c>
      <c r="D557" s="3"/>
      <c r="E557" s="3">
        <v>4.466212464208941</v>
      </c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  <c r="AA557" s="3"/>
      <c r="AB557" s="3"/>
      <c r="AC557" s="3"/>
      <c r="AD557" s="3"/>
      <c r="AE557" s="3"/>
      <c r="AF557" s="3"/>
      <c r="AG557" s="3"/>
      <c r="AH557" s="3"/>
      <c r="AI557" s="3"/>
      <c r="AJ557" s="3"/>
      <c r="AK557" s="3"/>
      <c r="AL557" s="3"/>
      <c r="AM557" s="3"/>
      <c r="AN557" s="3"/>
      <c r="AO557" s="3"/>
      <c r="AP557" s="3"/>
      <c r="AQ557" s="3"/>
      <c r="AR557" s="3"/>
      <c r="AS557" s="3"/>
      <c r="AT557" s="3"/>
      <c r="AU557" s="3"/>
      <c r="AV557" s="3"/>
      <c r="AW557" s="3"/>
      <c r="AX557" s="3"/>
      <c r="AY557" s="3"/>
      <c r="AZ557" s="3"/>
      <c r="BA557" s="3"/>
      <c r="BB557" s="3"/>
      <c r="BC557" s="3"/>
    </row>
    <row r="558" spans="1:55">
      <c r="A558" s="1" t="str">
        <f>'Population Definitions'!$A$12</f>
        <v>Prisoners_males</v>
      </c>
      <c r="C558" t="s">
        <v>32</v>
      </c>
      <c r="D558" s="3"/>
      <c r="E558" s="3">
        <v>0.1194355873671193</v>
      </c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  <c r="AA558" s="3"/>
      <c r="AB558" s="3"/>
      <c r="AC558" s="3"/>
      <c r="AD558" s="3"/>
      <c r="AE558" s="3"/>
      <c r="AF558" s="3"/>
      <c r="AG558" s="3"/>
      <c r="AH558" s="3"/>
      <c r="AI558" s="3"/>
      <c r="AJ558" s="3"/>
      <c r="AK558" s="3"/>
      <c r="AL558" s="3"/>
      <c r="AM558" s="3"/>
      <c r="AN558" s="3"/>
      <c r="AO558" s="3"/>
      <c r="AP558" s="3"/>
      <c r="AQ558" s="3"/>
      <c r="AR558" s="3"/>
      <c r="AS558" s="3"/>
      <c r="AT558" s="3"/>
      <c r="AU558" s="3"/>
      <c r="AV558" s="3"/>
      <c r="AW558" s="3"/>
      <c r="AX558" s="3"/>
      <c r="AY558" s="3"/>
      <c r="AZ558" s="3"/>
      <c r="BA558" s="3"/>
      <c r="BB558" s="3"/>
      <c r="BC558" s="3"/>
    </row>
    <row r="559" spans="1:55">
      <c r="A559" s="1" t="str">
        <f>'Population Definitions'!$A$13</f>
        <v>Prisoners_females</v>
      </c>
      <c r="C559" t="s">
        <v>32</v>
      </c>
      <c r="D559" s="3"/>
      <c r="E559" s="3">
        <v>0.001206420074415348</v>
      </c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  <c r="AA559" s="3"/>
      <c r="AB559" s="3"/>
      <c r="AC559" s="3"/>
      <c r="AD559" s="3"/>
      <c r="AE559" s="3"/>
      <c r="AF559" s="3"/>
      <c r="AG559" s="3"/>
      <c r="AH559" s="3"/>
      <c r="AI559" s="3"/>
      <c r="AJ559" s="3"/>
      <c r="AK559" s="3"/>
      <c r="AL559" s="3"/>
      <c r="AM559" s="3"/>
      <c r="AN559" s="3"/>
      <c r="AO559" s="3"/>
      <c r="AP559" s="3"/>
      <c r="AQ559" s="3"/>
      <c r="AR559" s="3"/>
      <c r="AS559" s="3"/>
      <c r="AT559" s="3"/>
      <c r="AU559" s="3"/>
      <c r="AV559" s="3"/>
      <c r="AW559" s="3"/>
      <c r="AX559" s="3"/>
      <c r="AY559" s="3"/>
      <c r="AZ559" s="3"/>
      <c r="BA559" s="3"/>
      <c r="BB559" s="3"/>
      <c r="BC559" s="3"/>
    </row>
    <row r="561" spans="1:57">
      <c r="A561" s="1" t="s">
        <v>166</v>
      </c>
      <c r="B561" s="1" t="s">
        <v>29</v>
      </c>
      <c r="C561" s="1" t="s">
        <v>30</v>
      </c>
      <c r="D561" s="1" t="s">
        <v>31</v>
      </c>
      <c r="E561" s="1" t="s">
        <v>36</v>
      </c>
      <c r="F561" s="1"/>
      <c r="G561" s="1">
        <v>2000</v>
      </c>
      <c r="H561" s="1">
        <v>2001</v>
      </c>
      <c r="I561" s="1">
        <v>2002</v>
      </c>
      <c r="J561" s="1">
        <v>2003</v>
      </c>
      <c r="K561" s="1">
        <v>2004</v>
      </c>
      <c r="L561" s="1">
        <v>2005</v>
      </c>
      <c r="M561" s="1">
        <v>2006</v>
      </c>
      <c r="N561" s="1">
        <v>2007</v>
      </c>
      <c r="O561" s="1">
        <v>2008</v>
      </c>
      <c r="P561" s="1">
        <v>2009</v>
      </c>
      <c r="Q561" s="1">
        <v>2010</v>
      </c>
      <c r="R561" s="1">
        <v>2011</v>
      </c>
      <c r="S561" s="1">
        <v>2012</v>
      </c>
      <c r="T561" s="1">
        <v>2013</v>
      </c>
      <c r="U561" s="1">
        <v>2014</v>
      </c>
      <c r="V561" s="1">
        <v>2015</v>
      </c>
      <c r="W561" s="1">
        <v>2016</v>
      </c>
      <c r="X561" s="1">
        <v>2017</v>
      </c>
      <c r="Y561" s="1">
        <v>2018</v>
      </c>
      <c r="Z561" s="1">
        <v>2019</v>
      </c>
      <c r="AA561" s="1">
        <v>2020</v>
      </c>
      <c r="AB561" s="1">
        <v>2021</v>
      </c>
      <c r="AC561" s="1">
        <v>2022</v>
      </c>
      <c r="AD561" s="1">
        <v>2023</v>
      </c>
      <c r="AE561" s="1">
        <v>2024</v>
      </c>
      <c r="AF561" s="1">
        <v>2025</v>
      </c>
      <c r="AG561" s="1">
        <v>2026</v>
      </c>
      <c r="AH561" s="1">
        <v>2027</v>
      </c>
      <c r="AI561" s="1">
        <v>2028</v>
      </c>
      <c r="AJ561" s="1">
        <v>2029</v>
      </c>
      <c r="AK561" s="1">
        <v>2030</v>
      </c>
      <c r="AL561" s="1">
        <v>2031</v>
      </c>
      <c r="AM561" s="1">
        <v>2032</v>
      </c>
      <c r="AN561" s="1">
        <v>2033</v>
      </c>
      <c r="AO561" s="1">
        <v>2034</v>
      </c>
      <c r="AP561" s="1">
        <v>2035</v>
      </c>
      <c r="AQ561" s="1">
        <v>2036</v>
      </c>
      <c r="AR561" s="1">
        <v>2037</v>
      </c>
      <c r="AS561" s="1">
        <v>2038</v>
      </c>
      <c r="AT561" s="1">
        <v>2039</v>
      </c>
      <c r="AU561" s="1">
        <v>2040</v>
      </c>
      <c r="AV561" s="1">
        <v>2041</v>
      </c>
      <c r="AW561" s="1">
        <v>2042</v>
      </c>
      <c r="AX561" s="1">
        <v>2043</v>
      </c>
      <c r="AY561" s="1">
        <v>2044</v>
      </c>
      <c r="AZ561" s="1">
        <v>2045</v>
      </c>
      <c r="BA561" s="1">
        <v>2046</v>
      </c>
      <c r="BB561" s="1">
        <v>2047</v>
      </c>
      <c r="BC561" s="1">
        <v>2048</v>
      </c>
      <c r="BD561" s="1">
        <v>2049</v>
      </c>
      <c r="BE561" s="1">
        <v>2050</v>
      </c>
    </row>
    <row r="562" spans="1:57">
      <c r="A562" s="1" t="str">
        <f>'Population Definitions'!$A$2</f>
        <v>PWID_males</v>
      </c>
      <c r="C562" t="s">
        <v>32</v>
      </c>
      <c r="D562" s="3"/>
      <c r="E562" s="3">
        <v>0</v>
      </c>
      <c r="F562" s="4" t="s">
        <v>37</v>
      </c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  <c r="AA562" s="3"/>
      <c r="AB562" s="3"/>
      <c r="AC562" s="3"/>
      <c r="AD562" s="3"/>
      <c r="AE562" s="3"/>
      <c r="AF562" s="3"/>
      <c r="AG562" s="3"/>
      <c r="AH562" s="3"/>
      <c r="AI562" s="3"/>
      <c r="AJ562" s="3"/>
      <c r="AK562" s="3"/>
      <c r="AL562" s="3"/>
      <c r="AM562" s="3"/>
      <c r="AN562" s="3"/>
      <c r="AO562" s="3"/>
      <c r="AP562" s="3"/>
      <c r="AQ562" s="3"/>
      <c r="AR562" s="3"/>
      <c r="AS562" s="3"/>
      <c r="AT562" s="3"/>
      <c r="AU562" s="3"/>
      <c r="AV562" s="3"/>
      <c r="AW562" s="3"/>
      <c r="AX562" s="3"/>
      <c r="AY562" s="3"/>
      <c r="AZ562" s="3"/>
      <c r="BA562" s="3"/>
      <c r="BB562" s="3"/>
      <c r="BC562" s="3"/>
      <c r="BD562" s="3"/>
      <c r="BE562" s="3"/>
    </row>
    <row r="563" spans="1:57">
      <c r="A563" s="1" t="str">
        <f>'Population Definitions'!$A$3</f>
        <v>PWID_females</v>
      </c>
      <c r="C563" t="s">
        <v>32</v>
      </c>
      <c r="D563" s="3"/>
      <c r="E563" s="3">
        <v>0</v>
      </c>
      <c r="F563" s="4" t="s">
        <v>37</v>
      </c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  <c r="AA563" s="3"/>
      <c r="AB563" s="3"/>
      <c r="AC563" s="3"/>
      <c r="AD563" s="3"/>
      <c r="AE563" s="3"/>
      <c r="AF563" s="3"/>
      <c r="AG563" s="3"/>
      <c r="AH563" s="3"/>
      <c r="AI563" s="3"/>
      <c r="AJ563" s="3"/>
      <c r="AK563" s="3"/>
      <c r="AL563" s="3"/>
      <c r="AM563" s="3"/>
      <c r="AN563" s="3"/>
      <c r="AO563" s="3"/>
      <c r="AP563" s="3"/>
      <c r="AQ563" s="3"/>
      <c r="AR563" s="3"/>
      <c r="AS563" s="3"/>
      <c r="AT563" s="3"/>
      <c r="AU563" s="3"/>
      <c r="AV563" s="3"/>
      <c r="AW563" s="3"/>
      <c r="AX563" s="3"/>
      <c r="AY563" s="3"/>
      <c r="AZ563" s="3"/>
      <c r="BA563" s="3"/>
      <c r="BB563" s="3"/>
      <c r="BC563" s="3"/>
      <c r="BD563" s="3"/>
      <c r="BE563" s="3"/>
    </row>
    <row r="564" spans="1:57">
      <c r="A564" s="1" t="str">
        <f>'Population Definitions'!$A$4</f>
        <v>0-9_males</v>
      </c>
      <c r="C564" t="s">
        <v>32</v>
      </c>
      <c r="D564" s="3"/>
      <c r="E564" s="3">
        <v>0</v>
      </c>
      <c r="F564" s="4" t="s">
        <v>37</v>
      </c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  <c r="AA564" s="3"/>
      <c r="AB564" s="3"/>
      <c r="AC564" s="3"/>
      <c r="AD564" s="3"/>
      <c r="AE564" s="3"/>
      <c r="AF564" s="3"/>
      <c r="AG564" s="3"/>
      <c r="AH564" s="3"/>
      <c r="AI564" s="3"/>
      <c r="AJ564" s="3"/>
      <c r="AK564" s="3"/>
      <c r="AL564" s="3"/>
      <c r="AM564" s="3"/>
      <c r="AN564" s="3"/>
      <c r="AO564" s="3"/>
      <c r="AP564" s="3"/>
      <c r="AQ564" s="3"/>
      <c r="AR564" s="3"/>
      <c r="AS564" s="3"/>
      <c r="AT564" s="3"/>
      <c r="AU564" s="3"/>
      <c r="AV564" s="3"/>
      <c r="AW564" s="3"/>
      <c r="AX564" s="3"/>
      <c r="AY564" s="3"/>
      <c r="AZ564" s="3"/>
      <c r="BA564" s="3"/>
      <c r="BB564" s="3"/>
      <c r="BC564" s="3"/>
      <c r="BD564" s="3"/>
      <c r="BE564" s="3"/>
    </row>
    <row r="565" spans="1:57">
      <c r="A565" s="1" t="str">
        <f>'Population Definitions'!$A$5</f>
        <v>0-9_females</v>
      </c>
      <c r="C565" t="s">
        <v>32</v>
      </c>
      <c r="D565" s="3"/>
      <c r="E565" s="3">
        <v>0</v>
      </c>
      <c r="F565" s="4" t="s">
        <v>37</v>
      </c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  <c r="AA565" s="3"/>
      <c r="AB565" s="3"/>
      <c r="AC565" s="3"/>
      <c r="AD565" s="3"/>
      <c r="AE565" s="3"/>
      <c r="AF565" s="3"/>
      <c r="AG565" s="3"/>
      <c r="AH565" s="3"/>
      <c r="AI565" s="3"/>
      <c r="AJ565" s="3"/>
      <c r="AK565" s="3"/>
      <c r="AL565" s="3"/>
      <c r="AM565" s="3"/>
      <c r="AN565" s="3"/>
      <c r="AO565" s="3"/>
      <c r="AP565" s="3"/>
      <c r="AQ565" s="3"/>
      <c r="AR565" s="3"/>
      <c r="AS565" s="3"/>
      <c r="AT565" s="3"/>
      <c r="AU565" s="3"/>
      <c r="AV565" s="3"/>
      <c r="AW565" s="3"/>
      <c r="AX565" s="3"/>
      <c r="AY565" s="3"/>
      <c r="AZ565" s="3"/>
      <c r="BA565" s="3"/>
      <c r="BB565" s="3"/>
      <c r="BC565" s="3"/>
      <c r="BD565" s="3"/>
      <c r="BE565" s="3"/>
    </row>
    <row r="566" spans="1:57">
      <c r="A566" s="1" t="str">
        <f>'Population Definitions'!$A$6</f>
        <v>10-17_males</v>
      </c>
      <c r="C566" t="s">
        <v>32</v>
      </c>
      <c r="D566" s="3"/>
      <c r="E566" s="3">
        <v>0</v>
      </c>
      <c r="F566" s="4" t="s">
        <v>37</v>
      </c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  <c r="AA566" s="3"/>
      <c r="AB566" s="3"/>
      <c r="AC566" s="3"/>
      <c r="AD566" s="3"/>
      <c r="AE566" s="3"/>
      <c r="AF566" s="3"/>
      <c r="AG566" s="3"/>
      <c r="AH566" s="3"/>
      <c r="AI566" s="3"/>
      <c r="AJ566" s="3"/>
      <c r="AK566" s="3"/>
      <c r="AL566" s="3"/>
      <c r="AM566" s="3"/>
      <c r="AN566" s="3"/>
      <c r="AO566" s="3"/>
      <c r="AP566" s="3"/>
      <c r="AQ566" s="3"/>
      <c r="AR566" s="3"/>
      <c r="AS566" s="3"/>
      <c r="AT566" s="3"/>
      <c r="AU566" s="3"/>
      <c r="AV566" s="3"/>
      <c r="AW566" s="3"/>
      <c r="AX566" s="3"/>
      <c r="AY566" s="3"/>
      <c r="AZ566" s="3"/>
      <c r="BA566" s="3"/>
      <c r="BB566" s="3"/>
      <c r="BC566" s="3"/>
      <c r="BD566" s="3"/>
      <c r="BE566" s="3"/>
    </row>
    <row r="567" spans="1:57">
      <c r="A567" s="1" t="str">
        <f>'Population Definitions'!$A$7</f>
        <v>10-17_females</v>
      </c>
      <c r="C567" t="s">
        <v>32</v>
      </c>
      <c r="D567" s="3"/>
      <c r="E567" s="3">
        <v>0</v>
      </c>
      <c r="F567" s="4" t="s">
        <v>37</v>
      </c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  <c r="AA567" s="3"/>
      <c r="AB567" s="3"/>
      <c r="AC567" s="3"/>
      <c r="AD567" s="3"/>
      <c r="AE567" s="3"/>
      <c r="AF567" s="3"/>
      <c r="AG567" s="3"/>
      <c r="AH567" s="3"/>
      <c r="AI567" s="3"/>
      <c r="AJ567" s="3"/>
      <c r="AK567" s="3"/>
      <c r="AL567" s="3"/>
      <c r="AM567" s="3"/>
      <c r="AN567" s="3"/>
      <c r="AO567" s="3"/>
      <c r="AP567" s="3"/>
      <c r="AQ567" s="3"/>
      <c r="AR567" s="3"/>
      <c r="AS567" s="3"/>
      <c r="AT567" s="3"/>
      <c r="AU567" s="3"/>
      <c r="AV567" s="3"/>
      <c r="AW567" s="3"/>
      <c r="AX567" s="3"/>
      <c r="AY567" s="3"/>
      <c r="AZ567" s="3"/>
      <c r="BA567" s="3"/>
      <c r="BB567" s="3"/>
      <c r="BC567" s="3"/>
      <c r="BD567" s="3"/>
      <c r="BE567" s="3"/>
    </row>
    <row r="568" spans="1:57">
      <c r="A568" s="1" t="str">
        <f>'Population Definitions'!$A$8</f>
        <v>18-64_males</v>
      </c>
      <c r="C568" t="s">
        <v>32</v>
      </c>
      <c r="D568" s="3"/>
      <c r="E568" s="3">
        <v>0</v>
      </c>
      <c r="F568" s="4" t="s">
        <v>37</v>
      </c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  <c r="AA568" s="3"/>
      <c r="AB568" s="3"/>
      <c r="AC568" s="3"/>
      <c r="AD568" s="3"/>
      <c r="AE568" s="3"/>
      <c r="AF568" s="3"/>
      <c r="AG568" s="3"/>
      <c r="AH568" s="3"/>
      <c r="AI568" s="3"/>
      <c r="AJ568" s="3"/>
      <c r="AK568" s="3"/>
      <c r="AL568" s="3"/>
      <c r="AM568" s="3"/>
      <c r="AN568" s="3"/>
      <c r="AO568" s="3"/>
      <c r="AP568" s="3"/>
      <c r="AQ568" s="3"/>
      <c r="AR568" s="3"/>
      <c r="AS568" s="3"/>
      <c r="AT568" s="3"/>
      <c r="AU568" s="3"/>
      <c r="AV568" s="3"/>
      <c r="AW568" s="3"/>
      <c r="AX568" s="3"/>
      <c r="AY568" s="3"/>
      <c r="AZ568" s="3"/>
      <c r="BA568" s="3"/>
      <c r="BB568" s="3"/>
      <c r="BC568" s="3"/>
      <c r="BD568" s="3"/>
      <c r="BE568" s="3"/>
    </row>
    <row r="569" spans="1:57">
      <c r="A569" s="1" t="str">
        <f>'Population Definitions'!$A$9</f>
        <v>18-64_females</v>
      </c>
      <c r="C569" t="s">
        <v>32</v>
      </c>
      <c r="D569" s="3"/>
      <c r="E569" s="3">
        <v>0</v>
      </c>
      <c r="F569" s="4" t="s">
        <v>37</v>
      </c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  <c r="AA569" s="3"/>
      <c r="AB569" s="3"/>
      <c r="AC569" s="3"/>
      <c r="AD569" s="3"/>
      <c r="AE569" s="3"/>
      <c r="AF569" s="3"/>
      <c r="AG569" s="3"/>
      <c r="AH569" s="3"/>
      <c r="AI569" s="3"/>
      <c r="AJ569" s="3"/>
      <c r="AK569" s="3"/>
      <c r="AL569" s="3"/>
      <c r="AM569" s="3"/>
      <c r="AN569" s="3"/>
      <c r="AO569" s="3"/>
      <c r="AP569" s="3"/>
      <c r="AQ569" s="3"/>
      <c r="AR569" s="3"/>
      <c r="AS569" s="3"/>
      <c r="AT569" s="3"/>
      <c r="AU569" s="3"/>
      <c r="AV569" s="3"/>
      <c r="AW569" s="3"/>
      <c r="AX569" s="3"/>
      <c r="AY569" s="3"/>
      <c r="AZ569" s="3"/>
      <c r="BA569" s="3"/>
      <c r="BB569" s="3"/>
      <c r="BC569" s="3"/>
      <c r="BD569" s="3"/>
      <c r="BE569" s="3"/>
    </row>
    <row r="570" spans="1:57">
      <c r="A570" s="1" t="str">
        <f>'Population Definitions'!$A$10</f>
        <v>65+_males</v>
      </c>
      <c r="C570" t="s">
        <v>32</v>
      </c>
      <c r="D570" s="3"/>
      <c r="E570" s="3">
        <v>0</v>
      </c>
      <c r="F570" s="4" t="s">
        <v>37</v>
      </c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  <c r="AA570" s="3"/>
      <c r="AB570" s="3"/>
      <c r="AC570" s="3"/>
      <c r="AD570" s="3"/>
      <c r="AE570" s="3"/>
      <c r="AF570" s="3"/>
      <c r="AG570" s="3"/>
      <c r="AH570" s="3"/>
      <c r="AI570" s="3"/>
      <c r="AJ570" s="3"/>
      <c r="AK570" s="3"/>
      <c r="AL570" s="3"/>
      <c r="AM570" s="3"/>
      <c r="AN570" s="3"/>
      <c r="AO570" s="3"/>
      <c r="AP570" s="3"/>
      <c r="AQ570" s="3"/>
      <c r="AR570" s="3"/>
      <c r="AS570" s="3"/>
      <c r="AT570" s="3"/>
      <c r="AU570" s="3"/>
      <c r="AV570" s="3"/>
      <c r="AW570" s="3"/>
      <c r="AX570" s="3"/>
      <c r="AY570" s="3"/>
      <c r="AZ570" s="3"/>
      <c r="BA570" s="3"/>
      <c r="BB570" s="3"/>
      <c r="BC570" s="3"/>
      <c r="BD570" s="3"/>
      <c r="BE570" s="3"/>
    </row>
    <row r="571" spans="1:57">
      <c r="A571" s="1" t="str">
        <f>'Population Definitions'!$A$11</f>
        <v>65+_females</v>
      </c>
      <c r="C571" t="s">
        <v>32</v>
      </c>
      <c r="D571" s="3"/>
      <c r="E571" s="3">
        <v>0</v>
      </c>
      <c r="F571" s="4" t="s">
        <v>37</v>
      </c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  <c r="AA571" s="3"/>
      <c r="AB571" s="3"/>
      <c r="AC571" s="3"/>
      <c r="AD571" s="3"/>
      <c r="AE571" s="3"/>
      <c r="AF571" s="3"/>
      <c r="AG571" s="3"/>
      <c r="AH571" s="3"/>
      <c r="AI571" s="3"/>
      <c r="AJ571" s="3"/>
      <c r="AK571" s="3"/>
      <c r="AL571" s="3"/>
      <c r="AM571" s="3"/>
      <c r="AN571" s="3"/>
      <c r="AO571" s="3"/>
      <c r="AP571" s="3"/>
      <c r="AQ571" s="3"/>
      <c r="AR571" s="3"/>
      <c r="AS571" s="3"/>
      <c r="AT571" s="3"/>
      <c r="AU571" s="3"/>
      <c r="AV571" s="3"/>
      <c r="AW571" s="3"/>
      <c r="AX571" s="3"/>
      <c r="AY571" s="3"/>
      <c r="AZ571" s="3"/>
      <c r="BA571" s="3"/>
      <c r="BB571" s="3"/>
      <c r="BC571" s="3"/>
      <c r="BD571" s="3"/>
      <c r="BE571" s="3"/>
    </row>
    <row r="572" spans="1:57">
      <c r="A572" s="1" t="str">
        <f>'Population Definitions'!$A$12</f>
        <v>Prisoners_males</v>
      </c>
      <c r="C572" t="s">
        <v>32</v>
      </c>
      <c r="D572" s="3"/>
      <c r="E572" s="3">
        <v>0</v>
      </c>
      <c r="F572" s="4" t="s">
        <v>37</v>
      </c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  <c r="AA572" s="3"/>
      <c r="AB572" s="3"/>
      <c r="AC572" s="3"/>
      <c r="AD572" s="3"/>
      <c r="AE572" s="3"/>
      <c r="AF572" s="3"/>
      <c r="AG572" s="3"/>
      <c r="AH572" s="3"/>
      <c r="AI572" s="3"/>
      <c r="AJ572" s="3"/>
      <c r="AK572" s="3"/>
      <c r="AL572" s="3"/>
      <c r="AM572" s="3"/>
      <c r="AN572" s="3"/>
      <c r="AO572" s="3"/>
      <c r="AP572" s="3"/>
      <c r="AQ572" s="3"/>
      <c r="AR572" s="3"/>
      <c r="AS572" s="3"/>
      <c r="AT572" s="3"/>
      <c r="AU572" s="3"/>
      <c r="AV572" s="3"/>
      <c r="AW572" s="3"/>
      <c r="AX572" s="3"/>
      <c r="AY572" s="3"/>
      <c r="AZ572" s="3"/>
      <c r="BA572" s="3"/>
      <c r="BB572" s="3"/>
      <c r="BC572" s="3"/>
      <c r="BD572" s="3"/>
      <c r="BE572" s="3"/>
    </row>
    <row r="573" spans="1:57">
      <c r="A573" s="1" t="str">
        <f>'Population Definitions'!$A$13</f>
        <v>Prisoners_females</v>
      </c>
      <c r="C573" t="s">
        <v>32</v>
      </c>
      <c r="D573" s="3"/>
      <c r="E573" s="3">
        <v>0</v>
      </c>
      <c r="F573" s="4" t="s">
        <v>37</v>
      </c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  <c r="AA573" s="3"/>
      <c r="AB573" s="3"/>
      <c r="AC573" s="3"/>
      <c r="AD573" s="3"/>
      <c r="AE573" s="3"/>
      <c r="AF573" s="3"/>
      <c r="AG573" s="3"/>
      <c r="AH573" s="3"/>
      <c r="AI573" s="3"/>
      <c r="AJ573" s="3"/>
      <c r="AK573" s="3"/>
      <c r="AL573" s="3"/>
      <c r="AM573" s="3"/>
      <c r="AN573" s="3"/>
      <c r="AO573" s="3"/>
      <c r="AP573" s="3"/>
      <c r="AQ573" s="3"/>
      <c r="AR573" s="3"/>
      <c r="AS573" s="3"/>
      <c r="AT573" s="3"/>
      <c r="AU573" s="3"/>
      <c r="AV573" s="3"/>
      <c r="AW573" s="3"/>
      <c r="AX573" s="3"/>
      <c r="AY573" s="3"/>
      <c r="AZ573" s="3"/>
      <c r="BA573" s="3"/>
      <c r="BB573" s="3"/>
      <c r="BC573" s="3"/>
      <c r="BD573" s="3"/>
      <c r="BE573" s="3"/>
    </row>
    <row r="575" spans="1:57">
      <c r="A575" s="1" t="s">
        <v>167</v>
      </c>
      <c r="B575" s="1" t="s">
        <v>29</v>
      </c>
      <c r="C575" s="1" t="s">
        <v>30</v>
      </c>
      <c r="D575" s="1" t="s">
        <v>31</v>
      </c>
      <c r="E575" s="1">
        <v>2000</v>
      </c>
      <c r="F575" s="1">
        <v>2001</v>
      </c>
      <c r="G575" s="1">
        <v>2002</v>
      </c>
      <c r="H575" s="1">
        <v>2003</v>
      </c>
      <c r="I575" s="1">
        <v>2004</v>
      </c>
      <c r="J575" s="1">
        <v>2005</v>
      </c>
      <c r="K575" s="1">
        <v>2006</v>
      </c>
      <c r="L575" s="1">
        <v>2007</v>
      </c>
      <c r="M575" s="1">
        <v>2008</v>
      </c>
      <c r="N575" s="1">
        <v>2009</v>
      </c>
      <c r="O575" s="1">
        <v>2010</v>
      </c>
      <c r="P575" s="1">
        <v>2011</v>
      </c>
      <c r="Q575" s="1">
        <v>2012</v>
      </c>
      <c r="R575" s="1">
        <v>2013</v>
      </c>
      <c r="S575" s="1">
        <v>2014</v>
      </c>
      <c r="T575" s="1">
        <v>2015</v>
      </c>
      <c r="U575" s="1">
        <v>2016</v>
      </c>
      <c r="V575" s="1">
        <v>2017</v>
      </c>
      <c r="W575" s="1">
        <v>2018</v>
      </c>
      <c r="X575" s="1">
        <v>2019</v>
      </c>
      <c r="Y575" s="1">
        <v>2020</v>
      </c>
      <c r="Z575" s="1">
        <v>2021</v>
      </c>
      <c r="AA575" s="1">
        <v>2022</v>
      </c>
      <c r="AB575" s="1">
        <v>2023</v>
      </c>
      <c r="AC575" s="1">
        <v>2024</v>
      </c>
      <c r="AD575" s="1">
        <v>2025</v>
      </c>
      <c r="AE575" s="1">
        <v>2026</v>
      </c>
      <c r="AF575" s="1">
        <v>2027</v>
      </c>
      <c r="AG575" s="1">
        <v>2028</v>
      </c>
      <c r="AH575" s="1">
        <v>2029</v>
      </c>
      <c r="AI575" s="1">
        <v>2030</v>
      </c>
      <c r="AJ575" s="1">
        <v>2031</v>
      </c>
      <c r="AK575" s="1">
        <v>2032</v>
      </c>
      <c r="AL575" s="1">
        <v>2033</v>
      </c>
      <c r="AM575" s="1">
        <v>2034</v>
      </c>
      <c r="AN575" s="1">
        <v>2035</v>
      </c>
      <c r="AO575" s="1">
        <v>2036</v>
      </c>
      <c r="AP575" s="1">
        <v>2037</v>
      </c>
      <c r="AQ575" s="1">
        <v>2038</v>
      </c>
      <c r="AR575" s="1">
        <v>2039</v>
      </c>
      <c r="AS575" s="1">
        <v>2040</v>
      </c>
      <c r="AT575" s="1">
        <v>2041</v>
      </c>
      <c r="AU575" s="1">
        <v>2042</v>
      </c>
      <c r="AV575" s="1">
        <v>2043</v>
      </c>
      <c r="AW575" s="1">
        <v>2044</v>
      </c>
      <c r="AX575" s="1">
        <v>2045</v>
      </c>
      <c r="AY575" s="1">
        <v>2046</v>
      </c>
      <c r="AZ575" s="1">
        <v>2047</v>
      </c>
      <c r="BA575" s="1">
        <v>2048</v>
      </c>
      <c r="BB575" s="1">
        <v>2049</v>
      </c>
      <c r="BC575" s="1">
        <v>2050</v>
      </c>
    </row>
    <row r="576" spans="1:57">
      <c r="A576" s="1" t="str">
        <f>'Population Definitions'!$A$2</f>
        <v>PWID_males</v>
      </c>
      <c r="C576" t="s">
        <v>32</v>
      </c>
      <c r="D576" s="3"/>
      <c r="E576" s="3">
        <v>0</v>
      </c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  <c r="AA576" s="3"/>
      <c r="AB576" s="3"/>
      <c r="AC576" s="3"/>
      <c r="AD576" s="3"/>
      <c r="AE576" s="3"/>
      <c r="AF576" s="3"/>
      <c r="AG576" s="3"/>
      <c r="AH576" s="3"/>
      <c r="AI576" s="3"/>
      <c r="AJ576" s="3"/>
      <c r="AK576" s="3"/>
      <c r="AL576" s="3"/>
      <c r="AM576" s="3"/>
      <c r="AN576" s="3"/>
      <c r="AO576" s="3"/>
      <c r="AP576" s="3"/>
      <c r="AQ576" s="3"/>
      <c r="AR576" s="3"/>
      <c r="AS576" s="3"/>
      <c r="AT576" s="3"/>
      <c r="AU576" s="3"/>
      <c r="AV576" s="3"/>
      <c r="AW576" s="3"/>
      <c r="AX576" s="3"/>
      <c r="AY576" s="3"/>
      <c r="AZ576" s="3"/>
      <c r="BA576" s="3"/>
      <c r="BB576" s="3"/>
      <c r="BC576" s="3"/>
    </row>
    <row r="577" spans="1:55">
      <c r="A577" s="1" t="str">
        <f>'Population Definitions'!$A$3</f>
        <v>PWID_females</v>
      </c>
      <c r="C577" t="s">
        <v>32</v>
      </c>
      <c r="D577" s="3"/>
      <c r="E577" s="3">
        <v>0</v>
      </c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  <c r="AA577" s="3"/>
      <c r="AB577" s="3"/>
      <c r="AC577" s="3"/>
      <c r="AD577" s="3"/>
      <c r="AE577" s="3"/>
      <c r="AF577" s="3"/>
      <c r="AG577" s="3"/>
      <c r="AH577" s="3"/>
      <c r="AI577" s="3"/>
      <c r="AJ577" s="3"/>
      <c r="AK577" s="3"/>
      <c r="AL577" s="3"/>
      <c r="AM577" s="3"/>
      <c r="AN577" s="3"/>
      <c r="AO577" s="3"/>
      <c r="AP577" s="3"/>
      <c r="AQ577" s="3"/>
      <c r="AR577" s="3"/>
      <c r="AS577" s="3"/>
      <c r="AT577" s="3"/>
      <c r="AU577" s="3"/>
      <c r="AV577" s="3"/>
      <c r="AW577" s="3"/>
      <c r="AX577" s="3"/>
      <c r="AY577" s="3"/>
      <c r="AZ577" s="3"/>
      <c r="BA577" s="3"/>
      <c r="BB577" s="3"/>
      <c r="BC577" s="3"/>
    </row>
    <row r="578" spans="1:55">
      <c r="A578" s="1" t="str">
        <f>'Population Definitions'!$A$4</f>
        <v>0-9_males</v>
      </c>
      <c r="C578" t="s">
        <v>32</v>
      </c>
      <c r="D578" s="3"/>
      <c r="E578" s="3">
        <v>0</v>
      </c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  <c r="AA578" s="3"/>
      <c r="AB578" s="3"/>
      <c r="AC578" s="3"/>
      <c r="AD578" s="3"/>
      <c r="AE578" s="3"/>
      <c r="AF578" s="3"/>
      <c r="AG578" s="3"/>
      <c r="AH578" s="3"/>
      <c r="AI578" s="3"/>
      <c r="AJ578" s="3"/>
      <c r="AK578" s="3"/>
      <c r="AL578" s="3"/>
      <c r="AM578" s="3"/>
      <c r="AN578" s="3"/>
      <c r="AO578" s="3"/>
      <c r="AP578" s="3"/>
      <c r="AQ578" s="3"/>
      <c r="AR578" s="3"/>
      <c r="AS578" s="3"/>
      <c r="AT578" s="3"/>
      <c r="AU578" s="3"/>
      <c r="AV578" s="3"/>
      <c r="AW578" s="3"/>
      <c r="AX578" s="3"/>
      <c r="AY578" s="3"/>
      <c r="AZ578" s="3"/>
      <c r="BA578" s="3"/>
      <c r="BB578" s="3"/>
      <c r="BC578" s="3"/>
    </row>
    <row r="579" spans="1:55">
      <c r="A579" s="1" t="str">
        <f>'Population Definitions'!$A$5</f>
        <v>0-9_females</v>
      </c>
      <c r="C579" t="s">
        <v>32</v>
      </c>
      <c r="D579" s="3"/>
      <c r="E579" s="3">
        <v>0</v>
      </c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  <c r="AA579" s="3"/>
      <c r="AB579" s="3"/>
      <c r="AC579" s="3"/>
      <c r="AD579" s="3"/>
      <c r="AE579" s="3"/>
      <c r="AF579" s="3"/>
      <c r="AG579" s="3"/>
      <c r="AH579" s="3"/>
      <c r="AI579" s="3"/>
      <c r="AJ579" s="3"/>
      <c r="AK579" s="3"/>
      <c r="AL579" s="3"/>
      <c r="AM579" s="3"/>
      <c r="AN579" s="3"/>
      <c r="AO579" s="3"/>
      <c r="AP579" s="3"/>
      <c r="AQ579" s="3"/>
      <c r="AR579" s="3"/>
      <c r="AS579" s="3"/>
      <c r="AT579" s="3"/>
      <c r="AU579" s="3"/>
      <c r="AV579" s="3"/>
      <c r="AW579" s="3"/>
      <c r="AX579" s="3"/>
      <c r="AY579" s="3"/>
      <c r="AZ579" s="3"/>
      <c r="BA579" s="3"/>
      <c r="BB579" s="3"/>
      <c r="BC579" s="3"/>
    </row>
    <row r="580" spans="1:55">
      <c r="A580" s="1" t="str">
        <f>'Population Definitions'!$A$6</f>
        <v>10-17_males</v>
      </c>
      <c r="C580" t="s">
        <v>32</v>
      </c>
      <c r="D580" s="3"/>
      <c r="E580" s="3">
        <v>0</v>
      </c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  <c r="AA580" s="3"/>
      <c r="AB580" s="3"/>
      <c r="AC580" s="3"/>
      <c r="AD580" s="3"/>
      <c r="AE580" s="3"/>
      <c r="AF580" s="3"/>
      <c r="AG580" s="3"/>
      <c r="AH580" s="3"/>
      <c r="AI580" s="3"/>
      <c r="AJ580" s="3"/>
      <c r="AK580" s="3"/>
      <c r="AL580" s="3"/>
      <c r="AM580" s="3"/>
      <c r="AN580" s="3"/>
      <c r="AO580" s="3"/>
      <c r="AP580" s="3"/>
      <c r="AQ580" s="3"/>
      <c r="AR580" s="3"/>
      <c r="AS580" s="3"/>
      <c r="AT580" s="3"/>
      <c r="AU580" s="3"/>
      <c r="AV580" s="3"/>
      <c r="AW580" s="3"/>
      <c r="AX580" s="3"/>
      <c r="AY580" s="3"/>
      <c r="AZ580" s="3"/>
      <c r="BA580" s="3"/>
      <c r="BB580" s="3"/>
      <c r="BC580" s="3"/>
    </row>
    <row r="581" spans="1:55">
      <c r="A581" s="1" t="str">
        <f>'Population Definitions'!$A$7</f>
        <v>10-17_females</v>
      </c>
      <c r="C581" t="s">
        <v>32</v>
      </c>
      <c r="D581" s="3"/>
      <c r="E581" s="3">
        <v>0</v>
      </c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  <c r="AA581" s="3"/>
      <c r="AB581" s="3"/>
      <c r="AC581" s="3"/>
      <c r="AD581" s="3"/>
      <c r="AE581" s="3"/>
      <c r="AF581" s="3"/>
      <c r="AG581" s="3"/>
      <c r="AH581" s="3"/>
      <c r="AI581" s="3"/>
      <c r="AJ581" s="3"/>
      <c r="AK581" s="3"/>
      <c r="AL581" s="3"/>
      <c r="AM581" s="3"/>
      <c r="AN581" s="3"/>
      <c r="AO581" s="3"/>
      <c r="AP581" s="3"/>
      <c r="AQ581" s="3"/>
      <c r="AR581" s="3"/>
      <c r="AS581" s="3"/>
      <c r="AT581" s="3"/>
      <c r="AU581" s="3"/>
      <c r="AV581" s="3"/>
      <c r="AW581" s="3"/>
      <c r="AX581" s="3"/>
      <c r="AY581" s="3"/>
      <c r="AZ581" s="3"/>
      <c r="BA581" s="3"/>
      <c r="BB581" s="3"/>
      <c r="BC581" s="3"/>
    </row>
    <row r="582" spans="1:55">
      <c r="A582" s="1" t="str">
        <f>'Population Definitions'!$A$8</f>
        <v>18-64_males</v>
      </c>
      <c r="C582" t="s">
        <v>32</v>
      </c>
      <c r="D582" s="3"/>
      <c r="E582" s="3">
        <v>0</v>
      </c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  <c r="AA582" s="3"/>
      <c r="AB582" s="3"/>
      <c r="AC582" s="3"/>
      <c r="AD582" s="3"/>
      <c r="AE582" s="3"/>
      <c r="AF582" s="3"/>
      <c r="AG582" s="3"/>
      <c r="AH582" s="3"/>
      <c r="AI582" s="3"/>
      <c r="AJ582" s="3"/>
      <c r="AK582" s="3"/>
      <c r="AL582" s="3"/>
      <c r="AM582" s="3"/>
      <c r="AN582" s="3"/>
      <c r="AO582" s="3"/>
      <c r="AP582" s="3"/>
      <c r="AQ582" s="3"/>
      <c r="AR582" s="3"/>
      <c r="AS582" s="3"/>
      <c r="AT582" s="3"/>
      <c r="AU582" s="3"/>
      <c r="AV582" s="3"/>
      <c r="AW582" s="3"/>
      <c r="AX582" s="3"/>
      <c r="AY582" s="3"/>
      <c r="AZ582" s="3"/>
      <c r="BA582" s="3"/>
      <c r="BB582" s="3"/>
      <c r="BC582" s="3"/>
    </row>
    <row r="583" spans="1:55">
      <c r="A583" s="1" t="str">
        <f>'Population Definitions'!$A$9</f>
        <v>18-64_females</v>
      </c>
      <c r="C583" t="s">
        <v>32</v>
      </c>
      <c r="D583" s="3"/>
      <c r="E583" s="3">
        <v>0</v>
      </c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  <c r="AA583" s="3"/>
      <c r="AB583" s="3"/>
      <c r="AC583" s="3"/>
      <c r="AD583" s="3"/>
      <c r="AE583" s="3"/>
      <c r="AF583" s="3"/>
      <c r="AG583" s="3"/>
      <c r="AH583" s="3"/>
      <c r="AI583" s="3"/>
      <c r="AJ583" s="3"/>
      <c r="AK583" s="3"/>
      <c r="AL583" s="3"/>
      <c r="AM583" s="3"/>
      <c r="AN583" s="3"/>
      <c r="AO583" s="3"/>
      <c r="AP583" s="3"/>
      <c r="AQ583" s="3"/>
      <c r="AR583" s="3"/>
      <c r="AS583" s="3"/>
      <c r="AT583" s="3"/>
      <c r="AU583" s="3"/>
      <c r="AV583" s="3"/>
      <c r="AW583" s="3"/>
      <c r="AX583" s="3"/>
      <c r="AY583" s="3"/>
      <c r="AZ583" s="3"/>
      <c r="BA583" s="3"/>
      <c r="BB583" s="3"/>
      <c r="BC583" s="3"/>
    </row>
    <row r="584" spans="1:55">
      <c r="A584" s="1" t="str">
        <f>'Population Definitions'!$A$10</f>
        <v>65+_males</v>
      </c>
      <c r="C584" t="s">
        <v>32</v>
      </c>
      <c r="D584" s="3"/>
      <c r="E584" s="3">
        <v>0</v>
      </c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  <c r="AA584" s="3"/>
      <c r="AB584" s="3"/>
      <c r="AC584" s="3"/>
      <c r="AD584" s="3"/>
      <c r="AE584" s="3"/>
      <c r="AF584" s="3"/>
      <c r="AG584" s="3"/>
      <c r="AH584" s="3"/>
      <c r="AI584" s="3"/>
      <c r="AJ584" s="3"/>
      <c r="AK584" s="3"/>
      <c r="AL584" s="3"/>
      <c r="AM584" s="3"/>
      <c r="AN584" s="3"/>
      <c r="AO584" s="3"/>
      <c r="AP584" s="3"/>
      <c r="AQ584" s="3"/>
      <c r="AR584" s="3"/>
      <c r="AS584" s="3"/>
      <c r="AT584" s="3"/>
      <c r="AU584" s="3"/>
      <c r="AV584" s="3"/>
      <c r="AW584" s="3"/>
      <c r="AX584" s="3"/>
      <c r="AY584" s="3"/>
      <c r="AZ584" s="3"/>
      <c r="BA584" s="3"/>
      <c r="BB584" s="3"/>
      <c r="BC584" s="3"/>
    </row>
    <row r="585" spans="1:55">
      <c r="A585" s="1" t="str">
        <f>'Population Definitions'!$A$11</f>
        <v>65+_females</v>
      </c>
      <c r="C585" t="s">
        <v>32</v>
      </c>
      <c r="D585" s="3"/>
      <c r="E585" s="3">
        <v>0</v>
      </c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  <c r="AA585" s="3"/>
      <c r="AB585" s="3"/>
      <c r="AC585" s="3"/>
      <c r="AD585" s="3"/>
      <c r="AE585" s="3"/>
      <c r="AF585" s="3"/>
      <c r="AG585" s="3"/>
      <c r="AH585" s="3"/>
      <c r="AI585" s="3"/>
      <c r="AJ585" s="3"/>
      <c r="AK585" s="3"/>
      <c r="AL585" s="3"/>
      <c r="AM585" s="3"/>
      <c r="AN585" s="3"/>
      <c r="AO585" s="3"/>
      <c r="AP585" s="3"/>
      <c r="AQ585" s="3"/>
      <c r="AR585" s="3"/>
      <c r="AS585" s="3"/>
      <c r="AT585" s="3"/>
      <c r="AU585" s="3"/>
      <c r="AV585" s="3"/>
      <c r="AW585" s="3"/>
      <c r="AX585" s="3"/>
      <c r="AY585" s="3"/>
      <c r="AZ585" s="3"/>
      <c r="BA585" s="3"/>
      <c r="BB585" s="3"/>
      <c r="BC585" s="3"/>
    </row>
    <row r="586" spans="1:55">
      <c r="A586" s="1" t="str">
        <f>'Population Definitions'!$A$12</f>
        <v>Prisoners_males</v>
      </c>
      <c r="C586" t="s">
        <v>32</v>
      </c>
      <c r="D586" s="3"/>
      <c r="E586" s="3">
        <v>0</v>
      </c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  <c r="AA586" s="3"/>
      <c r="AB586" s="3"/>
      <c r="AC586" s="3"/>
      <c r="AD586" s="3"/>
      <c r="AE586" s="3"/>
      <c r="AF586" s="3"/>
      <c r="AG586" s="3"/>
      <c r="AH586" s="3"/>
      <c r="AI586" s="3"/>
      <c r="AJ586" s="3"/>
      <c r="AK586" s="3"/>
      <c r="AL586" s="3"/>
      <c r="AM586" s="3"/>
      <c r="AN586" s="3"/>
      <c r="AO586" s="3"/>
      <c r="AP586" s="3"/>
      <c r="AQ586" s="3"/>
      <c r="AR586" s="3"/>
      <c r="AS586" s="3"/>
      <c r="AT586" s="3"/>
      <c r="AU586" s="3"/>
      <c r="AV586" s="3"/>
      <c r="AW586" s="3"/>
      <c r="AX586" s="3"/>
      <c r="AY586" s="3"/>
      <c r="AZ586" s="3"/>
      <c r="BA586" s="3"/>
      <c r="BB586" s="3"/>
      <c r="BC586" s="3"/>
    </row>
    <row r="587" spans="1:55">
      <c r="A587" s="1" t="str">
        <f>'Population Definitions'!$A$13</f>
        <v>Prisoners_females</v>
      </c>
      <c r="C587" t="s">
        <v>32</v>
      </c>
      <c r="D587" s="3"/>
      <c r="E587" s="3">
        <v>0</v>
      </c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  <c r="AA587" s="3"/>
      <c r="AB587" s="3"/>
      <c r="AC587" s="3"/>
      <c r="AD587" s="3"/>
      <c r="AE587" s="3"/>
      <c r="AF587" s="3"/>
      <c r="AG587" s="3"/>
      <c r="AH587" s="3"/>
      <c r="AI587" s="3"/>
      <c r="AJ587" s="3"/>
      <c r="AK587" s="3"/>
      <c r="AL587" s="3"/>
      <c r="AM587" s="3"/>
      <c r="AN587" s="3"/>
      <c r="AO587" s="3"/>
      <c r="AP587" s="3"/>
      <c r="AQ587" s="3"/>
      <c r="AR587" s="3"/>
      <c r="AS587" s="3"/>
      <c r="AT587" s="3"/>
      <c r="AU587" s="3"/>
      <c r="AV587" s="3"/>
      <c r="AW587" s="3"/>
      <c r="AX587" s="3"/>
      <c r="AY587" s="3"/>
      <c r="AZ587" s="3"/>
      <c r="BA587" s="3"/>
      <c r="BB587" s="3"/>
      <c r="BC587" s="3"/>
    </row>
    <row r="589" spans="1:55">
      <c r="A589" s="1" t="s">
        <v>168</v>
      </c>
      <c r="B589" s="1" t="s">
        <v>29</v>
      </c>
      <c r="C589" s="1" t="s">
        <v>30</v>
      </c>
      <c r="D589" s="1" t="s">
        <v>31</v>
      </c>
      <c r="E589" s="1">
        <v>2000</v>
      </c>
      <c r="F589" s="1">
        <v>2001</v>
      </c>
      <c r="G589" s="1">
        <v>2002</v>
      </c>
      <c r="H589" s="1">
        <v>2003</v>
      </c>
      <c r="I589" s="1">
        <v>2004</v>
      </c>
      <c r="J589" s="1">
        <v>2005</v>
      </c>
      <c r="K589" s="1">
        <v>2006</v>
      </c>
      <c r="L589" s="1">
        <v>2007</v>
      </c>
      <c r="M589" s="1">
        <v>2008</v>
      </c>
      <c r="N589" s="1">
        <v>2009</v>
      </c>
      <c r="O589" s="1">
        <v>2010</v>
      </c>
      <c r="P589" s="1">
        <v>2011</v>
      </c>
      <c r="Q589" s="1">
        <v>2012</v>
      </c>
      <c r="R589" s="1">
        <v>2013</v>
      </c>
      <c r="S589" s="1">
        <v>2014</v>
      </c>
      <c r="T589" s="1">
        <v>2015</v>
      </c>
      <c r="U589" s="1">
        <v>2016</v>
      </c>
      <c r="V589" s="1">
        <v>2017</v>
      </c>
      <c r="W589" s="1">
        <v>2018</v>
      </c>
      <c r="X589" s="1">
        <v>2019</v>
      </c>
      <c r="Y589" s="1">
        <v>2020</v>
      </c>
      <c r="Z589" s="1">
        <v>2021</v>
      </c>
      <c r="AA589" s="1">
        <v>2022</v>
      </c>
      <c r="AB589" s="1">
        <v>2023</v>
      </c>
      <c r="AC589" s="1">
        <v>2024</v>
      </c>
      <c r="AD589" s="1">
        <v>2025</v>
      </c>
      <c r="AE589" s="1">
        <v>2026</v>
      </c>
      <c r="AF589" s="1">
        <v>2027</v>
      </c>
      <c r="AG589" s="1">
        <v>2028</v>
      </c>
      <c r="AH589" s="1">
        <v>2029</v>
      </c>
      <c r="AI589" s="1">
        <v>2030</v>
      </c>
      <c r="AJ589" s="1">
        <v>2031</v>
      </c>
      <c r="AK589" s="1">
        <v>2032</v>
      </c>
      <c r="AL589" s="1">
        <v>2033</v>
      </c>
      <c r="AM589" s="1">
        <v>2034</v>
      </c>
      <c r="AN589" s="1">
        <v>2035</v>
      </c>
      <c r="AO589" s="1">
        <v>2036</v>
      </c>
      <c r="AP589" s="1">
        <v>2037</v>
      </c>
      <c r="AQ589" s="1">
        <v>2038</v>
      </c>
      <c r="AR589" s="1">
        <v>2039</v>
      </c>
      <c r="AS589" s="1">
        <v>2040</v>
      </c>
      <c r="AT589" s="1">
        <v>2041</v>
      </c>
      <c r="AU589" s="1">
        <v>2042</v>
      </c>
      <c r="AV589" s="1">
        <v>2043</v>
      </c>
      <c r="AW589" s="1">
        <v>2044</v>
      </c>
      <c r="AX589" s="1">
        <v>2045</v>
      </c>
      <c r="AY589" s="1">
        <v>2046</v>
      </c>
      <c r="AZ589" s="1">
        <v>2047</v>
      </c>
      <c r="BA589" s="1">
        <v>2048</v>
      </c>
      <c r="BB589" s="1">
        <v>2049</v>
      </c>
      <c r="BC589" s="1">
        <v>2050</v>
      </c>
    </row>
    <row r="590" spans="1:55">
      <c r="A590" s="1" t="str">
        <f>'Population Definitions'!$A$2</f>
        <v>PWID_males</v>
      </c>
      <c r="C590" t="s">
        <v>32</v>
      </c>
      <c r="D590" s="3"/>
      <c r="E590" s="3">
        <v>0</v>
      </c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  <c r="AA590" s="3"/>
      <c r="AB590" s="3"/>
      <c r="AC590" s="3"/>
      <c r="AD590" s="3"/>
      <c r="AE590" s="3"/>
      <c r="AF590" s="3"/>
      <c r="AG590" s="3"/>
      <c r="AH590" s="3"/>
      <c r="AI590" s="3"/>
      <c r="AJ590" s="3"/>
      <c r="AK590" s="3"/>
      <c r="AL590" s="3"/>
      <c r="AM590" s="3"/>
      <c r="AN590" s="3"/>
      <c r="AO590" s="3"/>
      <c r="AP590" s="3"/>
      <c r="AQ590" s="3"/>
      <c r="AR590" s="3"/>
      <c r="AS590" s="3"/>
      <c r="AT590" s="3"/>
      <c r="AU590" s="3"/>
      <c r="AV590" s="3"/>
      <c r="AW590" s="3"/>
      <c r="AX590" s="3"/>
      <c r="AY590" s="3"/>
      <c r="AZ590" s="3"/>
      <c r="BA590" s="3"/>
      <c r="BB590" s="3"/>
      <c r="BC590" s="3"/>
    </row>
    <row r="591" spans="1:55">
      <c r="A591" s="1" t="str">
        <f>'Population Definitions'!$A$3</f>
        <v>PWID_females</v>
      </c>
      <c r="C591" t="s">
        <v>32</v>
      </c>
      <c r="D591" s="3"/>
      <c r="E591" s="3">
        <v>0</v>
      </c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  <c r="AA591" s="3"/>
      <c r="AB591" s="3"/>
      <c r="AC591" s="3"/>
      <c r="AD591" s="3"/>
      <c r="AE591" s="3"/>
      <c r="AF591" s="3"/>
      <c r="AG591" s="3"/>
      <c r="AH591" s="3"/>
      <c r="AI591" s="3"/>
      <c r="AJ591" s="3"/>
      <c r="AK591" s="3"/>
      <c r="AL591" s="3"/>
      <c r="AM591" s="3"/>
      <c r="AN591" s="3"/>
      <c r="AO591" s="3"/>
      <c r="AP591" s="3"/>
      <c r="AQ591" s="3"/>
      <c r="AR591" s="3"/>
      <c r="AS591" s="3"/>
      <c r="AT591" s="3"/>
      <c r="AU591" s="3"/>
      <c r="AV591" s="3"/>
      <c r="AW591" s="3"/>
      <c r="AX591" s="3"/>
      <c r="AY591" s="3"/>
      <c r="AZ591" s="3"/>
      <c r="BA591" s="3"/>
      <c r="BB591" s="3"/>
      <c r="BC591" s="3"/>
    </row>
    <row r="592" spans="1:55">
      <c r="A592" s="1" t="str">
        <f>'Population Definitions'!$A$4</f>
        <v>0-9_males</v>
      </c>
      <c r="C592" t="s">
        <v>32</v>
      </c>
      <c r="D592" s="3"/>
      <c r="E592" s="3">
        <v>0</v>
      </c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  <c r="AA592" s="3"/>
      <c r="AB592" s="3"/>
      <c r="AC592" s="3"/>
      <c r="AD592" s="3"/>
      <c r="AE592" s="3"/>
      <c r="AF592" s="3"/>
      <c r="AG592" s="3"/>
      <c r="AH592" s="3"/>
      <c r="AI592" s="3"/>
      <c r="AJ592" s="3"/>
      <c r="AK592" s="3"/>
      <c r="AL592" s="3"/>
      <c r="AM592" s="3"/>
      <c r="AN592" s="3"/>
      <c r="AO592" s="3"/>
      <c r="AP592" s="3"/>
      <c r="AQ592" s="3"/>
      <c r="AR592" s="3"/>
      <c r="AS592" s="3"/>
      <c r="AT592" s="3"/>
      <c r="AU592" s="3"/>
      <c r="AV592" s="3"/>
      <c r="AW592" s="3"/>
      <c r="AX592" s="3"/>
      <c r="AY592" s="3"/>
      <c r="AZ592" s="3"/>
      <c r="BA592" s="3"/>
      <c r="BB592" s="3"/>
      <c r="BC592" s="3"/>
    </row>
    <row r="593" spans="1:55">
      <c r="A593" s="1" t="str">
        <f>'Population Definitions'!$A$5</f>
        <v>0-9_females</v>
      </c>
      <c r="C593" t="s">
        <v>32</v>
      </c>
      <c r="D593" s="3"/>
      <c r="E593" s="3">
        <v>0</v>
      </c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  <c r="AA593" s="3"/>
      <c r="AB593" s="3"/>
      <c r="AC593" s="3"/>
      <c r="AD593" s="3"/>
      <c r="AE593" s="3"/>
      <c r="AF593" s="3"/>
      <c r="AG593" s="3"/>
      <c r="AH593" s="3"/>
      <c r="AI593" s="3"/>
      <c r="AJ593" s="3"/>
      <c r="AK593" s="3"/>
      <c r="AL593" s="3"/>
      <c r="AM593" s="3"/>
      <c r="AN593" s="3"/>
      <c r="AO593" s="3"/>
      <c r="AP593" s="3"/>
      <c r="AQ593" s="3"/>
      <c r="AR593" s="3"/>
      <c r="AS593" s="3"/>
      <c r="AT593" s="3"/>
      <c r="AU593" s="3"/>
      <c r="AV593" s="3"/>
      <c r="AW593" s="3"/>
      <c r="AX593" s="3"/>
      <c r="AY593" s="3"/>
      <c r="AZ593" s="3"/>
      <c r="BA593" s="3"/>
      <c r="BB593" s="3"/>
      <c r="BC593" s="3"/>
    </row>
    <row r="594" spans="1:55">
      <c r="A594" s="1" t="str">
        <f>'Population Definitions'!$A$6</f>
        <v>10-17_males</v>
      </c>
      <c r="C594" t="s">
        <v>32</v>
      </c>
      <c r="D594" s="3"/>
      <c r="E594" s="3">
        <v>0</v>
      </c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  <c r="AA594" s="3"/>
      <c r="AB594" s="3"/>
      <c r="AC594" s="3"/>
      <c r="AD594" s="3"/>
      <c r="AE594" s="3"/>
      <c r="AF594" s="3"/>
      <c r="AG594" s="3"/>
      <c r="AH594" s="3"/>
      <c r="AI594" s="3"/>
      <c r="AJ594" s="3"/>
      <c r="AK594" s="3"/>
      <c r="AL594" s="3"/>
      <c r="AM594" s="3"/>
      <c r="AN594" s="3"/>
      <c r="AO594" s="3"/>
      <c r="AP594" s="3"/>
      <c r="AQ594" s="3"/>
      <c r="AR594" s="3"/>
      <c r="AS594" s="3"/>
      <c r="AT594" s="3"/>
      <c r="AU594" s="3"/>
      <c r="AV594" s="3"/>
      <c r="AW594" s="3"/>
      <c r="AX594" s="3"/>
      <c r="AY594" s="3"/>
      <c r="AZ594" s="3"/>
      <c r="BA594" s="3"/>
      <c r="BB594" s="3"/>
      <c r="BC594" s="3"/>
    </row>
    <row r="595" spans="1:55">
      <c r="A595" s="1" t="str">
        <f>'Population Definitions'!$A$7</f>
        <v>10-17_females</v>
      </c>
      <c r="C595" t="s">
        <v>32</v>
      </c>
      <c r="D595" s="3"/>
      <c r="E595" s="3">
        <v>0</v>
      </c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  <c r="AA595" s="3"/>
      <c r="AB595" s="3"/>
      <c r="AC595" s="3"/>
      <c r="AD595" s="3"/>
      <c r="AE595" s="3"/>
      <c r="AF595" s="3"/>
      <c r="AG595" s="3"/>
      <c r="AH595" s="3"/>
      <c r="AI595" s="3"/>
      <c r="AJ595" s="3"/>
      <c r="AK595" s="3"/>
      <c r="AL595" s="3"/>
      <c r="AM595" s="3"/>
      <c r="AN595" s="3"/>
      <c r="AO595" s="3"/>
      <c r="AP595" s="3"/>
      <c r="AQ595" s="3"/>
      <c r="AR595" s="3"/>
      <c r="AS595" s="3"/>
      <c r="AT595" s="3"/>
      <c r="AU595" s="3"/>
      <c r="AV595" s="3"/>
      <c r="AW595" s="3"/>
      <c r="AX595" s="3"/>
      <c r="AY595" s="3"/>
      <c r="AZ595" s="3"/>
      <c r="BA595" s="3"/>
      <c r="BB595" s="3"/>
      <c r="BC595" s="3"/>
    </row>
    <row r="596" spans="1:55">
      <c r="A596" s="1" t="str">
        <f>'Population Definitions'!$A$8</f>
        <v>18-64_males</v>
      </c>
      <c r="C596" t="s">
        <v>32</v>
      </c>
      <c r="D596" s="3"/>
      <c r="E596" s="3">
        <v>0</v>
      </c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  <c r="AA596" s="3"/>
      <c r="AB596" s="3"/>
      <c r="AC596" s="3"/>
      <c r="AD596" s="3"/>
      <c r="AE596" s="3"/>
      <c r="AF596" s="3"/>
      <c r="AG596" s="3"/>
      <c r="AH596" s="3"/>
      <c r="AI596" s="3"/>
      <c r="AJ596" s="3"/>
      <c r="AK596" s="3"/>
      <c r="AL596" s="3"/>
      <c r="AM596" s="3"/>
      <c r="AN596" s="3"/>
      <c r="AO596" s="3"/>
      <c r="AP596" s="3"/>
      <c r="AQ596" s="3"/>
      <c r="AR596" s="3"/>
      <c r="AS596" s="3"/>
      <c r="AT596" s="3"/>
      <c r="AU596" s="3"/>
      <c r="AV596" s="3"/>
      <c r="AW596" s="3"/>
      <c r="AX596" s="3"/>
      <c r="AY596" s="3"/>
      <c r="AZ596" s="3"/>
      <c r="BA596" s="3"/>
      <c r="BB596" s="3"/>
      <c r="BC596" s="3"/>
    </row>
    <row r="597" spans="1:55">
      <c r="A597" s="1" t="str">
        <f>'Population Definitions'!$A$9</f>
        <v>18-64_females</v>
      </c>
      <c r="C597" t="s">
        <v>32</v>
      </c>
      <c r="D597" s="3"/>
      <c r="E597" s="3">
        <v>0</v>
      </c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  <c r="AA597" s="3"/>
      <c r="AB597" s="3"/>
      <c r="AC597" s="3"/>
      <c r="AD597" s="3"/>
      <c r="AE597" s="3"/>
      <c r="AF597" s="3"/>
      <c r="AG597" s="3"/>
      <c r="AH597" s="3"/>
      <c r="AI597" s="3"/>
      <c r="AJ597" s="3"/>
      <c r="AK597" s="3"/>
      <c r="AL597" s="3"/>
      <c r="AM597" s="3"/>
      <c r="AN597" s="3"/>
      <c r="AO597" s="3"/>
      <c r="AP597" s="3"/>
      <c r="AQ597" s="3"/>
      <c r="AR597" s="3"/>
      <c r="AS597" s="3"/>
      <c r="AT597" s="3"/>
      <c r="AU597" s="3"/>
      <c r="AV597" s="3"/>
      <c r="AW597" s="3"/>
      <c r="AX597" s="3"/>
      <c r="AY597" s="3"/>
      <c r="AZ597" s="3"/>
      <c r="BA597" s="3"/>
      <c r="BB597" s="3"/>
      <c r="BC597" s="3"/>
    </row>
    <row r="598" spans="1:55">
      <c r="A598" s="1" t="str">
        <f>'Population Definitions'!$A$10</f>
        <v>65+_males</v>
      </c>
      <c r="C598" t="s">
        <v>32</v>
      </c>
      <c r="D598" s="3"/>
      <c r="E598" s="3">
        <v>0</v>
      </c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  <c r="AA598" s="3"/>
      <c r="AB598" s="3"/>
      <c r="AC598" s="3"/>
      <c r="AD598" s="3"/>
      <c r="AE598" s="3"/>
      <c r="AF598" s="3"/>
      <c r="AG598" s="3"/>
      <c r="AH598" s="3"/>
      <c r="AI598" s="3"/>
      <c r="AJ598" s="3"/>
      <c r="AK598" s="3"/>
      <c r="AL598" s="3"/>
      <c r="AM598" s="3"/>
      <c r="AN598" s="3"/>
      <c r="AO598" s="3"/>
      <c r="AP598" s="3"/>
      <c r="AQ598" s="3"/>
      <c r="AR598" s="3"/>
      <c r="AS598" s="3"/>
      <c r="AT598" s="3"/>
      <c r="AU598" s="3"/>
      <c r="AV598" s="3"/>
      <c r="AW598" s="3"/>
      <c r="AX598" s="3"/>
      <c r="AY598" s="3"/>
      <c r="AZ598" s="3"/>
      <c r="BA598" s="3"/>
      <c r="BB598" s="3"/>
      <c r="BC598" s="3"/>
    </row>
    <row r="599" spans="1:55">
      <c r="A599" s="1" t="str">
        <f>'Population Definitions'!$A$11</f>
        <v>65+_females</v>
      </c>
      <c r="C599" t="s">
        <v>32</v>
      </c>
      <c r="D599" s="3"/>
      <c r="E599" s="3">
        <v>0</v>
      </c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  <c r="AA599" s="3"/>
      <c r="AB599" s="3"/>
      <c r="AC599" s="3"/>
      <c r="AD599" s="3"/>
      <c r="AE599" s="3"/>
      <c r="AF599" s="3"/>
      <c r="AG599" s="3"/>
      <c r="AH599" s="3"/>
      <c r="AI599" s="3"/>
      <c r="AJ599" s="3"/>
      <c r="AK599" s="3"/>
      <c r="AL599" s="3"/>
      <c r="AM599" s="3"/>
      <c r="AN599" s="3"/>
      <c r="AO599" s="3"/>
      <c r="AP599" s="3"/>
      <c r="AQ599" s="3"/>
      <c r="AR599" s="3"/>
      <c r="AS599" s="3"/>
      <c r="AT599" s="3"/>
      <c r="AU599" s="3"/>
      <c r="AV599" s="3"/>
      <c r="AW599" s="3"/>
      <c r="AX599" s="3"/>
      <c r="AY599" s="3"/>
      <c r="AZ599" s="3"/>
      <c r="BA599" s="3"/>
      <c r="BB599" s="3"/>
      <c r="BC599" s="3"/>
    </row>
    <row r="600" spans="1:55">
      <c r="A600" s="1" t="str">
        <f>'Population Definitions'!$A$12</f>
        <v>Prisoners_males</v>
      </c>
      <c r="C600" t="s">
        <v>32</v>
      </c>
      <c r="D600" s="3"/>
      <c r="E600" s="3">
        <v>0</v>
      </c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  <c r="AA600" s="3"/>
      <c r="AB600" s="3"/>
      <c r="AC600" s="3"/>
      <c r="AD600" s="3"/>
      <c r="AE600" s="3"/>
      <c r="AF600" s="3"/>
      <c r="AG600" s="3"/>
      <c r="AH600" s="3"/>
      <c r="AI600" s="3"/>
      <c r="AJ600" s="3"/>
      <c r="AK600" s="3"/>
      <c r="AL600" s="3"/>
      <c r="AM600" s="3"/>
      <c r="AN600" s="3"/>
      <c r="AO600" s="3"/>
      <c r="AP600" s="3"/>
      <c r="AQ600" s="3"/>
      <c r="AR600" s="3"/>
      <c r="AS600" s="3"/>
      <c r="AT600" s="3"/>
      <c r="AU600" s="3"/>
      <c r="AV600" s="3"/>
      <c r="AW600" s="3"/>
      <c r="AX600" s="3"/>
      <c r="AY600" s="3"/>
      <c r="AZ600" s="3"/>
      <c r="BA600" s="3"/>
      <c r="BB600" s="3"/>
      <c r="BC600" s="3"/>
    </row>
    <row r="601" spans="1:55">
      <c r="A601" s="1" t="str">
        <f>'Population Definitions'!$A$13</f>
        <v>Prisoners_females</v>
      </c>
      <c r="C601" t="s">
        <v>32</v>
      </c>
      <c r="D601" s="3"/>
      <c r="E601" s="3">
        <v>0</v>
      </c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  <c r="AA601" s="3"/>
      <c r="AB601" s="3"/>
      <c r="AC601" s="3"/>
      <c r="AD601" s="3"/>
      <c r="AE601" s="3"/>
      <c r="AF601" s="3"/>
      <c r="AG601" s="3"/>
      <c r="AH601" s="3"/>
      <c r="AI601" s="3"/>
      <c r="AJ601" s="3"/>
      <c r="AK601" s="3"/>
      <c r="AL601" s="3"/>
      <c r="AM601" s="3"/>
      <c r="AN601" s="3"/>
      <c r="AO601" s="3"/>
      <c r="AP601" s="3"/>
      <c r="AQ601" s="3"/>
      <c r="AR601" s="3"/>
      <c r="AS601" s="3"/>
      <c r="AT601" s="3"/>
      <c r="AU601" s="3"/>
      <c r="AV601" s="3"/>
      <c r="AW601" s="3"/>
      <c r="AX601" s="3"/>
      <c r="AY601" s="3"/>
      <c r="AZ601" s="3"/>
      <c r="BA601" s="3"/>
      <c r="BB601" s="3"/>
      <c r="BC601" s="3"/>
    </row>
    <row r="603" spans="1:55">
      <c r="A603" s="1" t="s">
        <v>169</v>
      </c>
      <c r="B603" s="1" t="s">
        <v>29</v>
      </c>
      <c r="C603" s="1" t="s">
        <v>30</v>
      </c>
      <c r="D603" s="1" t="s">
        <v>31</v>
      </c>
      <c r="E603" s="1">
        <v>2000</v>
      </c>
      <c r="F603" s="1">
        <v>2001</v>
      </c>
      <c r="G603" s="1">
        <v>2002</v>
      </c>
      <c r="H603" s="1">
        <v>2003</v>
      </c>
      <c r="I603" s="1">
        <v>2004</v>
      </c>
      <c r="J603" s="1">
        <v>2005</v>
      </c>
      <c r="K603" s="1">
        <v>2006</v>
      </c>
      <c r="L603" s="1">
        <v>2007</v>
      </c>
      <c r="M603" s="1">
        <v>2008</v>
      </c>
      <c r="N603" s="1">
        <v>2009</v>
      </c>
      <c r="O603" s="1">
        <v>2010</v>
      </c>
      <c r="P603" s="1">
        <v>2011</v>
      </c>
      <c r="Q603" s="1">
        <v>2012</v>
      </c>
      <c r="R603" s="1">
        <v>2013</v>
      </c>
      <c r="S603" s="1">
        <v>2014</v>
      </c>
      <c r="T603" s="1">
        <v>2015</v>
      </c>
      <c r="U603" s="1">
        <v>2016</v>
      </c>
      <c r="V603" s="1">
        <v>2017</v>
      </c>
      <c r="W603" s="1">
        <v>2018</v>
      </c>
      <c r="X603" s="1">
        <v>2019</v>
      </c>
      <c r="Y603" s="1">
        <v>2020</v>
      </c>
      <c r="Z603" s="1">
        <v>2021</v>
      </c>
      <c r="AA603" s="1">
        <v>2022</v>
      </c>
      <c r="AB603" s="1">
        <v>2023</v>
      </c>
      <c r="AC603" s="1">
        <v>2024</v>
      </c>
      <c r="AD603" s="1">
        <v>2025</v>
      </c>
      <c r="AE603" s="1">
        <v>2026</v>
      </c>
      <c r="AF603" s="1">
        <v>2027</v>
      </c>
      <c r="AG603" s="1">
        <v>2028</v>
      </c>
      <c r="AH603" s="1">
        <v>2029</v>
      </c>
      <c r="AI603" s="1">
        <v>2030</v>
      </c>
      <c r="AJ603" s="1">
        <v>2031</v>
      </c>
      <c r="AK603" s="1">
        <v>2032</v>
      </c>
      <c r="AL603" s="1">
        <v>2033</v>
      </c>
      <c r="AM603" s="1">
        <v>2034</v>
      </c>
      <c r="AN603" s="1">
        <v>2035</v>
      </c>
      <c r="AO603" s="1">
        <v>2036</v>
      </c>
      <c r="AP603" s="1">
        <v>2037</v>
      </c>
      <c r="AQ603" s="1">
        <v>2038</v>
      </c>
      <c r="AR603" s="1">
        <v>2039</v>
      </c>
      <c r="AS603" s="1">
        <v>2040</v>
      </c>
      <c r="AT603" s="1">
        <v>2041</v>
      </c>
      <c r="AU603" s="1">
        <v>2042</v>
      </c>
      <c r="AV603" s="1">
        <v>2043</v>
      </c>
      <c r="AW603" s="1">
        <v>2044</v>
      </c>
      <c r="AX603" s="1">
        <v>2045</v>
      </c>
      <c r="AY603" s="1">
        <v>2046</v>
      </c>
      <c r="AZ603" s="1">
        <v>2047</v>
      </c>
      <c r="BA603" s="1">
        <v>2048</v>
      </c>
      <c r="BB603" s="1">
        <v>2049</v>
      </c>
      <c r="BC603" s="1">
        <v>2050</v>
      </c>
    </row>
    <row r="604" spans="1:55">
      <c r="A604" s="1" t="str">
        <f>'Population Definitions'!$A$2</f>
        <v>PWID_males</v>
      </c>
      <c r="C604" t="s">
        <v>32</v>
      </c>
      <c r="D604" s="3"/>
      <c r="E604" s="3">
        <v>0</v>
      </c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  <c r="AA604" s="3"/>
      <c r="AB604" s="3"/>
      <c r="AC604" s="3"/>
      <c r="AD604" s="3"/>
      <c r="AE604" s="3"/>
      <c r="AF604" s="3"/>
      <c r="AG604" s="3"/>
      <c r="AH604" s="3"/>
      <c r="AI604" s="3"/>
      <c r="AJ604" s="3"/>
      <c r="AK604" s="3"/>
      <c r="AL604" s="3"/>
      <c r="AM604" s="3"/>
      <c r="AN604" s="3"/>
      <c r="AO604" s="3"/>
      <c r="AP604" s="3"/>
      <c r="AQ604" s="3"/>
      <c r="AR604" s="3"/>
      <c r="AS604" s="3"/>
      <c r="AT604" s="3"/>
      <c r="AU604" s="3"/>
      <c r="AV604" s="3"/>
      <c r="AW604" s="3"/>
      <c r="AX604" s="3"/>
      <c r="AY604" s="3"/>
      <c r="AZ604" s="3"/>
      <c r="BA604" s="3"/>
      <c r="BB604" s="3"/>
      <c r="BC604" s="3"/>
    </row>
    <row r="605" spans="1:55">
      <c r="A605" s="1" t="str">
        <f>'Population Definitions'!$A$3</f>
        <v>PWID_females</v>
      </c>
      <c r="C605" t="s">
        <v>32</v>
      </c>
      <c r="D605" s="3"/>
      <c r="E605" s="3">
        <v>0</v>
      </c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  <c r="AA605" s="3"/>
      <c r="AB605" s="3"/>
      <c r="AC605" s="3"/>
      <c r="AD605" s="3"/>
      <c r="AE605" s="3"/>
      <c r="AF605" s="3"/>
      <c r="AG605" s="3"/>
      <c r="AH605" s="3"/>
      <c r="AI605" s="3"/>
      <c r="AJ605" s="3"/>
      <c r="AK605" s="3"/>
      <c r="AL605" s="3"/>
      <c r="AM605" s="3"/>
      <c r="AN605" s="3"/>
      <c r="AO605" s="3"/>
      <c r="AP605" s="3"/>
      <c r="AQ605" s="3"/>
      <c r="AR605" s="3"/>
      <c r="AS605" s="3"/>
      <c r="AT605" s="3"/>
      <c r="AU605" s="3"/>
      <c r="AV605" s="3"/>
      <c r="AW605" s="3"/>
      <c r="AX605" s="3"/>
      <c r="AY605" s="3"/>
      <c r="AZ605" s="3"/>
      <c r="BA605" s="3"/>
      <c r="BB605" s="3"/>
      <c r="BC605" s="3"/>
    </row>
    <row r="606" spans="1:55">
      <c r="A606" s="1" t="str">
        <f>'Population Definitions'!$A$4</f>
        <v>0-9_males</v>
      </c>
      <c r="C606" t="s">
        <v>32</v>
      </c>
      <c r="D606" s="3"/>
      <c r="E606" s="3">
        <v>0</v>
      </c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  <c r="AA606" s="3"/>
      <c r="AB606" s="3"/>
      <c r="AC606" s="3"/>
      <c r="AD606" s="3"/>
      <c r="AE606" s="3"/>
      <c r="AF606" s="3"/>
      <c r="AG606" s="3"/>
      <c r="AH606" s="3"/>
      <c r="AI606" s="3"/>
      <c r="AJ606" s="3"/>
      <c r="AK606" s="3"/>
      <c r="AL606" s="3"/>
      <c r="AM606" s="3"/>
      <c r="AN606" s="3"/>
      <c r="AO606" s="3"/>
      <c r="AP606" s="3"/>
      <c r="AQ606" s="3"/>
      <c r="AR606" s="3"/>
      <c r="AS606" s="3"/>
      <c r="AT606" s="3"/>
      <c r="AU606" s="3"/>
      <c r="AV606" s="3"/>
      <c r="AW606" s="3"/>
      <c r="AX606" s="3"/>
      <c r="AY606" s="3"/>
      <c r="AZ606" s="3"/>
      <c r="BA606" s="3"/>
      <c r="BB606" s="3"/>
      <c r="BC606" s="3"/>
    </row>
    <row r="607" spans="1:55">
      <c r="A607" s="1" t="str">
        <f>'Population Definitions'!$A$5</f>
        <v>0-9_females</v>
      </c>
      <c r="C607" t="s">
        <v>32</v>
      </c>
      <c r="D607" s="3"/>
      <c r="E607" s="3">
        <v>0</v>
      </c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  <c r="AA607" s="3"/>
      <c r="AB607" s="3"/>
      <c r="AC607" s="3"/>
      <c r="AD607" s="3"/>
      <c r="AE607" s="3"/>
      <c r="AF607" s="3"/>
      <c r="AG607" s="3"/>
      <c r="AH607" s="3"/>
      <c r="AI607" s="3"/>
      <c r="AJ607" s="3"/>
      <c r="AK607" s="3"/>
      <c r="AL607" s="3"/>
      <c r="AM607" s="3"/>
      <c r="AN607" s="3"/>
      <c r="AO607" s="3"/>
      <c r="AP607" s="3"/>
      <c r="AQ607" s="3"/>
      <c r="AR607" s="3"/>
      <c r="AS607" s="3"/>
      <c r="AT607" s="3"/>
      <c r="AU607" s="3"/>
      <c r="AV607" s="3"/>
      <c r="AW607" s="3"/>
      <c r="AX607" s="3"/>
      <c r="AY607" s="3"/>
      <c r="AZ607" s="3"/>
      <c r="BA607" s="3"/>
      <c r="BB607" s="3"/>
      <c r="BC607" s="3"/>
    </row>
    <row r="608" spans="1:55">
      <c r="A608" s="1" t="str">
        <f>'Population Definitions'!$A$6</f>
        <v>10-17_males</v>
      </c>
      <c r="C608" t="s">
        <v>32</v>
      </c>
      <c r="D608" s="3"/>
      <c r="E608" s="3">
        <v>0</v>
      </c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  <c r="AA608" s="3"/>
      <c r="AB608" s="3"/>
      <c r="AC608" s="3"/>
      <c r="AD608" s="3"/>
      <c r="AE608" s="3"/>
      <c r="AF608" s="3"/>
      <c r="AG608" s="3"/>
      <c r="AH608" s="3"/>
      <c r="AI608" s="3"/>
      <c r="AJ608" s="3"/>
      <c r="AK608" s="3"/>
      <c r="AL608" s="3"/>
      <c r="AM608" s="3"/>
      <c r="AN608" s="3"/>
      <c r="AO608" s="3"/>
      <c r="AP608" s="3"/>
      <c r="AQ608" s="3"/>
      <c r="AR608" s="3"/>
      <c r="AS608" s="3"/>
      <c r="AT608" s="3"/>
      <c r="AU608" s="3"/>
      <c r="AV608" s="3"/>
      <c r="AW608" s="3"/>
      <c r="AX608" s="3"/>
      <c r="AY608" s="3"/>
      <c r="AZ608" s="3"/>
      <c r="BA608" s="3"/>
      <c r="BB608" s="3"/>
      <c r="BC608" s="3"/>
    </row>
    <row r="609" spans="1:55">
      <c r="A609" s="1" t="str">
        <f>'Population Definitions'!$A$7</f>
        <v>10-17_females</v>
      </c>
      <c r="C609" t="s">
        <v>32</v>
      </c>
      <c r="D609" s="3"/>
      <c r="E609" s="3">
        <v>0</v>
      </c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  <c r="AA609" s="3"/>
      <c r="AB609" s="3"/>
      <c r="AC609" s="3"/>
      <c r="AD609" s="3"/>
      <c r="AE609" s="3"/>
      <c r="AF609" s="3"/>
      <c r="AG609" s="3"/>
      <c r="AH609" s="3"/>
      <c r="AI609" s="3"/>
      <c r="AJ609" s="3"/>
      <c r="AK609" s="3"/>
      <c r="AL609" s="3"/>
      <c r="AM609" s="3"/>
      <c r="AN609" s="3"/>
      <c r="AO609" s="3"/>
      <c r="AP609" s="3"/>
      <c r="AQ609" s="3"/>
      <c r="AR609" s="3"/>
      <c r="AS609" s="3"/>
      <c r="AT609" s="3"/>
      <c r="AU609" s="3"/>
      <c r="AV609" s="3"/>
      <c r="AW609" s="3"/>
      <c r="AX609" s="3"/>
      <c r="AY609" s="3"/>
      <c r="AZ609" s="3"/>
      <c r="BA609" s="3"/>
      <c r="BB609" s="3"/>
      <c r="BC609" s="3"/>
    </row>
    <row r="610" spans="1:55">
      <c r="A610" s="1" t="str">
        <f>'Population Definitions'!$A$8</f>
        <v>18-64_males</v>
      </c>
      <c r="C610" t="s">
        <v>32</v>
      </c>
      <c r="D610" s="3"/>
      <c r="E610" s="3">
        <v>0</v>
      </c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  <c r="AA610" s="3"/>
      <c r="AB610" s="3"/>
      <c r="AC610" s="3"/>
      <c r="AD610" s="3"/>
      <c r="AE610" s="3"/>
      <c r="AF610" s="3"/>
      <c r="AG610" s="3"/>
      <c r="AH610" s="3"/>
      <c r="AI610" s="3"/>
      <c r="AJ610" s="3"/>
      <c r="AK610" s="3"/>
      <c r="AL610" s="3"/>
      <c r="AM610" s="3"/>
      <c r="AN610" s="3"/>
      <c r="AO610" s="3"/>
      <c r="AP610" s="3"/>
      <c r="AQ610" s="3"/>
      <c r="AR610" s="3"/>
      <c r="AS610" s="3"/>
      <c r="AT610" s="3"/>
      <c r="AU610" s="3"/>
      <c r="AV610" s="3"/>
      <c r="AW610" s="3"/>
      <c r="AX610" s="3"/>
      <c r="AY610" s="3"/>
      <c r="AZ610" s="3"/>
      <c r="BA610" s="3"/>
      <c r="BB610" s="3"/>
      <c r="BC610" s="3"/>
    </row>
    <row r="611" spans="1:55">
      <c r="A611" s="1" t="str">
        <f>'Population Definitions'!$A$9</f>
        <v>18-64_females</v>
      </c>
      <c r="C611" t="s">
        <v>32</v>
      </c>
      <c r="D611" s="3"/>
      <c r="E611" s="3">
        <v>0</v>
      </c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  <c r="AA611" s="3"/>
      <c r="AB611" s="3"/>
      <c r="AC611" s="3"/>
      <c r="AD611" s="3"/>
      <c r="AE611" s="3"/>
      <c r="AF611" s="3"/>
      <c r="AG611" s="3"/>
      <c r="AH611" s="3"/>
      <c r="AI611" s="3"/>
      <c r="AJ611" s="3"/>
      <c r="AK611" s="3"/>
      <c r="AL611" s="3"/>
      <c r="AM611" s="3"/>
      <c r="AN611" s="3"/>
      <c r="AO611" s="3"/>
      <c r="AP611" s="3"/>
      <c r="AQ611" s="3"/>
      <c r="AR611" s="3"/>
      <c r="AS611" s="3"/>
      <c r="AT611" s="3"/>
      <c r="AU611" s="3"/>
      <c r="AV611" s="3"/>
      <c r="AW611" s="3"/>
      <c r="AX611" s="3"/>
      <c r="AY611" s="3"/>
      <c r="AZ611" s="3"/>
      <c r="BA611" s="3"/>
      <c r="BB611" s="3"/>
      <c r="BC611" s="3"/>
    </row>
    <row r="612" spans="1:55">
      <c r="A612" s="1" t="str">
        <f>'Population Definitions'!$A$10</f>
        <v>65+_males</v>
      </c>
      <c r="C612" t="s">
        <v>32</v>
      </c>
      <c r="D612" s="3"/>
      <c r="E612" s="3">
        <v>0</v>
      </c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  <c r="AA612" s="3"/>
      <c r="AB612" s="3"/>
      <c r="AC612" s="3"/>
      <c r="AD612" s="3"/>
      <c r="AE612" s="3"/>
      <c r="AF612" s="3"/>
      <c r="AG612" s="3"/>
      <c r="AH612" s="3"/>
      <c r="AI612" s="3"/>
      <c r="AJ612" s="3"/>
      <c r="AK612" s="3"/>
      <c r="AL612" s="3"/>
      <c r="AM612" s="3"/>
      <c r="AN612" s="3"/>
      <c r="AO612" s="3"/>
      <c r="AP612" s="3"/>
      <c r="AQ612" s="3"/>
      <c r="AR612" s="3"/>
      <c r="AS612" s="3"/>
      <c r="AT612" s="3"/>
      <c r="AU612" s="3"/>
      <c r="AV612" s="3"/>
      <c r="AW612" s="3"/>
      <c r="AX612" s="3"/>
      <c r="AY612" s="3"/>
      <c r="AZ612" s="3"/>
      <c r="BA612" s="3"/>
      <c r="BB612" s="3"/>
      <c r="BC612" s="3"/>
    </row>
    <row r="613" spans="1:55">
      <c r="A613" s="1" t="str">
        <f>'Population Definitions'!$A$11</f>
        <v>65+_females</v>
      </c>
      <c r="C613" t="s">
        <v>32</v>
      </c>
      <c r="D613" s="3"/>
      <c r="E613" s="3">
        <v>0</v>
      </c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  <c r="AA613" s="3"/>
      <c r="AB613" s="3"/>
      <c r="AC613" s="3"/>
      <c r="AD613" s="3"/>
      <c r="AE613" s="3"/>
      <c r="AF613" s="3"/>
      <c r="AG613" s="3"/>
      <c r="AH613" s="3"/>
      <c r="AI613" s="3"/>
      <c r="AJ613" s="3"/>
      <c r="AK613" s="3"/>
      <c r="AL613" s="3"/>
      <c r="AM613" s="3"/>
      <c r="AN613" s="3"/>
      <c r="AO613" s="3"/>
      <c r="AP613" s="3"/>
      <c r="AQ613" s="3"/>
      <c r="AR613" s="3"/>
      <c r="AS613" s="3"/>
      <c r="AT613" s="3"/>
      <c r="AU613" s="3"/>
      <c r="AV613" s="3"/>
      <c r="AW613" s="3"/>
      <c r="AX613" s="3"/>
      <c r="AY613" s="3"/>
      <c r="AZ613" s="3"/>
      <c r="BA613" s="3"/>
      <c r="BB613" s="3"/>
      <c r="BC613" s="3"/>
    </row>
    <row r="614" spans="1:55">
      <c r="A614" s="1" t="str">
        <f>'Population Definitions'!$A$12</f>
        <v>Prisoners_males</v>
      </c>
      <c r="C614" t="s">
        <v>32</v>
      </c>
      <c r="D614" s="3"/>
      <c r="E614" s="3">
        <v>0</v>
      </c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  <c r="AA614" s="3"/>
      <c r="AB614" s="3"/>
      <c r="AC614" s="3"/>
      <c r="AD614" s="3"/>
      <c r="AE614" s="3"/>
      <c r="AF614" s="3"/>
      <c r="AG614" s="3"/>
      <c r="AH614" s="3"/>
      <c r="AI614" s="3"/>
      <c r="AJ614" s="3"/>
      <c r="AK614" s="3"/>
      <c r="AL614" s="3"/>
      <c r="AM614" s="3"/>
      <c r="AN614" s="3"/>
      <c r="AO614" s="3"/>
      <c r="AP614" s="3"/>
      <c r="AQ614" s="3"/>
      <c r="AR614" s="3"/>
      <c r="AS614" s="3"/>
      <c r="AT614" s="3"/>
      <c r="AU614" s="3"/>
      <c r="AV614" s="3"/>
      <c r="AW614" s="3"/>
      <c r="AX614" s="3"/>
      <c r="AY614" s="3"/>
      <c r="AZ614" s="3"/>
      <c r="BA614" s="3"/>
      <c r="BB614" s="3"/>
      <c r="BC614" s="3"/>
    </row>
    <row r="615" spans="1:55">
      <c r="A615" s="1" t="str">
        <f>'Population Definitions'!$A$13</f>
        <v>Prisoners_females</v>
      </c>
      <c r="C615" t="s">
        <v>32</v>
      </c>
      <c r="D615" s="3"/>
      <c r="E615" s="3">
        <v>0</v>
      </c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  <c r="AA615" s="3"/>
      <c r="AB615" s="3"/>
      <c r="AC615" s="3"/>
      <c r="AD615" s="3"/>
      <c r="AE615" s="3"/>
      <c r="AF615" s="3"/>
      <c r="AG615" s="3"/>
      <c r="AH615" s="3"/>
      <c r="AI615" s="3"/>
      <c r="AJ615" s="3"/>
      <c r="AK615" s="3"/>
      <c r="AL615" s="3"/>
      <c r="AM615" s="3"/>
      <c r="AN615" s="3"/>
      <c r="AO615" s="3"/>
      <c r="AP615" s="3"/>
      <c r="AQ615" s="3"/>
      <c r="AR615" s="3"/>
      <c r="AS615" s="3"/>
      <c r="AT615" s="3"/>
      <c r="AU615" s="3"/>
      <c r="AV615" s="3"/>
      <c r="AW615" s="3"/>
      <c r="AX615" s="3"/>
      <c r="AY615" s="3"/>
      <c r="AZ615" s="3"/>
      <c r="BA615" s="3"/>
      <c r="BB615" s="3"/>
      <c r="BC615" s="3"/>
    </row>
    <row r="617" spans="1:55">
      <c r="A617" s="1" t="s">
        <v>170</v>
      </c>
      <c r="B617" s="1" t="s">
        <v>29</v>
      </c>
      <c r="C617" s="1" t="s">
        <v>30</v>
      </c>
      <c r="D617" s="1" t="s">
        <v>31</v>
      </c>
      <c r="E617" s="1">
        <v>2000</v>
      </c>
      <c r="F617" s="1">
        <v>2001</v>
      </c>
      <c r="G617" s="1">
        <v>2002</v>
      </c>
      <c r="H617" s="1">
        <v>2003</v>
      </c>
      <c r="I617" s="1">
        <v>2004</v>
      </c>
      <c r="J617" s="1">
        <v>2005</v>
      </c>
      <c r="K617" s="1">
        <v>2006</v>
      </c>
      <c r="L617" s="1">
        <v>2007</v>
      </c>
      <c r="M617" s="1">
        <v>2008</v>
      </c>
      <c r="N617" s="1">
        <v>2009</v>
      </c>
      <c r="O617" s="1">
        <v>2010</v>
      </c>
      <c r="P617" s="1">
        <v>2011</v>
      </c>
      <c r="Q617" s="1">
        <v>2012</v>
      </c>
      <c r="R617" s="1">
        <v>2013</v>
      </c>
      <c r="S617" s="1">
        <v>2014</v>
      </c>
      <c r="T617" s="1">
        <v>2015</v>
      </c>
      <c r="U617" s="1">
        <v>2016</v>
      </c>
      <c r="V617" s="1">
        <v>2017</v>
      </c>
      <c r="W617" s="1">
        <v>2018</v>
      </c>
      <c r="X617" s="1">
        <v>2019</v>
      </c>
      <c r="Y617" s="1">
        <v>2020</v>
      </c>
      <c r="Z617" s="1">
        <v>2021</v>
      </c>
      <c r="AA617" s="1">
        <v>2022</v>
      </c>
      <c r="AB617" s="1">
        <v>2023</v>
      </c>
      <c r="AC617" s="1">
        <v>2024</v>
      </c>
      <c r="AD617" s="1">
        <v>2025</v>
      </c>
      <c r="AE617" s="1">
        <v>2026</v>
      </c>
      <c r="AF617" s="1">
        <v>2027</v>
      </c>
      <c r="AG617" s="1">
        <v>2028</v>
      </c>
      <c r="AH617" s="1">
        <v>2029</v>
      </c>
      <c r="AI617" s="1">
        <v>2030</v>
      </c>
      <c r="AJ617" s="1">
        <v>2031</v>
      </c>
      <c r="AK617" s="1">
        <v>2032</v>
      </c>
      <c r="AL617" s="1">
        <v>2033</v>
      </c>
      <c r="AM617" s="1">
        <v>2034</v>
      </c>
      <c r="AN617" s="1">
        <v>2035</v>
      </c>
      <c r="AO617" s="1">
        <v>2036</v>
      </c>
      <c r="AP617" s="1">
        <v>2037</v>
      </c>
      <c r="AQ617" s="1">
        <v>2038</v>
      </c>
      <c r="AR617" s="1">
        <v>2039</v>
      </c>
      <c r="AS617" s="1">
        <v>2040</v>
      </c>
      <c r="AT617" s="1">
        <v>2041</v>
      </c>
      <c r="AU617" s="1">
        <v>2042</v>
      </c>
      <c r="AV617" s="1">
        <v>2043</v>
      </c>
      <c r="AW617" s="1">
        <v>2044</v>
      </c>
      <c r="AX617" s="1">
        <v>2045</v>
      </c>
      <c r="AY617" s="1">
        <v>2046</v>
      </c>
      <c r="AZ617" s="1">
        <v>2047</v>
      </c>
      <c r="BA617" s="1">
        <v>2048</v>
      </c>
      <c r="BB617" s="1">
        <v>2049</v>
      </c>
      <c r="BC617" s="1">
        <v>2050</v>
      </c>
    </row>
    <row r="618" spans="1:55">
      <c r="A618" s="1" t="str">
        <f>'Population Definitions'!$A$2</f>
        <v>PWID_males</v>
      </c>
      <c r="C618" t="s">
        <v>32</v>
      </c>
      <c r="D618" s="3"/>
      <c r="E618" s="3">
        <v>0</v>
      </c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  <c r="AA618" s="3"/>
      <c r="AB618" s="3"/>
      <c r="AC618" s="3"/>
      <c r="AD618" s="3"/>
      <c r="AE618" s="3"/>
      <c r="AF618" s="3"/>
      <c r="AG618" s="3"/>
      <c r="AH618" s="3"/>
      <c r="AI618" s="3"/>
      <c r="AJ618" s="3"/>
      <c r="AK618" s="3"/>
      <c r="AL618" s="3"/>
      <c r="AM618" s="3"/>
      <c r="AN618" s="3"/>
      <c r="AO618" s="3"/>
      <c r="AP618" s="3"/>
      <c r="AQ618" s="3"/>
      <c r="AR618" s="3"/>
      <c r="AS618" s="3"/>
      <c r="AT618" s="3"/>
      <c r="AU618" s="3"/>
      <c r="AV618" s="3"/>
      <c r="AW618" s="3"/>
      <c r="AX618" s="3"/>
      <c r="AY618" s="3"/>
      <c r="AZ618" s="3"/>
      <c r="BA618" s="3"/>
      <c r="BB618" s="3"/>
      <c r="BC618" s="3"/>
    </row>
    <row r="619" spans="1:55">
      <c r="A619" s="1" t="str">
        <f>'Population Definitions'!$A$3</f>
        <v>PWID_females</v>
      </c>
      <c r="C619" t="s">
        <v>32</v>
      </c>
      <c r="D619" s="3"/>
      <c r="E619" s="3">
        <v>0</v>
      </c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  <c r="AA619" s="3"/>
      <c r="AB619" s="3"/>
      <c r="AC619" s="3"/>
      <c r="AD619" s="3"/>
      <c r="AE619" s="3"/>
      <c r="AF619" s="3"/>
      <c r="AG619" s="3"/>
      <c r="AH619" s="3"/>
      <c r="AI619" s="3"/>
      <c r="AJ619" s="3"/>
      <c r="AK619" s="3"/>
      <c r="AL619" s="3"/>
      <c r="AM619" s="3"/>
      <c r="AN619" s="3"/>
      <c r="AO619" s="3"/>
      <c r="AP619" s="3"/>
      <c r="AQ619" s="3"/>
      <c r="AR619" s="3"/>
      <c r="AS619" s="3"/>
      <c r="AT619" s="3"/>
      <c r="AU619" s="3"/>
      <c r="AV619" s="3"/>
      <c r="AW619" s="3"/>
      <c r="AX619" s="3"/>
      <c r="AY619" s="3"/>
      <c r="AZ619" s="3"/>
      <c r="BA619" s="3"/>
      <c r="BB619" s="3"/>
      <c r="BC619" s="3"/>
    </row>
    <row r="620" spans="1:55">
      <c r="A620" s="1" t="str">
        <f>'Population Definitions'!$A$4</f>
        <v>0-9_males</v>
      </c>
      <c r="C620" t="s">
        <v>32</v>
      </c>
      <c r="D620" s="3"/>
      <c r="E620" s="3">
        <v>0</v>
      </c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  <c r="AA620" s="3"/>
      <c r="AB620" s="3"/>
      <c r="AC620" s="3"/>
      <c r="AD620" s="3"/>
      <c r="AE620" s="3"/>
      <c r="AF620" s="3"/>
      <c r="AG620" s="3"/>
      <c r="AH620" s="3"/>
      <c r="AI620" s="3"/>
      <c r="AJ620" s="3"/>
      <c r="AK620" s="3"/>
      <c r="AL620" s="3"/>
      <c r="AM620" s="3"/>
      <c r="AN620" s="3"/>
      <c r="AO620" s="3"/>
      <c r="AP620" s="3"/>
      <c r="AQ620" s="3"/>
      <c r="AR620" s="3"/>
      <c r="AS620" s="3"/>
      <c r="AT620" s="3"/>
      <c r="AU620" s="3"/>
      <c r="AV620" s="3"/>
      <c r="AW620" s="3"/>
      <c r="AX620" s="3"/>
      <c r="AY620" s="3"/>
      <c r="AZ620" s="3"/>
      <c r="BA620" s="3"/>
      <c r="BB620" s="3"/>
      <c r="BC620" s="3"/>
    </row>
    <row r="621" spans="1:55">
      <c r="A621" s="1" t="str">
        <f>'Population Definitions'!$A$5</f>
        <v>0-9_females</v>
      </c>
      <c r="C621" t="s">
        <v>32</v>
      </c>
      <c r="D621" s="3"/>
      <c r="E621" s="3">
        <v>0</v>
      </c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  <c r="AA621" s="3"/>
      <c r="AB621" s="3"/>
      <c r="AC621" s="3"/>
      <c r="AD621" s="3"/>
      <c r="AE621" s="3"/>
      <c r="AF621" s="3"/>
      <c r="AG621" s="3"/>
      <c r="AH621" s="3"/>
      <c r="AI621" s="3"/>
      <c r="AJ621" s="3"/>
      <c r="AK621" s="3"/>
      <c r="AL621" s="3"/>
      <c r="AM621" s="3"/>
      <c r="AN621" s="3"/>
      <c r="AO621" s="3"/>
      <c r="AP621" s="3"/>
      <c r="AQ621" s="3"/>
      <c r="AR621" s="3"/>
      <c r="AS621" s="3"/>
      <c r="AT621" s="3"/>
      <c r="AU621" s="3"/>
      <c r="AV621" s="3"/>
      <c r="AW621" s="3"/>
      <c r="AX621" s="3"/>
      <c r="AY621" s="3"/>
      <c r="AZ621" s="3"/>
      <c r="BA621" s="3"/>
      <c r="BB621" s="3"/>
      <c r="BC621" s="3"/>
    </row>
    <row r="622" spans="1:55">
      <c r="A622" s="1" t="str">
        <f>'Population Definitions'!$A$6</f>
        <v>10-17_males</v>
      </c>
      <c r="C622" t="s">
        <v>32</v>
      </c>
      <c r="D622" s="3"/>
      <c r="E622" s="3">
        <v>0</v>
      </c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  <c r="AA622" s="3"/>
      <c r="AB622" s="3"/>
      <c r="AC622" s="3"/>
      <c r="AD622" s="3"/>
      <c r="AE622" s="3"/>
      <c r="AF622" s="3"/>
      <c r="AG622" s="3"/>
      <c r="AH622" s="3"/>
      <c r="AI622" s="3"/>
      <c r="AJ622" s="3"/>
      <c r="AK622" s="3"/>
      <c r="AL622" s="3"/>
      <c r="AM622" s="3"/>
      <c r="AN622" s="3"/>
      <c r="AO622" s="3"/>
      <c r="AP622" s="3"/>
      <c r="AQ622" s="3"/>
      <c r="AR622" s="3"/>
      <c r="AS622" s="3"/>
      <c r="AT622" s="3"/>
      <c r="AU622" s="3"/>
      <c r="AV622" s="3"/>
      <c r="AW622" s="3"/>
      <c r="AX622" s="3"/>
      <c r="AY622" s="3"/>
      <c r="AZ622" s="3"/>
      <c r="BA622" s="3"/>
      <c r="BB622" s="3"/>
      <c r="BC622" s="3"/>
    </row>
    <row r="623" spans="1:55">
      <c r="A623" s="1" t="str">
        <f>'Population Definitions'!$A$7</f>
        <v>10-17_females</v>
      </c>
      <c r="C623" t="s">
        <v>32</v>
      </c>
      <c r="D623" s="3"/>
      <c r="E623" s="3">
        <v>0</v>
      </c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  <c r="AA623" s="3"/>
      <c r="AB623" s="3"/>
      <c r="AC623" s="3"/>
      <c r="AD623" s="3"/>
      <c r="AE623" s="3"/>
      <c r="AF623" s="3"/>
      <c r="AG623" s="3"/>
      <c r="AH623" s="3"/>
      <c r="AI623" s="3"/>
      <c r="AJ623" s="3"/>
      <c r="AK623" s="3"/>
      <c r="AL623" s="3"/>
      <c r="AM623" s="3"/>
      <c r="AN623" s="3"/>
      <c r="AO623" s="3"/>
      <c r="AP623" s="3"/>
      <c r="AQ623" s="3"/>
      <c r="AR623" s="3"/>
      <c r="AS623" s="3"/>
      <c r="AT623" s="3"/>
      <c r="AU623" s="3"/>
      <c r="AV623" s="3"/>
      <c r="AW623" s="3"/>
      <c r="AX623" s="3"/>
      <c r="AY623" s="3"/>
      <c r="AZ623" s="3"/>
      <c r="BA623" s="3"/>
      <c r="BB623" s="3"/>
      <c r="BC623" s="3"/>
    </row>
    <row r="624" spans="1:55">
      <c r="A624" s="1" t="str">
        <f>'Population Definitions'!$A$8</f>
        <v>18-64_males</v>
      </c>
      <c r="C624" t="s">
        <v>32</v>
      </c>
      <c r="D624" s="3"/>
      <c r="E624" s="3">
        <v>0</v>
      </c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  <c r="AA624" s="3"/>
      <c r="AB624" s="3"/>
      <c r="AC624" s="3"/>
      <c r="AD624" s="3"/>
      <c r="AE624" s="3"/>
      <c r="AF624" s="3"/>
      <c r="AG624" s="3"/>
      <c r="AH624" s="3"/>
      <c r="AI624" s="3"/>
      <c r="AJ624" s="3"/>
      <c r="AK624" s="3"/>
      <c r="AL624" s="3"/>
      <c r="AM624" s="3"/>
      <c r="AN624" s="3"/>
      <c r="AO624" s="3"/>
      <c r="AP624" s="3"/>
      <c r="AQ624" s="3"/>
      <c r="AR624" s="3"/>
      <c r="AS624" s="3"/>
      <c r="AT624" s="3"/>
      <c r="AU624" s="3"/>
      <c r="AV624" s="3"/>
      <c r="AW624" s="3"/>
      <c r="AX624" s="3"/>
      <c r="AY624" s="3"/>
      <c r="AZ624" s="3"/>
      <c r="BA624" s="3"/>
      <c r="BB624" s="3"/>
      <c r="BC624" s="3"/>
    </row>
    <row r="625" spans="1:55">
      <c r="A625" s="1" t="str">
        <f>'Population Definitions'!$A$9</f>
        <v>18-64_females</v>
      </c>
      <c r="C625" t="s">
        <v>32</v>
      </c>
      <c r="D625" s="3"/>
      <c r="E625" s="3">
        <v>0</v>
      </c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  <c r="AA625" s="3"/>
      <c r="AB625" s="3"/>
      <c r="AC625" s="3"/>
      <c r="AD625" s="3"/>
      <c r="AE625" s="3"/>
      <c r="AF625" s="3"/>
      <c r="AG625" s="3"/>
      <c r="AH625" s="3"/>
      <c r="AI625" s="3"/>
      <c r="AJ625" s="3"/>
      <c r="AK625" s="3"/>
      <c r="AL625" s="3"/>
      <c r="AM625" s="3"/>
      <c r="AN625" s="3"/>
      <c r="AO625" s="3"/>
      <c r="AP625" s="3"/>
      <c r="AQ625" s="3"/>
      <c r="AR625" s="3"/>
      <c r="AS625" s="3"/>
      <c r="AT625" s="3"/>
      <c r="AU625" s="3"/>
      <c r="AV625" s="3"/>
      <c r="AW625" s="3"/>
      <c r="AX625" s="3"/>
      <c r="AY625" s="3"/>
      <c r="AZ625" s="3"/>
      <c r="BA625" s="3"/>
      <c r="BB625" s="3"/>
      <c r="BC625" s="3"/>
    </row>
    <row r="626" spans="1:55">
      <c r="A626" s="1" t="str">
        <f>'Population Definitions'!$A$10</f>
        <v>65+_males</v>
      </c>
      <c r="C626" t="s">
        <v>32</v>
      </c>
      <c r="D626" s="3"/>
      <c r="E626" s="3">
        <v>0</v>
      </c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  <c r="AA626" s="3"/>
      <c r="AB626" s="3"/>
      <c r="AC626" s="3"/>
      <c r="AD626" s="3"/>
      <c r="AE626" s="3"/>
      <c r="AF626" s="3"/>
      <c r="AG626" s="3"/>
      <c r="AH626" s="3"/>
      <c r="AI626" s="3"/>
      <c r="AJ626" s="3"/>
      <c r="AK626" s="3"/>
      <c r="AL626" s="3"/>
      <c r="AM626" s="3"/>
      <c r="AN626" s="3"/>
      <c r="AO626" s="3"/>
      <c r="AP626" s="3"/>
      <c r="AQ626" s="3"/>
      <c r="AR626" s="3"/>
      <c r="AS626" s="3"/>
      <c r="AT626" s="3"/>
      <c r="AU626" s="3"/>
      <c r="AV626" s="3"/>
      <c r="AW626" s="3"/>
      <c r="AX626" s="3"/>
      <c r="AY626" s="3"/>
      <c r="AZ626" s="3"/>
      <c r="BA626" s="3"/>
      <c r="BB626" s="3"/>
      <c r="BC626" s="3"/>
    </row>
    <row r="627" spans="1:55">
      <c r="A627" s="1" t="str">
        <f>'Population Definitions'!$A$11</f>
        <v>65+_females</v>
      </c>
      <c r="C627" t="s">
        <v>32</v>
      </c>
      <c r="D627" s="3"/>
      <c r="E627" s="3">
        <v>0</v>
      </c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  <c r="AA627" s="3"/>
      <c r="AB627" s="3"/>
      <c r="AC627" s="3"/>
      <c r="AD627" s="3"/>
      <c r="AE627" s="3"/>
      <c r="AF627" s="3"/>
      <c r="AG627" s="3"/>
      <c r="AH627" s="3"/>
      <c r="AI627" s="3"/>
      <c r="AJ627" s="3"/>
      <c r="AK627" s="3"/>
      <c r="AL627" s="3"/>
      <c r="AM627" s="3"/>
      <c r="AN627" s="3"/>
      <c r="AO627" s="3"/>
      <c r="AP627" s="3"/>
      <c r="AQ627" s="3"/>
      <c r="AR627" s="3"/>
      <c r="AS627" s="3"/>
      <c r="AT627" s="3"/>
      <c r="AU627" s="3"/>
      <c r="AV627" s="3"/>
      <c r="AW627" s="3"/>
      <c r="AX627" s="3"/>
      <c r="AY627" s="3"/>
      <c r="AZ627" s="3"/>
      <c r="BA627" s="3"/>
      <c r="BB627" s="3"/>
      <c r="BC627" s="3"/>
    </row>
    <row r="628" spans="1:55">
      <c r="A628" s="1" t="str">
        <f>'Population Definitions'!$A$12</f>
        <v>Prisoners_males</v>
      </c>
      <c r="C628" t="s">
        <v>32</v>
      </c>
      <c r="D628" s="3"/>
      <c r="E628" s="3">
        <v>0</v>
      </c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  <c r="AA628" s="3"/>
      <c r="AB628" s="3"/>
      <c r="AC628" s="3"/>
      <c r="AD628" s="3"/>
      <c r="AE628" s="3"/>
      <c r="AF628" s="3"/>
      <c r="AG628" s="3"/>
      <c r="AH628" s="3"/>
      <c r="AI628" s="3"/>
      <c r="AJ628" s="3"/>
      <c r="AK628" s="3"/>
      <c r="AL628" s="3"/>
      <c r="AM628" s="3"/>
      <c r="AN628" s="3"/>
      <c r="AO628" s="3"/>
      <c r="AP628" s="3"/>
      <c r="AQ628" s="3"/>
      <c r="AR628" s="3"/>
      <c r="AS628" s="3"/>
      <c r="AT628" s="3"/>
      <c r="AU628" s="3"/>
      <c r="AV628" s="3"/>
      <c r="AW628" s="3"/>
      <c r="AX628" s="3"/>
      <c r="AY628" s="3"/>
      <c r="AZ628" s="3"/>
      <c r="BA628" s="3"/>
      <c r="BB628" s="3"/>
      <c r="BC628" s="3"/>
    </row>
    <row r="629" spans="1:55">
      <c r="A629" s="1" t="str">
        <f>'Population Definitions'!$A$13</f>
        <v>Prisoners_females</v>
      </c>
      <c r="C629" t="s">
        <v>32</v>
      </c>
      <c r="D629" s="3"/>
      <c r="E629" s="3">
        <v>0</v>
      </c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  <c r="AA629" s="3"/>
      <c r="AB629" s="3"/>
      <c r="AC629" s="3"/>
      <c r="AD629" s="3"/>
      <c r="AE629" s="3"/>
      <c r="AF629" s="3"/>
      <c r="AG629" s="3"/>
      <c r="AH629" s="3"/>
      <c r="AI629" s="3"/>
      <c r="AJ629" s="3"/>
      <c r="AK629" s="3"/>
      <c r="AL629" s="3"/>
      <c r="AM629" s="3"/>
      <c r="AN629" s="3"/>
      <c r="AO629" s="3"/>
      <c r="AP629" s="3"/>
      <c r="AQ629" s="3"/>
      <c r="AR629" s="3"/>
      <c r="AS629" s="3"/>
      <c r="AT629" s="3"/>
      <c r="AU629" s="3"/>
      <c r="AV629" s="3"/>
      <c r="AW629" s="3"/>
      <c r="AX629" s="3"/>
      <c r="AY629" s="3"/>
      <c r="AZ629" s="3"/>
      <c r="BA629" s="3"/>
      <c r="BB629" s="3"/>
      <c r="BC629" s="3"/>
    </row>
    <row r="631" spans="1:55">
      <c r="A631" s="1" t="s">
        <v>171</v>
      </c>
      <c r="B631" s="1" t="s">
        <v>29</v>
      </c>
      <c r="C631" s="1" t="s">
        <v>30</v>
      </c>
      <c r="D631" s="1" t="s">
        <v>31</v>
      </c>
      <c r="E631" s="1">
        <v>2000</v>
      </c>
      <c r="F631" s="1">
        <v>2001</v>
      </c>
      <c r="G631" s="1">
        <v>2002</v>
      </c>
      <c r="H631" s="1">
        <v>2003</v>
      </c>
      <c r="I631" s="1">
        <v>2004</v>
      </c>
      <c r="J631" s="1">
        <v>2005</v>
      </c>
      <c r="K631" s="1">
        <v>2006</v>
      </c>
      <c r="L631" s="1">
        <v>2007</v>
      </c>
      <c r="M631" s="1">
        <v>2008</v>
      </c>
      <c r="N631" s="1">
        <v>2009</v>
      </c>
      <c r="O631" s="1">
        <v>2010</v>
      </c>
      <c r="P631" s="1">
        <v>2011</v>
      </c>
      <c r="Q631" s="1">
        <v>2012</v>
      </c>
      <c r="R631" s="1">
        <v>2013</v>
      </c>
      <c r="S631" s="1">
        <v>2014</v>
      </c>
      <c r="T631" s="1">
        <v>2015</v>
      </c>
      <c r="U631" s="1">
        <v>2016</v>
      </c>
      <c r="V631" s="1">
        <v>2017</v>
      </c>
      <c r="W631" s="1">
        <v>2018</v>
      </c>
      <c r="X631" s="1">
        <v>2019</v>
      </c>
      <c r="Y631" s="1">
        <v>2020</v>
      </c>
      <c r="Z631" s="1">
        <v>2021</v>
      </c>
      <c r="AA631" s="1">
        <v>2022</v>
      </c>
      <c r="AB631" s="1">
        <v>2023</v>
      </c>
      <c r="AC631" s="1">
        <v>2024</v>
      </c>
      <c r="AD631" s="1">
        <v>2025</v>
      </c>
      <c r="AE631" s="1">
        <v>2026</v>
      </c>
      <c r="AF631" s="1">
        <v>2027</v>
      </c>
      <c r="AG631" s="1">
        <v>2028</v>
      </c>
      <c r="AH631" s="1">
        <v>2029</v>
      </c>
      <c r="AI631" s="1">
        <v>2030</v>
      </c>
      <c r="AJ631" s="1">
        <v>2031</v>
      </c>
      <c r="AK631" s="1">
        <v>2032</v>
      </c>
      <c r="AL631" s="1">
        <v>2033</v>
      </c>
      <c r="AM631" s="1">
        <v>2034</v>
      </c>
      <c r="AN631" s="1">
        <v>2035</v>
      </c>
      <c r="AO631" s="1">
        <v>2036</v>
      </c>
      <c r="AP631" s="1">
        <v>2037</v>
      </c>
      <c r="AQ631" s="1">
        <v>2038</v>
      </c>
      <c r="AR631" s="1">
        <v>2039</v>
      </c>
      <c r="AS631" s="1">
        <v>2040</v>
      </c>
      <c r="AT631" s="1">
        <v>2041</v>
      </c>
      <c r="AU631" s="1">
        <v>2042</v>
      </c>
      <c r="AV631" s="1">
        <v>2043</v>
      </c>
      <c r="AW631" s="1">
        <v>2044</v>
      </c>
      <c r="AX631" s="1">
        <v>2045</v>
      </c>
      <c r="AY631" s="1">
        <v>2046</v>
      </c>
      <c r="AZ631" s="1">
        <v>2047</v>
      </c>
      <c r="BA631" s="1">
        <v>2048</v>
      </c>
      <c r="BB631" s="1">
        <v>2049</v>
      </c>
      <c r="BC631" s="1">
        <v>2050</v>
      </c>
    </row>
    <row r="632" spans="1:55">
      <c r="A632" s="1" t="str">
        <f>'Population Definitions'!$A$2</f>
        <v>PWID_males</v>
      </c>
      <c r="C632" t="s">
        <v>32</v>
      </c>
      <c r="D632" s="3"/>
      <c r="E632" s="3">
        <v>0</v>
      </c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  <c r="AA632" s="3"/>
      <c r="AB632" s="3"/>
      <c r="AC632" s="3"/>
      <c r="AD632" s="3"/>
      <c r="AE632" s="3"/>
      <c r="AF632" s="3"/>
      <c r="AG632" s="3"/>
      <c r="AH632" s="3"/>
      <c r="AI632" s="3"/>
      <c r="AJ632" s="3"/>
      <c r="AK632" s="3"/>
      <c r="AL632" s="3"/>
      <c r="AM632" s="3"/>
      <c r="AN632" s="3"/>
      <c r="AO632" s="3"/>
      <c r="AP632" s="3"/>
      <c r="AQ632" s="3"/>
      <c r="AR632" s="3"/>
      <c r="AS632" s="3"/>
      <c r="AT632" s="3"/>
      <c r="AU632" s="3"/>
      <c r="AV632" s="3"/>
      <c r="AW632" s="3"/>
      <c r="AX632" s="3"/>
      <c r="AY632" s="3"/>
      <c r="AZ632" s="3"/>
      <c r="BA632" s="3"/>
      <c r="BB632" s="3"/>
      <c r="BC632" s="3"/>
    </row>
    <row r="633" spans="1:55">
      <c r="A633" s="1" t="str">
        <f>'Population Definitions'!$A$3</f>
        <v>PWID_females</v>
      </c>
      <c r="C633" t="s">
        <v>32</v>
      </c>
      <c r="D633" s="3"/>
      <c r="E633" s="3">
        <v>0</v>
      </c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  <c r="AA633" s="3"/>
      <c r="AB633" s="3"/>
      <c r="AC633" s="3"/>
      <c r="AD633" s="3"/>
      <c r="AE633" s="3"/>
      <c r="AF633" s="3"/>
      <c r="AG633" s="3"/>
      <c r="AH633" s="3"/>
      <c r="AI633" s="3"/>
      <c r="AJ633" s="3"/>
      <c r="AK633" s="3"/>
      <c r="AL633" s="3"/>
      <c r="AM633" s="3"/>
      <c r="AN633" s="3"/>
      <c r="AO633" s="3"/>
      <c r="AP633" s="3"/>
      <c r="AQ633" s="3"/>
      <c r="AR633" s="3"/>
      <c r="AS633" s="3"/>
      <c r="AT633" s="3"/>
      <c r="AU633" s="3"/>
      <c r="AV633" s="3"/>
      <c r="AW633" s="3"/>
      <c r="AX633" s="3"/>
      <c r="AY633" s="3"/>
      <c r="AZ633" s="3"/>
      <c r="BA633" s="3"/>
      <c r="BB633" s="3"/>
      <c r="BC633" s="3"/>
    </row>
    <row r="634" spans="1:55">
      <c r="A634" s="1" t="str">
        <f>'Population Definitions'!$A$4</f>
        <v>0-9_males</v>
      </c>
      <c r="C634" t="s">
        <v>32</v>
      </c>
      <c r="D634" s="3"/>
      <c r="E634" s="3">
        <v>0</v>
      </c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  <c r="AA634" s="3"/>
      <c r="AB634" s="3"/>
      <c r="AC634" s="3"/>
      <c r="AD634" s="3"/>
      <c r="AE634" s="3"/>
      <c r="AF634" s="3"/>
      <c r="AG634" s="3"/>
      <c r="AH634" s="3"/>
      <c r="AI634" s="3"/>
      <c r="AJ634" s="3"/>
      <c r="AK634" s="3"/>
      <c r="AL634" s="3"/>
      <c r="AM634" s="3"/>
      <c r="AN634" s="3"/>
      <c r="AO634" s="3"/>
      <c r="AP634" s="3"/>
      <c r="AQ634" s="3"/>
      <c r="AR634" s="3"/>
      <c r="AS634" s="3"/>
      <c r="AT634" s="3"/>
      <c r="AU634" s="3"/>
      <c r="AV634" s="3"/>
      <c r="AW634" s="3"/>
      <c r="AX634" s="3"/>
      <c r="AY634" s="3"/>
      <c r="AZ634" s="3"/>
      <c r="BA634" s="3"/>
      <c r="BB634" s="3"/>
      <c r="BC634" s="3"/>
    </row>
    <row r="635" spans="1:55">
      <c r="A635" s="1" t="str">
        <f>'Population Definitions'!$A$5</f>
        <v>0-9_females</v>
      </c>
      <c r="C635" t="s">
        <v>32</v>
      </c>
      <c r="D635" s="3"/>
      <c r="E635" s="3">
        <v>0</v>
      </c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  <c r="AA635" s="3"/>
      <c r="AB635" s="3"/>
      <c r="AC635" s="3"/>
      <c r="AD635" s="3"/>
      <c r="AE635" s="3"/>
      <c r="AF635" s="3"/>
      <c r="AG635" s="3"/>
      <c r="AH635" s="3"/>
      <c r="AI635" s="3"/>
      <c r="AJ635" s="3"/>
      <c r="AK635" s="3"/>
      <c r="AL635" s="3"/>
      <c r="AM635" s="3"/>
      <c r="AN635" s="3"/>
      <c r="AO635" s="3"/>
      <c r="AP635" s="3"/>
      <c r="AQ635" s="3"/>
      <c r="AR635" s="3"/>
      <c r="AS635" s="3"/>
      <c r="AT635" s="3"/>
      <c r="AU635" s="3"/>
      <c r="AV635" s="3"/>
      <c r="AW635" s="3"/>
      <c r="AX635" s="3"/>
      <c r="AY635" s="3"/>
      <c r="AZ635" s="3"/>
      <c r="BA635" s="3"/>
      <c r="BB635" s="3"/>
      <c r="BC635" s="3"/>
    </row>
    <row r="636" spans="1:55">
      <c r="A636" s="1" t="str">
        <f>'Population Definitions'!$A$6</f>
        <v>10-17_males</v>
      </c>
      <c r="C636" t="s">
        <v>32</v>
      </c>
      <c r="D636" s="3"/>
      <c r="E636" s="3">
        <v>0</v>
      </c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  <c r="AA636" s="3"/>
      <c r="AB636" s="3"/>
      <c r="AC636" s="3"/>
      <c r="AD636" s="3"/>
      <c r="AE636" s="3"/>
      <c r="AF636" s="3"/>
      <c r="AG636" s="3"/>
      <c r="AH636" s="3"/>
      <c r="AI636" s="3"/>
      <c r="AJ636" s="3"/>
      <c r="AK636" s="3"/>
      <c r="AL636" s="3"/>
      <c r="AM636" s="3"/>
      <c r="AN636" s="3"/>
      <c r="AO636" s="3"/>
      <c r="AP636" s="3"/>
      <c r="AQ636" s="3"/>
      <c r="AR636" s="3"/>
      <c r="AS636" s="3"/>
      <c r="AT636" s="3"/>
      <c r="AU636" s="3"/>
      <c r="AV636" s="3"/>
      <c r="AW636" s="3"/>
      <c r="AX636" s="3"/>
      <c r="AY636" s="3"/>
      <c r="AZ636" s="3"/>
      <c r="BA636" s="3"/>
      <c r="BB636" s="3"/>
      <c r="BC636" s="3"/>
    </row>
    <row r="637" spans="1:55">
      <c r="A637" s="1" t="str">
        <f>'Population Definitions'!$A$7</f>
        <v>10-17_females</v>
      </c>
      <c r="C637" t="s">
        <v>32</v>
      </c>
      <c r="D637" s="3"/>
      <c r="E637" s="3">
        <v>0</v>
      </c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  <c r="AA637" s="3"/>
      <c r="AB637" s="3"/>
      <c r="AC637" s="3"/>
      <c r="AD637" s="3"/>
      <c r="AE637" s="3"/>
      <c r="AF637" s="3"/>
      <c r="AG637" s="3"/>
      <c r="AH637" s="3"/>
      <c r="AI637" s="3"/>
      <c r="AJ637" s="3"/>
      <c r="AK637" s="3"/>
      <c r="AL637" s="3"/>
      <c r="AM637" s="3"/>
      <c r="AN637" s="3"/>
      <c r="AO637" s="3"/>
      <c r="AP637" s="3"/>
      <c r="AQ637" s="3"/>
      <c r="AR637" s="3"/>
      <c r="AS637" s="3"/>
      <c r="AT637" s="3"/>
      <c r="AU637" s="3"/>
      <c r="AV637" s="3"/>
      <c r="AW637" s="3"/>
      <c r="AX637" s="3"/>
      <c r="AY637" s="3"/>
      <c r="AZ637" s="3"/>
      <c r="BA637" s="3"/>
      <c r="BB637" s="3"/>
      <c r="BC637" s="3"/>
    </row>
    <row r="638" spans="1:55">
      <c r="A638" s="1" t="str">
        <f>'Population Definitions'!$A$8</f>
        <v>18-64_males</v>
      </c>
      <c r="C638" t="s">
        <v>32</v>
      </c>
      <c r="D638" s="3"/>
      <c r="E638" s="3">
        <v>0</v>
      </c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  <c r="AA638" s="3"/>
      <c r="AB638" s="3"/>
      <c r="AC638" s="3"/>
      <c r="AD638" s="3"/>
      <c r="AE638" s="3"/>
      <c r="AF638" s="3"/>
      <c r="AG638" s="3"/>
      <c r="AH638" s="3"/>
      <c r="AI638" s="3"/>
      <c r="AJ638" s="3"/>
      <c r="AK638" s="3"/>
      <c r="AL638" s="3"/>
      <c r="AM638" s="3"/>
      <c r="AN638" s="3"/>
      <c r="AO638" s="3"/>
      <c r="AP638" s="3"/>
      <c r="AQ638" s="3"/>
      <c r="AR638" s="3"/>
      <c r="AS638" s="3"/>
      <c r="AT638" s="3"/>
      <c r="AU638" s="3"/>
      <c r="AV638" s="3"/>
      <c r="AW638" s="3"/>
      <c r="AX638" s="3"/>
      <c r="AY638" s="3"/>
      <c r="AZ638" s="3"/>
      <c r="BA638" s="3"/>
      <c r="BB638" s="3"/>
      <c r="BC638" s="3"/>
    </row>
    <row r="639" spans="1:55">
      <c r="A639" s="1" t="str">
        <f>'Population Definitions'!$A$9</f>
        <v>18-64_females</v>
      </c>
      <c r="C639" t="s">
        <v>32</v>
      </c>
      <c r="D639" s="3"/>
      <c r="E639" s="3">
        <v>0</v>
      </c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  <c r="AA639" s="3"/>
      <c r="AB639" s="3"/>
      <c r="AC639" s="3"/>
      <c r="AD639" s="3"/>
      <c r="AE639" s="3"/>
      <c r="AF639" s="3"/>
      <c r="AG639" s="3"/>
      <c r="AH639" s="3"/>
      <c r="AI639" s="3"/>
      <c r="AJ639" s="3"/>
      <c r="AK639" s="3"/>
      <c r="AL639" s="3"/>
      <c r="AM639" s="3"/>
      <c r="AN639" s="3"/>
      <c r="AO639" s="3"/>
      <c r="AP639" s="3"/>
      <c r="AQ639" s="3"/>
      <c r="AR639" s="3"/>
      <c r="AS639" s="3"/>
      <c r="AT639" s="3"/>
      <c r="AU639" s="3"/>
      <c r="AV639" s="3"/>
      <c r="AW639" s="3"/>
      <c r="AX639" s="3"/>
      <c r="AY639" s="3"/>
      <c r="AZ639" s="3"/>
      <c r="BA639" s="3"/>
      <c r="BB639" s="3"/>
      <c r="BC639" s="3"/>
    </row>
    <row r="640" spans="1:55">
      <c r="A640" s="1" t="str">
        <f>'Population Definitions'!$A$10</f>
        <v>65+_males</v>
      </c>
      <c r="C640" t="s">
        <v>32</v>
      </c>
      <c r="D640" s="3"/>
      <c r="E640" s="3">
        <v>0</v>
      </c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  <c r="AA640" s="3"/>
      <c r="AB640" s="3"/>
      <c r="AC640" s="3"/>
      <c r="AD640" s="3"/>
      <c r="AE640" s="3"/>
      <c r="AF640" s="3"/>
      <c r="AG640" s="3"/>
      <c r="AH640" s="3"/>
      <c r="AI640" s="3"/>
      <c r="AJ640" s="3"/>
      <c r="AK640" s="3"/>
      <c r="AL640" s="3"/>
      <c r="AM640" s="3"/>
      <c r="AN640" s="3"/>
      <c r="AO640" s="3"/>
      <c r="AP640" s="3"/>
      <c r="AQ640" s="3"/>
      <c r="AR640" s="3"/>
      <c r="AS640" s="3"/>
      <c r="AT640" s="3"/>
      <c r="AU640" s="3"/>
      <c r="AV640" s="3"/>
      <c r="AW640" s="3"/>
      <c r="AX640" s="3"/>
      <c r="AY640" s="3"/>
      <c r="AZ640" s="3"/>
      <c r="BA640" s="3"/>
      <c r="BB640" s="3"/>
      <c r="BC640" s="3"/>
    </row>
    <row r="641" spans="1:55">
      <c r="A641" s="1" t="str">
        <f>'Population Definitions'!$A$11</f>
        <v>65+_females</v>
      </c>
      <c r="C641" t="s">
        <v>32</v>
      </c>
      <c r="D641" s="3"/>
      <c r="E641" s="3">
        <v>0</v>
      </c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  <c r="AA641" s="3"/>
      <c r="AB641" s="3"/>
      <c r="AC641" s="3"/>
      <c r="AD641" s="3"/>
      <c r="AE641" s="3"/>
      <c r="AF641" s="3"/>
      <c r="AG641" s="3"/>
      <c r="AH641" s="3"/>
      <c r="AI641" s="3"/>
      <c r="AJ641" s="3"/>
      <c r="AK641" s="3"/>
      <c r="AL641" s="3"/>
      <c r="AM641" s="3"/>
      <c r="AN641" s="3"/>
      <c r="AO641" s="3"/>
      <c r="AP641" s="3"/>
      <c r="AQ641" s="3"/>
      <c r="AR641" s="3"/>
      <c r="AS641" s="3"/>
      <c r="AT641" s="3"/>
      <c r="AU641" s="3"/>
      <c r="AV641" s="3"/>
      <c r="AW641" s="3"/>
      <c r="AX641" s="3"/>
      <c r="AY641" s="3"/>
      <c r="AZ641" s="3"/>
      <c r="BA641" s="3"/>
      <c r="BB641" s="3"/>
      <c r="BC641" s="3"/>
    </row>
    <row r="642" spans="1:55">
      <c r="A642" s="1" t="str">
        <f>'Population Definitions'!$A$12</f>
        <v>Prisoners_males</v>
      </c>
      <c r="C642" t="s">
        <v>32</v>
      </c>
      <c r="D642" s="3"/>
      <c r="E642" s="3">
        <v>0</v>
      </c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  <c r="AA642" s="3"/>
      <c r="AB642" s="3"/>
      <c r="AC642" s="3"/>
      <c r="AD642" s="3"/>
      <c r="AE642" s="3"/>
      <c r="AF642" s="3"/>
      <c r="AG642" s="3"/>
      <c r="AH642" s="3"/>
      <c r="AI642" s="3"/>
      <c r="AJ642" s="3"/>
      <c r="AK642" s="3"/>
      <c r="AL642" s="3"/>
      <c r="AM642" s="3"/>
      <c r="AN642" s="3"/>
      <c r="AO642" s="3"/>
      <c r="AP642" s="3"/>
      <c r="AQ642" s="3"/>
      <c r="AR642" s="3"/>
      <c r="AS642" s="3"/>
      <c r="AT642" s="3"/>
      <c r="AU642" s="3"/>
      <c r="AV642" s="3"/>
      <c r="AW642" s="3"/>
      <c r="AX642" s="3"/>
      <c r="AY642" s="3"/>
      <c r="AZ642" s="3"/>
      <c r="BA642" s="3"/>
      <c r="BB642" s="3"/>
      <c r="BC642" s="3"/>
    </row>
    <row r="643" spans="1:55">
      <c r="A643" s="1" t="str">
        <f>'Population Definitions'!$A$13</f>
        <v>Prisoners_females</v>
      </c>
      <c r="C643" t="s">
        <v>32</v>
      </c>
      <c r="D643" s="3"/>
      <c r="E643" s="3">
        <v>0</v>
      </c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  <c r="AA643" s="3"/>
      <c r="AB643" s="3"/>
      <c r="AC643" s="3"/>
      <c r="AD643" s="3"/>
      <c r="AE643" s="3"/>
      <c r="AF643" s="3"/>
      <c r="AG643" s="3"/>
      <c r="AH643" s="3"/>
      <c r="AI643" s="3"/>
      <c r="AJ643" s="3"/>
      <c r="AK643" s="3"/>
      <c r="AL643" s="3"/>
      <c r="AM643" s="3"/>
      <c r="AN643" s="3"/>
      <c r="AO643" s="3"/>
      <c r="AP643" s="3"/>
      <c r="AQ643" s="3"/>
      <c r="AR643" s="3"/>
      <c r="AS643" s="3"/>
      <c r="AT643" s="3"/>
      <c r="AU643" s="3"/>
      <c r="AV643" s="3"/>
      <c r="AW643" s="3"/>
      <c r="AX643" s="3"/>
      <c r="AY643" s="3"/>
      <c r="AZ643" s="3"/>
      <c r="BA643" s="3"/>
      <c r="BB643" s="3"/>
      <c r="BC643" s="3"/>
    </row>
    <row r="645" spans="1:55">
      <c r="A645" s="1" t="s">
        <v>172</v>
      </c>
      <c r="B645" s="1" t="s">
        <v>29</v>
      </c>
      <c r="C645" s="1" t="s">
        <v>30</v>
      </c>
      <c r="D645" s="1" t="s">
        <v>31</v>
      </c>
      <c r="E645" s="1">
        <v>2000</v>
      </c>
      <c r="F645" s="1">
        <v>2001</v>
      </c>
      <c r="G645" s="1">
        <v>2002</v>
      </c>
      <c r="H645" s="1">
        <v>2003</v>
      </c>
      <c r="I645" s="1">
        <v>2004</v>
      </c>
      <c r="J645" s="1">
        <v>2005</v>
      </c>
      <c r="K645" s="1">
        <v>2006</v>
      </c>
      <c r="L645" s="1">
        <v>2007</v>
      </c>
      <c r="M645" s="1">
        <v>2008</v>
      </c>
      <c r="N645" s="1">
        <v>2009</v>
      </c>
      <c r="O645" s="1">
        <v>2010</v>
      </c>
      <c r="P645" s="1">
        <v>2011</v>
      </c>
      <c r="Q645" s="1">
        <v>2012</v>
      </c>
      <c r="R645" s="1">
        <v>2013</v>
      </c>
      <c r="S645" s="1">
        <v>2014</v>
      </c>
      <c r="T645" s="1">
        <v>2015</v>
      </c>
      <c r="U645" s="1">
        <v>2016</v>
      </c>
      <c r="V645" s="1">
        <v>2017</v>
      </c>
      <c r="W645" s="1">
        <v>2018</v>
      </c>
      <c r="X645" s="1">
        <v>2019</v>
      </c>
      <c r="Y645" s="1">
        <v>2020</v>
      </c>
      <c r="Z645" s="1">
        <v>2021</v>
      </c>
      <c r="AA645" s="1">
        <v>2022</v>
      </c>
      <c r="AB645" s="1">
        <v>2023</v>
      </c>
      <c r="AC645" s="1">
        <v>2024</v>
      </c>
      <c r="AD645" s="1">
        <v>2025</v>
      </c>
      <c r="AE645" s="1">
        <v>2026</v>
      </c>
      <c r="AF645" s="1">
        <v>2027</v>
      </c>
      <c r="AG645" s="1">
        <v>2028</v>
      </c>
      <c r="AH645" s="1">
        <v>2029</v>
      </c>
      <c r="AI645" s="1">
        <v>2030</v>
      </c>
      <c r="AJ645" s="1">
        <v>2031</v>
      </c>
      <c r="AK645" s="1">
        <v>2032</v>
      </c>
      <c r="AL645" s="1">
        <v>2033</v>
      </c>
      <c r="AM645" s="1">
        <v>2034</v>
      </c>
      <c r="AN645" s="1">
        <v>2035</v>
      </c>
      <c r="AO645" s="1">
        <v>2036</v>
      </c>
      <c r="AP645" s="1">
        <v>2037</v>
      </c>
      <c r="AQ645" s="1">
        <v>2038</v>
      </c>
      <c r="AR645" s="1">
        <v>2039</v>
      </c>
      <c r="AS645" s="1">
        <v>2040</v>
      </c>
      <c r="AT645" s="1">
        <v>2041</v>
      </c>
      <c r="AU645" s="1">
        <v>2042</v>
      </c>
      <c r="AV645" s="1">
        <v>2043</v>
      </c>
      <c r="AW645" s="1">
        <v>2044</v>
      </c>
      <c r="AX645" s="1">
        <v>2045</v>
      </c>
      <c r="AY645" s="1">
        <v>2046</v>
      </c>
      <c r="AZ645" s="1">
        <v>2047</v>
      </c>
      <c r="BA645" s="1">
        <v>2048</v>
      </c>
      <c r="BB645" s="1">
        <v>2049</v>
      </c>
      <c r="BC645" s="1">
        <v>2050</v>
      </c>
    </row>
    <row r="646" spans="1:55">
      <c r="A646" s="1" t="str">
        <f>'Population Definitions'!$A$2</f>
        <v>PWID_males</v>
      </c>
      <c r="C646" t="s">
        <v>32</v>
      </c>
      <c r="D646" s="3"/>
      <c r="E646" s="3">
        <v>0</v>
      </c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  <c r="AA646" s="3"/>
      <c r="AB646" s="3"/>
      <c r="AC646" s="3"/>
      <c r="AD646" s="3"/>
      <c r="AE646" s="3"/>
      <c r="AF646" s="3"/>
      <c r="AG646" s="3"/>
      <c r="AH646" s="3"/>
      <c r="AI646" s="3"/>
      <c r="AJ646" s="3"/>
      <c r="AK646" s="3"/>
      <c r="AL646" s="3"/>
      <c r="AM646" s="3"/>
      <c r="AN646" s="3"/>
      <c r="AO646" s="3"/>
      <c r="AP646" s="3"/>
      <c r="AQ646" s="3"/>
      <c r="AR646" s="3"/>
      <c r="AS646" s="3"/>
      <c r="AT646" s="3"/>
      <c r="AU646" s="3"/>
      <c r="AV646" s="3"/>
      <c r="AW646" s="3"/>
      <c r="AX646" s="3"/>
      <c r="AY646" s="3"/>
      <c r="AZ646" s="3"/>
      <c r="BA646" s="3"/>
      <c r="BB646" s="3"/>
      <c r="BC646" s="3"/>
    </row>
    <row r="647" spans="1:55">
      <c r="A647" s="1" t="str">
        <f>'Population Definitions'!$A$3</f>
        <v>PWID_females</v>
      </c>
      <c r="C647" t="s">
        <v>32</v>
      </c>
      <c r="D647" s="3"/>
      <c r="E647" s="3">
        <v>0</v>
      </c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  <c r="AA647" s="3"/>
      <c r="AB647" s="3"/>
      <c r="AC647" s="3"/>
      <c r="AD647" s="3"/>
      <c r="AE647" s="3"/>
      <c r="AF647" s="3"/>
      <c r="AG647" s="3"/>
      <c r="AH647" s="3"/>
      <c r="AI647" s="3"/>
      <c r="AJ647" s="3"/>
      <c r="AK647" s="3"/>
      <c r="AL647" s="3"/>
      <c r="AM647" s="3"/>
      <c r="AN647" s="3"/>
      <c r="AO647" s="3"/>
      <c r="AP647" s="3"/>
      <c r="AQ647" s="3"/>
      <c r="AR647" s="3"/>
      <c r="AS647" s="3"/>
      <c r="AT647" s="3"/>
      <c r="AU647" s="3"/>
      <c r="AV647" s="3"/>
      <c r="AW647" s="3"/>
      <c r="AX647" s="3"/>
      <c r="AY647" s="3"/>
      <c r="AZ647" s="3"/>
      <c r="BA647" s="3"/>
      <c r="BB647" s="3"/>
      <c r="BC647" s="3"/>
    </row>
    <row r="648" spans="1:55">
      <c r="A648" s="1" t="str">
        <f>'Population Definitions'!$A$4</f>
        <v>0-9_males</v>
      </c>
      <c r="C648" t="s">
        <v>32</v>
      </c>
      <c r="D648" s="3"/>
      <c r="E648" s="3">
        <v>0</v>
      </c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  <c r="AA648" s="3"/>
      <c r="AB648" s="3"/>
      <c r="AC648" s="3"/>
      <c r="AD648" s="3"/>
      <c r="AE648" s="3"/>
      <c r="AF648" s="3"/>
      <c r="AG648" s="3"/>
      <c r="AH648" s="3"/>
      <c r="AI648" s="3"/>
      <c r="AJ648" s="3"/>
      <c r="AK648" s="3"/>
      <c r="AL648" s="3"/>
      <c r="AM648" s="3"/>
      <c r="AN648" s="3"/>
      <c r="AO648" s="3"/>
      <c r="AP648" s="3"/>
      <c r="AQ648" s="3"/>
      <c r="AR648" s="3"/>
      <c r="AS648" s="3"/>
      <c r="AT648" s="3"/>
      <c r="AU648" s="3"/>
      <c r="AV648" s="3"/>
      <c r="AW648" s="3"/>
      <c r="AX648" s="3"/>
      <c r="AY648" s="3"/>
      <c r="AZ648" s="3"/>
      <c r="BA648" s="3"/>
      <c r="BB648" s="3"/>
      <c r="BC648" s="3"/>
    </row>
    <row r="649" spans="1:55">
      <c r="A649" s="1" t="str">
        <f>'Population Definitions'!$A$5</f>
        <v>0-9_females</v>
      </c>
      <c r="C649" t="s">
        <v>32</v>
      </c>
      <c r="D649" s="3"/>
      <c r="E649" s="3">
        <v>0</v>
      </c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  <c r="AA649" s="3"/>
      <c r="AB649" s="3"/>
      <c r="AC649" s="3"/>
      <c r="AD649" s="3"/>
      <c r="AE649" s="3"/>
      <c r="AF649" s="3"/>
      <c r="AG649" s="3"/>
      <c r="AH649" s="3"/>
      <c r="AI649" s="3"/>
      <c r="AJ649" s="3"/>
      <c r="AK649" s="3"/>
      <c r="AL649" s="3"/>
      <c r="AM649" s="3"/>
      <c r="AN649" s="3"/>
      <c r="AO649" s="3"/>
      <c r="AP649" s="3"/>
      <c r="AQ649" s="3"/>
      <c r="AR649" s="3"/>
      <c r="AS649" s="3"/>
      <c r="AT649" s="3"/>
      <c r="AU649" s="3"/>
      <c r="AV649" s="3"/>
      <c r="AW649" s="3"/>
      <c r="AX649" s="3"/>
      <c r="AY649" s="3"/>
      <c r="AZ649" s="3"/>
      <c r="BA649" s="3"/>
      <c r="BB649" s="3"/>
      <c r="BC649" s="3"/>
    </row>
    <row r="650" spans="1:55">
      <c r="A650" s="1" t="str">
        <f>'Population Definitions'!$A$6</f>
        <v>10-17_males</v>
      </c>
      <c r="C650" t="s">
        <v>32</v>
      </c>
      <c r="D650" s="3"/>
      <c r="E650" s="3">
        <v>0</v>
      </c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  <c r="AA650" s="3"/>
      <c r="AB650" s="3"/>
      <c r="AC650" s="3"/>
      <c r="AD650" s="3"/>
      <c r="AE650" s="3"/>
      <c r="AF650" s="3"/>
      <c r="AG650" s="3"/>
      <c r="AH650" s="3"/>
      <c r="AI650" s="3"/>
      <c r="AJ650" s="3"/>
      <c r="AK650" s="3"/>
      <c r="AL650" s="3"/>
      <c r="AM650" s="3"/>
      <c r="AN650" s="3"/>
      <c r="AO650" s="3"/>
      <c r="AP650" s="3"/>
      <c r="AQ650" s="3"/>
      <c r="AR650" s="3"/>
      <c r="AS650" s="3"/>
      <c r="AT650" s="3"/>
      <c r="AU650" s="3"/>
      <c r="AV650" s="3"/>
      <c r="AW650" s="3"/>
      <c r="AX650" s="3"/>
      <c r="AY650" s="3"/>
      <c r="AZ650" s="3"/>
      <c r="BA650" s="3"/>
      <c r="BB650" s="3"/>
      <c r="BC650" s="3"/>
    </row>
    <row r="651" spans="1:55">
      <c r="A651" s="1" t="str">
        <f>'Population Definitions'!$A$7</f>
        <v>10-17_females</v>
      </c>
      <c r="C651" t="s">
        <v>32</v>
      </c>
      <c r="D651" s="3"/>
      <c r="E651" s="3">
        <v>0</v>
      </c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  <c r="AA651" s="3"/>
      <c r="AB651" s="3"/>
      <c r="AC651" s="3"/>
      <c r="AD651" s="3"/>
      <c r="AE651" s="3"/>
      <c r="AF651" s="3"/>
      <c r="AG651" s="3"/>
      <c r="AH651" s="3"/>
      <c r="AI651" s="3"/>
      <c r="AJ651" s="3"/>
      <c r="AK651" s="3"/>
      <c r="AL651" s="3"/>
      <c r="AM651" s="3"/>
      <c r="AN651" s="3"/>
      <c r="AO651" s="3"/>
      <c r="AP651" s="3"/>
      <c r="AQ651" s="3"/>
      <c r="AR651" s="3"/>
      <c r="AS651" s="3"/>
      <c r="AT651" s="3"/>
      <c r="AU651" s="3"/>
      <c r="AV651" s="3"/>
      <c r="AW651" s="3"/>
      <c r="AX651" s="3"/>
      <c r="AY651" s="3"/>
      <c r="AZ651" s="3"/>
      <c r="BA651" s="3"/>
      <c r="BB651" s="3"/>
      <c r="BC651" s="3"/>
    </row>
    <row r="652" spans="1:55">
      <c r="A652" s="1" t="str">
        <f>'Population Definitions'!$A$8</f>
        <v>18-64_males</v>
      </c>
      <c r="C652" t="s">
        <v>32</v>
      </c>
      <c r="D652" s="3"/>
      <c r="E652" s="3">
        <v>0</v>
      </c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  <c r="AA652" s="3"/>
      <c r="AB652" s="3"/>
      <c r="AC652" s="3"/>
      <c r="AD652" s="3"/>
      <c r="AE652" s="3"/>
      <c r="AF652" s="3"/>
      <c r="AG652" s="3"/>
      <c r="AH652" s="3"/>
      <c r="AI652" s="3"/>
      <c r="AJ652" s="3"/>
      <c r="AK652" s="3"/>
      <c r="AL652" s="3"/>
      <c r="AM652" s="3"/>
      <c r="AN652" s="3"/>
      <c r="AO652" s="3"/>
      <c r="AP652" s="3"/>
      <c r="AQ652" s="3"/>
      <c r="AR652" s="3"/>
      <c r="AS652" s="3"/>
      <c r="AT652" s="3"/>
      <c r="AU652" s="3"/>
      <c r="AV652" s="3"/>
      <c r="AW652" s="3"/>
      <c r="AX652" s="3"/>
      <c r="AY652" s="3"/>
      <c r="AZ652" s="3"/>
      <c r="BA652" s="3"/>
      <c r="BB652" s="3"/>
      <c r="BC652" s="3"/>
    </row>
    <row r="653" spans="1:55">
      <c r="A653" s="1" t="str">
        <f>'Population Definitions'!$A$9</f>
        <v>18-64_females</v>
      </c>
      <c r="C653" t="s">
        <v>32</v>
      </c>
      <c r="D653" s="3"/>
      <c r="E653" s="3">
        <v>0</v>
      </c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  <c r="AA653" s="3"/>
      <c r="AB653" s="3"/>
      <c r="AC653" s="3"/>
      <c r="AD653" s="3"/>
      <c r="AE653" s="3"/>
      <c r="AF653" s="3"/>
      <c r="AG653" s="3"/>
      <c r="AH653" s="3"/>
      <c r="AI653" s="3"/>
      <c r="AJ653" s="3"/>
      <c r="AK653" s="3"/>
      <c r="AL653" s="3"/>
      <c r="AM653" s="3"/>
      <c r="AN653" s="3"/>
      <c r="AO653" s="3"/>
      <c r="AP653" s="3"/>
      <c r="AQ653" s="3"/>
      <c r="AR653" s="3"/>
      <c r="AS653" s="3"/>
      <c r="AT653" s="3"/>
      <c r="AU653" s="3"/>
      <c r="AV653" s="3"/>
      <c r="AW653" s="3"/>
      <c r="AX653" s="3"/>
      <c r="AY653" s="3"/>
      <c r="AZ653" s="3"/>
      <c r="BA653" s="3"/>
      <c r="BB653" s="3"/>
      <c r="BC653" s="3"/>
    </row>
    <row r="654" spans="1:55">
      <c r="A654" s="1" t="str">
        <f>'Population Definitions'!$A$10</f>
        <v>65+_males</v>
      </c>
      <c r="C654" t="s">
        <v>32</v>
      </c>
      <c r="D654" s="3"/>
      <c r="E654" s="3">
        <v>0</v>
      </c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  <c r="AA654" s="3"/>
      <c r="AB654" s="3"/>
      <c r="AC654" s="3"/>
      <c r="AD654" s="3"/>
      <c r="AE654" s="3"/>
      <c r="AF654" s="3"/>
      <c r="AG654" s="3"/>
      <c r="AH654" s="3"/>
      <c r="AI654" s="3"/>
      <c r="AJ654" s="3"/>
      <c r="AK654" s="3"/>
      <c r="AL654" s="3"/>
      <c r="AM654" s="3"/>
      <c r="AN654" s="3"/>
      <c r="AO654" s="3"/>
      <c r="AP654" s="3"/>
      <c r="AQ654" s="3"/>
      <c r="AR654" s="3"/>
      <c r="AS654" s="3"/>
      <c r="AT654" s="3"/>
      <c r="AU654" s="3"/>
      <c r="AV654" s="3"/>
      <c r="AW654" s="3"/>
      <c r="AX654" s="3"/>
      <c r="AY654" s="3"/>
      <c r="AZ654" s="3"/>
      <c r="BA654" s="3"/>
      <c r="BB654" s="3"/>
      <c r="BC654" s="3"/>
    </row>
    <row r="655" spans="1:55">
      <c r="A655" s="1" t="str">
        <f>'Population Definitions'!$A$11</f>
        <v>65+_females</v>
      </c>
      <c r="C655" t="s">
        <v>32</v>
      </c>
      <c r="D655" s="3"/>
      <c r="E655" s="3">
        <v>0</v>
      </c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  <c r="AA655" s="3"/>
      <c r="AB655" s="3"/>
      <c r="AC655" s="3"/>
      <c r="AD655" s="3"/>
      <c r="AE655" s="3"/>
      <c r="AF655" s="3"/>
      <c r="AG655" s="3"/>
      <c r="AH655" s="3"/>
      <c r="AI655" s="3"/>
      <c r="AJ655" s="3"/>
      <c r="AK655" s="3"/>
      <c r="AL655" s="3"/>
      <c r="AM655" s="3"/>
      <c r="AN655" s="3"/>
      <c r="AO655" s="3"/>
      <c r="AP655" s="3"/>
      <c r="AQ655" s="3"/>
      <c r="AR655" s="3"/>
      <c r="AS655" s="3"/>
      <c r="AT655" s="3"/>
      <c r="AU655" s="3"/>
      <c r="AV655" s="3"/>
      <c r="AW655" s="3"/>
      <c r="AX655" s="3"/>
      <c r="AY655" s="3"/>
      <c r="AZ655" s="3"/>
      <c r="BA655" s="3"/>
      <c r="BB655" s="3"/>
      <c r="BC655" s="3"/>
    </row>
    <row r="656" spans="1:55">
      <c r="A656" s="1" t="str">
        <f>'Population Definitions'!$A$12</f>
        <v>Prisoners_males</v>
      </c>
      <c r="C656" t="s">
        <v>32</v>
      </c>
      <c r="D656" s="3"/>
      <c r="E656" s="3">
        <v>0</v>
      </c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  <c r="AA656" s="3"/>
      <c r="AB656" s="3"/>
      <c r="AC656" s="3"/>
      <c r="AD656" s="3"/>
      <c r="AE656" s="3"/>
      <c r="AF656" s="3"/>
      <c r="AG656" s="3"/>
      <c r="AH656" s="3"/>
      <c r="AI656" s="3"/>
      <c r="AJ656" s="3"/>
      <c r="AK656" s="3"/>
      <c r="AL656" s="3"/>
      <c r="AM656" s="3"/>
      <c r="AN656" s="3"/>
      <c r="AO656" s="3"/>
      <c r="AP656" s="3"/>
      <c r="AQ656" s="3"/>
      <c r="AR656" s="3"/>
      <c r="AS656" s="3"/>
      <c r="AT656" s="3"/>
      <c r="AU656" s="3"/>
      <c r="AV656" s="3"/>
      <c r="AW656" s="3"/>
      <c r="AX656" s="3"/>
      <c r="AY656" s="3"/>
      <c r="AZ656" s="3"/>
      <c r="BA656" s="3"/>
      <c r="BB656" s="3"/>
      <c r="BC656" s="3"/>
    </row>
    <row r="657" spans="1:55">
      <c r="A657" s="1" t="str">
        <f>'Population Definitions'!$A$13</f>
        <v>Prisoners_females</v>
      </c>
      <c r="C657" t="s">
        <v>32</v>
      </c>
      <c r="D657" s="3"/>
      <c r="E657" s="3">
        <v>0</v>
      </c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  <c r="AA657" s="3"/>
      <c r="AB657" s="3"/>
      <c r="AC657" s="3"/>
      <c r="AD657" s="3"/>
      <c r="AE657" s="3"/>
      <c r="AF657" s="3"/>
      <c r="AG657" s="3"/>
      <c r="AH657" s="3"/>
      <c r="AI657" s="3"/>
      <c r="AJ657" s="3"/>
      <c r="AK657" s="3"/>
      <c r="AL657" s="3"/>
      <c r="AM657" s="3"/>
      <c r="AN657" s="3"/>
      <c r="AO657" s="3"/>
      <c r="AP657" s="3"/>
      <c r="AQ657" s="3"/>
      <c r="AR657" s="3"/>
      <c r="AS657" s="3"/>
      <c r="AT657" s="3"/>
      <c r="AU657" s="3"/>
      <c r="AV657" s="3"/>
      <c r="AW657" s="3"/>
      <c r="AX657" s="3"/>
      <c r="AY657" s="3"/>
      <c r="AZ657" s="3"/>
      <c r="BA657" s="3"/>
      <c r="BB657" s="3"/>
      <c r="BC657" s="3"/>
    </row>
    <row r="659" spans="1:55">
      <c r="A659" s="1" t="s">
        <v>173</v>
      </c>
      <c r="B659" s="1" t="s">
        <v>29</v>
      </c>
      <c r="C659" s="1" t="s">
        <v>30</v>
      </c>
      <c r="D659" s="1" t="s">
        <v>31</v>
      </c>
      <c r="E659" s="1">
        <v>2000</v>
      </c>
      <c r="F659" s="1">
        <v>2001</v>
      </c>
      <c r="G659" s="1">
        <v>2002</v>
      </c>
      <c r="H659" s="1">
        <v>2003</v>
      </c>
      <c r="I659" s="1">
        <v>2004</v>
      </c>
      <c r="J659" s="1">
        <v>2005</v>
      </c>
      <c r="K659" s="1">
        <v>2006</v>
      </c>
      <c r="L659" s="1">
        <v>2007</v>
      </c>
      <c r="M659" s="1">
        <v>2008</v>
      </c>
      <c r="N659" s="1">
        <v>2009</v>
      </c>
      <c r="O659" s="1">
        <v>2010</v>
      </c>
      <c r="P659" s="1">
        <v>2011</v>
      </c>
      <c r="Q659" s="1">
        <v>2012</v>
      </c>
      <c r="R659" s="1">
        <v>2013</v>
      </c>
      <c r="S659" s="1">
        <v>2014</v>
      </c>
      <c r="T659" s="1">
        <v>2015</v>
      </c>
      <c r="U659" s="1">
        <v>2016</v>
      </c>
      <c r="V659" s="1">
        <v>2017</v>
      </c>
      <c r="W659" s="1">
        <v>2018</v>
      </c>
      <c r="X659" s="1">
        <v>2019</v>
      </c>
      <c r="Y659" s="1">
        <v>2020</v>
      </c>
      <c r="Z659" s="1">
        <v>2021</v>
      </c>
      <c r="AA659" s="1">
        <v>2022</v>
      </c>
      <c r="AB659" s="1">
        <v>2023</v>
      </c>
      <c r="AC659" s="1">
        <v>2024</v>
      </c>
      <c r="AD659" s="1">
        <v>2025</v>
      </c>
      <c r="AE659" s="1">
        <v>2026</v>
      </c>
      <c r="AF659" s="1">
        <v>2027</v>
      </c>
      <c r="AG659" s="1">
        <v>2028</v>
      </c>
      <c r="AH659" s="1">
        <v>2029</v>
      </c>
      <c r="AI659" s="1">
        <v>2030</v>
      </c>
      <c r="AJ659" s="1">
        <v>2031</v>
      </c>
      <c r="AK659" s="1">
        <v>2032</v>
      </c>
      <c r="AL659" s="1">
        <v>2033</v>
      </c>
      <c r="AM659" s="1">
        <v>2034</v>
      </c>
      <c r="AN659" s="1">
        <v>2035</v>
      </c>
      <c r="AO659" s="1">
        <v>2036</v>
      </c>
      <c r="AP659" s="1">
        <v>2037</v>
      </c>
      <c r="AQ659" s="1">
        <v>2038</v>
      </c>
      <c r="AR659" s="1">
        <v>2039</v>
      </c>
      <c r="AS659" s="1">
        <v>2040</v>
      </c>
      <c r="AT659" s="1">
        <v>2041</v>
      </c>
      <c r="AU659" s="1">
        <v>2042</v>
      </c>
      <c r="AV659" s="1">
        <v>2043</v>
      </c>
      <c r="AW659" s="1">
        <v>2044</v>
      </c>
      <c r="AX659" s="1">
        <v>2045</v>
      </c>
      <c r="AY659" s="1">
        <v>2046</v>
      </c>
      <c r="AZ659" s="1">
        <v>2047</v>
      </c>
      <c r="BA659" s="1">
        <v>2048</v>
      </c>
      <c r="BB659" s="1">
        <v>2049</v>
      </c>
      <c r="BC659" s="1">
        <v>2050</v>
      </c>
    </row>
    <row r="660" spans="1:55">
      <c r="A660" s="1" t="str">
        <f>'Population Definitions'!$A$2</f>
        <v>PWID_males</v>
      </c>
      <c r="C660" t="s">
        <v>32</v>
      </c>
      <c r="D660" s="3"/>
      <c r="E660" s="3">
        <v>0</v>
      </c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  <c r="AA660" s="3"/>
      <c r="AB660" s="3"/>
      <c r="AC660" s="3"/>
      <c r="AD660" s="3"/>
      <c r="AE660" s="3"/>
      <c r="AF660" s="3"/>
      <c r="AG660" s="3"/>
      <c r="AH660" s="3"/>
      <c r="AI660" s="3"/>
      <c r="AJ660" s="3"/>
      <c r="AK660" s="3"/>
      <c r="AL660" s="3"/>
      <c r="AM660" s="3"/>
      <c r="AN660" s="3"/>
      <c r="AO660" s="3"/>
      <c r="AP660" s="3"/>
      <c r="AQ660" s="3"/>
      <c r="AR660" s="3"/>
      <c r="AS660" s="3"/>
      <c r="AT660" s="3"/>
      <c r="AU660" s="3"/>
      <c r="AV660" s="3"/>
      <c r="AW660" s="3"/>
      <c r="AX660" s="3"/>
      <c r="AY660" s="3"/>
      <c r="AZ660" s="3"/>
      <c r="BA660" s="3"/>
      <c r="BB660" s="3"/>
      <c r="BC660" s="3"/>
    </row>
    <row r="661" spans="1:55">
      <c r="A661" s="1" t="str">
        <f>'Population Definitions'!$A$3</f>
        <v>PWID_females</v>
      </c>
      <c r="C661" t="s">
        <v>32</v>
      </c>
      <c r="D661" s="3"/>
      <c r="E661" s="3">
        <v>0</v>
      </c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  <c r="AA661" s="3"/>
      <c r="AB661" s="3"/>
      <c r="AC661" s="3"/>
      <c r="AD661" s="3"/>
      <c r="AE661" s="3"/>
      <c r="AF661" s="3"/>
      <c r="AG661" s="3"/>
      <c r="AH661" s="3"/>
      <c r="AI661" s="3"/>
      <c r="AJ661" s="3"/>
      <c r="AK661" s="3"/>
      <c r="AL661" s="3"/>
      <c r="AM661" s="3"/>
      <c r="AN661" s="3"/>
      <c r="AO661" s="3"/>
      <c r="AP661" s="3"/>
      <c r="AQ661" s="3"/>
      <c r="AR661" s="3"/>
      <c r="AS661" s="3"/>
      <c r="AT661" s="3"/>
      <c r="AU661" s="3"/>
      <c r="AV661" s="3"/>
      <c r="AW661" s="3"/>
      <c r="AX661" s="3"/>
      <c r="AY661" s="3"/>
      <c r="AZ661" s="3"/>
      <c r="BA661" s="3"/>
      <c r="BB661" s="3"/>
      <c r="BC661" s="3"/>
    </row>
    <row r="662" spans="1:55">
      <c r="A662" s="1" t="str">
        <f>'Population Definitions'!$A$4</f>
        <v>0-9_males</v>
      </c>
      <c r="C662" t="s">
        <v>32</v>
      </c>
      <c r="D662" s="3"/>
      <c r="E662" s="3">
        <v>0</v>
      </c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  <c r="AA662" s="3"/>
      <c r="AB662" s="3"/>
      <c r="AC662" s="3"/>
      <c r="AD662" s="3"/>
      <c r="AE662" s="3"/>
      <c r="AF662" s="3"/>
      <c r="AG662" s="3"/>
      <c r="AH662" s="3"/>
      <c r="AI662" s="3"/>
      <c r="AJ662" s="3"/>
      <c r="AK662" s="3"/>
      <c r="AL662" s="3"/>
      <c r="AM662" s="3"/>
      <c r="AN662" s="3"/>
      <c r="AO662" s="3"/>
      <c r="AP662" s="3"/>
      <c r="AQ662" s="3"/>
      <c r="AR662" s="3"/>
      <c r="AS662" s="3"/>
      <c r="AT662" s="3"/>
      <c r="AU662" s="3"/>
      <c r="AV662" s="3"/>
      <c r="AW662" s="3"/>
      <c r="AX662" s="3"/>
      <c r="AY662" s="3"/>
      <c r="AZ662" s="3"/>
      <c r="BA662" s="3"/>
      <c r="BB662" s="3"/>
      <c r="BC662" s="3"/>
    </row>
    <row r="663" spans="1:55">
      <c r="A663" s="1" t="str">
        <f>'Population Definitions'!$A$5</f>
        <v>0-9_females</v>
      </c>
      <c r="C663" t="s">
        <v>32</v>
      </c>
      <c r="D663" s="3"/>
      <c r="E663" s="3">
        <v>0</v>
      </c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  <c r="AA663" s="3"/>
      <c r="AB663" s="3"/>
      <c r="AC663" s="3"/>
      <c r="AD663" s="3"/>
      <c r="AE663" s="3"/>
      <c r="AF663" s="3"/>
      <c r="AG663" s="3"/>
      <c r="AH663" s="3"/>
      <c r="AI663" s="3"/>
      <c r="AJ663" s="3"/>
      <c r="AK663" s="3"/>
      <c r="AL663" s="3"/>
      <c r="AM663" s="3"/>
      <c r="AN663" s="3"/>
      <c r="AO663" s="3"/>
      <c r="AP663" s="3"/>
      <c r="AQ663" s="3"/>
      <c r="AR663" s="3"/>
      <c r="AS663" s="3"/>
      <c r="AT663" s="3"/>
      <c r="AU663" s="3"/>
      <c r="AV663" s="3"/>
      <c r="AW663" s="3"/>
      <c r="AX663" s="3"/>
      <c r="AY663" s="3"/>
      <c r="AZ663" s="3"/>
      <c r="BA663" s="3"/>
      <c r="BB663" s="3"/>
      <c r="BC663" s="3"/>
    </row>
    <row r="664" spans="1:55">
      <c r="A664" s="1" t="str">
        <f>'Population Definitions'!$A$6</f>
        <v>10-17_males</v>
      </c>
      <c r="C664" t="s">
        <v>32</v>
      </c>
      <c r="D664" s="3"/>
      <c r="E664" s="3">
        <v>0</v>
      </c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  <c r="AA664" s="3"/>
      <c r="AB664" s="3"/>
      <c r="AC664" s="3"/>
      <c r="AD664" s="3"/>
      <c r="AE664" s="3"/>
      <c r="AF664" s="3"/>
      <c r="AG664" s="3"/>
      <c r="AH664" s="3"/>
      <c r="AI664" s="3"/>
      <c r="AJ664" s="3"/>
      <c r="AK664" s="3"/>
      <c r="AL664" s="3"/>
      <c r="AM664" s="3"/>
      <c r="AN664" s="3"/>
      <c r="AO664" s="3"/>
      <c r="AP664" s="3"/>
      <c r="AQ664" s="3"/>
      <c r="AR664" s="3"/>
      <c r="AS664" s="3"/>
      <c r="AT664" s="3"/>
      <c r="AU664" s="3"/>
      <c r="AV664" s="3"/>
      <c r="AW664" s="3"/>
      <c r="AX664" s="3"/>
      <c r="AY664" s="3"/>
      <c r="AZ664" s="3"/>
      <c r="BA664" s="3"/>
      <c r="BB664" s="3"/>
      <c r="BC664" s="3"/>
    </row>
    <row r="665" spans="1:55">
      <c r="A665" s="1" t="str">
        <f>'Population Definitions'!$A$7</f>
        <v>10-17_females</v>
      </c>
      <c r="C665" t="s">
        <v>32</v>
      </c>
      <c r="D665" s="3"/>
      <c r="E665" s="3">
        <v>0</v>
      </c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  <c r="AA665" s="3"/>
      <c r="AB665" s="3"/>
      <c r="AC665" s="3"/>
      <c r="AD665" s="3"/>
      <c r="AE665" s="3"/>
      <c r="AF665" s="3"/>
      <c r="AG665" s="3"/>
      <c r="AH665" s="3"/>
      <c r="AI665" s="3"/>
      <c r="AJ665" s="3"/>
      <c r="AK665" s="3"/>
      <c r="AL665" s="3"/>
      <c r="AM665" s="3"/>
      <c r="AN665" s="3"/>
      <c r="AO665" s="3"/>
      <c r="AP665" s="3"/>
      <c r="AQ665" s="3"/>
      <c r="AR665" s="3"/>
      <c r="AS665" s="3"/>
      <c r="AT665" s="3"/>
      <c r="AU665" s="3"/>
      <c r="AV665" s="3"/>
      <c r="AW665" s="3"/>
      <c r="AX665" s="3"/>
      <c r="AY665" s="3"/>
      <c r="AZ665" s="3"/>
      <c r="BA665" s="3"/>
      <c r="BB665" s="3"/>
      <c r="BC665" s="3"/>
    </row>
    <row r="666" spans="1:55">
      <c r="A666" s="1" t="str">
        <f>'Population Definitions'!$A$8</f>
        <v>18-64_males</v>
      </c>
      <c r="C666" t="s">
        <v>32</v>
      </c>
      <c r="D666" s="3"/>
      <c r="E666" s="3">
        <v>0</v>
      </c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  <c r="AA666" s="3"/>
      <c r="AB666" s="3"/>
      <c r="AC666" s="3"/>
      <c r="AD666" s="3"/>
      <c r="AE666" s="3"/>
      <c r="AF666" s="3"/>
      <c r="AG666" s="3"/>
      <c r="AH666" s="3"/>
      <c r="AI666" s="3"/>
      <c r="AJ666" s="3"/>
      <c r="AK666" s="3"/>
      <c r="AL666" s="3"/>
      <c r="AM666" s="3"/>
      <c r="AN666" s="3"/>
      <c r="AO666" s="3"/>
      <c r="AP666" s="3"/>
      <c r="AQ666" s="3"/>
      <c r="AR666" s="3"/>
      <c r="AS666" s="3"/>
      <c r="AT666" s="3"/>
      <c r="AU666" s="3"/>
      <c r="AV666" s="3"/>
      <c r="AW666" s="3"/>
      <c r="AX666" s="3"/>
      <c r="AY666" s="3"/>
      <c r="AZ666" s="3"/>
      <c r="BA666" s="3"/>
      <c r="BB666" s="3"/>
      <c r="BC666" s="3"/>
    </row>
    <row r="667" spans="1:55">
      <c r="A667" s="1" t="str">
        <f>'Population Definitions'!$A$9</f>
        <v>18-64_females</v>
      </c>
      <c r="C667" t="s">
        <v>32</v>
      </c>
      <c r="D667" s="3"/>
      <c r="E667" s="3">
        <v>0</v>
      </c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  <c r="AA667" s="3"/>
      <c r="AB667" s="3"/>
      <c r="AC667" s="3"/>
      <c r="AD667" s="3"/>
      <c r="AE667" s="3"/>
      <c r="AF667" s="3"/>
      <c r="AG667" s="3"/>
      <c r="AH667" s="3"/>
      <c r="AI667" s="3"/>
      <c r="AJ667" s="3"/>
      <c r="AK667" s="3"/>
      <c r="AL667" s="3"/>
      <c r="AM667" s="3"/>
      <c r="AN667" s="3"/>
      <c r="AO667" s="3"/>
      <c r="AP667" s="3"/>
      <c r="AQ667" s="3"/>
      <c r="AR667" s="3"/>
      <c r="AS667" s="3"/>
      <c r="AT667" s="3"/>
      <c r="AU667" s="3"/>
      <c r="AV667" s="3"/>
      <c r="AW667" s="3"/>
      <c r="AX667" s="3"/>
      <c r="AY667" s="3"/>
      <c r="AZ667" s="3"/>
      <c r="BA667" s="3"/>
      <c r="BB667" s="3"/>
      <c r="BC667" s="3"/>
    </row>
    <row r="668" spans="1:55">
      <c r="A668" s="1" t="str">
        <f>'Population Definitions'!$A$10</f>
        <v>65+_males</v>
      </c>
      <c r="C668" t="s">
        <v>32</v>
      </c>
      <c r="D668" s="3"/>
      <c r="E668" s="3">
        <v>0</v>
      </c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  <c r="AA668" s="3"/>
      <c r="AB668" s="3"/>
      <c r="AC668" s="3"/>
      <c r="AD668" s="3"/>
      <c r="AE668" s="3"/>
      <c r="AF668" s="3"/>
      <c r="AG668" s="3"/>
      <c r="AH668" s="3"/>
      <c r="AI668" s="3"/>
      <c r="AJ668" s="3"/>
      <c r="AK668" s="3"/>
      <c r="AL668" s="3"/>
      <c r="AM668" s="3"/>
      <c r="AN668" s="3"/>
      <c r="AO668" s="3"/>
      <c r="AP668" s="3"/>
      <c r="AQ668" s="3"/>
      <c r="AR668" s="3"/>
      <c r="AS668" s="3"/>
      <c r="AT668" s="3"/>
      <c r="AU668" s="3"/>
      <c r="AV668" s="3"/>
      <c r="AW668" s="3"/>
      <c r="AX668" s="3"/>
      <c r="AY668" s="3"/>
      <c r="AZ668" s="3"/>
      <c r="BA668" s="3"/>
      <c r="BB668" s="3"/>
      <c r="BC668" s="3"/>
    </row>
    <row r="669" spans="1:55">
      <c r="A669" s="1" t="str">
        <f>'Population Definitions'!$A$11</f>
        <v>65+_females</v>
      </c>
      <c r="C669" t="s">
        <v>32</v>
      </c>
      <c r="D669" s="3"/>
      <c r="E669" s="3">
        <v>0</v>
      </c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  <c r="AA669" s="3"/>
      <c r="AB669" s="3"/>
      <c r="AC669" s="3"/>
      <c r="AD669" s="3"/>
      <c r="AE669" s="3"/>
      <c r="AF669" s="3"/>
      <c r="AG669" s="3"/>
      <c r="AH669" s="3"/>
      <c r="AI669" s="3"/>
      <c r="AJ669" s="3"/>
      <c r="AK669" s="3"/>
      <c r="AL669" s="3"/>
      <c r="AM669" s="3"/>
      <c r="AN669" s="3"/>
      <c r="AO669" s="3"/>
      <c r="AP669" s="3"/>
      <c r="AQ669" s="3"/>
      <c r="AR669" s="3"/>
      <c r="AS669" s="3"/>
      <c r="AT669" s="3"/>
      <c r="AU669" s="3"/>
      <c r="AV669" s="3"/>
      <c r="AW669" s="3"/>
      <c r="AX669" s="3"/>
      <c r="AY669" s="3"/>
      <c r="AZ669" s="3"/>
      <c r="BA669" s="3"/>
      <c r="BB669" s="3"/>
      <c r="BC669" s="3"/>
    </row>
    <row r="670" spans="1:55">
      <c r="A670" s="1" t="str">
        <f>'Population Definitions'!$A$12</f>
        <v>Prisoners_males</v>
      </c>
      <c r="C670" t="s">
        <v>32</v>
      </c>
      <c r="D670" s="3"/>
      <c r="E670" s="3">
        <v>0</v>
      </c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  <c r="AA670" s="3"/>
      <c r="AB670" s="3"/>
      <c r="AC670" s="3"/>
      <c r="AD670" s="3"/>
      <c r="AE670" s="3"/>
      <c r="AF670" s="3"/>
      <c r="AG670" s="3"/>
      <c r="AH670" s="3"/>
      <c r="AI670" s="3"/>
      <c r="AJ670" s="3"/>
      <c r="AK670" s="3"/>
      <c r="AL670" s="3"/>
      <c r="AM670" s="3"/>
      <c r="AN670" s="3"/>
      <c r="AO670" s="3"/>
      <c r="AP670" s="3"/>
      <c r="AQ670" s="3"/>
      <c r="AR670" s="3"/>
      <c r="AS670" s="3"/>
      <c r="AT670" s="3"/>
      <c r="AU670" s="3"/>
      <c r="AV670" s="3"/>
      <c r="AW670" s="3"/>
      <c r="AX670" s="3"/>
      <c r="AY670" s="3"/>
      <c r="AZ670" s="3"/>
      <c r="BA670" s="3"/>
      <c r="BB670" s="3"/>
      <c r="BC670" s="3"/>
    </row>
    <row r="671" spans="1:55">
      <c r="A671" s="1" t="str">
        <f>'Population Definitions'!$A$13</f>
        <v>Prisoners_females</v>
      </c>
      <c r="C671" t="s">
        <v>32</v>
      </c>
      <c r="D671" s="3"/>
      <c r="E671" s="3">
        <v>0</v>
      </c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  <c r="AA671" s="3"/>
      <c r="AB671" s="3"/>
      <c r="AC671" s="3"/>
      <c r="AD671" s="3"/>
      <c r="AE671" s="3"/>
      <c r="AF671" s="3"/>
      <c r="AG671" s="3"/>
      <c r="AH671" s="3"/>
      <c r="AI671" s="3"/>
      <c r="AJ671" s="3"/>
      <c r="AK671" s="3"/>
      <c r="AL671" s="3"/>
      <c r="AM671" s="3"/>
      <c r="AN671" s="3"/>
      <c r="AO671" s="3"/>
      <c r="AP671" s="3"/>
      <c r="AQ671" s="3"/>
      <c r="AR671" s="3"/>
      <c r="AS671" s="3"/>
      <c r="AT671" s="3"/>
      <c r="AU671" s="3"/>
      <c r="AV671" s="3"/>
      <c r="AW671" s="3"/>
      <c r="AX671" s="3"/>
      <c r="AY671" s="3"/>
      <c r="AZ671" s="3"/>
      <c r="BA671" s="3"/>
      <c r="BB671" s="3"/>
      <c r="BC671" s="3"/>
    </row>
    <row r="673" spans="1:55">
      <c r="A673" s="1" t="s">
        <v>174</v>
      </c>
      <c r="B673" s="1" t="s">
        <v>29</v>
      </c>
      <c r="C673" s="1" t="s">
        <v>30</v>
      </c>
      <c r="D673" s="1" t="s">
        <v>31</v>
      </c>
      <c r="E673" s="1">
        <v>2000</v>
      </c>
      <c r="F673" s="1">
        <v>2001</v>
      </c>
      <c r="G673" s="1">
        <v>2002</v>
      </c>
      <c r="H673" s="1">
        <v>2003</v>
      </c>
      <c r="I673" s="1">
        <v>2004</v>
      </c>
      <c r="J673" s="1">
        <v>2005</v>
      </c>
      <c r="K673" s="1">
        <v>2006</v>
      </c>
      <c r="L673" s="1">
        <v>2007</v>
      </c>
      <c r="M673" s="1">
        <v>2008</v>
      </c>
      <c r="N673" s="1">
        <v>2009</v>
      </c>
      <c r="O673" s="1">
        <v>2010</v>
      </c>
      <c r="P673" s="1">
        <v>2011</v>
      </c>
      <c r="Q673" s="1">
        <v>2012</v>
      </c>
      <c r="R673" s="1">
        <v>2013</v>
      </c>
      <c r="S673" s="1">
        <v>2014</v>
      </c>
      <c r="T673" s="1">
        <v>2015</v>
      </c>
      <c r="U673" s="1">
        <v>2016</v>
      </c>
      <c r="V673" s="1">
        <v>2017</v>
      </c>
      <c r="W673" s="1">
        <v>2018</v>
      </c>
      <c r="X673" s="1">
        <v>2019</v>
      </c>
      <c r="Y673" s="1">
        <v>2020</v>
      </c>
      <c r="Z673" s="1">
        <v>2021</v>
      </c>
      <c r="AA673" s="1">
        <v>2022</v>
      </c>
      <c r="AB673" s="1">
        <v>2023</v>
      </c>
      <c r="AC673" s="1">
        <v>2024</v>
      </c>
      <c r="AD673" s="1">
        <v>2025</v>
      </c>
      <c r="AE673" s="1">
        <v>2026</v>
      </c>
      <c r="AF673" s="1">
        <v>2027</v>
      </c>
      <c r="AG673" s="1">
        <v>2028</v>
      </c>
      <c r="AH673" s="1">
        <v>2029</v>
      </c>
      <c r="AI673" s="1">
        <v>2030</v>
      </c>
      <c r="AJ673" s="1">
        <v>2031</v>
      </c>
      <c r="AK673" s="1">
        <v>2032</v>
      </c>
      <c r="AL673" s="1">
        <v>2033</v>
      </c>
      <c r="AM673" s="1">
        <v>2034</v>
      </c>
      <c r="AN673" s="1">
        <v>2035</v>
      </c>
      <c r="AO673" s="1">
        <v>2036</v>
      </c>
      <c r="AP673" s="1">
        <v>2037</v>
      </c>
      <c r="AQ673" s="1">
        <v>2038</v>
      </c>
      <c r="AR673" s="1">
        <v>2039</v>
      </c>
      <c r="AS673" s="1">
        <v>2040</v>
      </c>
      <c r="AT673" s="1">
        <v>2041</v>
      </c>
      <c r="AU673" s="1">
        <v>2042</v>
      </c>
      <c r="AV673" s="1">
        <v>2043</v>
      </c>
      <c r="AW673" s="1">
        <v>2044</v>
      </c>
      <c r="AX673" s="1">
        <v>2045</v>
      </c>
      <c r="AY673" s="1">
        <v>2046</v>
      </c>
      <c r="AZ673" s="1">
        <v>2047</v>
      </c>
      <c r="BA673" s="1">
        <v>2048</v>
      </c>
      <c r="BB673" s="1">
        <v>2049</v>
      </c>
      <c r="BC673" s="1">
        <v>2050</v>
      </c>
    </row>
    <row r="674" spans="1:55">
      <c r="A674" s="1" t="str">
        <f>'Population Definitions'!$A$2</f>
        <v>PWID_males</v>
      </c>
      <c r="C674" t="s">
        <v>32</v>
      </c>
      <c r="D674" s="3"/>
      <c r="E674" s="3">
        <v>0</v>
      </c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  <c r="AA674" s="3"/>
      <c r="AB674" s="3"/>
      <c r="AC674" s="3"/>
      <c r="AD674" s="3"/>
      <c r="AE674" s="3"/>
      <c r="AF674" s="3"/>
      <c r="AG674" s="3"/>
      <c r="AH674" s="3"/>
      <c r="AI674" s="3"/>
      <c r="AJ674" s="3"/>
      <c r="AK674" s="3"/>
      <c r="AL674" s="3"/>
      <c r="AM674" s="3"/>
      <c r="AN674" s="3"/>
      <c r="AO674" s="3"/>
      <c r="AP674" s="3"/>
      <c r="AQ674" s="3"/>
      <c r="AR674" s="3"/>
      <c r="AS674" s="3"/>
      <c r="AT674" s="3"/>
      <c r="AU674" s="3"/>
      <c r="AV674" s="3"/>
      <c r="AW674" s="3"/>
      <c r="AX674" s="3"/>
      <c r="AY674" s="3"/>
      <c r="AZ674" s="3"/>
      <c r="BA674" s="3"/>
      <c r="BB674" s="3"/>
      <c r="BC674" s="3"/>
    </row>
    <row r="675" spans="1:55">
      <c r="A675" s="1" t="str">
        <f>'Population Definitions'!$A$3</f>
        <v>PWID_females</v>
      </c>
      <c r="C675" t="s">
        <v>32</v>
      </c>
      <c r="D675" s="3"/>
      <c r="E675" s="3">
        <v>0</v>
      </c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  <c r="AA675" s="3"/>
      <c r="AB675" s="3"/>
      <c r="AC675" s="3"/>
      <c r="AD675" s="3"/>
      <c r="AE675" s="3"/>
      <c r="AF675" s="3"/>
      <c r="AG675" s="3"/>
      <c r="AH675" s="3"/>
      <c r="AI675" s="3"/>
      <c r="AJ675" s="3"/>
      <c r="AK675" s="3"/>
      <c r="AL675" s="3"/>
      <c r="AM675" s="3"/>
      <c r="AN675" s="3"/>
      <c r="AO675" s="3"/>
      <c r="AP675" s="3"/>
      <c r="AQ675" s="3"/>
      <c r="AR675" s="3"/>
      <c r="AS675" s="3"/>
      <c r="AT675" s="3"/>
      <c r="AU675" s="3"/>
      <c r="AV675" s="3"/>
      <c r="AW675" s="3"/>
      <c r="AX675" s="3"/>
      <c r="AY675" s="3"/>
      <c r="AZ675" s="3"/>
      <c r="BA675" s="3"/>
      <c r="BB675" s="3"/>
      <c r="BC675" s="3"/>
    </row>
    <row r="676" spans="1:55">
      <c r="A676" s="1" t="str">
        <f>'Population Definitions'!$A$4</f>
        <v>0-9_males</v>
      </c>
      <c r="C676" t="s">
        <v>32</v>
      </c>
      <c r="D676" s="3"/>
      <c r="E676" s="3">
        <v>0</v>
      </c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  <c r="AA676" s="3"/>
      <c r="AB676" s="3"/>
      <c r="AC676" s="3"/>
      <c r="AD676" s="3"/>
      <c r="AE676" s="3"/>
      <c r="AF676" s="3"/>
      <c r="AG676" s="3"/>
      <c r="AH676" s="3"/>
      <c r="AI676" s="3"/>
      <c r="AJ676" s="3"/>
      <c r="AK676" s="3"/>
      <c r="AL676" s="3"/>
      <c r="AM676" s="3"/>
      <c r="AN676" s="3"/>
      <c r="AO676" s="3"/>
      <c r="AP676" s="3"/>
      <c r="AQ676" s="3"/>
      <c r="AR676" s="3"/>
      <c r="AS676" s="3"/>
      <c r="AT676" s="3"/>
      <c r="AU676" s="3"/>
      <c r="AV676" s="3"/>
      <c r="AW676" s="3"/>
      <c r="AX676" s="3"/>
      <c r="AY676" s="3"/>
      <c r="AZ676" s="3"/>
      <c r="BA676" s="3"/>
      <c r="BB676" s="3"/>
      <c r="BC676" s="3"/>
    </row>
    <row r="677" spans="1:55">
      <c r="A677" s="1" t="str">
        <f>'Population Definitions'!$A$5</f>
        <v>0-9_females</v>
      </c>
      <c r="C677" t="s">
        <v>32</v>
      </c>
      <c r="D677" s="3"/>
      <c r="E677" s="3">
        <v>0</v>
      </c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  <c r="AA677" s="3"/>
      <c r="AB677" s="3"/>
      <c r="AC677" s="3"/>
      <c r="AD677" s="3"/>
      <c r="AE677" s="3"/>
      <c r="AF677" s="3"/>
      <c r="AG677" s="3"/>
      <c r="AH677" s="3"/>
      <c r="AI677" s="3"/>
      <c r="AJ677" s="3"/>
      <c r="AK677" s="3"/>
      <c r="AL677" s="3"/>
      <c r="AM677" s="3"/>
      <c r="AN677" s="3"/>
      <c r="AO677" s="3"/>
      <c r="AP677" s="3"/>
      <c r="AQ677" s="3"/>
      <c r="AR677" s="3"/>
      <c r="AS677" s="3"/>
      <c r="AT677" s="3"/>
      <c r="AU677" s="3"/>
      <c r="AV677" s="3"/>
      <c r="AW677" s="3"/>
      <c r="AX677" s="3"/>
      <c r="AY677" s="3"/>
      <c r="AZ677" s="3"/>
      <c r="BA677" s="3"/>
      <c r="BB677" s="3"/>
      <c r="BC677" s="3"/>
    </row>
    <row r="678" spans="1:55">
      <c r="A678" s="1" t="str">
        <f>'Population Definitions'!$A$6</f>
        <v>10-17_males</v>
      </c>
      <c r="C678" t="s">
        <v>32</v>
      </c>
      <c r="D678" s="3"/>
      <c r="E678" s="3">
        <v>0</v>
      </c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  <c r="AA678" s="3"/>
      <c r="AB678" s="3"/>
      <c r="AC678" s="3"/>
      <c r="AD678" s="3"/>
      <c r="AE678" s="3"/>
      <c r="AF678" s="3"/>
      <c r="AG678" s="3"/>
      <c r="AH678" s="3"/>
      <c r="AI678" s="3"/>
      <c r="AJ678" s="3"/>
      <c r="AK678" s="3"/>
      <c r="AL678" s="3"/>
      <c r="AM678" s="3"/>
      <c r="AN678" s="3"/>
      <c r="AO678" s="3"/>
      <c r="AP678" s="3"/>
      <c r="AQ678" s="3"/>
      <c r="AR678" s="3"/>
      <c r="AS678" s="3"/>
      <c r="AT678" s="3"/>
      <c r="AU678" s="3"/>
      <c r="AV678" s="3"/>
      <c r="AW678" s="3"/>
      <c r="AX678" s="3"/>
      <c r="AY678" s="3"/>
      <c r="AZ678" s="3"/>
      <c r="BA678" s="3"/>
      <c r="BB678" s="3"/>
      <c r="BC678" s="3"/>
    </row>
    <row r="679" spans="1:55">
      <c r="A679" s="1" t="str">
        <f>'Population Definitions'!$A$7</f>
        <v>10-17_females</v>
      </c>
      <c r="C679" t="s">
        <v>32</v>
      </c>
      <c r="D679" s="3"/>
      <c r="E679" s="3">
        <v>0</v>
      </c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  <c r="AA679" s="3"/>
      <c r="AB679" s="3"/>
      <c r="AC679" s="3"/>
      <c r="AD679" s="3"/>
      <c r="AE679" s="3"/>
      <c r="AF679" s="3"/>
      <c r="AG679" s="3"/>
      <c r="AH679" s="3"/>
      <c r="AI679" s="3"/>
      <c r="AJ679" s="3"/>
      <c r="AK679" s="3"/>
      <c r="AL679" s="3"/>
      <c r="AM679" s="3"/>
      <c r="AN679" s="3"/>
      <c r="AO679" s="3"/>
      <c r="AP679" s="3"/>
      <c r="AQ679" s="3"/>
      <c r="AR679" s="3"/>
      <c r="AS679" s="3"/>
      <c r="AT679" s="3"/>
      <c r="AU679" s="3"/>
      <c r="AV679" s="3"/>
      <c r="AW679" s="3"/>
      <c r="AX679" s="3"/>
      <c r="AY679" s="3"/>
      <c r="AZ679" s="3"/>
      <c r="BA679" s="3"/>
      <c r="BB679" s="3"/>
      <c r="BC679" s="3"/>
    </row>
    <row r="680" spans="1:55">
      <c r="A680" s="1" t="str">
        <f>'Population Definitions'!$A$8</f>
        <v>18-64_males</v>
      </c>
      <c r="C680" t="s">
        <v>32</v>
      </c>
      <c r="D680" s="3"/>
      <c r="E680" s="3">
        <v>0</v>
      </c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  <c r="AA680" s="3"/>
      <c r="AB680" s="3"/>
      <c r="AC680" s="3"/>
      <c r="AD680" s="3"/>
      <c r="AE680" s="3"/>
      <c r="AF680" s="3"/>
      <c r="AG680" s="3"/>
      <c r="AH680" s="3"/>
      <c r="AI680" s="3"/>
      <c r="AJ680" s="3"/>
      <c r="AK680" s="3"/>
      <c r="AL680" s="3"/>
      <c r="AM680" s="3"/>
      <c r="AN680" s="3"/>
      <c r="AO680" s="3"/>
      <c r="AP680" s="3"/>
      <c r="AQ680" s="3"/>
      <c r="AR680" s="3"/>
      <c r="AS680" s="3"/>
      <c r="AT680" s="3"/>
      <c r="AU680" s="3"/>
      <c r="AV680" s="3"/>
      <c r="AW680" s="3"/>
      <c r="AX680" s="3"/>
      <c r="AY680" s="3"/>
      <c r="AZ680" s="3"/>
      <c r="BA680" s="3"/>
      <c r="BB680" s="3"/>
      <c r="BC680" s="3"/>
    </row>
    <row r="681" spans="1:55">
      <c r="A681" s="1" t="str">
        <f>'Population Definitions'!$A$9</f>
        <v>18-64_females</v>
      </c>
      <c r="C681" t="s">
        <v>32</v>
      </c>
      <c r="D681" s="3"/>
      <c r="E681" s="3">
        <v>0</v>
      </c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  <c r="AA681" s="3"/>
      <c r="AB681" s="3"/>
      <c r="AC681" s="3"/>
      <c r="AD681" s="3"/>
      <c r="AE681" s="3"/>
      <c r="AF681" s="3"/>
      <c r="AG681" s="3"/>
      <c r="AH681" s="3"/>
      <c r="AI681" s="3"/>
      <c r="AJ681" s="3"/>
      <c r="AK681" s="3"/>
      <c r="AL681" s="3"/>
      <c r="AM681" s="3"/>
      <c r="AN681" s="3"/>
      <c r="AO681" s="3"/>
      <c r="AP681" s="3"/>
      <c r="AQ681" s="3"/>
      <c r="AR681" s="3"/>
      <c r="AS681" s="3"/>
      <c r="AT681" s="3"/>
      <c r="AU681" s="3"/>
      <c r="AV681" s="3"/>
      <c r="AW681" s="3"/>
      <c r="AX681" s="3"/>
      <c r="AY681" s="3"/>
      <c r="AZ681" s="3"/>
      <c r="BA681" s="3"/>
      <c r="BB681" s="3"/>
      <c r="BC681" s="3"/>
    </row>
    <row r="682" spans="1:55">
      <c r="A682" s="1" t="str">
        <f>'Population Definitions'!$A$10</f>
        <v>65+_males</v>
      </c>
      <c r="C682" t="s">
        <v>32</v>
      </c>
      <c r="D682" s="3"/>
      <c r="E682" s="3">
        <v>0</v>
      </c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  <c r="AA682" s="3"/>
      <c r="AB682" s="3"/>
      <c r="AC682" s="3"/>
      <c r="AD682" s="3"/>
      <c r="AE682" s="3"/>
      <c r="AF682" s="3"/>
      <c r="AG682" s="3"/>
      <c r="AH682" s="3"/>
      <c r="AI682" s="3"/>
      <c r="AJ682" s="3"/>
      <c r="AK682" s="3"/>
      <c r="AL682" s="3"/>
      <c r="AM682" s="3"/>
      <c r="AN682" s="3"/>
      <c r="AO682" s="3"/>
      <c r="AP682" s="3"/>
      <c r="AQ682" s="3"/>
      <c r="AR682" s="3"/>
      <c r="AS682" s="3"/>
      <c r="AT682" s="3"/>
      <c r="AU682" s="3"/>
      <c r="AV682" s="3"/>
      <c r="AW682" s="3"/>
      <c r="AX682" s="3"/>
      <c r="AY682" s="3"/>
      <c r="AZ682" s="3"/>
      <c r="BA682" s="3"/>
      <c r="BB682" s="3"/>
      <c r="BC682" s="3"/>
    </row>
    <row r="683" spans="1:55">
      <c r="A683" s="1" t="str">
        <f>'Population Definitions'!$A$11</f>
        <v>65+_females</v>
      </c>
      <c r="C683" t="s">
        <v>32</v>
      </c>
      <c r="D683" s="3"/>
      <c r="E683" s="3">
        <v>0</v>
      </c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  <c r="AA683" s="3"/>
      <c r="AB683" s="3"/>
      <c r="AC683" s="3"/>
      <c r="AD683" s="3"/>
      <c r="AE683" s="3"/>
      <c r="AF683" s="3"/>
      <c r="AG683" s="3"/>
      <c r="AH683" s="3"/>
      <c r="AI683" s="3"/>
      <c r="AJ683" s="3"/>
      <c r="AK683" s="3"/>
      <c r="AL683" s="3"/>
      <c r="AM683" s="3"/>
      <c r="AN683" s="3"/>
      <c r="AO683" s="3"/>
      <c r="AP683" s="3"/>
      <c r="AQ683" s="3"/>
      <c r="AR683" s="3"/>
      <c r="AS683" s="3"/>
      <c r="AT683" s="3"/>
      <c r="AU683" s="3"/>
      <c r="AV683" s="3"/>
      <c r="AW683" s="3"/>
      <c r="AX683" s="3"/>
      <c r="AY683" s="3"/>
      <c r="AZ683" s="3"/>
      <c r="BA683" s="3"/>
      <c r="BB683" s="3"/>
      <c r="BC683" s="3"/>
    </row>
    <row r="684" spans="1:55">
      <c r="A684" s="1" t="str">
        <f>'Population Definitions'!$A$12</f>
        <v>Prisoners_males</v>
      </c>
      <c r="C684" t="s">
        <v>32</v>
      </c>
      <c r="D684" s="3"/>
      <c r="E684" s="3">
        <v>0</v>
      </c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  <c r="AA684" s="3"/>
      <c r="AB684" s="3"/>
      <c r="AC684" s="3"/>
      <c r="AD684" s="3"/>
      <c r="AE684" s="3"/>
      <c r="AF684" s="3"/>
      <c r="AG684" s="3"/>
      <c r="AH684" s="3"/>
      <c r="AI684" s="3"/>
      <c r="AJ684" s="3"/>
      <c r="AK684" s="3"/>
      <c r="AL684" s="3"/>
      <c r="AM684" s="3"/>
      <c r="AN684" s="3"/>
      <c r="AO684" s="3"/>
      <c r="AP684" s="3"/>
      <c r="AQ684" s="3"/>
      <c r="AR684" s="3"/>
      <c r="AS684" s="3"/>
      <c r="AT684" s="3"/>
      <c r="AU684" s="3"/>
      <c r="AV684" s="3"/>
      <c r="AW684" s="3"/>
      <c r="AX684" s="3"/>
      <c r="AY684" s="3"/>
      <c r="AZ684" s="3"/>
      <c r="BA684" s="3"/>
      <c r="BB684" s="3"/>
      <c r="BC684" s="3"/>
    </row>
    <row r="685" spans="1:55">
      <c r="A685" s="1" t="str">
        <f>'Population Definitions'!$A$13</f>
        <v>Prisoners_females</v>
      </c>
      <c r="C685" t="s">
        <v>32</v>
      </c>
      <c r="D685" s="3"/>
      <c r="E685" s="3">
        <v>0</v>
      </c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  <c r="AA685" s="3"/>
      <c r="AB685" s="3"/>
      <c r="AC685" s="3"/>
      <c r="AD685" s="3"/>
      <c r="AE685" s="3"/>
      <c r="AF685" s="3"/>
      <c r="AG685" s="3"/>
      <c r="AH685" s="3"/>
      <c r="AI685" s="3"/>
      <c r="AJ685" s="3"/>
      <c r="AK685" s="3"/>
      <c r="AL685" s="3"/>
      <c r="AM685" s="3"/>
      <c r="AN685" s="3"/>
      <c r="AO685" s="3"/>
      <c r="AP685" s="3"/>
      <c r="AQ685" s="3"/>
      <c r="AR685" s="3"/>
      <c r="AS685" s="3"/>
      <c r="AT685" s="3"/>
      <c r="AU685" s="3"/>
      <c r="AV685" s="3"/>
      <c r="AW685" s="3"/>
      <c r="AX685" s="3"/>
      <c r="AY685" s="3"/>
      <c r="AZ685" s="3"/>
      <c r="BA685" s="3"/>
      <c r="BB685" s="3"/>
      <c r="BC685" s="3"/>
    </row>
    <row r="687" spans="1:55">
      <c r="A687" s="1" t="s">
        <v>175</v>
      </c>
      <c r="B687" s="1" t="s">
        <v>29</v>
      </c>
      <c r="C687" s="1" t="s">
        <v>30</v>
      </c>
      <c r="D687" s="1" t="s">
        <v>31</v>
      </c>
      <c r="E687" s="1">
        <v>2000</v>
      </c>
      <c r="F687" s="1">
        <v>2001</v>
      </c>
      <c r="G687" s="1">
        <v>2002</v>
      </c>
      <c r="H687" s="1">
        <v>2003</v>
      </c>
      <c r="I687" s="1">
        <v>2004</v>
      </c>
      <c r="J687" s="1">
        <v>2005</v>
      </c>
      <c r="K687" s="1">
        <v>2006</v>
      </c>
      <c r="L687" s="1">
        <v>2007</v>
      </c>
      <c r="M687" s="1">
        <v>2008</v>
      </c>
      <c r="N687" s="1">
        <v>2009</v>
      </c>
      <c r="O687" s="1">
        <v>2010</v>
      </c>
      <c r="P687" s="1">
        <v>2011</v>
      </c>
      <c r="Q687" s="1">
        <v>2012</v>
      </c>
      <c r="R687" s="1">
        <v>2013</v>
      </c>
      <c r="S687" s="1">
        <v>2014</v>
      </c>
      <c r="T687" s="1">
        <v>2015</v>
      </c>
      <c r="U687" s="1">
        <v>2016</v>
      </c>
      <c r="V687" s="1">
        <v>2017</v>
      </c>
      <c r="W687" s="1">
        <v>2018</v>
      </c>
      <c r="X687" s="1">
        <v>2019</v>
      </c>
      <c r="Y687" s="1">
        <v>2020</v>
      </c>
      <c r="Z687" s="1">
        <v>2021</v>
      </c>
      <c r="AA687" s="1">
        <v>2022</v>
      </c>
      <c r="AB687" s="1">
        <v>2023</v>
      </c>
      <c r="AC687" s="1">
        <v>2024</v>
      </c>
      <c r="AD687" s="1">
        <v>2025</v>
      </c>
      <c r="AE687" s="1">
        <v>2026</v>
      </c>
      <c r="AF687" s="1">
        <v>2027</v>
      </c>
      <c r="AG687" s="1">
        <v>2028</v>
      </c>
      <c r="AH687" s="1">
        <v>2029</v>
      </c>
      <c r="AI687" s="1">
        <v>2030</v>
      </c>
      <c r="AJ687" s="1">
        <v>2031</v>
      </c>
      <c r="AK687" s="1">
        <v>2032</v>
      </c>
      <c r="AL687" s="1">
        <v>2033</v>
      </c>
      <c r="AM687" s="1">
        <v>2034</v>
      </c>
      <c r="AN687" s="1">
        <v>2035</v>
      </c>
      <c r="AO687" s="1">
        <v>2036</v>
      </c>
      <c r="AP687" s="1">
        <v>2037</v>
      </c>
      <c r="AQ687" s="1">
        <v>2038</v>
      </c>
      <c r="AR687" s="1">
        <v>2039</v>
      </c>
      <c r="AS687" s="1">
        <v>2040</v>
      </c>
      <c r="AT687" s="1">
        <v>2041</v>
      </c>
      <c r="AU687" s="1">
        <v>2042</v>
      </c>
      <c r="AV687" s="1">
        <v>2043</v>
      </c>
      <c r="AW687" s="1">
        <v>2044</v>
      </c>
      <c r="AX687" s="1">
        <v>2045</v>
      </c>
      <c r="AY687" s="1">
        <v>2046</v>
      </c>
      <c r="AZ687" s="1">
        <v>2047</v>
      </c>
      <c r="BA687" s="1">
        <v>2048</v>
      </c>
      <c r="BB687" s="1">
        <v>2049</v>
      </c>
      <c r="BC687" s="1">
        <v>2050</v>
      </c>
    </row>
    <row r="688" spans="1:55">
      <c r="A688" s="1" t="str">
        <f>'Population Definitions'!$A$2</f>
        <v>PWID_males</v>
      </c>
      <c r="C688" t="s">
        <v>32</v>
      </c>
      <c r="D688" s="3"/>
      <c r="E688" s="3">
        <v>0</v>
      </c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  <c r="AA688" s="3"/>
      <c r="AB688" s="3"/>
      <c r="AC688" s="3"/>
      <c r="AD688" s="3"/>
      <c r="AE688" s="3"/>
      <c r="AF688" s="3"/>
      <c r="AG688" s="3"/>
      <c r="AH688" s="3"/>
      <c r="AI688" s="3"/>
      <c r="AJ688" s="3"/>
      <c r="AK688" s="3"/>
      <c r="AL688" s="3"/>
      <c r="AM688" s="3"/>
      <c r="AN688" s="3"/>
      <c r="AO688" s="3"/>
      <c r="AP688" s="3"/>
      <c r="AQ688" s="3"/>
      <c r="AR688" s="3"/>
      <c r="AS688" s="3"/>
      <c r="AT688" s="3"/>
      <c r="AU688" s="3"/>
      <c r="AV688" s="3"/>
      <c r="AW688" s="3"/>
      <c r="AX688" s="3"/>
      <c r="AY688" s="3"/>
      <c r="AZ688" s="3"/>
      <c r="BA688" s="3"/>
      <c r="BB688" s="3"/>
      <c r="BC688" s="3"/>
    </row>
    <row r="689" spans="1:55">
      <c r="A689" s="1" t="str">
        <f>'Population Definitions'!$A$3</f>
        <v>PWID_females</v>
      </c>
      <c r="C689" t="s">
        <v>32</v>
      </c>
      <c r="D689" s="3"/>
      <c r="E689" s="3">
        <v>0</v>
      </c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  <c r="AA689" s="3"/>
      <c r="AB689" s="3"/>
      <c r="AC689" s="3"/>
      <c r="AD689" s="3"/>
      <c r="AE689" s="3"/>
      <c r="AF689" s="3"/>
      <c r="AG689" s="3"/>
      <c r="AH689" s="3"/>
      <c r="AI689" s="3"/>
      <c r="AJ689" s="3"/>
      <c r="AK689" s="3"/>
      <c r="AL689" s="3"/>
      <c r="AM689" s="3"/>
      <c r="AN689" s="3"/>
      <c r="AO689" s="3"/>
      <c r="AP689" s="3"/>
      <c r="AQ689" s="3"/>
      <c r="AR689" s="3"/>
      <c r="AS689" s="3"/>
      <c r="AT689" s="3"/>
      <c r="AU689" s="3"/>
      <c r="AV689" s="3"/>
      <c r="AW689" s="3"/>
      <c r="AX689" s="3"/>
      <c r="AY689" s="3"/>
      <c r="AZ689" s="3"/>
      <c r="BA689" s="3"/>
      <c r="BB689" s="3"/>
      <c r="BC689" s="3"/>
    </row>
    <row r="690" spans="1:55">
      <c r="A690" s="1" t="str">
        <f>'Population Definitions'!$A$4</f>
        <v>0-9_males</v>
      </c>
      <c r="C690" t="s">
        <v>32</v>
      </c>
      <c r="D690" s="3"/>
      <c r="E690" s="3">
        <v>0</v>
      </c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  <c r="AA690" s="3"/>
      <c r="AB690" s="3"/>
      <c r="AC690" s="3"/>
      <c r="AD690" s="3"/>
      <c r="AE690" s="3"/>
      <c r="AF690" s="3"/>
      <c r="AG690" s="3"/>
      <c r="AH690" s="3"/>
      <c r="AI690" s="3"/>
      <c r="AJ690" s="3"/>
      <c r="AK690" s="3"/>
      <c r="AL690" s="3"/>
      <c r="AM690" s="3"/>
      <c r="AN690" s="3"/>
      <c r="AO690" s="3"/>
      <c r="AP690" s="3"/>
      <c r="AQ690" s="3"/>
      <c r="AR690" s="3"/>
      <c r="AS690" s="3"/>
      <c r="AT690" s="3"/>
      <c r="AU690" s="3"/>
      <c r="AV690" s="3"/>
      <c r="AW690" s="3"/>
      <c r="AX690" s="3"/>
      <c r="AY690" s="3"/>
      <c r="AZ690" s="3"/>
      <c r="BA690" s="3"/>
      <c r="BB690" s="3"/>
      <c r="BC690" s="3"/>
    </row>
    <row r="691" spans="1:55">
      <c r="A691" s="1" t="str">
        <f>'Population Definitions'!$A$5</f>
        <v>0-9_females</v>
      </c>
      <c r="C691" t="s">
        <v>32</v>
      </c>
      <c r="D691" s="3"/>
      <c r="E691" s="3">
        <v>0</v>
      </c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  <c r="AA691" s="3"/>
      <c r="AB691" s="3"/>
      <c r="AC691" s="3"/>
      <c r="AD691" s="3"/>
      <c r="AE691" s="3"/>
      <c r="AF691" s="3"/>
      <c r="AG691" s="3"/>
      <c r="AH691" s="3"/>
      <c r="AI691" s="3"/>
      <c r="AJ691" s="3"/>
      <c r="AK691" s="3"/>
      <c r="AL691" s="3"/>
      <c r="AM691" s="3"/>
      <c r="AN691" s="3"/>
      <c r="AO691" s="3"/>
      <c r="AP691" s="3"/>
      <c r="AQ691" s="3"/>
      <c r="AR691" s="3"/>
      <c r="AS691" s="3"/>
      <c r="AT691" s="3"/>
      <c r="AU691" s="3"/>
      <c r="AV691" s="3"/>
      <c r="AW691" s="3"/>
      <c r="AX691" s="3"/>
      <c r="AY691" s="3"/>
      <c r="AZ691" s="3"/>
      <c r="BA691" s="3"/>
      <c r="BB691" s="3"/>
      <c r="BC691" s="3"/>
    </row>
    <row r="692" spans="1:55">
      <c r="A692" s="1" t="str">
        <f>'Population Definitions'!$A$6</f>
        <v>10-17_males</v>
      </c>
      <c r="C692" t="s">
        <v>32</v>
      </c>
      <c r="D692" s="3"/>
      <c r="E692" s="3">
        <v>0</v>
      </c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  <c r="AA692" s="3"/>
      <c r="AB692" s="3"/>
      <c r="AC692" s="3"/>
      <c r="AD692" s="3"/>
      <c r="AE692" s="3"/>
      <c r="AF692" s="3"/>
      <c r="AG692" s="3"/>
      <c r="AH692" s="3"/>
      <c r="AI692" s="3"/>
      <c r="AJ692" s="3"/>
      <c r="AK692" s="3"/>
      <c r="AL692" s="3"/>
      <c r="AM692" s="3"/>
      <c r="AN692" s="3"/>
      <c r="AO692" s="3"/>
      <c r="AP692" s="3"/>
      <c r="AQ692" s="3"/>
      <c r="AR692" s="3"/>
      <c r="AS692" s="3"/>
      <c r="AT692" s="3"/>
      <c r="AU692" s="3"/>
      <c r="AV692" s="3"/>
      <c r="AW692" s="3"/>
      <c r="AX692" s="3"/>
      <c r="AY692" s="3"/>
      <c r="AZ692" s="3"/>
      <c r="BA692" s="3"/>
      <c r="BB692" s="3"/>
      <c r="BC692" s="3"/>
    </row>
    <row r="693" spans="1:55">
      <c r="A693" s="1" t="str">
        <f>'Population Definitions'!$A$7</f>
        <v>10-17_females</v>
      </c>
      <c r="C693" t="s">
        <v>32</v>
      </c>
      <c r="D693" s="3"/>
      <c r="E693" s="3">
        <v>0</v>
      </c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  <c r="AA693" s="3"/>
      <c r="AB693" s="3"/>
      <c r="AC693" s="3"/>
      <c r="AD693" s="3"/>
      <c r="AE693" s="3"/>
      <c r="AF693" s="3"/>
      <c r="AG693" s="3"/>
      <c r="AH693" s="3"/>
      <c r="AI693" s="3"/>
      <c r="AJ693" s="3"/>
      <c r="AK693" s="3"/>
      <c r="AL693" s="3"/>
      <c r="AM693" s="3"/>
      <c r="AN693" s="3"/>
      <c r="AO693" s="3"/>
      <c r="AP693" s="3"/>
      <c r="AQ693" s="3"/>
      <c r="AR693" s="3"/>
      <c r="AS693" s="3"/>
      <c r="AT693" s="3"/>
      <c r="AU693" s="3"/>
      <c r="AV693" s="3"/>
      <c r="AW693" s="3"/>
      <c r="AX693" s="3"/>
      <c r="AY693" s="3"/>
      <c r="AZ693" s="3"/>
      <c r="BA693" s="3"/>
      <c r="BB693" s="3"/>
      <c r="BC693" s="3"/>
    </row>
    <row r="694" spans="1:55">
      <c r="A694" s="1" t="str">
        <f>'Population Definitions'!$A$8</f>
        <v>18-64_males</v>
      </c>
      <c r="C694" t="s">
        <v>32</v>
      </c>
      <c r="D694" s="3"/>
      <c r="E694" s="3">
        <v>0</v>
      </c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  <c r="AA694" s="3"/>
      <c r="AB694" s="3"/>
      <c r="AC694" s="3"/>
      <c r="AD694" s="3"/>
      <c r="AE694" s="3"/>
      <c r="AF694" s="3"/>
      <c r="AG694" s="3"/>
      <c r="AH694" s="3"/>
      <c r="AI694" s="3"/>
      <c r="AJ694" s="3"/>
      <c r="AK694" s="3"/>
      <c r="AL694" s="3"/>
      <c r="AM694" s="3"/>
      <c r="AN694" s="3"/>
      <c r="AO694" s="3"/>
      <c r="AP694" s="3"/>
      <c r="AQ694" s="3"/>
      <c r="AR694" s="3"/>
      <c r="AS694" s="3"/>
      <c r="AT694" s="3"/>
      <c r="AU694" s="3"/>
      <c r="AV694" s="3"/>
      <c r="AW694" s="3"/>
      <c r="AX694" s="3"/>
      <c r="AY694" s="3"/>
      <c r="AZ694" s="3"/>
      <c r="BA694" s="3"/>
      <c r="BB694" s="3"/>
      <c r="BC694" s="3"/>
    </row>
    <row r="695" spans="1:55">
      <c r="A695" s="1" t="str">
        <f>'Population Definitions'!$A$9</f>
        <v>18-64_females</v>
      </c>
      <c r="C695" t="s">
        <v>32</v>
      </c>
      <c r="D695" s="3"/>
      <c r="E695" s="3">
        <v>0</v>
      </c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  <c r="AA695" s="3"/>
      <c r="AB695" s="3"/>
      <c r="AC695" s="3"/>
      <c r="AD695" s="3"/>
      <c r="AE695" s="3"/>
      <c r="AF695" s="3"/>
      <c r="AG695" s="3"/>
      <c r="AH695" s="3"/>
      <c r="AI695" s="3"/>
      <c r="AJ695" s="3"/>
      <c r="AK695" s="3"/>
      <c r="AL695" s="3"/>
      <c r="AM695" s="3"/>
      <c r="AN695" s="3"/>
      <c r="AO695" s="3"/>
      <c r="AP695" s="3"/>
      <c r="AQ695" s="3"/>
      <c r="AR695" s="3"/>
      <c r="AS695" s="3"/>
      <c r="AT695" s="3"/>
      <c r="AU695" s="3"/>
      <c r="AV695" s="3"/>
      <c r="AW695" s="3"/>
      <c r="AX695" s="3"/>
      <c r="AY695" s="3"/>
      <c r="AZ695" s="3"/>
      <c r="BA695" s="3"/>
      <c r="BB695" s="3"/>
      <c r="BC695" s="3"/>
    </row>
    <row r="696" spans="1:55">
      <c r="A696" s="1" t="str">
        <f>'Population Definitions'!$A$10</f>
        <v>65+_males</v>
      </c>
      <c r="C696" t="s">
        <v>32</v>
      </c>
      <c r="D696" s="3"/>
      <c r="E696" s="3">
        <v>0</v>
      </c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  <c r="AA696" s="3"/>
      <c r="AB696" s="3"/>
      <c r="AC696" s="3"/>
      <c r="AD696" s="3"/>
      <c r="AE696" s="3"/>
      <c r="AF696" s="3"/>
      <c r="AG696" s="3"/>
      <c r="AH696" s="3"/>
      <c r="AI696" s="3"/>
      <c r="AJ696" s="3"/>
      <c r="AK696" s="3"/>
      <c r="AL696" s="3"/>
      <c r="AM696" s="3"/>
      <c r="AN696" s="3"/>
      <c r="AO696" s="3"/>
      <c r="AP696" s="3"/>
      <c r="AQ696" s="3"/>
      <c r="AR696" s="3"/>
      <c r="AS696" s="3"/>
      <c r="AT696" s="3"/>
      <c r="AU696" s="3"/>
      <c r="AV696" s="3"/>
      <c r="AW696" s="3"/>
      <c r="AX696" s="3"/>
      <c r="AY696" s="3"/>
      <c r="AZ696" s="3"/>
      <c r="BA696" s="3"/>
      <c r="BB696" s="3"/>
      <c r="BC696" s="3"/>
    </row>
    <row r="697" spans="1:55">
      <c r="A697" s="1" t="str">
        <f>'Population Definitions'!$A$11</f>
        <v>65+_females</v>
      </c>
      <c r="C697" t="s">
        <v>32</v>
      </c>
      <c r="D697" s="3"/>
      <c r="E697" s="3">
        <v>0</v>
      </c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  <c r="AA697" s="3"/>
      <c r="AB697" s="3"/>
      <c r="AC697" s="3"/>
      <c r="AD697" s="3"/>
      <c r="AE697" s="3"/>
      <c r="AF697" s="3"/>
      <c r="AG697" s="3"/>
      <c r="AH697" s="3"/>
      <c r="AI697" s="3"/>
      <c r="AJ697" s="3"/>
      <c r="AK697" s="3"/>
      <c r="AL697" s="3"/>
      <c r="AM697" s="3"/>
      <c r="AN697" s="3"/>
      <c r="AO697" s="3"/>
      <c r="AP697" s="3"/>
      <c r="AQ697" s="3"/>
      <c r="AR697" s="3"/>
      <c r="AS697" s="3"/>
      <c r="AT697" s="3"/>
      <c r="AU697" s="3"/>
      <c r="AV697" s="3"/>
      <c r="AW697" s="3"/>
      <c r="AX697" s="3"/>
      <c r="AY697" s="3"/>
      <c r="AZ697" s="3"/>
      <c r="BA697" s="3"/>
      <c r="BB697" s="3"/>
      <c r="BC697" s="3"/>
    </row>
    <row r="698" spans="1:55">
      <c r="A698" s="1" t="str">
        <f>'Population Definitions'!$A$12</f>
        <v>Prisoners_males</v>
      </c>
      <c r="C698" t="s">
        <v>32</v>
      </c>
      <c r="D698" s="3"/>
      <c r="E698" s="3">
        <v>0</v>
      </c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  <c r="AA698" s="3"/>
      <c r="AB698" s="3"/>
      <c r="AC698" s="3"/>
      <c r="AD698" s="3"/>
      <c r="AE698" s="3"/>
      <c r="AF698" s="3"/>
      <c r="AG698" s="3"/>
      <c r="AH698" s="3"/>
      <c r="AI698" s="3"/>
      <c r="AJ698" s="3"/>
      <c r="AK698" s="3"/>
      <c r="AL698" s="3"/>
      <c r="AM698" s="3"/>
      <c r="AN698" s="3"/>
      <c r="AO698" s="3"/>
      <c r="AP698" s="3"/>
      <c r="AQ698" s="3"/>
      <c r="AR698" s="3"/>
      <c r="AS698" s="3"/>
      <c r="AT698" s="3"/>
      <c r="AU698" s="3"/>
      <c r="AV698" s="3"/>
      <c r="AW698" s="3"/>
      <c r="AX698" s="3"/>
      <c r="AY698" s="3"/>
      <c r="AZ698" s="3"/>
      <c r="BA698" s="3"/>
      <c r="BB698" s="3"/>
      <c r="BC698" s="3"/>
    </row>
    <row r="699" spans="1:55">
      <c r="A699" s="1" t="str">
        <f>'Population Definitions'!$A$13</f>
        <v>Prisoners_females</v>
      </c>
      <c r="C699" t="s">
        <v>32</v>
      </c>
      <c r="D699" s="3"/>
      <c r="E699" s="3">
        <v>0</v>
      </c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  <c r="AA699" s="3"/>
      <c r="AB699" s="3"/>
      <c r="AC699" s="3"/>
      <c r="AD699" s="3"/>
      <c r="AE699" s="3"/>
      <c r="AF699" s="3"/>
      <c r="AG699" s="3"/>
      <c r="AH699" s="3"/>
      <c r="AI699" s="3"/>
      <c r="AJ699" s="3"/>
      <c r="AK699" s="3"/>
      <c r="AL699" s="3"/>
      <c r="AM699" s="3"/>
      <c r="AN699" s="3"/>
      <c r="AO699" s="3"/>
      <c r="AP699" s="3"/>
      <c r="AQ699" s="3"/>
      <c r="AR699" s="3"/>
      <c r="AS699" s="3"/>
      <c r="AT699" s="3"/>
      <c r="AU699" s="3"/>
      <c r="AV699" s="3"/>
      <c r="AW699" s="3"/>
      <c r="AX699" s="3"/>
      <c r="AY699" s="3"/>
      <c r="AZ699" s="3"/>
      <c r="BA699" s="3"/>
      <c r="BB699" s="3"/>
      <c r="BC699" s="3"/>
    </row>
    <row r="701" spans="1:55">
      <c r="A701" s="1" t="s">
        <v>176</v>
      </c>
      <c r="B701" s="1" t="s">
        <v>29</v>
      </c>
      <c r="C701" s="1" t="s">
        <v>30</v>
      </c>
      <c r="D701" s="1" t="s">
        <v>31</v>
      </c>
      <c r="E701" s="1">
        <v>2000</v>
      </c>
      <c r="F701" s="1">
        <v>2001</v>
      </c>
      <c r="G701" s="1">
        <v>2002</v>
      </c>
      <c r="H701" s="1">
        <v>2003</v>
      </c>
      <c r="I701" s="1">
        <v>2004</v>
      </c>
      <c r="J701" s="1">
        <v>2005</v>
      </c>
      <c r="K701" s="1">
        <v>2006</v>
      </c>
      <c r="L701" s="1">
        <v>2007</v>
      </c>
      <c r="M701" s="1">
        <v>2008</v>
      </c>
      <c r="N701" s="1">
        <v>2009</v>
      </c>
      <c r="O701" s="1">
        <v>2010</v>
      </c>
      <c r="P701" s="1">
        <v>2011</v>
      </c>
      <c r="Q701" s="1">
        <v>2012</v>
      </c>
      <c r="R701" s="1">
        <v>2013</v>
      </c>
      <c r="S701" s="1">
        <v>2014</v>
      </c>
      <c r="T701" s="1">
        <v>2015</v>
      </c>
      <c r="U701" s="1">
        <v>2016</v>
      </c>
      <c r="V701" s="1">
        <v>2017</v>
      </c>
      <c r="W701" s="1">
        <v>2018</v>
      </c>
      <c r="X701" s="1">
        <v>2019</v>
      </c>
      <c r="Y701" s="1">
        <v>2020</v>
      </c>
      <c r="Z701" s="1">
        <v>2021</v>
      </c>
      <c r="AA701" s="1">
        <v>2022</v>
      </c>
      <c r="AB701" s="1">
        <v>2023</v>
      </c>
      <c r="AC701" s="1">
        <v>2024</v>
      </c>
      <c r="AD701" s="1">
        <v>2025</v>
      </c>
      <c r="AE701" s="1">
        <v>2026</v>
      </c>
      <c r="AF701" s="1">
        <v>2027</v>
      </c>
      <c r="AG701" s="1">
        <v>2028</v>
      </c>
      <c r="AH701" s="1">
        <v>2029</v>
      </c>
      <c r="AI701" s="1">
        <v>2030</v>
      </c>
      <c r="AJ701" s="1">
        <v>2031</v>
      </c>
      <c r="AK701" s="1">
        <v>2032</v>
      </c>
      <c r="AL701" s="1">
        <v>2033</v>
      </c>
      <c r="AM701" s="1">
        <v>2034</v>
      </c>
      <c r="AN701" s="1">
        <v>2035</v>
      </c>
      <c r="AO701" s="1">
        <v>2036</v>
      </c>
      <c r="AP701" s="1">
        <v>2037</v>
      </c>
      <c r="AQ701" s="1">
        <v>2038</v>
      </c>
      <c r="AR701" s="1">
        <v>2039</v>
      </c>
      <c r="AS701" s="1">
        <v>2040</v>
      </c>
      <c r="AT701" s="1">
        <v>2041</v>
      </c>
      <c r="AU701" s="1">
        <v>2042</v>
      </c>
      <c r="AV701" s="1">
        <v>2043</v>
      </c>
      <c r="AW701" s="1">
        <v>2044</v>
      </c>
      <c r="AX701" s="1">
        <v>2045</v>
      </c>
      <c r="AY701" s="1">
        <v>2046</v>
      </c>
      <c r="AZ701" s="1">
        <v>2047</v>
      </c>
      <c r="BA701" s="1">
        <v>2048</v>
      </c>
      <c r="BB701" s="1">
        <v>2049</v>
      </c>
      <c r="BC701" s="1">
        <v>2050</v>
      </c>
    </row>
    <row r="702" spans="1:55">
      <c r="A702" s="1" t="str">
        <f>'Population Definitions'!$A$2</f>
        <v>PWID_males</v>
      </c>
      <c r="C702" t="s">
        <v>32</v>
      </c>
      <c r="D702" s="3"/>
      <c r="E702" s="3">
        <v>0</v>
      </c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  <c r="AA702" s="3"/>
      <c r="AB702" s="3"/>
      <c r="AC702" s="3"/>
      <c r="AD702" s="3"/>
      <c r="AE702" s="3"/>
      <c r="AF702" s="3"/>
      <c r="AG702" s="3"/>
      <c r="AH702" s="3"/>
      <c r="AI702" s="3"/>
      <c r="AJ702" s="3"/>
      <c r="AK702" s="3"/>
      <c r="AL702" s="3"/>
      <c r="AM702" s="3"/>
      <c r="AN702" s="3"/>
      <c r="AO702" s="3"/>
      <c r="AP702" s="3"/>
      <c r="AQ702" s="3"/>
      <c r="AR702" s="3"/>
      <c r="AS702" s="3"/>
      <c r="AT702" s="3"/>
      <c r="AU702" s="3"/>
      <c r="AV702" s="3"/>
      <c r="AW702" s="3"/>
      <c r="AX702" s="3"/>
      <c r="AY702" s="3"/>
      <c r="AZ702" s="3"/>
      <c r="BA702" s="3"/>
      <c r="BB702" s="3"/>
      <c r="BC702" s="3"/>
    </row>
    <row r="703" spans="1:55">
      <c r="A703" s="1" t="str">
        <f>'Population Definitions'!$A$3</f>
        <v>PWID_females</v>
      </c>
      <c r="C703" t="s">
        <v>32</v>
      </c>
      <c r="D703" s="3"/>
      <c r="E703" s="3">
        <v>0</v>
      </c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  <c r="AA703" s="3"/>
      <c r="AB703" s="3"/>
      <c r="AC703" s="3"/>
      <c r="AD703" s="3"/>
      <c r="AE703" s="3"/>
      <c r="AF703" s="3"/>
      <c r="AG703" s="3"/>
      <c r="AH703" s="3"/>
      <c r="AI703" s="3"/>
      <c r="AJ703" s="3"/>
      <c r="AK703" s="3"/>
      <c r="AL703" s="3"/>
      <c r="AM703" s="3"/>
      <c r="AN703" s="3"/>
      <c r="AO703" s="3"/>
      <c r="AP703" s="3"/>
      <c r="AQ703" s="3"/>
      <c r="AR703" s="3"/>
      <c r="AS703" s="3"/>
      <c r="AT703" s="3"/>
      <c r="AU703" s="3"/>
      <c r="AV703" s="3"/>
      <c r="AW703" s="3"/>
      <c r="AX703" s="3"/>
      <c r="AY703" s="3"/>
      <c r="AZ703" s="3"/>
      <c r="BA703" s="3"/>
      <c r="BB703" s="3"/>
      <c r="BC703" s="3"/>
    </row>
    <row r="704" spans="1:55">
      <c r="A704" s="1" t="str">
        <f>'Population Definitions'!$A$4</f>
        <v>0-9_males</v>
      </c>
      <c r="C704" t="s">
        <v>32</v>
      </c>
      <c r="D704" s="3"/>
      <c r="E704" s="3">
        <v>0</v>
      </c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  <c r="AA704" s="3"/>
      <c r="AB704" s="3"/>
      <c r="AC704" s="3"/>
      <c r="AD704" s="3"/>
      <c r="AE704" s="3"/>
      <c r="AF704" s="3"/>
      <c r="AG704" s="3"/>
      <c r="AH704" s="3"/>
      <c r="AI704" s="3"/>
      <c r="AJ704" s="3"/>
      <c r="AK704" s="3"/>
      <c r="AL704" s="3"/>
      <c r="AM704" s="3"/>
      <c r="AN704" s="3"/>
      <c r="AO704" s="3"/>
      <c r="AP704" s="3"/>
      <c r="AQ704" s="3"/>
      <c r="AR704" s="3"/>
      <c r="AS704" s="3"/>
      <c r="AT704" s="3"/>
      <c r="AU704" s="3"/>
      <c r="AV704" s="3"/>
      <c r="AW704" s="3"/>
      <c r="AX704" s="3"/>
      <c r="AY704" s="3"/>
      <c r="AZ704" s="3"/>
      <c r="BA704" s="3"/>
      <c r="BB704" s="3"/>
      <c r="BC704" s="3"/>
    </row>
    <row r="705" spans="1:55">
      <c r="A705" s="1" t="str">
        <f>'Population Definitions'!$A$5</f>
        <v>0-9_females</v>
      </c>
      <c r="C705" t="s">
        <v>32</v>
      </c>
      <c r="D705" s="3"/>
      <c r="E705" s="3">
        <v>0</v>
      </c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  <c r="AA705" s="3"/>
      <c r="AB705" s="3"/>
      <c r="AC705" s="3"/>
      <c r="AD705" s="3"/>
      <c r="AE705" s="3"/>
      <c r="AF705" s="3"/>
      <c r="AG705" s="3"/>
      <c r="AH705" s="3"/>
      <c r="AI705" s="3"/>
      <c r="AJ705" s="3"/>
      <c r="AK705" s="3"/>
      <c r="AL705" s="3"/>
      <c r="AM705" s="3"/>
      <c r="AN705" s="3"/>
      <c r="AO705" s="3"/>
      <c r="AP705" s="3"/>
      <c r="AQ705" s="3"/>
      <c r="AR705" s="3"/>
      <c r="AS705" s="3"/>
      <c r="AT705" s="3"/>
      <c r="AU705" s="3"/>
      <c r="AV705" s="3"/>
      <c r="AW705" s="3"/>
      <c r="AX705" s="3"/>
      <c r="AY705" s="3"/>
      <c r="AZ705" s="3"/>
      <c r="BA705" s="3"/>
      <c r="BB705" s="3"/>
      <c r="BC705" s="3"/>
    </row>
    <row r="706" spans="1:55">
      <c r="A706" s="1" t="str">
        <f>'Population Definitions'!$A$6</f>
        <v>10-17_males</v>
      </c>
      <c r="C706" t="s">
        <v>32</v>
      </c>
      <c r="D706" s="3"/>
      <c r="E706" s="3">
        <v>0</v>
      </c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  <c r="AA706" s="3"/>
      <c r="AB706" s="3"/>
      <c r="AC706" s="3"/>
      <c r="AD706" s="3"/>
      <c r="AE706" s="3"/>
      <c r="AF706" s="3"/>
      <c r="AG706" s="3"/>
      <c r="AH706" s="3"/>
      <c r="AI706" s="3"/>
      <c r="AJ706" s="3"/>
      <c r="AK706" s="3"/>
      <c r="AL706" s="3"/>
      <c r="AM706" s="3"/>
      <c r="AN706" s="3"/>
      <c r="AO706" s="3"/>
      <c r="AP706" s="3"/>
      <c r="AQ706" s="3"/>
      <c r="AR706" s="3"/>
      <c r="AS706" s="3"/>
      <c r="AT706" s="3"/>
      <c r="AU706" s="3"/>
      <c r="AV706" s="3"/>
      <c r="AW706" s="3"/>
      <c r="AX706" s="3"/>
      <c r="AY706" s="3"/>
      <c r="AZ706" s="3"/>
      <c r="BA706" s="3"/>
      <c r="BB706" s="3"/>
      <c r="BC706" s="3"/>
    </row>
    <row r="707" spans="1:55">
      <c r="A707" s="1" t="str">
        <f>'Population Definitions'!$A$7</f>
        <v>10-17_females</v>
      </c>
      <c r="C707" t="s">
        <v>32</v>
      </c>
      <c r="D707" s="3"/>
      <c r="E707" s="3">
        <v>0</v>
      </c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  <c r="AA707" s="3"/>
      <c r="AB707" s="3"/>
      <c r="AC707" s="3"/>
      <c r="AD707" s="3"/>
      <c r="AE707" s="3"/>
      <c r="AF707" s="3"/>
      <c r="AG707" s="3"/>
      <c r="AH707" s="3"/>
      <c r="AI707" s="3"/>
      <c r="AJ707" s="3"/>
      <c r="AK707" s="3"/>
      <c r="AL707" s="3"/>
      <c r="AM707" s="3"/>
      <c r="AN707" s="3"/>
      <c r="AO707" s="3"/>
      <c r="AP707" s="3"/>
      <c r="AQ707" s="3"/>
      <c r="AR707" s="3"/>
      <c r="AS707" s="3"/>
      <c r="AT707" s="3"/>
      <c r="AU707" s="3"/>
      <c r="AV707" s="3"/>
      <c r="AW707" s="3"/>
      <c r="AX707" s="3"/>
      <c r="AY707" s="3"/>
      <c r="AZ707" s="3"/>
      <c r="BA707" s="3"/>
      <c r="BB707" s="3"/>
      <c r="BC707" s="3"/>
    </row>
    <row r="708" spans="1:55">
      <c r="A708" s="1" t="str">
        <f>'Population Definitions'!$A$8</f>
        <v>18-64_males</v>
      </c>
      <c r="C708" t="s">
        <v>32</v>
      </c>
      <c r="D708" s="3"/>
      <c r="E708" s="3">
        <v>0</v>
      </c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  <c r="AA708" s="3"/>
      <c r="AB708" s="3"/>
      <c r="AC708" s="3"/>
      <c r="AD708" s="3"/>
      <c r="AE708" s="3"/>
      <c r="AF708" s="3"/>
      <c r="AG708" s="3"/>
      <c r="AH708" s="3"/>
      <c r="AI708" s="3"/>
      <c r="AJ708" s="3"/>
      <c r="AK708" s="3"/>
      <c r="AL708" s="3"/>
      <c r="AM708" s="3"/>
      <c r="AN708" s="3"/>
      <c r="AO708" s="3"/>
      <c r="AP708" s="3"/>
      <c r="AQ708" s="3"/>
      <c r="AR708" s="3"/>
      <c r="AS708" s="3"/>
      <c r="AT708" s="3"/>
      <c r="AU708" s="3"/>
      <c r="AV708" s="3"/>
      <c r="AW708" s="3"/>
      <c r="AX708" s="3"/>
      <c r="AY708" s="3"/>
      <c r="AZ708" s="3"/>
      <c r="BA708" s="3"/>
      <c r="BB708" s="3"/>
      <c r="BC708" s="3"/>
    </row>
    <row r="709" spans="1:55">
      <c r="A709" s="1" t="str">
        <f>'Population Definitions'!$A$9</f>
        <v>18-64_females</v>
      </c>
      <c r="C709" t="s">
        <v>32</v>
      </c>
      <c r="D709" s="3"/>
      <c r="E709" s="3">
        <v>0</v>
      </c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  <c r="AA709" s="3"/>
      <c r="AB709" s="3"/>
      <c r="AC709" s="3"/>
      <c r="AD709" s="3"/>
      <c r="AE709" s="3"/>
      <c r="AF709" s="3"/>
      <c r="AG709" s="3"/>
      <c r="AH709" s="3"/>
      <c r="AI709" s="3"/>
      <c r="AJ709" s="3"/>
      <c r="AK709" s="3"/>
      <c r="AL709" s="3"/>
      <c r="AM709" s="3"/>
      <c r="AN709" s="3"/>
      <c r="AO709" s="3"/>
      <c r="AP709" s="3"/>
      <c r="AQ709" s="3"/>
      <c r="AR709" s="3"/>
      <c r="AS709" s="3"/>
      <c r="AT709" s="3"/>
      <c r="AU709" s="3"/>
      <c r="AV709" s="3"/>
      <c r="AW709" s="3"/>
      <c r="AX709" s="3"/>
      <c r="AY709" s="3"/>
      <c r="AZ709" s="3"/>
      <c r="BA709" s="3"/>
      <c r="BB709" s="3"/>
      <c r="BC709" s="3"/>
    </row>
    <row r="710" spans="1:55">
      <c r="A710" s="1" t="str">
        <f>'Population Definitions'!$A$10</f>
        <v>65+_males</v>
      </c>
      <c r="C710" t="s">
        <v>32</v>
      </c>
      <c r="D710" s="3"/>
      <c r="E710" s="3">
        <v>0</v>
      </c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  <c r="AA710" s="3"/>
      <c r="AB710" s="3"/>
      <c r="AC710" s="3"/>
      <c r="AD710" s="3"/>
      <c r="AE710" s="3"/>
      <c r="AF710" s="3"/>
      <c r="AG710" s="3"/>
      <c r="AH710" s="3"/>
      <c r="AI710" s="3"/>
      <c r="AJ710" s="3"/>
      <c r="AK710" s="3"/>
      <c r="AL710" s="3"/>
      <c r="AM710" s="3"/>
      <c r="AN710" s="3"/>
      <c r="AO710" s="3"/>
      <c r="AP710" s="3"/>
      <c r="AQ710" s="3"/>
      <c r="AR710" s="3"/>
      <c r="AS710" s="3"/>
      <c r="AT710" s="3"/>
      <c r="AU710" s="3"/>
      <c r="AV710" s="3"/>
      <c r="AW710" s="3"/>
      <c r="AX710" s="3"/>
      <c r="AY710" s="3"/>
      <c r="AZ710" s="3"/>
      <c r="BA710" s="3"/>
      <c r="BB710" s="3"/>
      <c r="BC710" s="3"/>
    </row>
    <row r="711" spans="1:55">
      <c r="A711" s="1" t="str">
        <f>'Population Definitions'!$A$11</f>
        <v>65+_females</v>
      </c>
      <c r="C711" t="s">
        <v>32</v>
      </c>
      <c r="D711" s="3"/>
      <c r="E711" s="3">
        <v>0</v>
      </c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  <c r="AA711" s="3"/>
      <c r="AB711" s="3"/>
      <c r="AC711" s="3"/>
      <c r="AD711" s="3"/>
      <c r="AE711" s="3"/>
      <c r="AF711" s="3"/>
      <c r="AG711" s="3"/>
      <c r="AH711" s="3"/>
      <c r="AI711" s="3"/>
      <c r="AJ711" s="3"/>
      <c r="AK711" s="3"/>
      <c r="AL711" s="3"/>
      <c r="AM711" s="3"/>
      <c r="AN711" s="3"/>
      <c r="AO711" s="3"/>
      <c r="AP711" s="3"/>
      <c r="AQ711" s="3"/>
      <c r="AR711" s="3"/>
      <c r="AS711" s="3"/>
      <c r="AT711" s="3"/>
      <c r="AU711" s="3"/>
      <c r="AV711" s="3"/>
      <c r="AW711" s="3"/>
      <c r="AX711" s="3"/>
      <c r="AY711" s="3"/>
      <c r="AZ711" s="3"/>
      <c r="BA711" s="3"/>
      <c r="BB711" s="3"/>
      <c r="BC711" s="3"/>
    </row>
    <row r="712" spans="1:55">
      <c r="A712" s="1" t="str">
        <f>'Population Definitions'!$A$12</f>
        <v>Prisoners_males</v>
      </c>
      <c r="C712" t="s">
        <v>32</v>
      </c>
      <c r="D712" s="3"/>
      <c r="E712" s="3">
        <v>0</v>
      </c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  <c r="AA712" s="3"/>
      <c r="AB712" s="3"/>
      <c r="AC712" s="3"/>
      <c r="AD712" s="3"/>
      <c r="AE712" s="3"/>
      <c r="AF712" s="3"/>
      <c r="AG712" s="3"/>
      <c r="AH712" s="3"/>
      <c r="AI712" s="3"/>
      <c r="AJ712" s="3"/>
      <c r="AK712" s="3"/>
      <c r="AL712" s="3"/>
      <c r="AM712" s="3"/>
      <c r="AN712" s="3"/>
      <c r="AO712" s="3"/>
      <c r="AP712" s="3"/>
      <c r="AQ712" s="3"/>
      <c r="AR712" s="3"/>
      <c r="AS712" s="3"/>
      <c r="AT712" s="3"/>
      <c r="AU712" s="3"/>
      <c r="AV712" s="3"/>
      <c r="AW712" s="3"/>
      <c r="AX712" s="3"/>
      <c r="AY712" s="3"/>
      <c r="AZ712" s="3"/>
      <c r="BA712" s="3"/>
      <c r="BB712" s="3"/>
      <c r="BC712" s="3"/>
    </row>
    <row r="713" spans="1:55">
      <c r="A713" s="1" t="str">
        <f>'Population Definitions'!$A$13</f>
        <v>Prisoners_females</v>
      </c>
      <c r="C713" t="s">
        <v>32</v>
      </c>
      <c r="D713" s="3"/>
      <c r="E713" s="3">
        <v>0</v>
      </c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  <c r="AA713" s="3"/>
      <c r="AB713" s="3"/>
      <c r="AC713" s="3"/>
      <c r="AD713" s="3"/>
      <c r="AE713" s="3"/>
      <c r="AF713" s="3"/>
      <c r="AG713" s="3"/>
      <c r="AH713" s="3"/>
      <c r="AI713" s="3"/>
      <c r="AJ713" s="3"/>
      <c r="AK713" s="3"/>
      <c r="AL713" s="3"/>
      <c r="AM713" s="3"/>
      <c r="AN713" s="3"/>
      <c r="AO713" s="3"/>
      <c r="AP713" s="3"/>
      <c r="AQ713" s="3"/>
      <c r="AR713" s="3"/>
      <c r="AS713" s="3"/>
      <c r="AT713" s="3"/>
      <c r="AU713" s="3"/>
      <c r="AV713" s="3"/>
      <c r="AW713" s="3"/>
      <c r="AX713" s="3"/>
      <c r="AY713" s="3"/>
      <c r="AZ713" s="3"/>
      <c r="BA713" s="3"/>
      <c r="BB713" s="3"/>
      <c r="BC713" s="3"/>
    </row>
    <row r="715" spans="1:55">
      <c r="A715" s="1" t="s">
        <v>177</v>
      </c>
      <c r="B715" s="1" t="s">
        <v>29</v>
      </c>
      <c r="C715" s="1" t="s">
        <v>30</v>
      </c>
      <c r="D715" s="1" t="s">
        <v>31</v>
      </c>
      <c r="E715" s="1">
        <v>2000</v>
      </c>
      <c r="F715" s="1">
        <v>2001</v>
      </c>
      <c r="G715" s="1">
        <v>2002</v>
      </c>
      <c r="H715" s="1">
        <v>2003</v>
      </c>
      <c r="I715" s="1">
        <v>2004</v>
      </c>
      <c r="J715" s="1">
        <v>2005</v>
      </c>
      <c r="K715" s="1">
        <v>2006</v>
      </c>
      <c r="L715" s="1">
        <v>2007</v>
      </c>
      <c r="M715" s="1">
        <v>2008</v>
      </c>
      <c r="N715" s="1">
        <v>2009</v>
      </c>
      <c r="O715" s="1">
        <v>2010</v>
      </c>
      <c r="P715" s="1">
        <v>2011</v>
      </c>
      <c r="Q715" s="1">
        <v>2012</v>
      </c>
      <c r="R715" s="1">
        <v>2013</v>
      </c>
      <c r="S715" s="1">
        <v>2014</v>
      </c>
      <c r="T715" s="1">
        <v>2015</v>
      </c>
      <c r="U715" s="1">
        <v>2016</v>
      </c>
      <c r="V715" s="1">
        <v>2017</v>
      </c>
      <c r="W715" s="1">
        <v>2018</v>
      </c>
      <c r="X715" s="1">
        <v>2019</v>
      </c>
      <c r="Y715" s="1">
        <v>2020</v>
      </c>
      <c r="Z715" s="1">
        <v>2021</v>
      </c>
      <c r="AA715" s="1">
        <v>2022</v>
      </c>
      <c r="AB715" s="1">
        <v>2023</v>
      </c>
      <c r="AC715" s="1">
        <v>2024</v>
      </c>
      <c r="AD715" s="1">
        <v>2025</v>
      </c>
      <c r="AE715" s="1">
        <v>2026</v>
      </c>
      <c r="AF715" s="1">
        <v>2027</v>
      </c>
      <c r="AG715" s="1">
        <v>2028</v>
      </c>
      <c r="AH715" s="1">
        <v>2029</v>
      </c>
      <c r="AI715" s="1">
        <v>2030</v>
      </c>
      <c r="AJ715" s="1">
        <v>2031</v>
      </c>
      <c r="AK715" s="1">
        <v>2032</v>
      </c>
      <c r="AL715" s="1">
        <v>2033</v>
      </c>
      <c r="AM715" s="1">
        <v>2034</v>
      </c>
      <c r="AN715" s="1">
        <v>2035</v>
      </c>
      <c r="AO715" s="1">
        <v>2036</v>
      </c>
      <c r="AP715" s="1">
        <v>2037</v>
      </c>
      <c r="AQ715" s="1">
        <v>2038</v>
      </c>
      <c r="AR715" s="1">
        <v>2039</v>
      </c>
      <c r="AS715" s="1">
        <v>2040</v>
      </c>
      <c r="AT715" s="1">
        <v>2041</v>
      </c>
      <c r="AU715" s="1">
        <v>2042</v>
      </c>
      <c r="AV715" s="1">
        <v>2043</v>
      </c>
      <c r="AW715" s="1">
        <v>2044</v>
      </c>
      <c r="AX715" s="1">
        <v>2045</v>
      </c>
      <c r="AY715" s="1">
        <v>2046</v>
      </c>
      <c r="AZ715" s="1">
        <v>2047</v>
      </c>
      <c r="BA715" s="1">
        <v>2048</v>
      </c>
      <c r="BB715" s="1">
        <v>2049</v>
      </c>
      <c r="BC715" s="1">
        <v>2050</v>
      </c>
    </row>
    <row r="716" spans="1:55">
      <c r="A716" s="1" t="str">
        <f>'Population Definitions'!$A$2</f>
        <v>PWID_males</v>
      </c>
      <c r="C716" t="s">
        <v>32</v>
      </c>
      <c r="D716" s="3"/>
      <c r="E716" s="3">
        <v>0</v>
      </c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  <c r="AA716" s="3"/>
      <c r="AB716" s="3"/>
      <c r="AC716" s="3"/>
      <c r="AD716" s="3"/>
      <c r="AE716" s="3"/>
      <c r="AF716" s="3"/>
      <c r="AG716" s="3"/>
      <c r="AH716" s="3"/>
      <c r="AI716" s="3"/>
      <c r="AJ716" s="3"/>
      <c r="AK716" s="3"/>
      <c r="AL716" s="3"/>
      <c r="AM716" s="3"/>
      <c r="AN716" s="3"/>
      <c r="AO716" s="3"/>
      <c r="AP716" s="3"/>
      <c r="AQ716" s="3"/>
      <c r="AR716" s="3"/>
      <c r="AS716" s="3"/>
      <c r="AT716" s="3"/>
      <c r="AU716" s="3"/>
      <c r="AV716" s="3"/>
      <c r="AW716" s="3"/>
      <c r="AX716" s="3"/>
      <c r="AY716" s="3"/>
      <c r="AZ716" s="3"/>
      <c r="BA716" s="3"/>
      <c r="BB716" s="3"/>
      <c r="BC716" s="3"/>
    </row>
    <row r="717" spans="1:55">
      <c r="A717" s="1" t="str">
        <f>'Population Definitions'!$A$3</f>
        <v>PWID_females</v>
      </c>
      <c r="C717" t="s">
        <v>32</v>
      </c>
      <c r="D717" s="3"/>
      <c r="E717" s="3">
        <v>0</v>
      </c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  <c r="AA717" s="3"/>
      <c r="AB717" s="3"/>
      <c r="AC717" s="3"/>
      <c r="AD717" s="3"/>
      <c r="AE717" s="3"/>
      <c r="AF717" s="3"/>
      <c r="AG717" s="3"/>
      <c r="AH717" s="3"/>
      <c r="AI717" s="3"/>
      <c r="AJ717" s="3"/>
      <c r="AK717" s="3"/>
      <c r="AL717" s="3"/>
      <c r="AM717" s="3"/>
      <c r="AN717" s="3"/>
      <c r="AO717" s="3"/>
      <c r="AP717" s="3"/>
      <c r="AQ717" s="3"/>
      <c r="AR717" s="3"/>
      <c r="AS717" s="3"/>
      <c r="AT717" s="3"/>
      <c r="AU717" s="3"/>
      <c r="AV717" s="3"/>
      <c r="AW717" s="3"/>
      <c r="AX717" s="3"/>
      <c r="AY717" s="3"/>
      <c r="AZ717" s="3"/>
      <c r="BA717" s="3"/>
      <c r="BB717" s="3"/>
      <c r="BC717" s="3"/>
    </row>
    <row r="718" spans="1:55">
      <c r="A718" s="1" t="str">
        <f>'Population Definitions'!$A$4</f>
        <v>0-9_males</v>
      </c>
      <c r="C718" t="s">
        <v>32</v>
      </c>
      <c r="D718" s="3"/>
      <c r="E718" s="3">
        <v>0</v>
      </c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  <c r="AA718" s="3"/>
      <c r="AB718" s="3"/>
      <c r="AC718" s="3"/>
      <c r="AD718" s="3"/>
      <c r="AE718" s="3"/>
      <c r="AF718" s="3"/>
      <c r="AG718" s="3"/>
      <c r="AH718" s="3"/>
      <c r="AI718" s="3"/>
      <c r="AJ718" s="3"/>
      <c r="AK718" s="3"/>
      <c r="AL718" s="3"/>
      <c r="AM718" s="3"/>
      <c r="AN718" s="3"/>
      <c r="AO718" s="3"/>
      <c r="AP718" s="3"/>
      <c r="AQ718" s="3"/>
      <c r="AR718" s="3"/>
      <c r="AS718" s="3"/>
      <c r="AT718" s="3"/>
      <c r="AU718" s="3"/>
      <c r="AV718" s="3"/>
      <c r="AW718" s="3"/>
      <c r="AX718" s="3"/>
      <c r="AY718" s="3"/>
      <c r="AZ718" s="3"/>
      <c r="BA718" s="3"/>
      <c r="BB718" s="3"/>
      <c r="BC718" s="3"/>
    </row>
    <row r="719" spans="1:55">
      <c r="A719" s="1" t="str">
        <f>'Population Definitions'!$A$5</f>
        <v>0-9_females</v>
      </c>
      <c r="C719" t="s">
        <v>32</v>
      </c>
      <c r="D719" s="3"/>
      <c r="E719" s="3">
        <v>0</v>
      </c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  <c r="AA719" s="3"/>
      <c r="AB719" s="3"/>
      <c r="AC719" s="3"/>
      <c r="AD719" s="3"/>
      <c r="AE719" s="3"/>
      <c r="AF719" s="3"/>
      <c r="AG719" s="3"/>
      <c r="AH719" s="3"/>
      <c r="AI719" s="3"/>
      <c r="AJ719" s="3"/>
      <c r="AK719" s="3"/>
      <c r="AL719" s="3"/>
      <c r="AM719" s="3"/>
      <c r="AN719" s="3"/>
      <c r="AO719" s="3"/>
      <c r="AP719" s="3"/>
      <c r="AQ719" s="3"/>
      <c r="AR719" s="3"/>
      <c r="AS719" s="3"/>
      <c r="AT719" s="3"/>
      <c r="AU719" s="3"/>
      <c r="AV719" s="3"/>
      <c r="AW719" s="3"/>
      <c r="AX719" s="3"/>
      <c r="AY719" s="3"/>
      <c r="AZ719" s="3"/>
      <c r="BA719" s="3"/>
      <c r="BB719" s="3"/>
      <c r="BC719" s="3"/>
    </row>
    <row r="720" spans="1:55">
      <c r="A720" s="1" t="str">
        <f>'Population Definitions'!$A$6</f>
        <v>10-17_males</v>
      </c>
      <c r="C720" t="s">
        <v>32</v>
      </c>
      <c r="D720" s="3"/>
      <c r="E720" s="3">
        <v>0</v>
      </c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  <c r="AA720" s="3"/>
      <c r="AB720" s="3"/>
      <c r="AC720" s="3"/>
      <c r="AD720" s="3"/>
      <c r="AE720" s="3"/>
      <c r="AF720" s="3"/>
      <c r="AG720" s="3"/>
      <c r="AH720" s="3"/>
      <c r="AI720" s="3"/>
      <c r="AJ720" s="3"/>
      <c r="AK720" s="3"/>
      <c r="AL720" s="3"/>
      <c r="AM720" s="3"/>
      <c r="AN720" s="3"/>
      <c r="AO720" s="3"/>
      <c r="AP720" s="3"/>
      <c r="AQ720" s="3"/>
      <c r="AR720" s="3"/>
      <c r="AS720" s="3"/>
      <c r="AT720" s="3"/>
      <c r="AU720" s="3"/>
      <c r="AV720" s="3"/>
      <c r="AW720" s="3"/>
      <c r="AX720" s="3"/>
      <c r="AY720" s="3"/>
      <c r="AZ720" s="3"/>
      <c r="BA720" s="3"/>
      <c r="BB720" s="3"/>
      <c r="BC720" s="3"/>
    </row>
    <row r="721" spans="1:55">
      <c r="A721" s="1" t="str">
        <f>'Population Definitions'!$A$7</f>
        <v>10-17_females</v>
      </c>
      <c r="C721" t="s">
        <v>32</v>
      </c>
      <c r="D721" s="3"/>
      <c r="E721" s="3">
        <v>0</v>
      </c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  <c r="AA721" s="3"/>
      <c r="AB721" s="3"/>
      <c r="AC721" s="3"/>
      <c r="AD721" s="3"/>
      <c r="AE721" s="3"/>
      <c r="AF721" s="3"/>
      <c r="AG721" s="3"/>
      <c r="AH721" s="3"/>
      <c r="AI721" s="3"/>
      <c r="AJ721" s="3"/>
      <c r="AK721" s="3"/>
      <c r="AL721" s="3"/>
      <c r="AM721" s="3"/>
      <c r="AN721" s="3"/>
      <c r="AO721" s="3"/>
      <c r="AP721" s="3"/>
      <c r="AQ721" s="3"/>
      <c r="AR721" s="3"/>
      <c r="AS721" s="3"/>
      <c r="AT721" s="3"/>
      <c r="AU721" s="3"/>
      <c r="AV721" s="3"/>
      <c r="AW721" s="3"/>
      <c r="AX721" s="3"/>
      <c r="AY721" s="3"/>
      <c r="AZ721" s="3"/>
      <c r="BA721" s="3"/>
      <c r="BB721" s="3"/>
      <c r="BC721" s="3"/>
    </row>
    <row r="722" spans="1:55">
      <c r="A722" s="1" t="str">
        <f>'Population Definitions'!$A$8</f>
        <v>18-64_males</v>
      </c>
      <c r="C722" t="s">
        <v>32</v>
      </c>
      <c r="D722" s="3"/>
      <c r="E722" s="3">
        <v>0</v>
      </c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  <c r="AA722" s="3"/>
      <c r="AB722" s="3"/>
      <c r="AC722" s="3"/>
      <c r="AD722" s="3"/>
      <c r="AE722" s="3"/>
      <c r="AF722" s="3"/>
      <c r="AG722" s="3"/>
      <c r="AH722" s="3"/>
      <c r="AI722" s="3"/>
      <c r="AJ722" s="3"/>
      <c r="AK722" s="3"/>
      <c r="AL722" s="3"/>
      <c r="AM722" s="3"/>
      <c r="AN722" s="3"/>
      <c r="AO722" s="3"/>
      <c r="AP722" s="3"/>
      <c r="AQ722" s="3"/>
      <c r="AR722" s="3"/>
      <c r="AS722" s="3"/>
      <c r="AT722" s="3"/>
      <c r="AU722" s="3"/>
      <c r="AV722" s="3"/>
      <c r="AW722" s="3"/>
      <c r="AX722" s="3"/>
      <c r="AY722" s="3"/>
      <c r="AZ722" s="3"/>
      <c r="BA722" s="3"/>
      <c r="BB722" s="3"/>
      <c r="BC722" s="3"/>
    </row>
    <row r="723" spans="1:55">
      <c r="A723" s="1" t="str">
        <f>'Population Definitions'!$A$9</f>
        <v>18-64_females</v>
      </c>
      <c r="C723" t="s">
        <v>32</v>
      </c>
      <c r="D723" s="3"/>
      <c r="E723" s="3">
        <v>0</v>
      </c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  <c r="AA723" s="3"/>
      <c r="AB723" s="3"/>
      <c r="AC723" s="3"/>
      <c r="AD723" s="3"/>
      <c r="AE723" s="3"/>
      <c r="AF723" s="3"/>
      <c r="AG723" s="3"/>
      <c r="AH723" s="3"/>
      <c r="AI723" s="3"/>
      <c r="AJ723" s="3"/>
      <c r="AK723" s="3"/>
      <c r="AL723" s="3"/>
      <c r="AM723" s="3"/>
      <c r="AN723" s="3"/>
      <c r="AO723" s="3"/>
      <c r="AP723" s="3"/>
      <c r="AQ723" s="3"/>
      <c r="AR723" s="3"/>
      <c r="AS723" s="3"/>
      <c r="AT723" s="3"/>
      <c r="AU723" s="3"/>
      <c r="AV723" s="3"/>
      <c r="AW723" s="3"/>
      <c r="AX723" s="3"/>
      <c r="AY723" s="3"/>
      <c r="AZ723" s="3"/>
      <c r="BA723" s="3"/>
      <c r="BB723" s="3"/>
      <c r="BC723" s="3"/>
    </row>
    <row r="724" spans="1:55">
      <c r="A724" s="1" t="str">
        <f>'Population Definitions'!$A$10</f>
        <v>65+_males</v>
      </c>
      <c r="C724" t="s">
        <v>32</v>
      </c>
      <c r="D724" s="3"/>
      <c r="E724" s="3">
        <v>0</v>
      </c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  <c r="AA724" s="3"/>
      <c r="AB724" s="3"/>
      <c r="AC724" s="3"/>
      <c r="AD724" s="3"/>
      <c r="AE724" s="3"/>
      <c r="AF724" s="3"/>
      <c r="AG724" s="3"/>
      <c r="AH724" s="3"/>
      <c r="AI724" s="3"/>
      <c r="AJ724" s="3"/>
      <c r="AK724" s="3"/>
      <c r="AL724" s="3"/>
      <c r="AM724" s="3"/>
      <c r="AN724" s="3"/>
      <c r="AO724" s="3"/>
      <c r="AP724" s="3"/>
      <c r="AQ724" s="3"/>
      <c r="AR724" s="3"/>
      <c r="AS724" s="3"/>
      <c r="AT724" s="3"/>
      <c r="AU724" s="3"/>
      <c r="AV724" s="3"/>
      <c r="AW724" s="3"/>
      <c r="AX724" s="3"/>
      <c r="AY724" s="3"/>
      <c r="AZ724" s="3"/>
      <c r="BA724" s="3"/>
      <c r="BB724" s="3"/>
      <c r="BC724" s="3"/>
    </row>
    <row r="725" spans="1:55">
      <c r="A725" s="1" t="str">
        <f>'Population Definitions'!$A$11</f>
        <v>65+_females</v>
      </c>
      <c r="C725" t="s">
        <v>32</v>
      </c>
      <c r="D725" s="3"/>
      <c r="E725" s="3">
        <v>0</v>
      </c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  <c r="AA725" s="3"/>
      <c r="AB725" s="3"/>
      <c r="AC725" s="3"/>
      <c r="AD725" s="3"/>
      <c r="AE725" s="3"/>
      <c r="AF725" s="3"/>
      <c r="AG725" s="3"/>
      <c r="AH725" s="3"/>
      <c r="AI725" s="3"/>
      <c r="AJ725" s="3"/>
      <c r="AK725" s="3"/>
      <c r="AL725" s="3"/>
      <c r="AM725" s="3"/>
      <c r="AN725" s="3"/>
      <c r="AO725" s="3"/>
      <c r="AP725" s="3"/>
      <c r="AQ725" s="3"/>
      <c r="AR725" s="3"/>
      <c r="AS725" s="3"/>
      <c r="AT725" s="3"/>
      <c r="AU725" s="3"/>
      <c r="AV725" s="3"/>
      <c r="AW725" s="3"/>
      <c r="AX725" s="3"/>
      <c r="AY725" s="3"/>
      <c r="AZ725" s="3"/>
      <c r="BA725" s="3"/>
      <c r="BB725" s="3"/>
      <c r="BC725" s="3"/>
    </row>
    <row r="726" spans="1:55">
      <c r="A726" s="1" t="str">
        <f>'Population Definitions'!$A$12</f>
        <v>Prisoners_males</v>
      </c>
      <c r="C726" t="s">
        <v>32</v>
      </c>
      <c r="D726" s="3"/>
      <c r="E726" s="3">
        <v>0</v>
      </c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  <c r="AA726" s="3"/>
      <c r="AB726" s="3"/>
      <c r="AC726" s="3"/>
      <c r="AD726" s="3"/>
      <c r="AE726" s="3"/>
      <c r="AF726" s="3"/>
      <c r="AG726" s="3"/>
      <c r="AH726" s="3"/>
      <c r="AI726" s="3"/>
      <c r="AJ726" s="3"/>
      <c r="AK726" s="3"/>
      <c r="AL726" s="3"/>
      <c r="AM726" s="3"/>
      <c r="AN726" s="3"/>
      <c r="AO726" s="3"/>
      <c r="AP726" s="3"/>
      <c r="AQ726" s="3"/>
      <c r="AR726" s="3"/>
      <c r="AS726" s="3"/>
      <c r="AT726" s="3"/>
      <c r="AU726" s="3"/>
      <c r="AV726" s="3"/>
      <c r="AW726" s="3"/>
      <c r="AX726" s="3"/>
      <c r="AY726" s="3"/>
      <c r="AZ726" s="3"/>
      <c r="BA726" s="3"/>
      <c r="BB726" s="3"/>
      <c r="BC726" s="3"/>
    </row>
    <row r="727" spans="1:55">
      <c r="A727" s="1" t="str">
        <f>'Population Definitions'!$A$13</f>
        <v>Prisoners_females</v>
      </c>
      <c r="C727" t="s">
        <v>32</v>
      </c>
      <c r="D727" s="3"/>
      <c r="E727" s="3">
        <v>0</v>
      </c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  <c r="AA727" s="3"/>
      <c r="AB727" s="3"/>
      <c r="AC727" s="3"/>
      <c r="AD727" s="3"/>
      <c r="AE727" s="3"/>
      <c r="AF727" s="3"/>
      <c r="AG727" s="3"/>
      <c r="AH727" s="3"/>
      <c r="AI727" s="3"/>
      <c r="AJ727" s="3"/>
      <c r="AK727" s="3"/>
      <c r="AL727" s="3"/>
      <c r="AM727" s="3"/>
      <c r="AN727" s="3"/>
      <c r="AO727" s="3"/>
      <c r="AP727" s="3"/>
      <c r="AQ727" s="3"/>
      <c r="AR727" s="3"/>
      <c r="AS727" s="3"/>
      <c r="AT727" s="3"/>
      <c r="AU727" s="3"/>
      <c r="AV727" s="3"/>
      <c r="AW727" s="3"/>
      <c r="AX727" s="3"/>
      <c r="AY727" s="3"/>
      <c r="AZ727" s="3"/>
      <c r="BA727" s="3"/>
      <c r="BB727" s="3"/>
      <c r="BC727" s="3"/>
    </row>
    <row r="729" spans="1:55">
      <c r="A729" s="1" t="s">
        <v>178</v>
      </c>
      <c r="B729" s="1" t="s">
        <v>29</v>
      </c>
      <c r="C729" s="1" t="s">
        <v>30</v>
      </c>
      <c r="D729" s="1" t="s">
        <v>31</v>
      </c>
      <c r="E729" s="1">
        <v>2000</v>
      </c>
      <c r="F729" s="1">
        <v>2001</v>
      </c>
      <c r="G729" s="1">
        <v>2002</v>
      </c>
      <c r="H729" s="1">
        <v>2003</v>
      </c>
      <c r="I729" s="1">
        <v>2004</v>
      </c>
      <c r="J729" s="1">
        <v>2005</v>
      </c>
      <c r="K729" s="1">
        <v>2006</v>
      </c>
      <c r="L729" s="1">
        <v>2007</v>
      </c>
      <c r="M729" s="1">
        <v>2008</v>
      </c>
      <c r="N729" s="1">
        <v>2009</v>
      </c>
      <c r="O729" s="1">
        <v>2010</v>
      </c>
      <c r="P729" s="1">
        <v>2011</v>
      </c>
      <c r="Q729" s="1">
        <v>2012</v>
      </c>
      <c r="R729" s="1">
        <v>2013</v>
      </c>
      <c r="S729" s="1">
        <v>2014</v>
      </c>
      <c r="T729" s="1">
        <v>2015</v>
      </c>
      <c r="U729" s="1">
        <v>2016</v>
      </c>
      <c r="V729" s="1">
        <v>2017</v>
      </c>
      <c r="W729" s="1">
        <v>2018</v>
      </c>
      <c r="X729" s="1">
        <v>2019</v>
      </c>
      <c r="Y729" s="1">
        <v>2020</v>
      </c>
      <c r="Z729" s="1">
        <v>2021</v>
      </c>
      <c r="AA729" s="1">
        <v>2022</v>
      </c>
      <c r="AB729" s="1">
        <v>2023</v>
      </c>
      <c r="AC729" s="1">
        <v>2024</v>
      </c>
      <c r="AD729" s="1">
        <v>2025</v>
      </c>
      <c r="AE729" s="1">
        <v>2026</v>
      </c>
      <c r="AF729" s="1">
        <v>2027</v>
      </c>
      <c r="AG729" s="1">
        <v>2028</v>
      </c>
      <c r="AH729" s="1">
        <v>2029</v>
      </c>
      <c r="AI729" s="1">
        <v>2030</v>
      </c>
      <c r="AJ729" s="1">
        <v>2031</v>
      </c>
      <c r="AK729" s="1">
        <v>2032</v>
      </c>
      <c r="AL729" s="1">
        <v>2033</v>
      </c>
      <c r="AM729" s="1">
        <v>2034</v>
      </c>
      <c r="AN729" s="1">
        <v>2035</v>
      </c>
      <c r="AO729" s="1">
        <v>2036</v>
      </c>
      <c r="AP729" s="1">
        <v>2037</v>
      </c>
      <c r="AQ729" s="1">
        <v>2038</v>
      </c>
      <c r="AR729" s="1">
        <v>2039</v>
      </c>
      <c r="AS729" s="1">
        <v>2040</v>
      </c>
      <c r="AT729" s="1">
        <v>2041</v>
      </c>
      <c r="AU729" s="1">
        <v>2042</v>
      </c>
      <c r="AV729" s="1">
        <v>2043</v>
      </c>
      <c r="AW729" s="1">
        <v>2044</v>
      </c>
      <c r="AX729" s="1">
        <v>2045</v>
      </c>
      <c r="AY729" s="1">
        <v>2046</v>
      </c>
      <c r="AZ729" s="1">
        <v>2047</v>
      </c>
      <c r="BA729" s="1">
        <v>2048</v>
      </c>
      <c r="BB729" s="1">
        <v>2049</v>
      </c>
      <c r="BC729" s="1">
        <v>2050</v>
      </c>
    </row>
    <row r="730" spans="1:55">
      <c r="A730" s="1" t="str">
        <f>'Population Definitions'!$A$2</f>
        <v>PWID_males</v>
      </c>
      <c r="C730" t="s">
        <v>32</v>
      </c>
      <c r="D730" s="3"/>
      <c r="E730" s="3">
        <v>0</v>
      </c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  <c r="AA730" s="3"/>
      <c r="AB730" s="3"/>
      <c r="AC730" s="3"/>
      <c r="AD730" s="3"/>
      <c r="AE730" s="3"/>
      <c r="AF730" s="3"/>
      <c r="AG730" s="3"/>
      <c r="AH730" s="3"/>
      <c r="AI730" s="3"/>
      <c r="AJ730" s="3"/>
      <c r="AK730" s="3"/>
      <c r="AL730" s="3"/>
      <c r="AM730" s="3"/>
      <c r="AN730" s="3"/>
      <c r="AO730" s="3"/>
      <c r="AP730" s="3"/>
      <c r="AQ730" s="3"/>
      <c r="AR730" s="3"/>
      <c r="AS730" s="3"/>
      <c r="AT730" s="3"/>
      <c r="AU730" s="3"/>
      <c r="AV730" s="3"/>
      <c r="AW730" s="3"/>
      <c r="AX730" s="3"/>
      <c r="AY730" s="3"/>
      <c r="AZ730" s="3"/>
      <c r="BA730" s="3"/>
      <c r="BB730" s="3"/>
      <c r="BC730" s="3"/>
    </row>
    <row r="731" spans="1:55">
      <c r="A731" s="1" t="str">
        <f>'Population Definitions'!$A$3</f>
        <v>PWID_females</v>
      </c>
      <c r="C731" t="s">
        <v>32</v>
      </c>
      <c r="D731" s="3"/>
      <c r="E731" s="3">
        <v>0</v>
      </c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  <c r="AA731" s="3"/>
      <c r="AB731" s="3"/>
      <c r="AC731" s="3"/>
      <c r="AD731" s="3"/>
      <c r="AE731" s="3"/>
      <c r="AF731" s="3"/>
      <c r="AG731" s="3"/>
      <c r="AH731" s="3"/>
      <c r="AI731" s="3"/>
      <c r="AJ731" s="3"/>
      <c r="AK731" s="3"/>
      <c r="AL731" s="3"/>
      <c r="AM731" s="3"/>
      <c r="AN731" s="3"/>
      <c r="AO731" s="3"/>
      <c r="AP731" s="3"/>
      <c r="AQ731" s="3"/>
      <c r="AR731" s="3"/>
      <c r="AS731" s="3"/>
      <c r="AT731" s="3"/>
      <c r="AU731" s="3"/>
      <c r="AV731" s="3"/>
      <c r="AW731" s="3"/>
      <c r="AX731" s="3"/>
      <c r="AY731" s="3"/>
      <c r="AZ731" s="3"/>
      <c r="BA731" s="3"/>
      <c r="BB731" s="3"/>
      <c r="BC731" s="3"/>
    </row>
    <row r="732" spans="1:55">
      <c r="A732" s="1" t="str">
        <f>'Population Definitions'!$A$4</f>
        <v>0-9_males</v>
      </c>
      <c r="C732" t="s">
        <v>32</v>
      </c>
      <c r="D732" s="3"/>
      <c r="E732" s="3">
        <v>0</v>
      </c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  <c r="AA732" s="3"/>
      <c r="AB732" s="3"/>
      <c r="AC732" s="3"/>
      <c r="AD732" s="3"/>
      <c r="AE732" s="3"/>
      <c r="AF732" s="3"/>
      <c r="AG732" s="3"/>
      <c r="AH732" s="3"/>
      <c r="AI732" s="3"/>
      <c r="AJ732" s="3"/>
      <c r="AK732" s="3"/>
      <c r="AL732" s="3"/>
      <c r="AM732" s="3"/>
      <c r="AN732" s="3"/>
      <c r="AO732" s="3"/>
      <c r="AP732" s="3"/>
      <c r="AQ732" s="3"/>
      <c r="AR732" s="3"/>
      <c r="AS732" s="3"/>
      <c r="AT732" s="3"/>
      <c r="AU732" s="3"/>
      <c r="AV732" s="3"/>
      <c r="AW732" s="3"/>
      <c r="AX732" s="3"/>
      <c r="AY732" s="3"/>
      <c r="AZ732" s="3"/>
      <c r="BA732" s="3"/>
      <c r="BB732" s="3"/>
      <c r="BC732" s="3"/>
    </row>
    <row r="733" spans="1:55">
      <c r="A733" s="1" t="str">
        <f>'Population Definitions'!$A$5</f>
        <v>0-9_females</v>
      </c>
      <c r="C733" t="s">
        <v>32</v>
      </c>
      <c r="D733" s="3"/>
      <c r="E733" s="3">
        <v>0</v>
      </c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  <c r="AA733" s="3"/>
      <c r="AB733" s="3"/>
      <c r="AC733" s="3"/>
      <c r="AD733" s="3"/>
      <c r="AE733" s="3"/>
      <c r="AF733" s="3"/>
      <c r="AG733" s="3"/>
      <c r="AH733" s="3"/>
      <c r="AI733" s="3"/>
      <c r="AJ733" s="3"/>
      <c r="AK733" s="3"/>
      <c r="AL733" s="3"/>
      <c r="AM733" s="3"/>
      <c r="AN733" s="3"/>
      <c r="AO733" s="3"/>
      <c r="AP733" s="3"/>
      <c r="AQ733" s="3"/>
      <c r="AR733" s="3"/>
      <c r="AS733" s="3"/>
      <c r="AT733" s="3"/>
      <c r="AU733" s="3"/>
      <c r="AV733" s="3"/>
      <c r="AW733" s="3"/>
      <c r="AX733" s="3"/>
      <c r="AY733" s="3"/>
      <c r="AZ733" s="3"/>
      <c r="BA733" s="3"/>
      <c r="BB733" s="3"/>
      <c r="BC733" s="3"/>
    </row>
    <row r="734" spans="1:55">
      <c r="A734" s="1" t="str">
        <f>'Population Definitions'!$A$6</f>
        <v>10-17_males</v>
      </c>
      <c r="C734" t="s">
        <v>32</v>
      </c>
      <c r="D734" s="3"/>
      <c r="E734" s="3">
        <v>0</v>
      </c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  <c r="AA734" s="3"/>
      <c r="AB734" s="3"/>
      <c r="AC734" s="3"/>
      <c r="AD734" s="3"/>
      <c r="AE734" s="3"/>
      <c r="AF734" s="3"/>
      <c r="AG734" s="3"/>
      <c r="AH734" s="3"/>
      <c r="AI734" s="3"/>
      <c r="AJ734" s="3"/>
      <c r="AK734" s="3"/>
      <c r="AL734" s="3"/>
      <c r="AM734" s="3"/>
      <c r="AN734" s="3"/>
      <c r="AO734" s="3"/>
      <c r="AP734" s="3"/>
      <c r="AQ734" s="3"/>
      <c r="AR734" s="3"/>
      <c r="AS734" s="3"/>
      <c r="AT734" s="3"/>
      <c r="AU734" s="3"/>
      <c r="AV734" s="3"/>
      <c r="AW734" s="3"/>
      <c r="AX734" s="3"/>
      <c r="AY734" s="3"/>
      <c r="AZ734" s="3"/>
      <c r="BA734" s="3"/>
      <c r="BB734" s="3"/>
      <c r="BC734" s="3"/>
    </row>
    <row r="735" spans="1:55">
      <c r="A735" s="1" t="str">
        <f>'Population Definitions'!$A$7</f>
        <v>10-17_females</v>
      </c>
      <c r="C735" t="s">
        <v>32</v>
      </c>
      <c r="D735" s="3"/>
      <c r="E735" s="3">
        <v>0</v>
      </c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  <c r="AA735" s="3"/>
      <c r="AB735" s="3"/>
      <c r="AC735" s="3"/>
      <c r="AD735" s="3"/>
      <c r="AE735" s="3"/>
      <c r="AF735" s="3"/>
      <c r="AG735" s="3"/>
      <c r="AH735" s="3"/>
      <c r="AI735" s="3"/>
      <c r="AJ735" s="3"/>
      <c r="AK735" s="3"/>
      <c r="AL735" s="3"/>
      <c r="AM735" s="3"/>
      <c r="AN735" s="3"/>
      <c r="AO735" s="3"/>
      <c r="AP735" s="3"/>
      <c r="AQ735" s="3"/>
      <c r="AR735" s="3"/>
      <c r="AS735" s="3"/>
      <c r="AT735" s="3"/>
      <c r="AU735" s="3"/>
      <c r="AV735" s="3"/>
      <c r="AW735" s="3"/>
      <c r="AX735" s="3"/>
      <c r="AY735" s="3"/>
      <c r="AZ735" s="3"/>
      <c r="BA735" s="3"/>
      <c r="BB735" s="3"/>
      <c r="BC735" s="3"/>
    </row>
    <row r="736" spans="1:55">
      <c r="A736" s="1" t="str">
        <f>'Population Definitions'!$A$8</f>
        <v>18-64_males</v>
      </c>
      <c r="C736" t="s">
        <v>32</v>
      </c>
      <c r="D736" s="3"/>
      <c r="E736" s="3">
        <v>0</v>
      </c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  <c r="AA736" s="3"/>
      <c r="AB736" s="3"/>
      <c r="AC736" s="3"/>
      <c r="AD736" s="3"/>
      <c r="AE736" s="3"/>
      <c r="AF736" s="3"/>
      <c r="AG736" s="3"/>
      <c r="AH736" s="3"/>
      <c r="AI736" s="3"/>
      <c r="AJ736" s="3"/>
      <c r="AK736" s="3"/>
      <c r="AL736" s="3"/>
      <c r="AM736" s="3"/>
      <c r="AN736" s="3"/>
      <c r="AO736" s="3"/>
      <c r="AP736" s="3"/>
      <c r="AQ736" s="3"/>
      <c r="AR736" s="3"/>
      <c r="AS736" s="3"/>
      <c r="AT736" s="3"/>
      <c r="AU736" s="3"/>
      <c r="AV736" s="3"/>
      <c r="AW736" s="3"/>
      <c r="AX736" s="3"/>
      <c r="AY736" s="3"/>
      <c r="AZ736" s="3"/>
      <c r="BA736" s="3"/>
      <c r="BB736" s="3"/>
      <c r="BC736" s="3"/>
    </row>
    <row r="737" spans="1:55">
      <c r="A737" s="1" t="str">
        <f>'Population Definitions'!$A$9</f>
        <v>18-64_females</v>
      </c>
      <c r="C737" t="s">
        <v>32</v>
      </c>
      <c r="D737" s="3"/>
      <c r="E737" s="3">
        <v>0</v>
      </c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  <c r="AA737" s="3"/>
      <c r="AB737" s="3"/>
      <c r="AC737" s="3"/>
      <c r="AD737" s="3"/>
      <c r="AE737" s="3"/>
      <c r="AF737" s="3"/>
      <c r="AG737" s="3"/>
      <c r="AH737" s="3"/>
      <c r="AI737" s="3"/>
      <c r="AJ737" s="3"/>
      <c r="AK737" s="3"/>
      <c r="AL737" s="3"/>
      <c r="AM737" s="3"/>
      <c r="AN737" s="3"/>
      <c r="AO737" s="3"/>
      <c r="AP737" s="3"/>
      <c r="AQ737" s="3"/>
      <c r="AR737" s="3"/>
      <c r="AS737" s="3"/>
      <c r="AT737" s="3"/>
      <c r="AU737" s="3"/>
      <c r="AV737" s="3"/>
      <c r="AW737" s="3"/>
      <c r="AX737" s="3"/>
      <c r="AY737" s="3"/>
      <c r="AZ737" s="3"/>
      <c r="BA737" s="3"/>
      <c r="BB737" s="3"/>
      <c r="BC737" s="3"/>
    </row>
    <row r="738" spans="1:55">
      <c r="A738" s="1" t="str">
        <f>'Population Definitions'!$A$10</f>
        <v>65+_males</v>
      </c>
      <c r="C738" t="s">
        <v>32</v>
      </c>
      <c r="D738" s="3"/>
      <c r="E738" s="3">
        <v>0</v>
      </c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  <c r="AA738" s="3"/>
      <c r="AB738" s="3"/>
      <c r="AC738" s="3"/>
      <c r="AD738" s="3"/>
      <c r="AE738" s="3"/>
      <c r="AF738" s="3"/>
      <c r="AG738" s="3"/>
      <c r="AH738" s="3"/>
      <c r="AI738" s="3"/>
      <c r="AJ738" s="3"/>
      <c r="AK738" s="3"/>
      <c r="AL738" s="3"/>
      <c r="AM738" s="3"/>
      <c r="AN738" s="3"/>
      <c r="AO738" s="3"/>
      <c r="AP738" s="3"/>
      <c r="AQ738" s="3"/>
      <c r="AR738" s="3"/>
      <c r="AS738" s="3"/>
      <c r="AT738" s="3"/>
      <c r="AU738" s="3"/>
      <c r="AV738" s="3"/>
      <c r="AW738" s="3"/>
      <c r="AX738" s="3"/>
      <c r="AY738" s="3"/>
      <c r="AZ738" s="3"/>
      <c r="BA738" s="3"/>
      <c r="BB738" s="3"/>
      <c r="BC738" s="3"/>
    </row>
    <row r="739" spans="1:55">
      <c r="A739" s="1" t="str">
        <f>'Population Definitions'!$A$11</f>
        <v>65+_females</v>
      </c>
      <c r="C739" t="s">
        <v>32</v>
      </c>
      <c r="D739" s="3"/>
      <c r="E739" s="3">
        <v>0</v>
      </c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  <c r="AA739" s="3"/>
      <c r="AB739" s="3"/>
      <c r="AC739" s="3"/>
      <c r="AD739" s="3"/>
      <c r="AE739" s="3"/>
      <c r="AF739" s="3"/>
      <c r="AG739" s="3"/>
      <c r="AH739" s="3"/>
      <c r="AI739" s="3"/>
      <c r="AJ739" s="3"/>
      <c r="AK739" s="3"/>
      <c r="AL739" s="3"/>
      <c r="AM739" s="3"/>
      <c r="AN739" s="3"/>
      <c r="AO739" s="3"/>
      <c r="AP739" s="3"/>
      <c r="AQ739" s="3"/>
      <c r="AR739" s="3"/>
      <c r="AS739" s="3"/>
      <c r="AT739" s="3"/>
      <c r="AU739" s="3"/>
      <c r="AV739" s="3"/>
      <c r="AW739" s="3"/>
      <c r="AX739" s="3"/>
      <c r="AY739" s="3"/>
      <c r="AZ739" s="3"/>
      <c r="BA739" s="3"/>
      <c r="BB739" s="3"/>
      <c r="BC739" s="3"/>
    </row>
    <row r="740" spans="1:55">
      <c r="A740" s="1" t="str">
        <f>'Population Definitions'!$A$12</f>
        <v>Prisoners_males</v>
      </c>
      <c r="C740" t="s">
        <v>32</v>
      </c>
      <c r="D740" s="3"/>
      <c r="E740" s="3">
        <v>0</v>
      </c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  <c r="AA740" s="3"/>
      <c r="AB740" s="3"/>
      <c r="AC740" s="3"/>
      <c r="AD740" s="3"/>
      <c r="AE740" s="3"/>
      <c r="AF740" s="3"/>
      <c r="AG740" s="3"/>
      <c r="AH740" s="3"/>
      <c r="AI740" s="3"/>
      <c r="AJ740" s="3"/>
      <c r="AK740" s="3"/>
      <c r="AL740" s="3"/>
      <c r="AM740" s="3"/>
      <c r="AN740" s="3"/>
      <c r="AO740" s="3"/>
      <c r="AP740" s="3"/>
      <c r="AQ740" s="3"/>
      <c r="AR740" s="3"/>
      <c r="AS740" s="3"/>
      <c r="AT740" s="3"/>
      <c r="AU740" s="3"/>
      <c r="AV740" s="3"/>
      <c r="AW740" s="3"/>
      <c r="AX740" s="3"/>
      <c r="AY740" s="3"/>
      <c r="AZ740" s="3"/>
      <c r="BA740" s="3"/>
      <c r="BB740" s="3"/>
      <c r="BC740" s="3"/>
    </row>
    <row r="741" spans="1:55">
      <c r="A741" s="1" t="str">
        <f>'Population Definitions'!$A$13</f>
        <v>Prisoners_females</v>
      </c>
      <c r="C741" t="s">
        <v>32</v>
      </c>
      <c r="D741" s="3"/>
      <c r="E741" s="3">
        <v>0</v>
      </c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  <c r="AA741" s="3"/>
      <c r="AB741" s="3"/>
      <c r="AC741" s="3"/>
      <c r="AD741" s="3"/>
      <c r="AE741" s="3"/>
      <c r="AF741" s="3"/>
      <c r="AG741" s="3"/>
      <c r="AH741" s="3"/>
      <c r="AI741" s="3"/>
      <c r="AJ741" s="3"/>
      <c r="AK741" s="3"/>
      <c r="AL741" s="3"/>
      <c r="AM741" s="3"/>
      <c r="AN741" s="3"/>
      <c r="AO741" s="3"/>
      <c r="AP741" s="3"/>
      <c r="AQ741" s="3"/>
      <c r="AR741" s="3"/>
      <c r="AS741" s="3"/>
      <c r="AT741" s="3"/>
      <c r="AU741" s="3"/>
      <c r="AV741" s="3"/>
      <c r="AW741" s="3"/>
      <c r="AX741" s="3"/>
      <c r="AY741" s="3"/>
      <c r="AZ741" s="3"/>
      <c r="BA741" s="3"/>
      <c r="BB741" s="3"/>
      <c r="BC741" s="3"/>
    </row>
    <row r="743" spans="1:55">
      <c r="A743" s="1" t="s">
        <v>179</v>
      </c>
      <c r="B743" s="1" t="s">
        <v>29</v>
      </c>
      <c r="C743" s="1" t="s">
        <v>30</v>
      </c>
      <c r="D743" s="1" t="s">
        <v>31</v>
      </c>
      <c r="E743" s="1">
        <v>2000</v>
      </c>
      <c r="F743" s="1">
        <v>2001</v>
      </c>
      <c r="G743" s="1">
        <v>2002</v>
      </c>
      <c r="H743" s="1">
        <v>2003</v>
      </c>
      <c r="I743" s="1">
        <v>2004</v>
      </c>
      <c r="J743" s="1">
        <v>2005</v>
      </c>
      <c r="K743" s="1">
        <v>2006</v>
      </c>
      <c r="L743" s="1">
        <v>2007</v>
      </c>
      <c r="M743" s="1">
        <v>2008</v>
      </c>
      <c r="N743" s="1">
        <v>2009</v>
      </c>
      <c r="O743" s="1">
        <v>2010</v>
      </c>
      <c r="P743" s="1">
        <v>2011</v>
      </c>
      <c r="Q743" s="1">
        <v>2012</v>
      </c>
      <c r="R743" s="1">
        <v>2013</v>
      </c>
      <c r="S743" s="1">
        <v>2014</v>
      </c>
      <c r="T743" s="1">
        <v>2015</v>
      </c>
      <c r="U743" s="1">
        <v>2016</v>
      </c>
      <c r="V743" s="1">
        <v>2017</v>
      </c>
      <c r="W743" s="1">
        <v>2018</v>
      </c>
      <c r="X743" s="1">
        <v>2019</v>
      </c>
      <c r="Y743" s="1">
        <v>2020</v>
      </c>
      <c r="Z743" s="1">
        <v>2021</v>
      </c>
      <c r="AA743" s="1">
        <v>2022</v>
      </c>
      <c r="AB743" s="1">
        <v>2023</v>
      </c>
      <c r="AC743" s="1">
        <v>2024</v>
      </c>
      <c r="AD743" s="1">
        <v>2025</v>
      </c>
      <c r="AE743" s="1">
        <v>2026</v>
      </c>
      <c r="AF743" s="1">
        <v>2027</v>
      </c>
      <c r="AG743" s="1">
        <v>2028</v>
      </c>
      <c r="AH743" s="1">
        <v>2029</v>
      </c>
      <c r="AI743" s="1">
        <v>2030</v>
      </c>
      <c r="AJ743" s="1">
        <v>2031</v>
      </c>
      <c r="AK743" s="1">
        <v>2032</v>
      </c>
      <c r="AL743" s="1">
        <v>2033</v>
      </c>
      <c r="AM743" s="1">
        <v>2034</v>
      </c>
      <c r="AN743" s="1">
        <v>2035</v>
      </c>
      <c r="AO743" s="1">
        <v>2036</v>
      </c>
      <c r="AP743" s="1">
        <v>2037</v>
      </c>
      <c r="AQ743" s="1">
        <v>2038</v>
      </c>
      <c r="AR743" s="1">
        <v>2039</v>
      </c>
      <c r="AS743" s="1">
        <v>2040</v>
      </c>
      <c r="AT743" s="1">
        <v>2041</v>
      </c>
      <c r="AU743" s="1">
        <v>2042</v>
      </c>
      <c r="AV743" s="1">
        <v>2043</v>
      </c>
      <c r="AW743" s="1">
        <v>2044</v>
      </c>
      <c r="AX743" s="1">
        <v>2045</v>
      </c>
      <c r="AY743" s="1">
        <v>2046</v>
      </c>
      <c r="AZ743" s="1">
        <v>2047</v>
      </c>
      <c r="BA743" s="1">
        <v>2048</v>
      </c>
      <c r="BB743" s="1">
        <v>2049</v>
      </c>
      <c r="BC743" s="1">
        <v>2050</v>
      </c>
    </row>
    <row r="744" spans="1:55">
      <c r="A744" s="1" t="str">
        <f>'Population Definitions'!$A$2</f>
        <v>PWID_males</v>
      </c>
      <c r="C744" t="s">
        <v>32</v>
      </c>
      <c r="D744" s="3"/>
      <c r="E744" s="3">
        <v>0</v>
      </c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  <c r="AA744" s="3"/>
      <c r="AB744" s="3"/>
      <c r="AC744" s="3"/>
      <c r="AD744" s="3"/>
      <c r="AE744" s="3"/>
      <c r="AF744" s="3"/>
      <c r="AG744" s="3"/>
      <c r="AH744" s="3"/>
      <c r="AI744" s="3"/>
      <c r="AJ744" s="3"/>
      <c r="AK744" s="3"/>
      <c r="AL744" s="3"/>
      <c r="AM744" s="3"/>
      <c r="AN744" s="3"/>
      <c r="AO744" s="3"/>
      <c r="AP744" s="3"/>
      <c r="AQ744" s="3"/>
      <c r="AR744" s="3"/>
      <c r="AS744" s="3"/>
      <c r="AT744" s="3"/>
      <c r="AU744" s="3"/>
      <c r="AV744" s="3"/>
      <c r="AW744" s="3"/>
      <c r="AX744" s="3"/>
      <c r="AY744" s="3"/>
      <c r="AZ744" s="3"/>
      <c r="BA744" s="3"/>
      <c r="BB744" s="3"/>
      <c r="BC744" s="3"/>
    </row>
    <row r="745" spans="1:55">
      <c r="A745" s="1" t="str">
        <f>'Population Definitions'!$A$3</f>
        <v>PWID_females</v>
      </c>
      <c r="C745" t="s">
        <v>32</v>
      </c>
      <c r="D745" s="3"/>
      <c r="E745" s="3">
        <v>0</v>
      </c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  <c r="AA745" s="3"/>
      <c r="AB745" s="3"/>
      <c r="AC745" s="3"/>
      <c r="AD745" s="3"/>
      <c r="AE745" s="3"/>
      <c r="AF745" s="3"/>
      <c r="AG745" s="3"/>
      <c r="AH745" s="3"/>
      <c r="AI745" s="3"/>
      <c r="AJ745" s="3"/>
      <c r="AK745" s="3"/>
      <c r="AL745" s="3"/>
      <c r="AM745" s="3"/>
      <c r="AN745" s="3"/>
      <c r="AO745" s="3"/>
      <c r="AP745" s="3"/>
      <c r="AQ745" s="3"/>
      <c r="AR745" s="3"/>
      <c r="AS745" s="3"/>
      <c r="AT745" s="3"/>
      <c r="AU745" s="3"/>
      <c r="AV745" s="3"/>
      <c r="AW745" s="3"/>
      <c r="AX745" s="3"/>
      <c r="AY745" s="3"/>
      <c r="AZ745" s="3"/>
      <c r="BA745" s="3"/>
      <c r="BB745" s="3"/>
      <c r="BC745" s="3"/>
    </row>
    <row r="746" spans="1:55">
      <c r="A746" s="1" t="str">
        <f>'Population Definitions'!$A$4</f>
        <v>0-9_males</v>
      </c>
      <c r="C746" t="s">
        <v>32</v>
      </c>
      <c r="D746" s="3"/>
      <c r="E746" s="3">
        <v>0</v>
      </c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  <c r="AA746" s="3"/>
      <c r="AB746" s="3"/>
      <c r="AC746" s="3"/>
      <c r="AD746" s="3"/>
      <c r="AE746" s="3"/>
      <c r="AF746" s="3"/>
      <c r="AG746" s="3"/>
      <c r="AH746" s="3"/>
      <c r="AI746" s="3"/>
      <c r="AJ746" s="3"/>
      <c r="AK746" s="3"/>
      <c r="AL746" s="3"/>
      <c r="AM746" s="3"/>
      <c r="AN746" s="3"/>
      <c r="AO746" s="3"/>
      <c r="AP746" s="3"/>
      <c r="AQ746" s="3"/>
      <c r="AR746" s="3"/>
      <c r="AS746" s="3"/>
      <c r="AT746" s="3"/>
      <c r="AU746" s="3"/>
      <c r="AV746" s="3"/>
      <c r="AW746" s="3"/>
      <c r="AX746" s="3"/>
      <c r="AY746" s="3"/>
      <c r="AZ746" s="3"/>
      <c r="BA746" s="3"/>
      <c r="BB746" s="3"/>
      <c r="BC746" s="3"/>
    </row>
    <row r="747" spans="1:55">
      <c r="A747" s="1" t="str">
        <f>'Population Definitions'!$A$5</f>
        <v>0-9_females</v>
      </c>
      <c r="C747" t="s">
        <v>32</v>
      </c>
      <c r="D747" s="3"/>
      <c r="E747" s="3">
        <v>0</v>
      </c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  <c r="AA747" s="3"/>
      <c r="AB747" s="3"/>
      <c r="AC747" s="3"/>
      <c r="AD747" s="3"/>
      <c r="AE747" s="3"/>
      <c r="AF747" s="3"/>
      <c r="AG747" s="3"/>
      <c r="AH747" s="3"/>
      <c r="AI747" s="3"/>
      <c r="AJ747" s="3"/>
      <c r="AK747" s="3"/>
      <c r="AL747" s="3"/>
      <c r="AM747" s="3"/>
      <c r="AN747" s="3"/>
      <c r="AO747" s="3"/>
      <c r="AP747" s="3"/>
      <c r="AQ747" s="3"/>
      <c r="AR747" s="3"/>
      <c r="AS747" s="3"/>
      <c r="AT747" s="3"/>
      <c r="AU747" s="3"/>
      <c r="AV747" s="3"/>
      <c r="AW747" s="3"/>
      <c r="AX747" s="3"/>
      <c r="AY747" s="3"/>
      <c r="AZ747" s="3"/>
      <c r="BA747" s="3"/>
      <c r="BB747" s="3"/>
      <c r="BC747" s="3"/>
    </row>
    <row r="748" spans="1:55">
      <c r="A748" s="1" t="str">
        <f>'Population Definitions'!$A$6</f>
        <v>10-17_males</v>
      </c>
      <c r="C748" t="s">
        <v>32</v>
      </c>
      <c r="D748" s="3"/>
      <c r="E748" s="3">
        <v>0</v>
      </c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  <c r="AA748" s="3"/>
      <c r="AB748" s="3"/>
      <c r="AC748" s="3"/>
      <c r="AD748" s="3"/>
      <c r="AE748" s="3"/>
      <c r="AF748" s="3"/>
      <c r="AG748" s="3"/>
      <c r="AH748" s="3"/>
      <c r="AI748" s="3"/>
      <c r="AJ748" s="3"/>
      <c r="AK748" s="3"/>
      <c r="AL748" s="3"/>
      <c r="AM748" s="3"/>
      <c r="AN748" s="3"/>
      <c r="AO748" s="3"/>
      <c r="AP748" s="3"/>
      <c r="AQ748" s="3"/>
      <c r="AR748" s="3"/>
      <c r="AS748" s="3"/>
      <c r="AT748" s="3"/>
      <c r="AU748" s="3"/>
      <c r="AV748" s="3"/>
      <c r="AW748" s="3"/>
      <c r="AX748" s="3"/>
      <c r="AY748" s="3"/>
      <c r="AZ748" s="3"/>
      <c r="BA748" s="3"/>
      <c r="BB748" s="3"/>
      <c r="BC748" s="3"/>
    </row>
    <row r="749" spans="1:55">
      <c r="A749" s="1" t="str">
        <f>'Population Definitions'!$A$7</f>
        <v>10-17_females</v>
      </c>
      <c r="C749" t="s">
        <v>32</v>
      </c>
      <c r="D749" s="3"/>
      <c r="E749" s="3">
        <v>0</v>
      </c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  <c r="AA749" s="3"/>
      <c r="AB749" s="3"/>
      <c r="AC749" s="3"/>
      <c r="AD749" s="3"/>
      <c r="AE749" s="3"/>
      <c r="AF749" s="3"/>
      <c r="AG749" s="3"/>
      <c r="AH749" s="3"/>
      <c r="AI749" s="3"/>
      <c r="AJ749" s="3"/>
      <c r="AK749" s="3"/>
      <c r="AL749" s="3"/>
      <c r="AM749" s="3"/>
      <c r="AN749" s="3"/>
      <c r="AO749" s="3"/>
      <c r="AP749" s="3"/>
      <c r="AQ749" s="3"/>
      <c r="AR749" s="3"/>
      <c r="AS749" s="3"/>
      <c r="AT749" s="3"/>
      <c r="AU749" s="3"/>
      <c r="AV749" s="3"/>
      <c r="AW749" s="3"/>
      <c r="AX749" s="3"/>
      <c r="AY749" s="3"/>
      <c r="AZ749" s="3"/>
      <c r="BA749" s="3"/>
      <c r="BB749" s="3"/>
      <c r="BC749" s="3"/>
    </row>
    <row r="750" spans="1:55">
      <c r="A750" s="1" t="str">
        <f>'Population Definitions'!$A$8</f>
        <v>18-64_males</v>
      </c>
      <c r="C750" t="s">
        <v>32</v>
      </c>
      <c r="D750" s="3"/>
      <c r="E750" s="3">
        <v>0</v>
      </c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  <c r="AA750" s="3"/>
      <c r="AB750" s="3"/>
      <c r="AC750" s="3"/>
      <c r="AD750" s="3"/>
      <c r="AE750" s="3"/>
      <c r="AF750" s="3"/>
      <c r="AG750" s="3"/>
      <c r="AH750" s="3"/>
      <c r="AI750" s="3"/>
      <c r="AJ750" s="3"/>
      <c r="AK750" s="3"/>
      <c r="AL750" s="3"/>
      <c r="AM750" s="3"/>
      <c r="AN750" s="3"/>
      <c r="AO750" s="3"/>
      <c r="AP750" s="3"/>
      <c r="AQ750" s="3"/>
      <c r="AR750" s="3"/>
      <c r="AS750" s="3"/>
      <c r="AT750" s="3"/>
      <c r="AU750" s="3"/>
      <c r="AV750" s="3"/>
      <c r="AW750" s="3"/>
      <c r="AX750" s="3"/>
      <c r="AY750" s="3"/>
      <c r="AZ750" s="3"/>
      <c r="BA750" s="3"/>
      <c r="BB750" s="3"/>
      <c r="BC750" s="3"/>
    </row>
    <row r="751" spans="1:55">
      <c r="A751" s="1" t="str">
        <f>'Population Definitions'!$A$9</f>
        <v>18-64_females</v>
      </c>
      <c r="C751" t="s">
        <v>32</v>
      </c>
      <c r="D751" s="3"/>
      <c r="E751" s="3">
        <v>0</v>
      </c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  <c r="AA751" s="3"/>
      <c r="AB751" s="3"/>
      <c r="AC751" s="3"/>
      <c r="AD751" s="3"/>
      <c r="AE751" s="3"/>
      <c r="AF751" s="3"/>
      <c r="AG751" s="3"/>
      <c r="AH751" s="3"/>
      <c r="AI751" s="3"/>
      <c r="AJ751" s="3"/>
      <c r="AK751" s="3"/>
      <c r="AL751" s="3"/>
      <c r="AM751" s="3"/>
      <c r="AN751" s="3"/>
      <c r="AO751" s="3"/>
      <c r="AP751" s="3"/>
      <c r="AQ751" s="3"/>
      <c r="AR751" s="3"/>
      <c r="AS751" s="3"/>
      <c r="AT751" s="3"/>
      <c r="AU751" s="3"/>
      <c r="AV751" s="3"/>
      <c r="AW751" s="3"/>
      <c r="AX751" s="3"/>
      <c r="AY751" s="3"/>
      <c r="AZ751" s="3"/>
      <c r="BA751" s="3"/>
      <c r="BB751" s="3"/>
      <c r="BC751" s="3"/>
    </row>
    <row r="752" spans="1:55">
      <c r="A752" s="1" t="str">
        <f>'Population Definitions'!$A$10</f>
        <v>65+_males</v>
      </c>
      <c r="C752" t="s">
        <v>32</v>
      </c>
      <c r="D752" s="3"/>
      <c r="E752" s="3">
        <v>0</v>
      </c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  <c r="AA752" s="3"/>
      <c r="AB752" s="3"/>
      <c r="AC752" s="3"/>
      <c r="AD752" s="3"/>
      <c r="AE752" s="3"/>
      <c r="AF752" s="3"/>
      <c r="AG752" s="3"/>
      <c r="AH752" s="3"/>
      <c r="AI752" s="3"/>
      <c r="AJ752" s="3"/>
      <c r="AK752" s="3"/>
      <c r="AL752" s="3"/>
      <c r="AM752" s="3"/>
      <c r="AN752" s="3"/>
      <c r="AO752" s="3"/>
      <c r="AP752" s="3"/>
      <c r="AQ752" s="3"/>
      <c r="AR752" s="3"/>
      <c r="AS752" s="3"/>
      <c r="AT752" s="3"/>
      <c r="AU752" s="3"/>
      <c r="AV752" s="3"/>
      <c r="AW752" s="3"/>
      <c r="AX752" s="3"/>
      <c r="AY752" s="3"/>
      <c r="AZ752" s="3"/>
      <c r="BA752" s="3"/>
      <c r="BB752" s="3"/>
      <c r="BC752" s="3"/>
    </row>
    <row r="753" spans="1:55">
      <c r="A753" s="1" t="str">
        <f>'Population Definitions'!$A$11</f>
        <v>65+_females</v>
      </c>
      <c r="C753" t="s">
        <v>32</v>
      </c>
      <c r="D753" s="3"/>
      <c r="E753" s="3">
        <v>0</v>
      </c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  <c r="AA753" s="3"/>
      <c r="AB753" s="3"/>
      <c r="AC753" s="3"/>
      <c r="AD753" s="3"/>
      <c r="AE753" s="3"/>
      <c r="AF753" s="3"/>
      <c r="AG753" s="3"/>
      <c r="AH753" s="3"/>
      <c r="AI753" s="3"/>
      <c r="AJ753" s="3"/>
      <c r="AK753" s="3"/>
      <c r="AL753" s="3"/>
      <c r="AM753" s="3"/>
      <c r="AN753" s="3"/>
      <c r="AO753" s="3"/>
      <c r="AP753" s="3"/>
      <c r="AQ753" s="3"/>
      <c r="AR753" s="3"/>
      <c r="AS753" s="3"/>
      <c r="AT753" s="3"/>
      <c r="AU753" s="3"/>
      <c r="AV753" s="3"/>
      <c r="AW753" s="3"/>
      <c r="AX753" s="3"/>
      <c r="AY753" s="3"/>
      <c r="AZ753" s="3"/>
      <c r="BA753" s="3"/>
      <c r="BB753" s="3"/>
      <c r="BC753" s="3"/>
    </row>
    <row r="754" spans="1:55">
      <c r="A754" s="1" t="str">
        <f>'Population Definitions'!$A$12</f>
        <v>Prisoners_males</v>
      </c>
      <c r="C754" t="s">
        <v>32</v>
      </c>
      <c r="D754" s="3"/>
      <c r="E754" s="3">
        <v>0</v>
      </c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  <c r="AA754" s="3"/>
      <c r="AB754" s="3"/>
      <c r="AC754" s="3"/>
      <c r="AD754" s="3"/>
      <c r="AE754" s="3"/>
      <c r="AF754" s="3"/>
      <c r="AG754" s="3"/>
      <c r="AH754" s="3"/>
      <c r="AI754" s="3"/>
      <c r="AJ754" s="3"/>
      <c r="AK754" s="3"/>
      <c r="AL754" s="3"/>
      <c r="AM754" s="3"/>
      <c r="AN754" s="3"/>
      <c r="AO754" s="3"/>
      <c r="AP754" s="3"/>
      <c r="AQ754" s="3"/>
      <c r="AR754" s="3"/>
      <c r="AS754" s="3"/>
      <c r="AT754" s="3"/>
      <c r="AU754" s="3"/>
      <c r="AV754" s="3"/>
      <c r="AW754" s="3"/>
      <c r="AX754" s="3"/>
      <c r="AY754" s="3"/>
      <c r="AZ754" s="3"/>
      <c r="BA754" s="3"/>
      <c r="BB754" s="3"/>
      <c r="BC754" s="3"/>
    </row>
    <row r="755" spans="1:55">
      <c r="A755" s="1" t="str">
        <f>'Population Definitions'!$A$13</f>
        <v>Prisoners_females</v>
      </c>
      <c r="C755" t="s">
        <v>32</v>
      </c>
      <c r="D755" s="3"/>
      <c r="E755" s="3">
        <v>0</v>
      </c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  <c r="AA755" s="3"/>
      <c r="AB755" s="3"/>
      <c r="AC755" s="3"/>
      <c r="AD755" s="3"/>
      <c r="AE755" s="3"/>
      <c r="AF755" s="3"/>
      <c r="AG755" s="3"/>
      <c r="AH755" s="3"/>
      <c r="AI755" s="3"/>
      <c r="AJ755" s="3"/>
      <c r="AK755" s="3"/>
      <c r="AL755" s="3"/>
      <c r="AM755" s="3"/>
      <c r="AN755" s="3"/>
      <c r="AO755" s="3"/>
      <c r="AP755" s="3"/>
      <c r="AQ755" s="3"/>
      <c r="AR755" s="3"/>
      <c r="AS755" s="3"/>
      <c r="AT755" s="3"/>
      <c r="AU755" s="3"/>
      <c r="AV755" s="3"/>
      <c r="AW755" s="3"/>
      <c r="AX755" s="3"/>
      <c r="AY755" s="3"/>
      <c r="AZ755" s="3"/>
      <c r="BA755" s="3"/>
      <c r="BB755" s="3"/>
      <c r="BC755" s="3"/>
    </row>
    <row r="757" spans="1:55">
      <c r="A757" s="1" t="s">
        <v>180</v>
      </c>
      <c r="B757" s="1" t="s">
        <v>29</v>
      </c>
      <c r="C757" s="1" t="s">
        <v>30</v>
      </c>
      <c r="D757" s="1" t="s">
        <v>31</v>
      </c>
      <c r="E757" s="1">
        <v>2000</v>
      </c>
      <c r="F757" s="1">
        <v>2001</v>
      </c>
      <c r="G757" s="1">
        <v>2002</v>
      </c>
      <c r="H757" s="1">
        <v>2003</v>
      </c>
      <c r="I757" s="1">
        <v>2004</v>
      </c>
      <c r="J757" s="1">
        <v>2005</v>
      </c>
      <c r="K757" s="1">
        <v>2006</v>
      </c>
      <c r="L757" s="1">
        <v>2007</v>
      </c>
      <c r="M757" s="1">
        <v>2008</v>
      </c>
      <c r="N757" s="1">
        <v>2009</v>
      </c>
      <c r="O757" s="1">
        <v>2010</v>
      </c>
      <c r="P757" s="1">
        <v>2011</v>
      </c>
      <c r="Q757" s="1">
        <v>2012</v>
      </c>
      <c r="R757" s="1">
        <v>2013</v>
      </c>
      <c r="S757" s="1">
        <v>2014</v>
      </c>
      <c r="T757" s="1">
        <v>2015</v>
      </c>
      <c r="U757" s="1">
        <v>2016</v>
      </c>
      <c r="V757" s="1">
        <v>2017</v>
      </c>
      <c r="W757" s="1">
        <v>2018</v>
      </c>
      <c r="X757" s="1">
        <v>2019</v>
      </c>
      <c r="Y757" s="1">
        <v>2020</v>
      </c>
      <c r="Z757" s="1">
        <v>2021</v>
      </c>
      <c r="AA757" s="1">
        <v>2022</v>
      </c>
      <c r="AB757" s="1">
        <v>2023</v>
      </c>
      <c r="AC757" s="1">
        <v>2024</v>
      </c>
      <c r="AD757" s="1">
        <v>2025</v>
      </c>
      <c r="AE757" s="1">
        <v>2026</v>
      </c>
      <c r="AF757" s="1">
        <v>2027</v>
      </c>
      <c r="AG757" s="1">
        <v>2028</v>
      </c>
      <c r="AH757" s="1">
        <v>2029</v>
      </c>
      <c r="AI757" s="1">
        <v>2030</v>
      </c>
      <c r="AJ757" s="1">
        <v>2031</v>
      </c>
      <c r="AK757" s="1">
        <v>2032</v>
      </c>
      <c r="AL757" s="1">
        <v>2033</v>
      </c>
      <c r="AM757" s="1">
        <v>2034</v>
      </c>
      <c r="AN757" s="1">
        <v>2035</v>
      </c>
      <c r="AO757" s="1">
        <v>2036</v>
      </c>
      <c r="AP757" s="1">
        <v>2037</v>
      </c>
      <c r="AQ757" s="1">
        <v>2038</v>
      </c>
      <c r="AR757" s="1">
        <v>2039</v>
      </c>
      <c r="AS757" s="1">
        <v>2040</v>
      </c>
      <c r="AT757" s="1">
        <v>2041</v>
      </c>
      <c r="AU757" s="1">
        <v>2042</v>
      </c>
      <c r="AV757" s="1">
        <v>2043</v>
      </c>
      <c r="AW757" s="1">
        <v>2044</v>
      </c>
      <c r="AX757" s="1">
        <v>2045</v>
      </c>
      <c r="AY757" s="1">
        <v>2046</v>
      </c>
      <c r="AZ757" s="1">
        <v>2047</v>
      </c>
      <c r="BA757" s="1">
        <v>2048</v>
      </c>
      <c r="BB757" s="1">
        <v>2049</v>
      </c>
      <c r="BC757" s="1">
        <v>2050</v>
      </c>
    </row>
    <row r="758" spans="1:55">
      <c r="A758" s="1" t="str">
        <f>'Population Definitions'!$A$2</f>
        <v>PWID_males</v>
      </c>
      <c r="C758" t="s">
        <v>32</v>
      </c>
      <c r="D758" s="3"/>
      <c r="E758" s="3">
        <v>0</v>
      </c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  <c r="AA758" s="3"/>
      <c r="AB758" s="3"/>
      <c r="AC758" s="3"/>
      <c r="AD758" s="3"/>
      <c r="AE758" s="3"/>
      <c r="AF758" s="3"/>
      <c r="AG758" s="3"/>
      <c r="AH758" s="3"/>
      <c r="AI758" s="3"/>
      <c r="AJ758" s="3"/>
      <c r="AK758" s="3"/>
      <c r="AL758" s="3"/>
      <c r="AM758" s="3"/>
      <c r="AN758" s="3"/>
      <c r="AO758" s="3"/>
      <c r="AP758" s="3"/>
      <c r="AQ758" s="3"/>
      <c r="AR758" s="3"/>
      <c r="AS758" s="3"/>
      <c r="AT758" s="3"/>
      <c r="AU758" s="3"/>
      <c r="AV758" s="3"/>
      <c r="AW758" s="3"/>
      <c r="AX758" s="3"/>
      <c r="AY758" s="3"/>
      <c r="AZ758" s="3"/>
      <c r="BA758" s="3"/>
      <c r="BB758" s="3"/>
      <c r="BC758" s="3"/>
    </row>
    <row r="759" spans="1:55">
      <c r="A759" s="1" t="str">
        <f>'Population Definitions'!$A$3</f>
        <v>PWID_females</v>
      </c>
      <c r="C759" t="s">
        <v>32</v>
      </c>
      <c r="D759" s="3"/>
      <c r="E759" s="3">
        <v>0</v>
      </c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  <c r="AA759" s="3"/>
      <c r="AB759" s="3"/>
      <c r="AC759" s="3"/>
      <c r="AD759" s="3"/>
      <c r="AE759" s="3"/>
      <c r="AF759" s="3"/>
      <c r="AG759" s="3"/>
      <c r="AH759" s="3"/>
      <c r="AI759" s="3"/>
      <c r="AJ759" s="3"/>
      <c r="AK759" s="3"/>
      <c r="AL759" s="3"/>
      <c r="AM759" s="3"/>
      <c r="AN759" s="3"/>
      <c r="AO759" s="3"/>
      <c r="AP759" s="3"/>
      <c r="AQ759" s="3"/>
      <c r="AR759" s="3"/>
      <c r="AS759" s="3"/>
      <c r="AT759" s="3"/>
      <c r="AU759" s="3"/>
      <c r="AV759" s="3"/>
      <c r="AW759" s="3"/>
      <c r="AX759" s="3"/>
      <c r="AY759" s="3"/>
      <c r="AZ759" s="3"/>
      <c r="BA759" s="3"/>
      <c r="BB759" s="3"/>
      <c r="BC759" s="3"/>
    </row>
    <row r="760" spans="1:55">
      <c r="A760" s="1" t="str">
        <f>'Population Definitions'!$A$4</f>
        <v>0-9_males</v>
      </c>
      <c r="C760" t="s">
        <v>32</v>
      </c>
      <c r="D760" s="3"/>
      <c r="E760" s="3">
        <v>0</v>
      </c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  <c r="AA760" s="3"/>
      <c r="AB760" s="3"/>
      <c r="AC760" s="3"/>
      <c r="AD760" s="3"/>
      <c r="AE760" s="3"/>
      <c r="AF760" s="3"/>
      <c r="AG760" s="3"/>
      <c r="AH760" s="3"/>
      <c r="AI760" s="3"/>
      <c r="AJ760" s="3"/>
      <c r="AK760" s="3"/>
      <c r="AL760" s="3"/>
      <c r="AM760" s="3"/>
      <c r="AN760" s="3"/>
      <c r="AO760" s="3"/>
      <c r="AP760" s="3"/>
      <c r="AQ760" s="3"/>
      <c r="AR760" s="3"/>
      <c r="AS760" s="3"/>
      <c r="AT760" s="3"/>
      <c r="AU760" s="3"/>
      <c r="AV760" s="3"/>
      <c r="AW760" s="3"/>
      <c r="AX760" s="3"/>
      <c r="AY760" s="3"/>
      <c r="AZ760" s="3"/>
      <c r="BA760" s="3"/>
      <c r="BB760" s="3"/>
      <c r="BC760" s="3"/>
    </row>
    <row r="761" spans="1:55">
      <c r="A761" s="1" t="str">
        <f>'Population Definitions'!$A$5</f>
        <v>0-9_females</v>
      </c>
      <c r="C761" t="s">
        <v>32</v>
      </c>
      <c r="D761" s="3"/>
      <c r="E761" s="3">
        <v>0</v>
      </c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  <c r="AA761" s="3"/>
      <c r="AB761" s="3"/>
      <c r="AC761" s="3"/>
      <c r="AD761" s="3"/>
      <c r="AE761" s="3"/>
      <c r="AF761" s="3"/>
      <c r="AG761" s="3"/>
      <c r="AH761" s="3"/>
      <c r="AI761" s="3"/>
      <c r="AJ761" s="3"/>
      <c r="AK761" s="3"/>
      <c r="AL761" s="3"/>
      <c r="AM761" s="3"/>
      <c r="AN761" s="3"/>
      <c r="AO761" s="3"/>
      <c r="AP761" s="3"/>
      <c r="AQ761" s="3"/>
      <c r="AR761" s="3"/>
      <c r="AS761" s="3"/>
      <c r="AT761" s="3"/>
      <c r="AU761" s="3"/>
      <c r="AV761" s="3"/>
      <c r="AW761" s="3"/>
      <c r="AX761" s="3"/>
      <c r="AY761" s="3"/>
      <c r="AZ761" s="3"/>
      <c r="BA761" s="3"/>
      <c r="BB761" s="3"/>
      <c r="BC761" s="3"/>
    </row>
    <row r="762" spans="1:55">
      <c r="A762" s="1" t="str">
        <f>'Population Definitions'!$A$6</f>
        <v>10-17_males</v>
      </c>
      <c r="C762" t="s">
        <v>32</v>
      </c>
      <c r="D762" s="3"/>
      <c r="E762" s="3">
        <v>0</v>
      </c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  <c r="AA762" s="3"/>
      <c r="AB762" s="3"/>
      <c r="AC762" s="3"/>
      <c r="AD762" s="3"/>
      <c r="AE762" s="3"/>
      <c r="AF762" s="3"/>
      <c r="AG762" s="3"/>
      <c r="AH762" s="3"/>
      <c r="AI762" s="3"/>
      <c r="AJ762" s="3"/>
      <c r="AK762" s="3"/>
      <c r="AL762" s="3"/>
      <c r="AM762" s="3"/>
      <c r="AN762" s="3"/>
      <c r="AO762" s="3"/>
      <c r="AP762" s="3"/>
      <c r="AQ762" s="3"/>
      <c r="AR762" s="3"/>
      <c r="AS762" s="3"/>
      <c r="AT762" s="3"/>
      <c r="AU762" s="3"/>
      <c r="AV762" s="3"/>
      <c r="AW762" s="3"/>
      <c r="AX762" s="3"/>
      <c r="AY762" s="3"/>
      <c r="AZ762" s="3"/>
      <c r="BA762" s="3"/>
      <c r="BB762" s="3"/>
      <c r="BC762" s="3"/>
    </row>
    <row r="763" spans="1:55">
      <c r="A763" s="1" t="str">
        <f>'Population Definitions'!$A$7</f>
        <v>10-17_females</v>
      </c>
      <c r="C763" t="s">
        <v>32</v>
      </c>
      <c r="D763" s="3"/>
      <c r="E763" s="3">
        <v>0</v>
      </c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  <c r="AA763" s="3"/>
      <c r="AB763" s="3"/>
      <c r="AC763" s="3"/>
      <c r="AD763" s="3"/>
      <c r="AE763" s="3"/>
      <c r="AF763" s="3"/>
      <c r="AG763" s="3"/>
      <c r="AH763" s="3"/>
      <c r="AI763" s="3"/>
      <c r="AJ763" s="3"/>
      <c r="AK763" s="3"/>
      <c r="AL763" s="3"/>
      <c r="AM763" s="3"/>
      <c r="AN763" s="3"/>
      <c r="AO763" s="3"/>
      <c r="AP763" s="3"/>
      <c r="AQ763" s="3"/>
      <c r="AR763" s="3"/>
      <c r="AS763" s="3"/>
      <c r="AT763" s="3"/>
      <c r="AU763" s="3"/>
      <c r="AV763" s="3"/>
      <c r="AW763" s="3"/>
      <c r="AX763" s="3"/>
      <c r="AY763" s="3"/>
      <c r="AZ763" s="3"/>
      <c r="BA763" s="3"/>
      <c r="BB763" s="3"/>
      <c r="BC763" s="3"/>
    </row>
    <row r="764" spans="1:55">
      <c r="A764" s="1" t="str">
        <f>'Population Definitions'!$A$8</f>
        <v>18-64_males</v>
      </c>
      <c r="C764" t="s">
        <v>32</v>
      </c>
      <c r="D764" s="3"/>
      <c r="E764" s="3">
        <v>0</v>
      </c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  <c r="AA764" s="3"/>
      <c r="AB764" s="3"/>
      <c r="AC764" s="3"/>
      <c r="AD764" s="3"/>
      <c r="AE764" s="3"/>
      <c r="AF764" s="3"/>
      <c r="AG764" s="3"/>
      <c r="AH764" s="3"/>
      <c r="AI764" s="3"/>
      <c r="AJ764" s="3"/>
      <c r="AK764" s="3"/>
      <c r="AL764" s="3"/>
      <c r="AM764" s="3"/>
      <c r="AN764" s="3"/>
      <c r="AO764" s="3"/>
      <c r="AP764" s="3"/>
      <c r="AQ764" s="3"/>
      <c r="AR764" s="3"/>
      <c r="AS764" s="3"/>
      <c r="AT764" s="3"/>
      <c r="AU764" s="3"/>
      <c r="AV764" s="3"/>
      <c r="AW764" s="3"/>
      <c r="AX764" s="3"/>
      <c r="AY764" s="3"/>
      <c r="AZ764" s="3"/>
      <c r="BA764" s="3"/>
      <c r="BB764" s="3"/>
      <c r="BC764" s="3"/>
    </row>
    <row r="765" spans="1:55">
      <c r="A765" s="1" t="str">
        <f>'Population Definitions'!$A$9</f>
        <v>18-64_females</v>
      </c>
      <c r="C765" t="s">
        <v>32</v>
      </c>
      <c r="D765" s="3"/>
      <c r="E765" s="3">
        <v>0</v>
      </c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  <c r="AA765" s="3"/>
      <c r="AB765" s="3"/>
      <c r="AC765" s="3"/>
      <c r="AD765" s="3"/>
      <c r="AE765" s="3"/>
      <c r="AF765" s="3"/>
      <c r="AG765" s="3"/>
      <c r="AH765" s="3"/>
      <c r="AI765" s="3"/>
      <c r="AJ765" s="3"/>
      <c r="AK765" s="3"/>
      <c r="AL765" s="3"/>
      <c r="AM765" s="3"/>
      <c r="AN765" s="3"/>
      <c r="AO765" s="3"/>
      <c r="AP765" s="3"/>
      <c r="AQ765" s="3"/>
      <c r="AR765" s="3"/>
      <c r="AS765" s="3"/>
      <c r="AT765" s="3"/>
      <c r="AU765" s="3"/>
      <c r="AV765" s="3"/>
      <c r="AW765" s="3"/>
      <c r="AX765" s="3"/>
      <c r="AY765" s="3"/>
      <c r="AZ765" s="3"/>
      <c r="BA765" s="3"/>
      <c r="BB765" s="3"/>
      <c r="BC765" s="3"/>
    </row>
    <row r="766" spans="1:55">
      <c r="A766" s="1" t="str">
        <f>'Population Definitions'!$A$10</f>
        <v>65+_males</v>
      </c>
      <c r="C766" t="s">
        <v>32</v>
      </c>
      <c r="D766" s="3"/>
      <c r="E766" s="3">
        <v>0</v>
      </c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  <c r="AA766" s="3"/>
      <c r="AB766" s="3"/>
      <c r="AC766" s="3"/>
      <c r="AD766" s="3"/>
      <c r="AE766" s="3"/>
      <c r="AF766" s="3"/>
      <c r="AG766" s="3"/>
      <c r="AH766" s="3"/>
      <c r="AI766" s="3"/>
      <c r="AJ766" s="3"/>
      <c r="AK766" s="3"/>
      <c r="AL766" s="3"/>
      <c r="AM766" s="3"/>
      <c r="AN766" s="3"/>
      <c r="AO766" s="3"/>
      <c r="AP766" s="3"/>
      <c r="AQ766" s="3"/>
      <c r="AR766" s="3"/>
      <c r="AS766" s="3"/>
      <c r="AT766" s="3"/>
      <c r="AU766" s="3"/>
      <c r="AV766" s="3"/>
      <c r="AW766" s="3"/>
      <c r="AX766" s="3"/>
      <c r="AY766" s="3"/>
      <c r="AZ766" s="3"/>
      <c r="BA766" s="3"/>
      <c r="BB766" s="3"/>
      <c r="BC766" s="3"/>
    </row>
    <row r="767" spans="1:55">
      <c r="A767" s="1" t="str">
        <f>'Population Definitions'!$A$11</f>
        <v>65+_females</v>
      </c>
      <c r="C767" t="s">
        <v>32</v>
      </c>
      <c r="D767" s="3"/>
      <c r="E767" s="3">
        <v>0</v>
      </c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  <c r="AA767" s="3"/>
      <c r="AB767" s="3"/>
      <c r="AC767" s="3"/>
      <c r="AD767" s="3"/>
      <c r="AE767" s="3"/>
      <c r="AF767" s="3"/>
      <c r="AG767" s="3"/>
      <c r="AH767" s="3"/>
      <c r="AI767" s="3"/>
      <c r="AJ767" s="3"/>
      <c r="AK767" s="3"/>
      <c r="AL767" s="3"/>
      <c r="AM767" s="3"/>
      <c r="AN767" s="3"/>
      <c r="AO767" s="3"/>
      <c r="AP767" s="3"/>
      <c r="AQ767" s="3"/>
      <c r="AR767" s="3"/>
      <c r="AS767" s="3"/>
      <c r="AT767" s="3"/>
      <c r="AU767" s="3"/>
      <c r="AV767" s="3"/>
      <c r="AW767" s="3"/>
      <c r="AX767" s="3"/>
      <c r="AY767" s="3"/>
      <c r="AZ767" s="3"/>
      <c r="BA767" s="3"/>
      <c r="BB767" s="3"/>
      <c r="BC767" s="3"/>
    </row>
    <row r="768" spans="1:55">
      <c r="A768" s="1" t="str">
        <f>'Population Definitions'!$A$12</f>
        <v>Prisoners_males</v>
      </c>
      <c r="C768" t="s">
        <v>32</v>
      </c>
      <c r="D768" s="3"/>
      <c r="E768" s="3">
        <v>0</v>
      </c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  <c r="AA768" s="3"/>
      <c r="AB768" s="3"/>
      <c r="AC768" s="3"/>
      <c r="AD768" s="3"/>
      <c r="AE768" s="3"/>
      <c r="AF768" s="3"/>
      <c r="AG768" s="3"/>
      <c r="AH768" s="3"/>
      <c r="AI768" s="3"/>
      <c r="AJ768" s="3"/>
      <c r="AK768" s="3"/>
      <c r="AL768" s="3"/>
      <c r="AM768" s="3"/>
      <c r="AN768" s="3"/>
      <c r="AO768" s="3"/>
      <c r="AP768" s="3"/>
      <c r="AQ768" s="3"/>
      <c r="AR768" s="3"/>
      <c r="AS768" s="3"/>
      <c r="AT768" s="3"/>
      <c r="AU768" s="3"/>
      <c r="AV768" s="3"/>
      <c r="AW768" s="3"/>
      <c r="AX768" s="3"/>
      <c r="AY768" s="3"/>
      <c r="AZ768" s="3"/>
      <c r="BA768" s="3"/>
      <c r="BB768" s="3"/>
      <c r="BC768" s="3"/>
    </row>
    <row r="769" spans="1:55">
      <c r="A769" s="1" t="str">
        <f>'Population Definitions'!$A$13</f>
        <v>Prisoners_females</v>
      </c>
      <c r="C769" t="s">
        <v>32</v>
      </c>
      <c r="D769" s="3"/>
      <c r="E769" s="3">
        <v>0</v>
      </c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  <c r="AA769" s="3"/>
      <c r="AB769" s="3"/>
      <c r="AC769" s="3"/>
      <c r="AD769" s="3"/>
      <c r="AE769" s="3"/>
      <c r="AF769" s="3"/>
      <c r="AG769" s="3"/>
      <c r="AH769" s="3"/>
      <c r="AI769" s="3"/>
      <c r="AJ769" s="3"/>
      <c r="AK769" s="3"/>
      <c r="AL769" s="3"/>
      <c r="AM769" s="3"/>
      <c r="AN769" s="3"/>
      <c r="AO769" s="3"/>
      <c r="AP769" s="3"/>
      <c r="AQ769" s="3"/>
      <c r="AR769" s="3"/>
      <c r="AS769" s="3"/>
      <c r="AT769" s="3"/>
      <c r="AU769" s="3"/>
      <c r="AV769" s="3"/>
      <c r="AW769" s="3"/>
      <c r="AX769" s="3"/>
      <c r="AY769" s="3"/>
      <c r="AZ769" s="3"/>
      <c r="BA769" s="3"/>
      <c r="BB769" s="3"/>
      <c r="BC769" s="3"/>
    </row>
    <row r="771" spans="1:55">
      <c r="A771" s="1" t="s">
        <v>181</v>
      </c>
      <c r="B771" s="1" t="s">
        <v>29</v>
      </c>
      <c r="C771" s="1" t="s">
        <v>30</v>
      </c>
      <c r="D771" s="1" t="s">
        <v>31</v>
      </c>
      <c r="E771" s="1">
        <v>2000</v>
      </c>
      <c r="F771" s="1">
        <v>2001</v>
      </c>
      <c r="G771" s="1">
        <v>2002</v>
      </c>
      <c r="H771" s="1">
        <v>2003</v>
      </c>
      <c r="I771" s="1">
        <v>2004</v>
      </c>
      <c r="J771" s="1">
        <v>2005</v>
      </c>
      <c r="K771" s="1">
        <v>2006</v>
      </c>
      <c r="L771" s="1">
        <v>2007</v>
      </c>
      <c r="M771" s="1">
        <v>2008</v>
      </c>
      <c r="N771" s="1">
        <v>2009</v>
      </c>
      <c r="O771" s="1">
        <v>2010</v>
      </c>
      <c r="P771" s="1">
        <v>2011</v>
      </c>
      <c r="Q771" s="1">
        <v>2012</v>
      </c>
      <c r="R771" s="1">
        <v>2013</v>
      </c>
      <c r="S771" s="1">
        <v>2014</v>
      </c>
      <c r="T771" s="1">
        <v>2015</v>
      </c>
      <c r="U771" s="1">
        <v>2016</v>
      </c>
      <c r="V771" s="1">
        <v>2017</v>
      </c>
      <c r="W771" s="1">
        <v>2018</v>
      </c>
      <c r="X771" s="1">
        <v>2019</v>
      </c>
      <c r="Y771" s="1">
        <v>2020</v>
      </c>
      <c r="Z771" s="1">
        <v>2021</v>
      </c>
      <c r="AA771" s="1">
        <v>2022</v>
      </c>
      <c r="AB771" s="1">
        <v>2023</v>
      </c>
      <c r="AC771" s="1">
        <v>2024</v>
      </c>
      <c r="AD771" s="1">
        <v>2025</v>
      </c>
      <c r="AE771" s="1">
        <v>2026</v>
      </c>
      <c r="AF771" s="1">
        <v>2027</v>
      </c>
      <c r="AG771" s="1">
        <v>2028</v>
      </c>
      <c r="AH771" s="1">
        <v>2029</v>
      </c>
      <c r="AI771" s="1">
        <v>2030</v>
      </c>
      <c r="AJ771" s="1">
        <v>2031</v>
      </c>
      <c r="AK771" s="1">
        <v>2032</v>
      </c>
      <c r="AL771" s="1">
        <v>2033</v>
      </c>
      <c r="AM771" s="1">
        <v>2034</v>
      </c>
      <c r="AN771" s="1">
        <v>2035</v>
      </c>
      <c r="AO771" s="1">
        <v>2036</v>
      </c>
      <c r="AP771" s="1">
        <v>2037</v>
      </c>
      <c r="AQ771" s="1">
        <v>2038</v>
      </c>
      <c r="AR771" s="1">
        <v>2039</v>
      </c>
      <c r="AS771" s="1">
        <v>2040</v>
      </c>
      <c r="AT771" s="1">
        <v>2041</v>
      </c>
      <c r="AU771" s="1">
        <v>2042</v>
      </c>
      <c r="AV771" s="1">
        <v>2043</v>
      </c>
      <c r="AW771" s="1">
        <v>2044</v>
      </c>
      <c r="AX771" s="1">
        <v>2045</v>
      </c>
      <c r="AY771" s="1">
        <v>2046</v>
      </c>
      <c r="AZ771" s="1">
        <v>2047</v>
      </c>
      <c r="BA771" s="1">
        <v>2048</v>
      </c>
      <c r="BB771" s="1">
        <v>2049</v>
      </c>
      <c r="BC771" s="1">
        <v>2050</v>
      </c>
    </row>
    <row r="772" spans="1:55">
      <c r="A772" s="1" t="str">
        <f>'Population Definitions'!$A$2</f>
        <v>PWID_males</v>
      </c>
      <c r="C772" t="s">
        <v>32</v>
      </c>
      <c r="D772" s="3"/>
      <c r="E772" s="3">
        <v>0</v>
      </c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  <c r="AA772" s="3"/>
      <c r="AB772" s="3"/>
      <c r="AC772" s="3"/>
      <c r="AD772" s="3"/>
      <c r="AE772" s="3"/>
      <c r="AF772" s="3"/>
      <c r="AG772" s="3"/>
      <c r="AH772" s="3"/>
      <c r="AI772" s="3"/>
      <c r="AJ772" s="3"/>
      <c r="AK772" s="3"/>
      <c r="AL772" s="3"/>
      <c r="AM772" s="3"/>
      <c r="AN772" s="3"/>
      <c r="AO772" s="3"/>
      <c r="AP772" s="3"/>
      <c r="AQ772" s="3"/>
      <c r="AR772" s="3"/>
      <c r="AS772" s="3"/>
      <c r="AT772" s="3"/>
      <c r="AU772" s="3"/>
      <c r="AV772" s="3"/>
      <c r="AW772" s="3"/>
      <c r="AX772" s="3"/>
      <c r="AY772" s="3"/>
      <c r="AZ772" s="3"/>
      <c r="BA772" s="3"/>
      <c r="BB772" s="3"/>
      <c r="BC772" s="3"/>
    </row>
    <row r="773" spans="1:55">
      <c r="A773" s="1" t="str">
        <f>'Population Definitions'!$A$3</f>
        <v>PWID_females</v>
      </c>
      <c r="C773" t="s">
        <v>32</v>
      </c>
      <c r="D773" s="3"/>
      <c r="E773" s="3">
        <v>0</v>
      </c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  <c r="AA773" s="3"/>
      <c r="AB773" s="3"/>
      <c r="AC773" s="3"/>
      <c r="AD773" s="3"/>
      <c r="AE773" s="3"/>
      <c r="AF773" s="3"/>
      <c r="AG773" s="3"/>
      <c r="AH773" s="3"/>
      <c r="AI773" s="3"/>
      <c r="AJ773" s="3"/>
      <c r="AK773" s="3"/>
      <c r="AL773" s="3"/>
      <c r="AM773" s="3"/>
      <c r="AN773" s="3"/>
      <c r="AO773" s="3"/>
      <c r="AP773" s="3"/>
      <c r="AQ773" s="3"/>
      <c r="AR773" s="3"/>
      <c r="AS773" s="3"/>
      <c r="AT773" s="3"/>
      <c r="AU773" s="3"/>
      <c r="AV773" s="3"/>
      <c r="AW773" s="3"/>
      <c r="AX773" s="3"/>
      <c r="AY773" s="3"/>
      <c r="AZ773" s="3"/>
      <c r="BA773" s="3"/>
      <c r="BB773" s="3"/>
      <c r="BC773" s="3"/>
    </row>
    <row r="774" spans="1:55">
      <c r="A774" s="1" t="str">
        <f>'Population Definitions'!$A$4</f>
        <v>0-9_males</v>
      </c>
      <c r="C774" t="s">
        <v>32</v>
      </c>
      <c r="D774" s="3"/>
      <c r="E774" s="3">
        <v>0</v>
      </c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  <c r="AA774" s="3"/>
      <c r="AB774" s="3"/>
      <c r="AC774" s="3"/>
      <c r="AD774" s="3"/>
      <c r="AE774" s="3"/>
      <c r="AF774" s="3"/>
      <c r="AG774" s="3"/>
      <c r="AH774" s="3"/>
      <c r="AI774" s="3"/>
      <c r="AJ774" s="3"/>
      <c r="AK774" s="3"/>
      <c r="AL774" s="3"/>
      <c r="AM774" s="3"/>
      <c r="AN774" s="3"/>
      <c r="AO774" s="3"/>
      <c r="AP774" s="3"/>
      <c r="AQ774" s="3"/>
      <c r="AR774" s="3"/>
      <c r="AS774" s="3"/>
      <c r="AT774" s="3"/>
      <c r="AU774" s="3"/>
      <c r="AV774" s="3"/>
      <c r="AW774" s="3"/>
      <c r="AX774" s="3"/>
      <c r="AY774" s="3"/>
      <c r="AZ774" s="3"/>
      <c r="BA774" s="3"/>
      <c r="BB774" s="3"/>
      <c r="BC774" s="3"/>
    </row>
    <row r="775" spans="1:55">
      <c r="A775" s="1" t="str">
        <f>'Population Definitions'!$A$5</f>
        <v>0-9_females</v>
      </c>
      <c r="C775" t="s">
        <v>32</v>
      </c>
      <c r="D775" s="3"/>
      <c r="E775" s="3">
        <v>0</v>
      </c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  <c r="AA775" s="3"/>
      <c r="AB775" s="3"/>
      <c r="AC775" s="3"/>
      <c r="AD775" s="3"/>
      <c r="AE775" s="3"/>
      <c r="AF775" s="3"/>
      <c r="AG775" s="3"/>
      <c r="AH775" s="3"/>
      <c r="AI775" s="3"/>
      <c r="AJ775" s="3"/>
      <c r="AK775" s="3"/>
      <c r="AL775" s="3"/>
      <c r="AM775" s="3"/>
      <c r="AN775" s="3"/>
      <c r="AO775" s="3"/>
      <c r="AP775" s="3"/>
      <c r="AQ775" s="3"/>
      <c r="AR775" s="3"/>
      <c r="AS775" s="3"/>
      <c r="AT775" s="3"/>
      <c r="AU775" s="3"/>
      <c r="AV775" s="3"/>
      <c r="AW775" s="3"/>
      <c r="AX775" s="3"/>
      <c r="AY775" s="3"/>
      <c r="AZ775" s="3"/>
      <c r="BA775" s="3"/>
      <c r="BB775" s="3"/>
      <c r="BC775" s="3"/>
    </row>
    <row r="776" spans="1:55">
      <c r="A776" s="1" t="str">
        <f>'Population Definitions'!$A$6</f>
        <v>10-17_males</v>
      </c>
      <c r="C776" t="s">
        <v>32</v>
      </c>
      <c r="D776" s="3"/>
      <c r="E776" s="3">
        <v>0</v>
      </c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  <c r="AA776" s="3"/>
      <c r="AB776" s="3"/>
      <c r="AC776" s="3"/>
      <c r="AD776" s="3"/>
      <c r="AE776" s="3"/>
      <c r="AF776" s="3"/>
      <c r="AG776" s="3"/>
      <c r="AH776" s="3"/>
      <c r="AI776" s="3"/>
      <c r="AJ776" s="3"/>
      <c r="AK776" s="3"/>
      <c r="AL776" s="3"/>
      <c r="AM776" s="3"/>
      <c r="AN776" s="3"/>
      <c r="AO776" s="3"/>
      <c r="AP776" s="3"/>
      <c r="AQ776" s="3"/>
      <c r="AR776" s="3"/>
      <c r="AS776" s="3"/>
      <c r="AT776" s="3"/>
      <c r="AU776" s="3"/>
      <c r="AV776" s="3"/>
      <c r="AW776" s="3"/>
      <c r="AX776" s="3"/>
      <c r="AY776" s="3"/>
      <c r="AZ776" s="3"/>
      <c r="BA776" s="3"/>
      <c r="BB776" s="3"/>
      <c r="BC776" s="3"/>
    </row>
    <row r="777" spans="1:55">
      <c r="A777" s="1" t="str">
        <f>'Population Definitions'!$A$7</f>
        <v>10-17_females</v>
      </c>
      <c r="C777" t="s">
        <v>32</v>
      </c>
      <c r="D777" s="3"/>
      <c r="E777" s="3">
        <v>0</v>
      </c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  <c r="AA777" s="3"/>
      <c r="AB777" s="3"/>
      <c r="AC777" s="3"/>
      <c r="AD777" s="3"/>
      <c r="AE777" s="3"/>
      <c r="AF777" s="3"/>
      <c r="AG777" s="3"/>
      <c r="AH777" s="3"/>
      <c r="AI777" s="3"/>
      <c r="AJ777" s="3"/>
      <c r="AK777" s="3"/>
      <c r="AL777" s="3"/>
      <c r="AM777" s="3"/>
      <c r="AN777" s="3"/>
      <c r="AO777" s="3"/>
      <c r="AP777" s="3"/>
      <c r="AQ777" s="3"/>
      <c r="AR777" s="3"/>
      <c r="AS777" s="3"/>
      <c r="AT777" s="3"/>
      <c r="AU777" s="3"/>
      <c r="AV777" s="3"/>
      <c r="AW777" s="3"/>
      <c r="AX777" s="3"/>
      <c r="AY777" s="3"/>
      <c r="AZ777" s="3"/>
      <c r="BA777" s="3"/>
      <c r="BB777" s="3"/>
      <c r="BC777" s="3"/>
    </row>
    <row r="778" spans="1:55">
      <c r="A778" s="1" t="str">
        <f>'Population Definitions'!$A$8</f>
        <v>18-64_males</v>
      </c>
      <c r="C778" t="s">
        <v>32</v>
      </c>
      <c r="D778" s="3"/>
      <c r="E778" s="3">
        <v>0</v>
      </c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  <c r="AA778" s="3"/>
      <c r="AB778" s="3"/>
      <c r="AC778" s="3"/>
      <c r="AD778" s="3"/>
      <c r="AE778" s="3"/>
      <c r="AF778" s="3"/>
      <c r="AG778" s="3"/>
      <c r="AH778" s="3"/>
      <c r="AI778" s="3"/>
      <c r="AJ778" s="3"/>
      <c r="AK778" s="3"/>
      <c r="AL778" s="3"/>
      <c r="AM778" s="3"/>
      <c r="AN778" s="3"/>
      <c r="AO778" s="3"/>
      <c r="AP778" s="3"/>
      <c r="AQ778" s="3"/>
      <c r="AR778" s="3"/>
      <c r="AS778" s="3"/>
      <c r="AT778" s="3"/>
      <c r="AU778" s="3"/>
      <c r="AV778" s="3"/>
      <c r="AW778" s="3"/>
      <c r="AX778" s="3"/>
      <c r="AY778" s="3"/>
      <c r="AZ778" s="3"/>
      <c r="BA778" s="3"/>
      <c r="BB778" s="3"/>
      <c r="BC778" s="3"/>
    </row>
    <row r="779" spans="1:55">
      <c r="A779" s="1" t="str">
        <f>'Population Definitions'!$A$9</f>
        <v>18-64_females</v>
      </c>
      <c r="C779" t="s">
        <v>32</v>
      </c>
      <c r="D779" s="3"/>
      <c r="E779" s="3">
        <v>0</v>
      </c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  <c r="AA779" s="3"/>
      <c r="AB779" s="3"/>
      <c r="AC779" s="3"/>
      <c r="AD779" s="3"/>
      <c r="AE779" s="3"/>
      <c r="AF779" s="3"/>
      <c r="AG779" s="3"/>
      <c r="AH779" s="3"/>
      <c r="AI779" s="3"/>
      <c r="AJ779" s="3"/>
      <c r="AK779" s="3"/>
      <c r="AL779" s="3"/>
      <c r="AM779" s="3"/>
      <c r="AN779" s="3"/>
      <c r="AO779" s="3"/>
      <c r="AP779" s="3"/>
      <c r="AQ779" s="3"/>
      <c r="AR779" s="3"/>
      <c r="AS779" s="3"/>
      <c r="AT779" s="3"/>
      <c r="AU779" s="3"/>
      <c r="AV779" s="3"/>
      <c r="AW779" s="3"/>
      <c r="AX779" s="3"/>
      <c r="AY779" s="3"/>
      <c r="AZ779" s="3"/>
      <c r="BA779" s="3"/>
      <c r="BB779" s="3"/>
      <c r="BC779" s="3"/>
    </row>
    <row r="780" spans="1:55">
      <c r="A780" s="1" t="str">
        <f>'Population Definitions'!$A$10</f>
        <v>65+_males</v>
      </c>
      <c r="C780" t="s">
        <v>32</v>
      </c>
      <c r="D780" s="3"/>
      <c r="E780" s="3">
        <v>0</v>
      </c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  <c r="AA780" s="3"/>
      <c r="AB780" s="3"/>
      <c r="AC780" s="3"/>
      <c r="AD780" s="3"/>
      <c r="AE780" s="3"/>
      <c r="AF780" s="3"/>
      <c r="AG780" s="3"/>
      <c r="AH780" s="3"/>
      <c r="AI780" s="3"/>
      <c r="AJ780" s="3"/>
      <c r="AK780" s="3"/>
      <c r="AL780" s="3"/>
      <c r="AM780" s="3"/>
      <c r="AN780" s="3"/>
      <c r="AO780" s="3"/>
      <c r="AP780" s="3"/>
      <c r="AQ780" s="3"/>
      <c r="AR780" s="3"/>
      <c r="AS780" s="3"/>
      <c r="AT780" s="3"/>
      <c r="AU780" s="3"/>
      <c r="AV780" s="3"/>
      <c r="AW780" s="3"/>
      <c r="AX780" s="3"/>
      <c r="AY780" s="3"/>
      <c r="AZ780" s="3"/>
      <c r="BA780" s="3"/>
      <c r="BB780" s="3"/>
      <c r="BC780" s="3"/>
    </row>
    <row r="781" spans="1:55">
      <c r="A781" s="1" t="str">
        <f>'Population Definitions'!$A$11</f>
        <v>65+_females</v>
      </c>
      <c r="C781" t="s">
        <v>32</v>
      </c>
      <c r="D781" s="3"/>
      <c r="E781" s="3">
        <v>0</v>
      </c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  <c r="AA781" s="3"/>
      <c r="AB781" s="3"/>
      <c r="AC781" s="3"/>
      <c r="AD781" s="3"/>
      <c r="AE781" s="3"/>
      <c r="AF781" s="3"/>
      <c r="AG781" s="3"/>
      <c r="AH781" s="3"/>
      <c r="AI781" s="3"/>
      <c r="AJ781" s="3"/>
      <c r="AK781" s="3"/>
      <c r="AL781" s="3"/>
      <c r="AM781" s="3"/>
      <c r="AN781" s="3"/>
      <c r="AO781" s="3"/>
      <c r="AP781" s="3"/>
      <c r="AQ781" s="3"/>
      <c r="AR781" s="3"/>
      <c r="AS781" s="3"/>
      <c r="AT781" s="3"/>
      <c r="AU781" s="3"/>
      <c r="AV781" s="3"/>
      <c r="AW781" s="3"/>
      <c r="AX781" s="3"/>
      <c r="AY781" s="3"/>
      <c r="AZ781" s="3"/>
      <c r="BA781" s="3"/>
      <c r="BB781" s="3"/>
      <c r="BC781" s="3"/>
    </row>
    <row r="782" spans="1:55">
      <c r="A782" s="1" t="str">
        <f>'Population Definitions'!$A$12</f>
        <v>Prisoners_males</v>
      </c>
      <c r="C782" t="s">
        <v>32</v>
      </c>
      <c r="D782" s="3"/>
      <c r="E782" s="3">
        <v>0</v>
      </c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  <c r="AA782" s="3"/>
      <c r="AB782" s="3"/>
      <c r="AC782" s="3"/>
      <c r="AD782" s="3"/>
      <c r="AE782" s="3"/>
      <c r="AF782" s="3"/>
      <c r="AG782" s="3"/>
      <c r="AH782" s="3"/>
      <c r="AI782" s="3"/>
      <c r="AJ782" s="3"/>
      <c r="AK782" s="3"/>
      <c r="AL782" s="3"/>
      <c r="AM782" s="3"/>
      <c r="AN782" s="3"/>
      <c r="AO782" s="3"/>
      <c r="AP782" s="3"/>
      <c r="AQ782" s="3"/>
      <c r="AR782" s="3"/>
      <c r="AS782" s="3"/>
      <c r="AT782" s="3"/>
      <c r="AU782" s="3"/>
      <c r="AV782" s="3"/>
      <c r="AW782" s="3"/>
      <c r="AX782" s="3"/>
      <c r="AY782" s="3"/>
      <c r="AZ782" s="3"/>
      <c r="BA782" s="3"/>
      <c r="BB782" s="3"/>
      <c r="BC782" s="3"/>
    </row>
    <row r="783" spans="1:55">
      <c r="A783" s="1" t="str">
        <f>'Population Definitions'!$A$13</f>
        <v>Prisoners_females</v>
      </c>
      <c r="C783" t="s">
        <v>32</v>
      </c>
      <c r="D783" s="3"/>
      <c r="E783" s="3">
        <v>0</v>
      </c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  <c r="AA783" s="3"/>
      <c r="AB783" s="3"/>
      <c r="AC783" s="3"/>
      <c r="AD783" s="3"/>
      <c r="AE783" s="3"/>
      <c r="AF783" s="3"/>
      <c r="AG783" s="3"/>
      <c r="AH783" s="3"/>
      <c r="AI783" s="3"/>
      <c r="AJ783" s="3"/>
      <c r="AK783" s="3"/>
      <c r="AL783" s="3"/>
      <c r="AM783" s="3"/>
      <c r="AN783" s="3"/>
      <c r="AO783" s="3"/>
      <c r="AP783" s="3"/>
      <c r="AQ783" s="3"/>
      <c r="AR783" s="3"/>
      <c r="AS783" s="3"/>
      <c r="AT783" s="3"/>
      <c r="AU783" s="3"/>
      <c r="AV783" s="3"/>
      <c r="AW783" s="3"/>
      <c r="AX783" s="3"/>
      <c r="AY783" s="3"/>
      <c r="AZ783" s="3"/>
      <c r="BA783" s="3"/>
      <c r="BB783" s="3"/>
      <c r="BC783" s="3"/>
    </row>
    <row r="785" spans="1:55">
      <c r="A785" s="1" t="s">
        <v>182</v>
      </c>
      <c r="B785" s="1" t="s">
        <v>29</v>
      </c>
      <c r="C785" s="1" t="s">
        <v>30</v>
      </c>
      <c r="D785" s="1" t="s">
        <v>31</v>
      </c>
      <c r="E785" s="1">
        <v>2000</v>
      </c>
      <c r="F785" s="1">
        <v>2001</v>
      </c>
      <c r="G785" s="1">
        <v>2002</v>
      </c>
      <c r="H785" s="1">
        <v>2003</v>
      </c>
      <c r="I785" s="1">
        <v>2004</v>
      </c>
      <c r="J785" s="1">
        <v>2005</v>
      </c>
      <c r="K785" s="1">
        <v>2006</v>
      </c>
      <c r="L785" s="1">
        <v>2007</v>
      </c>
      <c r="M785" s="1">
        <v>2008</v>
      </c>
      <c r="N785" s="1">
        <v>2009</v>
      </c>
      <c r="O785" s="1">
        <v>2010</v>
      </c>
      <c r="P785" s="1">
        <v>2011</v>
      </c>
      <c r="Q785" s="1">
        <v>2012</v>
      </c>
      <c r="R785" s="1">
        <v>2013</v>
      </c>
      <c r="S785" s="1">
        <v>2014</v>
      </c>
      <c r="T785" s="1">
        <v>2015</v>
      </c>
      <c r="U785" s="1">
        <v>2016</v>
      </c>
      <c r="V785" s="1">
        <v>2017</v>
      </c>
      <c r="W785" s="1">
        <v>2018</v>
      </c>
      <c r="X785" s="1">
        <v>2019</v>
      </c>
      <c r="Y785" s="1">
        <v>2020</v>
      </c>
      <c r="Z785" s="1">
        <v>2021</v>
      </c>
      <c r="AA785" s="1">
        <v>2022</v>
      </c>
      <c r="AB785" s="1">
        <v>2023</v>
      </c>
      <c r="AC785" s="1">
        <v>2024</v>
      </c>
      <c r="AD785" s="1">
        <v>2025</v>
      </c>
      <c r="AE785" s="1">
        <v>2026</v>
      </c>
      <c r="AF785" s="1">
        <v>2027</v>
      </c>
      <c r="AG785" s="1">
        <v>2028</v>
      </c>
      <c r="AH785" s="1">
        <v>2029</v>
      </c>
      <c r="AI785" s="1">
        <v>2030</v>
      </c>
      <c r="AJ785" s="1">
        <v>2031</v>
      </c>
      <c r="AK785" s="1">
        <v>2032</v>
      </c>
      <c r="AL785" s="1">
        <v>2033</v>
      </c>
      <c r="AM785" s="1">
        <v>2034</v>
      </c>
      <c r="AN785" s="1">
        <v>2035</v>
      </c>
      <c r="AO785" s="1">
        <v>2036</v>
      </c>
      <c r="AP785" s="1">
        <v>2037</v>
      </c>
      <c r="AQ785" s="1">
        <v>2038</v>
      </c>
      <c r="AR785" s="1">
        <v>2039</v>
      </c>
      <c r="AS785" s="1">
        <v>2040</v>
      </c>
      <c r="AT785" s="1">
        <v>2041</v>
      </c>
      <c r="AU785" s="1">
        <v>2042</v>
      </c>
      <c r="AV785" s="1">
        <v>2043</v>
      </c>
      <c r="AW785" s="1">
        <v>2044</v>
      </c>
      <c r="AX785" s="1">
        <v>2045</v>
      </c>
      <c r="AY785" s="1">
        <v>2046</v>
      </c>
      <c r="AZ785" s="1">
        <v>2047</v>
      </c>
      <c r="BA785" s="1">
        <v>2048</v>
      </c>
      <c r="BB785" s="1">
        <v>2049</v>
      </c>
      <c r="BC785" s="1">
        <v>2050</v>
      </c>
    </row>
    <row r="786" spans="1:55">
      <c r="A786" s="1" t="str">
        <f>'Population Definitions'!$A$2</f>
        <v>PWID_males</v>
      </c>
      <c r="C786" t="s">
        <v>32</v>
      </c>
      <c r="D786" s="3"/>
      <c r="E786" s="3">
        <v>0</v>
      </c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  <c r="AA786" s="3"/>
      <c r="AB786" s="3"/>
      <c r="AC786" s="3"/>
      <c r="AD786" s="3"/>
      <c r="AE786" s="3"/>
      <c r="AF786" s="3"/>
      <c r="AG786" s="3"/>
      <c r="AH786" s="3"/>
      <c r="AI786" s="3"/>
      <c r="AJ786" s="3"/>
      <c r="AK786" s="3"/>
      <c r="AL786" s="3"/>
      <c r="AM786" s="3"/>
      <c r="AN786" s="3"/>
      <c r="AO786" s="3"/>
      <c r="AP786" s="3"/>
      <c r="AQ786" s="3"/>
      <c r="AR786" s="3"/>
      <c r="AS786" s="3"/>
      <c r="AT786" s="3"/>
      <c r="AU786" s="3"/>
      <c r="AV786" s="3"/>
      <c r="AW786" s="3"/>
      <c r="AX786" s="3"/>
      <c r="AY786" s="3"/>
      <c r="AZ786" s="3"/>
      <c r="BA786" s="3"/>
      <c r="BB786" s="3"/>
      <c r="BC786" s="3"/>
    </row>
    <row r="787" spans="1:55">
      <c r="A787" s="1" t="str">
        <f>'Population Definitions'!$A$3</f>
        <v>PWID_females</v>
      </c>
      <c r="C787" t="s">
        <v>32</v>
      </c>
      <c r="D787" s="3"/>
      <c r="E787" s="3">
        <v>0</v>
      </c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  <c r="AA787" s="3"/>
      <c r="AB787" s="3"/>
      <c r="AC787" s="3"/>
      <c r="AD787" s="3"/>
      <c r="AE787" s="3"/>
      <c r="AF787" s="3"/>
      <c r="AG787" s="3"/>
      <c r="AH787" s="3"/>
      <c r="AI787" s="3"/>
      <c r="AJ787" s="3"/>
      <c r="AK787" s="3"/>
      <c r="AL787" s="3"/>
      <c r="AM787" s="3"/>
      <c r="AN787" s="3"/>
      <c r="AO787" s="3"/>
      <c r="AP787" s="3"/>
      <c r="AQ787" s="3"/>
      <c r="AR787" s="3"/>
      <c r="AS787" s="3"/>
      <c r="AT787" s="3"/>
      <c r="AU787" s="3"/>
      <c r="AV787" s="3"/>
      <c r="AW787" s="3"/>
      <c r="AX787" s="3"/>
      <c r="AY787" s="3"/>
      <c r="AZ787" s="3"/>
      <c r="BA787" s="3"/>
      <c r="BB787" s="3"/>
      <c r="BC787" s="3"/>
    </row>
    <row r="788" spans="1:55">
      <c r="A788" s="1" t="str">
        <f>'Population Definitions'!$A$4</f>
        <v>0-9_males</v>
      </c>
      <c r="C788" t="s">
        <v>32</v>
      </c>
      <c r="D788" s="3"/>
      <c r="E788" s="3">
        <v>0</v>
      </c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  <c r="AA788" s="3"/>
      <c r="AB788" s="3"/>
      <c r="AC788" s="3"/>
      <c r="AD788" s="3"/>
      <c r="AE788" s="3"/>
      <c r="AF788" s="3"/>
      <c r="AG788" s="3"/>
      <c r="AH788" s="3"/>
      <c r="AI788" s="3"/>
      <c r="AJ788" s="3"/>
      <c r="AK788" s="3"/>
      <c r="AL788" s="3"/>
      <c r="AM788" s="3"/>
      <c r="AN788" s="3"/>
      <c r="AO788" s="3"/>
      <c r="AP788" s="3"/>
      <c r="AQ788" s="3"/>
      <c r="AR788" s="3"/>
      <c r="AS788" s="3"/>
      <c r="AT788" s="3"/>
      <c r="AU788" s="3"/>
      <c r="AV788" s="3"/>
      <c r="AW788" s="3"/>
      <c r="AX788" s="3"/>
      <c r="AY788" s="3"/>
      <c r="AZ788" s="3"/>
      <c r="BA788" s="3"/>
      <c r="BB788" s="3"/>
      <c r="BC788" s="3"/>
    </row>
    <row r="789" spans="1:55">
      <c r="A789" s="1" t="str">
        <f>'Population Definitions'!$A$5</f>
        <v>0-9_females</v>
      </c>
      <c r="C789" t="s">
        <v>32</v>
      </c>
      <c r="D789" s="3"/>
      <c r="E789" s="3">
        <v>0</v>
      </c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  <c r="AA789" s="3"/>
      <c r="AB789" s="3"/>
      <c r="AC789" s="3"/>
      <c r="AD789" s="3"/>
      <c r="AE789" s="3"/>
      <c r="AF789" s="3"/>
      <c r="AG789" s="3"/>
      <c r="AH789" s="3"/>
      <c r="AI789" s="3"/>
      <c r="AJ789" s="3"/>
      <c r="AK789" s="3"/>
      <c r="AL789" s="3"/>
      <c r="AM789" s="3"/>
      <c r="AN789" s="3"/>
      <c r="AO789" s="3"/>
      <c r="AP789" s="3"/>
      <c r="AQ789" s="3"/>
      <c r="AR789" s="3"/>
      <c r="AS789" s="3"/>
      <c r="AT789" s="3"/>
      <c r="AU789" s="3"/>
      <c r="AV789" s="3"/>
      <c r="AW789" s="3"/>
      <c r="AX789" s="3"/>
      <c r="AY789" s="3"/>
      <c r="AZ789" s="3"/>
      <c r="BA789" s="3"/>
      <c r="BB789" s="3"/>
      <c r="BC789" s="3"/>
    </row>
    <row r="790" spans="1:55">
      <c r="A790" s="1" t="str">
        <f>'Population Definitions'!$A$6</f>
        <v>10-17_males</v>
      </c>
      <c r="C790" t="s">
        <v>32</v>
      </c>
      <c r="D790" s="3"/>
      <c r="E790" s="3">
        <v>0</v>
      </c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  <c r="AA790" s="3"/>
      <c r="AB790" s="3"/>
      <c r="AC790" s="3"/>
      <c r="AD790" s="3"/>
      <c r="AE790" s="3"/>
      <c r="AF790" s="3"/>
      <c r="AG790" s="3"/>
      <c r="AH790" s="3"/>
      <c r="AI790" s="3"/>
      <c r="AJ790" s="3"/>
      <c r="AK790" s="3"/>
      <c r="AL790" s="3"/>
      <c r="AM790" s="3"/>
      <c r="AN790" s="3"/>
      <c r="AO790" s="3"/>
      <c r="AP790" s="3"/>
      <c r="AQ790" s="3"/>
      <c r="AR790" s="3"/>
      <c r="AS790" s="3"/>
      <c r="AT790" s="3"/>
      <c r="AU790" s="3"/>
      <c r="AV790" s="3"/>
      <c r="AW790" s="3"/>
      <c r="AX790" s="3"/>
      <c r="AY790" s="3"/>
      <c r="AZ790" s="3"/>
      <c r="BA790" s="3"/>
      <c r="BB790" s="3"/>
      <c r="BC790" s="3"/>
    </row>
    <row r="791" spans="1:55">
      <c r="A791" s="1" t="str">
        <f>'Population Definitions'!$A$7</f>
        <v>10-17_females</v>
      </c>
      <c r="C791" t="s">
        <v>32</v>
      </c>
      <c r="D791" s="3"/>
      <c r="E791" s="3">
        <v>0</v>
      </c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  <c r="AA791" s="3"/>
      <c r="AB791" s="3"/>
      <c r="AC791" s="3"/>
      <c r="AD791" s="3"/>
      <c r="AE791" s="3"/>
      <c r="AF791" s="3"/>
      <c r="AG791" s="3"/>
      <c r="AH791" s="3"/>
      <c r="AI791" s="3"/>
      <c r="AJ791" s="3"/>
      <c r="AK791" s="3"/>
      <c r="AL791" s="3"/>
      <c r="AM791" s="3"/>
      <c r="AN791" s="3"/>
      <c r="AO791" s="3"/>
      <c r="AP791" s="3"/>
      <c r="AQ791" s="3"/>
      <c r="AR791" s="3"/>
      <c r="AS791" s="3"/>
      <c r="AT791" s="3"/>
      <c r="AU791" s="3"/>
      <c r="AV791" s="3"/>
      <c r="AW791" s="3"/>
      <c r="AX791" s="3"/>
      <c r="AY791" s="3"/>
      <c r="AZ791" s="3"/>
      <c r="BA791" s="3"/>
      <c r="BB791" s="3"/>
      <c r="BC791" s="3"/>
    </row>
    <row r="792" spans="1:55">
      <c r="A792" s="1" t="str">
        <f>'Population Definitions'!$A$8</f>
        <v>18-64_males</v>
      </c>
      <c r="C792" t="s">
        <v>32</v>
      </c>
      <c r="D792" s="3"/>
      <c r="E792" s="3">
        <v>0</v>
      </c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  <c r="AA792" s="3"/>
      <c r="AB792" s="3"/>
      <c r="AC792" s="3"/>
      <c r="AD792" s="3"/>
      <c r="AE792" s="3"/>
      <c r="AF792" s="3"/>
      <c r="AG792" s="3"/>
      <c r="AH792" s="3"/>
      <c r="AI792" s="3"/>
      <c r="AJ792" s="3"/>
      <c r="AK792" s="3"/>
      <c r="AL792" s="3"/>
      <c r="AM792" s="3"/>
      <c r="AN792" s="3"/>
      <c r="AO792" s="3"/>
      <c r="AP792" s="3"/>
      <c r="AQ792" s="3"/>
      <c r="AR792" s="3"/>
      <c r="AS792" s="3"/>
      <c r="AT792" s="3"/>
      <c r="AU792" s="3"/>
      <c r="AV792" s="3"/>
      <c r="AW792" s="3"/>
      <c r="AX792" s="3"/>
      <c r="AY792" s="3"/>
      <c r="AZ792" s="3"/>
      <c r="BA792" s="3"/>
      <c r="BB792" s="3"/>
      <c r="BC792" s="3"/>
    </row>
    <row r="793" spans="1:55">
      <c r="A793" s="1" t="str">
        <f>'Population Definitions'!$A$9</f>
        <v>18-64_females</v>
      </c>
      <c r="C793" t="s">
        <v>32</v>
      </c>
      <c r="D793" s="3"/>
      <c r="E793" s="3">
        <v>0</v>
      </c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  <c r="AA793" s="3"/>
      <c r="AB793" s="3"/>
      <c r="AC793" s="3"/>
      <c r="AD793" s="3"/>
      <c r="AE793" s="3"/>
      <c r="AF793" s="3"/>
      <c r="AG793" s="3"/>
      <c r="AH793" s="3"/>
      <c r="AI793" s="3"/>
      <c r="AJ793" s="3"/>
      <c r="AK793" s="3"/>
      <c r="AL793" s="3"/>
      <c r="AM793" s="3"/>
      <c r="AN793" s="3"/>
      <c r="AO793" s="3"/>
      <c r="AP793" s="3"/>
      <c r="AQ793" s="3"/>
      <c r="AR793" s="3"/>
      <c r="AS793" s="3"/>
      <c r="AT793" s="3"/>
      <c r="AU793" s="3"/>
      <c r="AV793" s="3"/>
      <c r="AW793" s="3"/>
      <c r="AX793" s="3"/>
      <c r="AY793" s="3"/>
      <c r="AZ793" s="3"/>
      <c r="BA793" s="3"/>
      <c r="BB793" s="3"/>
      <c r="BC793" s="3"/>
    </row>
    <row r="794" spans="1:55">
      <c r="A794" s="1" t="str">
        <f>'Population Definitions'!$A$10</f>
        <v>65+_males</v>
      </c>
      <c r="C794" t="s">
        <v>32</v>
      </c>
      <c r="D794" s="3"/>
      <c r="E794" s="3">
        <v>0</v>
      </c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  <c r="AA794" s="3"/>
      <c r="AB794" s="3"/>
      <c r="AC794" s="3"/>
      <c r="AD794" s="3"/>
      <c r="AE794" s="3"/>
      <c r="AF794" s="3"/>
      <c r="AG794" s="3"/>
      <c r="AH794" s="3"/>
      <c r="AI794" s="3"/>
      <c r="AJ794" s="3"/>
      <c r="AK794" s="3"/>
      <c r="AL794" s="3"/>
      <c r="AM794" s="3"/>
      <c r="AN794" s="3"/>
      <c r="AO794" s="3"/>
      <c r="AP794" s="3"/>
      <c r="AQ794" s="3"/>
      <c r="AR794" s="3"/>
      <c r="AS794" s="3"/>
      <c r="AT794" s="3"/>
      <c r="AU794" s="3"/>
      <c r="AV794" s="3"/>
      <c r="AW794" s="3"/>
      <c r="AX794" s="3"/>
      <c r="AY794" s="3"/>
      <c r="AZ794" s="3"/>
      <c r="BA794" s="3"/>
      <c r="BB794" s="3"/>
      <c r="BC794" s="3"/>
    </row>
    <row r="795" spans="1:55">
      <c r="A795" s="1" t="str">
        <f>'Population Definitions'!$A$11</f>
        <v>65+_females</v>
      </c>
      <c r="C795" t="s">
        <v>32</v>
      </c>
      <c r="D795" s="3"/>
      <c r="E795" s="3">
        <v>0</v>
      </c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  <c r="AA795" s="3"/>
      <c r="AB795" s="3"/>
      <c r="AC795" s="3"/>
      <c r="AD795" s="3"/>
      <c r="AE795" s="3"/>
      <c r="AF795" s="3"/>
      <c r="AG795" s="3"/>
      <c r="AH795" s="3"/>
      <c r="AI795" s="3"/>
      <c r="AJ795" s="3"/>
      <c r="AK795" s="3"/>
      <c r="AL795" s="3"/>
      <c r="AM795" s="3"/>
      <c r="AN795" s="3"/>
      <c r="AO795" s="3"/>
      <c r="AP795" s="3"/>
      <c r="AQ795" s="3"/>
      <c r="AR795" s="3"/>
      <c r="AS795" s="3"/>
      <c r="AT795" s="3"/>
      <c r="AU795" s="3"/>
      <c r="AV795" s="3"/>
      <c r="AW795" s="3"/>
      <c r="AX795" s="3"/>
      <c r="AY795" s="3"/>
      <c r="AZ795" s="3"/>
      <c r="BA795" s="3"/>
      <c r="BB795" s="3"/>
      <c r="BC795" s="3"/>
    </row>
    <row r="796" spans="1:55">
      <c r="A796" s="1" t="str">
        <f>'Population Definitions'!$A$12</f>
        <v>Prisoners_males</v>
      </c>
      <c r="C796" t="s">
        <v>32</v>
      </c>
      <c r="D796" s="3"/>
      <c r="E796" s="3">
        <v>0</v>
      </c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  <c r="AA796" s="3"/>
      <c r="AB796" s="3"/>
      <c r="AC796" s="3"/>
      <c r="AD796" s="3"/>
      <c r="AE796" s="3"/>
      <c r="AF796" s="3"/>
      <c r="AG796" s="3"/>
      <c r="AH796" s="3"/>
      <c r="AI796" s="3"/>
      <c r="AJ796" s="3"/>
      <c r="AK796" s="3"/>
      <c r="AL796" s="3"/>
      <c r="AM796" s="3"/>
      <c r="AN796" s="3"/>
      <c r="AO796" s="3"/>
      <c r="AP796" s="3"/>
      <c r="AQ796" s="3"/>
      <c r="AR796" s="3"/>
      <c r="AS796" s="3"/>
      <c r="AT796" s="3"/>
      <c r="AU796" s="3"/>
      <c r="AV796" s="3"/>
      <c r="AW796" s="3"/>
      <c r="AX796" s="3"/>
      <c r="AY796" s="3"/>
      <c r="AZ796" s="3"/>
      <c r="BA796" s="3"/>
      <c r="BB796" s="3"/>
      <c r="BC796" s="3"/>
    </row>
    <row r="797" spans="1:55">
      <c r="A797" s="1" t="str">
        <f>'Population Definitions'!$A$13</f>
        <v>Prisoners_females</v>
      </c>
      <c r="C797" t="s">
        <v>32</v>
      </c>
      <c r="D797" s="3"/>
      <c r="E797" s="3">
        <v>0</v>
      </c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  <c r="AA797" s="3"/>
      <c r="AB797" s="3"/>
      <c r="AC797" s="3"/>
      <c r="AD797" s="3"/>
      <c r="AE797" s="3"/>
      <c r="AF797" s="3"/>
      <c r="AG797" s="3"/>
      <c r="AH797" s="3"/>
      <c r="AI797" s="3"/>
      <c r="AJ797" s="3"/>
      <c r="AK797" s="3"/>
      <c r="AL797" s="3"/>
      <c r="AM797" s="3"/>
      <c r="AN797" s="3"/>
      <c r="AO797" s="3"/>
      <c r="AP797" s="3"/>
      <c r="AQ797" s="3"/>
      <c r="AR797" s="3"/>
      <c r="AS797" s="3"/>
      <c r="AT797" s="3"/>
      <c r="AU797" s="3"/>
      <c r="AV797" s="3"/>
      <c r="AW797" s="3"/>
      <c r="AX797" s="3"/>
      <c r="AY797" s="3"/>
      <c r="AZ797" s="3"/>
      <c r="BA797" s="3"/>
      <c r="BB797" s="3"/>
      <c r="BC797" s="3"/>
    </row>
    <row r="799" spans="1:55">
      <c r="A799" s="1" t="s">
        <v>183</v>
      </c>
      <c r="B799" s="1" t="s">
        <v>29</v>
      </c>
      <c r="C799" s="1" t="s">
        <v>30</v>
      </c>
      <c r="D799" s="1" t="s">
        <v>31</v>
      </c>
      <c r="E799" s="1">
        <v>2000</v>
      </c>
      <c r="F799" s="1">
        <v>2001</v>
      </c>
      <c r="G799" s="1">
        <v>2002</v>
      </c>
      <c r="H799" s="1">
        <v>2003</v>
      </c>
      <c r="I799" s="1">
        <v>2004</v>
      </c>
      <c r="J799" s="1">
        <v>2005</v>
      </c>
      <c r="K799" s="1">
        <v>2006</v>
      </c>
      <c r="L799" s="1">
        <v>2007</v>
      </c>
      <c r="M799" s="1">
        <v>2008</v>
      </c>
      <c r="N799" s="1">
        <v>2009</v>
      </c>
      <c r="O799" s="1">
        <v>2010</v>
      </c>
      <c r="P799" s="1">
        <v>2011</v>
      </c>
      <c r="Q799" s="1">
        <v>2012</v>
      </c>
      <c r="R799" s="1">
        <v>2013</v>
      </c>
      <c r="S799" s="1">
        <v>2014</v>
      </c>
      <c r="T799" s="1">
        <v>2015</v>
      </c>
      <c r="U799" s="1">
        <v>2016</v>
      </c>
      <c r="V799" s="1">
        <v>2017</v>
      </c>
      <c r="W799" s="1">
        <v>2018</v>
      </c>
      <c r="X799" s="1">
        <v>2019</v>
      </c>
      <c r="Y799" s="1">
        <v>2020</v>
      </c>
      <c r="Z799" s="1">
        <v>2021</v>
      </c>
      <c r="AA799" s="1">
        <v>2022</v>
      </c>
      <c r="AB799" s="1">
        <v>2023</v>
      </c>
      <c r="AC799" s="1">
        <v>2024</v>
      </c>
      <c r="AD799" s="1">
        <v>2025</v>
      </c>
      <c r="AE799" s="1">
        <v>2026</v>
      </c>
      <c r="AF799" s="1">
        <v>2027</v>
      </c>
      <c r="AG799" s="1">
        <v>2028</v>
      </c>
      <c r="AH799" s="1">
        <v>2029</v>
      </c>
      <c r="AI799" s="1">
        <v>2030</v>
      </c>
      <c r="AJ799" s="1">
        <v>2031</v>
      </c>
      <c r="AK799" s="1">
        <v>2032</v>
      </c>
      <c r="AL799" s="1">
        <v>2033</v>
      </c>
      <c r="AM799" s="1">
        <v>2034</v>
      </c>
      <c r="AN799" s="1">
        <v>2035</v>
      </c>
      <c r="AO799" s="1">
        <v>2036</v>
      </c>
      <c r="AP799" s="1">
        <v>2037</v>
      </c>
      <c r="AQ799" s="1">
        <v>2038</v>
      </c>
      <c r="AR799" s="1">
        <v>2039</v>
      </c>
      <c r="AS799" s="1">
        <v>2040</v>
      </c>
      <c r="AT799" s="1">
        <v>2041</v>
      </c>
      <c r="AU799" s="1">
        <v>2042</v>
      </c>
      <c r="AV799" s="1">
        <v>2043</v>
      </c>
      <c r="AW799" s="1">
        <v>2044</v>
      </c>
      <c r="AX799" s="1">
        <v>2045</v>
      </c>
      <c r="AY799" s="1">
        <v>2046</v>
      </c>
      <c r="AZ799" s="1">
        <v>2047</v>
      </c>
      <c r="BA799" s="1">
        <v>2048</v>
      </c>
      <c r="BB799" s="1">
        <v>2049</v>
      </c>
      <c r="BC799" s="1">
        <v>2050</v>
      </c>
    </row>
    <row r="800" spans="1:55">
      <c r="A800" s="1" t="str">
        <f>'Population Definitions'!$A$2</f>
        <v>PWID_males</v>
      </c>
      <c r="C800" t="s">
        <v>32</v>
      </c>
      <c r="D800" s="3"/>
      <c r="E800" s="3">
        <v>0</v>
      </c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  <c r="AA800" s="3"/>
      <c r="AB800" s="3"/>
      <c r="AC800" s="3"/>
      <c r="AD800" s="3"/>
      <c r="AE800" s="3"/>
      <c r="AF800" s="3"/>
      <c r="AG800" s="3"/>
      <c r="AH800" s="3"/>
      <c r="AI800" s="3"/>
      <c r="AJ800" s="3"/>
      <c r="AK800" s="3"/>
      <c r="AL800" s="3"/>
      <c r="AM800" s="3"/>
      <c r="AN800" s="3"/>
      <c r="AO800" s="3"/>
      <c r="AP800" s="3"/>
      <c r="AQ800" s="3"/>
      <c r="AR800" s="3"/>
      <c r="AS800" s="3"/>
      <c r="AT800" s="3"/>
      <c r="AU800" s="3"/>
      <c r="AV800" s="3"/>
      <c r="AW800" s="3"/>
      <c r="AX800" s="3"/>
      <c r="AY800" s="3"/>
      <c r="AZ800" s="3"/>
      <c r="BA800" s="3"/>
      <c r="BB800" s="3"/>
      <c r="BC800" s="3"/>
    </row>
    <row r="801" spans="1:55">
      <c r="A801" s="1" t="str">
        <f>'Population Definitions'!$A$3</f>
        <v>PWID_females</v>
      </c>
      <c r="C801" t="s">
        <v>32</v>
      </c>
      <c r="D801" s="3"/>
      <c r="E801" s="3">
        <v>0</v>
      </c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  <c r="AA801" s="3"/>
      <c r="AB801" s="3"/>
      <c r="AC801" s="3"/>
      <c r="AD801" s="3"/>
      <c r="AE801" s="3"/>
      <c r="AF801" s="3"/>
      <c r="AG801" s="3"/>
      <c r="AH801" s="3"/>
      <c r="AI801" s="3"/>
      <c r="AJ801" s="3"/>
      <c r="AK801" s="3"/>
      <c r="AL801" s="3"/>
      <c r="AM801" s="3"/>
      <c r="AN801" s="3"/>
      <c r="AO801" s="3"/>
      <c r="AP801" s="3"/>
      <c r="AQ801" s="3"/>
      <c r="AR801" s="3"/>
      <c r="AS801" s="3"/>
      <c r="AT801" s="3"/>
      <c r="AU801" s="3"/>
      <c r="AV801" s="3"/>
      <c r="AW801" s="3"/>
      <c r="AX801" s="3"/>
      <c r="AY801" s="3"/>
      <c r="AZ801" s="3"/>
      <c r="BA801" s="3"/>
      <c r="BB801" s="3"/>
      <c r="BC801" s="3"/>
    </row>
    <row r="802" spans="1:55">
      <c r="A802" s="1" t="str">
        <f>'Population Definitions'!$A$4</f>
        <v>0-9_males</v>
      </c>
      <c r="C802" t="s">
        <v>32</v>
      </c>
      <c r="D802" s="3"/>
      <c r="E802" s="3">
        <v>0</v>
      </c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  <c r="AA802" s="3"/>
      <c r="AB802" s="3"/>
      <c r="AC802" s="3"/>
      <c r="AD802" s="3"/>
      <c r="AE802" s="3"/>
      <c r="AF802" s="3"/>
      <c r="AG802" s="3"/>
      <c r="AH802" s="3"/>
      <c r="AI802" s="3"/>
      <c r="AJ802" s="3"/>
      <c r="AK802" s="3"/>
      <c r="AL802" s="3"/>
      <c r="AM802" s="3"/>
      <c r="AN802" s="3"/>
      <c r="AO802" s="3"/>
      <c r="AP802" s="3"/>
      <c r="AQ802" s="3"/>
      <c r="AR802" s="3"/>
      <c r="AS802" s="3"/>
      <c r="AT802" s="3"/>
      <c r="AU802" s="3"/>
      <c r="AV802" s="3"/>
      <c r="AW802" s="3"/>
      <c r="AX802" s="3"/>
      <c r="AY802" s="3"/>
      <c r="AZ802" s="3"/>
      <c r="BA802" s="3"/>
      <c r="BB802" s="3"/>
      <c r="BC802" s="3"/>
    </row>
    <row r="803" spans="1:55">
      <c r="A803" s="1" t="str">
        <f>'Population Definitions'!$A$5</f>
        <v>0-9_females</v>
      </c>
      <c r="C803" t="s">
        <v>32</v>
      </c>
      <c r="D803" s="3"/>
      <c r="E803" s="3">
        <v>0</v>
      </c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  <c r="AA803" s="3"/>
      <c r="AB803" s="3"/>
      <c r="AC803" s="3"/>
      <c r="AD803" s="3"/>
      <c r="AE803" s="3"/>
      <c r="AF803" s="3"/>
      <c r="AG803" s="3"/>
      <c r="AH803" s="3"/>
      <c r="AI803" s="3"/>
      <c r="AJ803" s="3"/>
      <c r="AK803" s="3"/>
      <c r="AL803" s="3"/>
      <c r="AM803" s="3"/>
      <c r="AN803" s="3"/>
      <c r="AO803" s="3"/>
      <c r="AP803" s="3"/>
      <c r="AQ803" s="3"/>
      <c r="AR803" s="3"/>
      <c r="AS803" s="3"/>
      <c r="AT803" s="3"/>
      <c r="AU803" s="3"/>
      <c r="AV803" s="3"/>
      <c r="AW803" s="3"/>
      <c r="AX803" s="3"/>
      <c r="AY803" s="3"/>
      <c r="AZ803" s="3"/>
      <c r="BA803" s="3"/>
      <c r="BB803" s="3"/>
      <c r="BC803" s="3"/>
    </row>
    <row r="804" spans="1:55">
      <c r="A804" s="1" t="str">
        <f>'Population Definitions'!$A$6</f>
        <v>10-17_males</v>
      </c>
      <c r="C804" t="s">
        <v>32</v>
      </c>
      <c r="D804" s="3"/>
      <c r="E804" s="3">
        <v>0</v>
      </c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  <c r="AA804" s="3"/>
      <c r="AB804" s="3"/>
      <c r="AC804" s="3"/>
      <c r="AD804" s="3"/>
      <c r="AE804" s="3"/>
      <c r="AF804" s="3"/>
      <c r="AG804" s="3"/>
      <c r="AH804" s="3"/>
      <c r="AI804" s="3"/>
      <c r="AJ804" s="3"/>
      <c r="AK804" s="3"/>
      <c r="AL804" s="3"/>
      <c r="AM804" s="3"/>
      <c r="AN804" s="3"/>
      <c r="AO804" s="3"/>
      <c r="AP804" s="3"/>
      <c r="AQ804" s="3"/>
      <c r="AR804" s="3"/>
      <c r="AS804" s="3"/>
      <c r="AT804" s="3"/>
      <c r="AU804" s="3"/>
      <c r="AV804" s="3"/>
      <c r="AW804" s="3"/>
      <c r="AX804" s="3"/>
      <c r="AY804" s="3"/>
      <c r="AZ804" s="3"/>
      <c r="BA804" s="3"/>
      <c r="BB804" s="3"/>
      <c r="BC804" s="3"/>
    </row>
    <row r="805" spans="1:55">
      <c r="A805" s="1" t="str">
        <f>'Population Definitions'!$A$7</f>
        <v>10-17_females</v>
      </c>
      <c r="C805" t="s">
        <v>32</v>
      </c>
      <c r="D805" s="3"/>
      <c r="E805" s="3">
        <v>0</v>
      </c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  <c r="AA805" s="3"/>
      <c r="AB805" s="3"/>
      <c r="AC805" s="3"/>
      <c r="AD805" s="3"/>
      <c r="AE805" s="3"/>
      <c r="AF805" s="3"/>
      <c r="AG805" s="3"/>
      <c r="AH805" s="3"/>
      <c r="AI805" s="3"/>
      <c r="AJ805" s="3"/>
      <c r="AK805" s="3"/>
      <c r="AL805" s="3"/>
      <c r="AM805" s="3"/>
      <c r="AN805" s="3"/>
      <c r="AO805" s="3"/>
      <c r="AP805" s="3"/>
      <c r="AQ805" s="3"/>
      <c r="AR805" s="3"/>
      <c r="AS805" s="3"/>
      <c r="AT805" s="3"/>
      <c r="AU805" s="3"/>
      <c r="AV805" s="3"/>
      <c r="AW805" s="3"/>
      <c r="AX805" s="3"/>
      <c r="AY805" s="3"/>
      <c r="AZ805" s="3"/>
      <c r="BA805" s="3"/>
      <c r="BB805" s="3"/>
      <c r="BC805" s="3"/>
    </row>
    <row r="806" spans="1:55">
      <c r="A806" s="1" t="str">
        <f>'Population Definitions'!$A$8</f>
        <v>18-64_males</v>
      </c>
      <c r="C806" t="s">
        <v>32</v>
      </c>
      <c r="D806" s="3"/>
      <c r="E806" s="3">
        <v>0</v>
      </c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  <c r="AA806" s="3"/>
      <c r="AB806" s="3"/>
      <c r="AC806" s="3"/>
      <c r="AD806" s="3"/>
      <c r="AE806" s="3"/>
      <c r="AF806" s="3"/>
      <c r="AG806" s="3"/>
      <c r="AH806" s="3"/>
      <c r="AI806" s="3"/>
      <c r="AJ806" s="3"/>
      <c r="AK806" s="3"/>
      <c r="AL806" s="3"/>
      <c r="AM806" s="3"/>
      <c r="AN806" s="3"/>
      <c r="AO806" s="3"/>
      <c r="AP806" s="3"/>
      <c r="AQ806" s="3"/>
      <c r="AR806" s="3"/>
      <c r="AS806" s="3"/>
      <c r="AT806" s="3"/>
      <c r="AU806" s="3"/>
      <c r="AV806" s="3"/>
      <c r="AW806" s="3"/>
      <c r="AX806" s="3"/>
      <c r="AY806" s="3"/>
      <c r="AZ806" s="3"/>
      <c r="BA806" s="3"/>
      <c r="BB806" s="3"/>
      <c r="BC806" s="3"/>
    </row>
    <row r="807" spans="1:55">
      <c r="A807" s="1" t="str">
        <f>'Population Definitions'!$A$9</f>
        <v>18-64_females</v>
      </c>
      <c r="C807" t="s">
        <v>32</v>
      </c>
      <c r="D807" s="3"/>
      <c r="E807" s="3">
        <v>0</v>
      </c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  <c r="AA807" s="3"/>
      <c r="AB807" s="3"/>
      <c r="AC807" s="3"/>
      <c r="AD807" s="3"/>
      <c r="AE807" s="3"/>
      <c r="AF807" s="3"/>
      <c r="AG807" s="3"/>
      <c r="AH807" s="3"/>
      <c r="AI807" s="3"/>
      <c r="AJ807" s="3"/>
      <c r="AK807" s="3"/>
      <c r="AL807" s="3"/>
      <c r="AM807" s="3"/>
      <c r="AN807" s="3"/>
      <c r="AO807" s="3"/>
      <c r="AP807" s="3"/>
      <c r="AQ807" s="3"/>
      <c r="AR807" s="3"/>
      <c r="AS807" s="3"/>
      <c r="AT807" s="3"/>
      <c r="AU807" s="3"/>
      <c r="AV807" s="3"/>
      <c r="AW807" s="3"/>
      <c r="AX807" s="3"/>
      <c r="AY807" s="3"/>
      <c r="AZ807" s="3"/>
      <c r="BA807" s="3"/>
      <c r="BB807" s="3"/>
      <c r="BC807" s="3"/>
    </row>
    <row r="808" spans="1:55">
      <c r="A808" s="1" t="str">
        <f>'Population Definitions'!$A$10</f>
        <v>65+_males</v>
      </c>
      <c r="C808" t="s">
        <v>32</v>
      </c>
      <c r="D808" s="3"/>
      <c r="E808" s="3">
        <v>0</v>
      </c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  <c r="AA808" s="3"/>
      <c r="AB808" s="3"/>
      <c r="AC808" s="3"/>
      <c r="AD808" s="3"/>
      <c r="AE808" s="3"/>
      <c r="AF808" s="3"/>
      <c r="AG808" s="3"/>
      <c r="AH808" s="3"/>
      <c r="AI808" s="3"/>
      <c r="AJ808" s="3"/>
      <c r="AK808" s="3"/>
      <c r="AL808" s="3"/>
      <c r="AM808" s="3"/>
      <c r="AN808" s="3"/>
      <c r="AO808" s="3"/>
      <c r="AP808" s="3"/>
      <c r="AQ808" s="3"/>
      <c r="AR808" s="3"/>
      <c r="AS808" s="3"/>
      <c r="AT808" s="3"/>
      <c r="AU808" s="3"/>
      <c r="AV808" s="3"/>
      <c r="AW808" s="3"/>
      <c r="AX808" s="3"/>
      <c r="AY808" s="3"/>
      <c r="AZ808" s="3"/>
      <c r="BA808" s="3"/>
      <c r="BB808" s="3"/>
      <c r="BC808" s="3"/>
    </row>
    <row r="809" spans="1:55">
      <c r="A809" s="1" t="str">
        <f>'Population Definitions'!$A$11</f>
        <v>65+_females</v>
      </c>
      <c r="C809" t="s">
        <v>32</v>
      </c>
      <c r="D809" s="3"/>
      <c r="E809" s="3">
        <v>0</v>
      </c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  <c r="AA809" s="3"/>
      <c r="AB809" s="3"/>
      <c r="AC809" s="3"/>
      <c r="AD809" s="3"/>
      <c r="AE809" s="3"/>
      <c r="AF809" s="3"/>
      <c r="AG809" s="3"/>
      <c r="AH809" s="3"/>
      <c r="AI809" s="3"/>
      <c r="AJ809" s="3"/>
      <c r="AK809" s="3"/>
      <c r="AL809" s="3"/>
      <c r="AM809" s="3"/>
      <c r="AN809" s="3"/>
      <c r="AO809" s="3"/>
      <c r="AP809" s="3"/>
      <c r="AQ809" s="3"/>
      <c r="AR809" s="3"/>
      <c r="AS809" s="3"/>
      <c r="AT809" s="3"/>
      <c r="AU809" s="3"/>
      <c r="AV809" s="3"/>
      <c r="AW809" s="3"/>
      <c r="AX809" s="3"/>
      <c r="AY809" s="3"/>
      <c r="AZ809" s="3"/>
      <c r="BA809" s="3"/>
      <c r="BB809" s="3"/>
      <c r="BC809" s="3"/>
    </row>
    <row r="810" spans="1:55">
      <c r="A810" s="1" t="str">
        <f>'Population Definitions'!$A$12</f>
        <v>Prisoners_males</v>
      </c>
      <c r="C810" t="s">
        <v>32</v>
      </c>
      <c r="D810" s="3"/>
      <c r="E810" s="3">
        <v>0</v>
      </c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  <c r="AA810" s="3"/>
      <c r="AB810" s="3"/>
      <c r="AC810" s="3"/>
      <c r="AD810" s="3"/>
      <c r="AE810" s="3"/>
      <c r="AF810" s="3"/>
      <c r="AG810" s="3"/>
      <c r="AH810" s="3"/>
      <c r="AI810" s="3"/>
      <c r="AJ810" s="3"/>
      <c r="AK810" s="3"/>
      <c r="AL810" s="3"/>
      <c r="AM810" s="3"/>
      <c r="AN810" s="3"/>
      <c r="AO810" s="3"/>
      <c r="AP810" s="3"/>
      <c r="AQ810" s="3"/>
      <c r="AR810" s="3"/>
      <c r="AS810" s="3"/>
      <c r="AT810" s="3"/>
      <c r="AU810" s="3"/>
      <c r="AV810" s="3"/>
      <c r="AW810" s="3"/>
      <c r="AX810" s="3"/>
      <c r="AY810" s="3"/>
      <c r="AZ810" s="3"/>
      <c r="BA810" s="3"/>
      <c r="BB810" s="3"/>
      <c r="BC810" s="3"/>
    </row>
    <row r="811" spans="1:55">
      <c r="A811" s="1" t="str">
        <f>'Population Definitions'!$A$13</f>
        <v>Prisoners_females</v>
      </c>
      <c r="C811" t="s">
        <v>32</v>
      </c>
      <c r="D811" s="3"/>
      <c r="E811" s="3">
        <v>0</v>
      </c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  <c r="AA811" s="3"/>
      <c r="AB811" s="3"/>
      <c r="AC811" s="3"/>
      <c r="AD811" s="3"/>
      <c r="AE811" s="3"/>
      <c r="AF811" s="3"/>
      <c r="AG811" s="3"/>
      <c r="AH811" s="3"/>
      <c r="AI811" s="3"/>
      <c r="AJ811" s="3"/>
      <c r="AK811" s="3"/>
      <c r="AL811" s="3"/>
      <c r="AM811" s="3"/>
      <c r="AN811" s="3"/>
      <c r="AO811" s="3"/>
      <c r="AP811" s="3"/>
      <c r="AQ811" s="3"/>
      <c r="AR811" s="3"/>
      <c r="AS811" s="3"/>
      <c r="AT811" s="3"/>
      <c r="AU811" s="3"/>
      <c r="AV811" s="3"/>
      <c r="AW811" s="3"/>
      <c r="AX811" s="3"/>
      <c r="AY811" s="3"/>
      <c r="AZ811" s="3"/>
      <c r="BA811" s="3"/>
      <c r="BB811" s="3"/>
      <c r="BC811" s="3"/>
    </row>
    <row r="813" spans="1:55">
      <c r="A813" s="1" t="s">
        <v>184</v>
      </c>
      <c r="B813" s="1" t="s">
        <v>29</v>
      </c>
      <c r="C813" s="1" t="s">
        <v>30</v>
      </c>
      <c r="D813" s="1" t="s">
        <v>31</v>
      </c>
      <c r="E813" s="1">
        <v>2000</v>
      </c>
      <c r="F813" s="1">
        <v>2001</v>
      </c>
      <c r="G813" s="1">
        <v>2002</v>
      </c>
      <c r="H813" s="1">
        <v>2003</v>
      </c>
      <c r="I813" s="1">
        <v>2004</v>
      </c>
      <c r="J813" s="1">
        <v>2005</v>
      </c>
      <c r="K813" s="1">
        <v>2006</v>
      </c>
      <c r="L813" s="1">
        <v>2007</v>
      </c>
      <c r="M813" s="1">
        <v>2008</v>
      </c>
      <c r="N813" s="1">
        <v>2009</v>
      </c>
      <c r="O813" s="1">
        <v>2010</v>
      </c>
      <c r="P813" s="1">
        <v>2011</v>
      </c>
      <c r="Q813" s="1">
        <v>2012</v>
      </c>
      <c r="R813" s="1">
        <v>2013</v>
      </c>
      <c r="S813" s="1">
        <v>2014</v>
      </c>
      <c r="T813" s="1">
        <v>2015</v>
      </c>
      <c r="U813" s="1">
        <v>2016</v>
      </c>
      <c r="V813" s="1">
        <v>2017</v>
      </c>
      <c r="W813" s="1">
        <v>2018</v>
      </c>
      <c r="X813" s="1">
        <v>2019</v>
      </c>
      <c r="Y813" s="1">
        <v>2020</v>
      </c>
      <c r="Z813" s="1">
        <v>2021</v>
      </c>
      <c r="AA813" s="1">
        <v>2022</v>
      </c>
      <c r="AB813" s="1">
        <v>2023</v>
      </c>
      <c r="AC813" s="1">
        <v>2024</v>
      </c>
      <c r="AD813" s="1">
        <v>2025</v>
      </c>
      <c r="AE813" s="1">
        <v>2026</v>
      </c>
      <c r="AF813" s="1">
        <v>2027</v>
      </c>
      <c r="AG813" s="1">
        <v>2028</v>
      </c>
      <c r="AH813" s="1">
        <v>2029</v>
      </c>
      <c r="AI813" s="1">
        <v>2030</v>
      </c>
      <c r="AJ813" s="1">
        <v>2031</v>
      </c>
      <c r="AK813" s="1">
        <v>2032</v>
      </c>
      <c r="AL813" s="1">
        <v>2033</v>
      </c>
      <c r="AM813" s="1">
        <v>2034</v>
      </c>
      <c r="AN813" s="1">
        <v>2035</v>
      </c>
      <c r="AO813" s="1">
        <v>2036</v>
      </c>
      <c r="AP813" s="1">
        <v>2037</v>
      </c>
      <c r="AQ813" s="1">
        <v>2038</v>
      </c>
      <c r="AR813" s="1">
        <v>2039</v>
      </c>
      <c r="AS813" s="1">
        <v>2040</v>
      </c>
      <c r="AT813" s="1">
        <v>2041</v>
      </c>
      <c r="AU813" s="1">
        <v>2042</v>
      </c>
      <c r="AV813" s="1">
        <v>2043</v>
      </c>
      <c r="AW813" s="1">
        <v>2044</v>
      </c>
      <c r="AX813" s="1">
        <v>2045</v>
      </c>
      <c r="AY813" s="1">
        <v>2046</v>
      </c>
      <c r="AZ813" s="1">
        <v>2047</v>
      </c>
      <c r="BA813" s="1">
        <v>2048</v>
      </c>
      <c r="BB813" s="1">
        <v>2049</v>
      </c>
      <c r="BC813" s="1">
        <v>2050</v>
      </c>
    </row>
    <row r="814" spans="1:55">
      <c r="A814" s="1" t="str">
        <f>'Population Definitions'!$A$2</f>
        <v>PWID_males</v>
      </c>
      <c r="C814" t="s">
        <v>32</v>
      </c>
      <c r="D814" s="3"/>
      <c r="E814" s="3">
        <v>0</v>
      </c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  <c r="AA814" s="3"/>
      <c r="AB814" s="3"/>
      <c r="AC814" s="3"/>
      <c r="AD814" s="3"/>
      <c r="AE814" s="3"/>
      <c r="AF814" s="3"/>
      <c r="AG814" s="3"/>
      <c r="AH814" s="3"/>
      <c r="AI814" s="3"/>
      <c r="AJ814" s="3"/>
      <c r="AK814" s="3"/>
      <c r="AL814" s="3"/>
      <c r="AM814" s="3"/>
      <c r="AN814" s="3"/>
      <c r="AO814" s="3"/>
      <c r="AP814" s="3"/>
      <c r="AQ814" s="3"/>
      <c r="AR814" s="3"/>
      <c r="AS814" s="3"/>
      <c r="AT814" s="3"/>
      <c r="AU814" s="3"/>
      <c r="AV814" s="3"/>
      <c r="AW814" s="3"/>
      <c r="AX814" s="3"/>
      <c r="AY814" s="3"/>
      <c r="AZ814" s="3"/>
      <c r="BA814" s="3"/>
      <c r="BB814" s="3"/>
      <c r="BC814" s="3"/>
    </row>
    <row r="815" spans="1:55">
      <c r="A815" s="1" t="str">
        <f>'Population Definitions'!$A$3</f>
        <v>PWID_females</v>
      </c>
      <c r="C815" t="s">
        <v>32</v>
      </c>
      <c r="D815" s="3"/>
      <c r="E815" s="3">
        <v>0</v>
      </c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  <c r="AA815" s="3"/>
      <c r="AB815" s="3"/>
      <c r="AC815" s="3"/>
      <c r="AD815" s="3"/>
      <c r="AE815" s="3"/>
      <c r="AF815" s="3"/>
      <c r="AG815" s="3"/>
      <c r="AH815" s="3"/>
      <c r="AI815" s="3"/>
      <c r="AJ815" s="3"/>
      <c r="AK815" s="3"/>
      <c r="AL815" s="3"/>
      <c r="AM815" s="3"/>
      <c r="AN815" s="3"/>
      <c r="AO815" s="3"/>
      <c r="AP815" s="3"/>
      <c r="AQ815" s="3"/>
      <c r="AR815" s="3"/>
      <c r="AS815" s="3"/>
      <c r="AT815" s="3"/>
      <c r="AU815" s="3"/>
      <c r="AV815" s="3"/>
      <c r="AW815" s="3"/>
      <c r="AX815" s="3"/>
      <c r="AY815" s="3"/>
      <c r="AZ815" s="3"/>
      <c r="BA815" s="3"/>
      <c r="BB815" s="3"/>
      <c r="BC815" s="3"/>
    </row>
    <row r="816" spans="1:55">
      <c r="A816" s="1" t="str">
        <f>'Population Definitions'!$A$4</f>
        <v>0-9_males</v>
      </c>
      <c r="C816" t="s">
        <v>32</v>
      </c>
      <c r="D816" s="3"/>
      <c r="E816" s="3">
        <v>0</v>
      </c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  <c r="AA816" s="3"/>
      <c r="AB816" s="3"/>
      <c r="AC816" s="3"/>
      <c r="AD816" s="3"/>
      <c r="AE816" s="3"/>
      <c r="AF816" s="3"/>
      <c r="AG816" s="3"/>
      <c r="AH816" s="3"/>
      <c r="AI816" s="3"/>
      <c r="AJ816" s="3"/>
      <c r="AK816" s="3"/>
      <c r="AL816" s="3"/>
      <c r="AM816" s="3"/>
      <c r="AN816" s="3"/>
      <c r="AO816" s="3"/>
      <c r="AP816" s="3"/>
      <c r="AQ816" s="3"/>
      <c r="AR816" s="3"/>
      <c r="AS816" s="3"/>
      <c r="AT816" s="3"/>
      <c r="AU816" s="3"/>
      <c r="AV816" s="3"/>
      <c r="AW816" s="3"/>
      <c r="AX816" s="3"/>
      <c r="AY816" s="3"/>
      <c r="AZ816" s="3"/>
      <c r="BA816" s="3"/>
      <c r="BB816" s="3"/>
      <c r="BC816" s="3"/>
    </row>
    <row r="817" spans="1:55">
      <c r="A817" s="1" t="str">
        <f>'Population Definitions'!$A$5</f>
        <v>0-9_females</v>
      </c>
      <c r="C817" t="s">
        <v>32</v>
      </c>
      <c r="D817" s="3"/>
      <c r="E817" s="3">
        <v>0</v>
      </c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  <c r="AA817" s="3"/>
      <c r="AB817" s="3"/>
      <c r="AC817" s="3"/>
      <c r="AD817" s="3"/>
      <c r="AE817" s="3"/>
      <c r="AF817" s="3"/>
      <c r="AG817" s="3"/>
      <c r="AH817" s="3"/>
      <c r="AI817" s="3"/>
      <c r="AJ817" s="3"/>
      <c r="AK817" s="3"/>
      <c r="AL817" s="3"/>
      <c r="AM817" s="3"/>
      <c r="AN817" s="3"/>
      <c r="AO817" s="3"/>
      <c r="AP817" s="3"/>
      <c r="AQ817" s="3"/>
      <c r="AR817" s="3"/>
      <c r="AS817" s="3"/>
      <c r="AT817" s="3"/>
      <c r="AU817" s="3"/>
      <c r="AV817" s="3"/>
      <c r="AW817" s="3"/>
      <c r="AX817" s="3"/>
      <c r="AY817" s="3"/>
      <c r="AZ817" s="3"/>
      <c r="BA817" s="3"/>
      <c r="BB817" s="3"/>
      <c r="BC817" s="3"/>
    </row>
    <row r="818" spans="1:55">
      <c r="A818" s="1" t="str">
        <f>'Population Definitions'!$A$6</f>
        <v>10-17_males</v>
      </c>
      <c r="C818" t="s">
        <v>32</v>
      </c>
      <c r="D818" s="3"/>
      <c r="E818" s="3">
        <v>0</v>
      </c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  <c r="AA818" s="3"/>
      <c r="AB818" s="3"/>
      <c r="AC818" s="3"/>
      <c r="AD818" s="3"/>
      <c r="AE818" s="3"/>
      <c r="AF818" s="3"/>
      <c r="AG818" s="3"/>
      <c r="AH818" s="3"/>
      <c r="AI818" s="3"/>
      <c r="AJ818" s="3"/>
      <c r="AK818" s="3"/>
      <c r="AL818" s="3"/>
      <c r="AM818" s="3"/>
      <c r="AN818" s="3"/>
      <c r="AO818" s="3"/>
      <c r="AP818" s="3"/>
      <c r="AQ818" s="3"/>
      <c r="AR818" s="3"/>
      <c r="AS818" s="3"/>
      <c r="AT818" s="3"/>
      <c r="AU818" s="3"/>
      <c r="AV818" s="3"/>
      <c r="AW818" s="3"/>
      <c r="AX818" s="3"/>
      <c r="AY818" s="3"/>
      <c r="AZ818" s="3"/>
      <c r="BA818" s="3"/>
      <c r="BB818" s="3"/>
      <c r="BC818" s="3"/>
    </row>
    <row r="819" spans="1:55">
      <c r="A819" s="1" t="str">
        <f>'Population Definitions'!$A$7</f>
        <v>10-17_females</v>
      </c>
      <c r="C819" t="s">
        <v>32</v>
      </c>
      <c r="D819" s="3"/>
      <c r="E819" s="3">
        <v>0</v>
      </c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  <c r="AA819" s="3"/>
      <c r="AB819" s="3"/>
      <c r="AC819" s="3"/>
      <c r="AD819" s="3"/>
      <c r="AE819" s="3"/>
      <c r="AF819" s="3"/>
      <c r="AG819" s="3"/>
      <c r="AH819" s="3"/>
      <c r="AI819" s="3"/>
      <c r="AJ819" s="3"/>
      <c r="AK819" s="3"/>
      <c r="AL819" s="3"/>
      <c r="AM819" s="3"/>
      <c r="AN819" s="3"/>
      <c r="AO819" s="3"/>
      <c r="AP819" s="3"/>
      <c r="AQ819" s="3"/>
      <c r="AR819" s="3"/>
      <c r="AS819" s="3"/>
      <c r="AT819" s="3"/>
      <c r="AU819" s="3"/>
      <c r="AV819" s="3"/>
      <c r="AW819" s="3"/>
      <c r="AX819" s="3"/>
      <c r="AY819" s="3"/>
      <c r="AZ819" s="3"/>
      <c r="BA819" s="3"/>
      <c r="BB819" s="3"/>
      <c r="BC819" s="3"/>
    </row>
    <row r="820" spans="1:55">
      <c r="A820" s="1" t="str">
        <f>'Population Definitions'!$A$8</f>
        <v>18-64_males</v>
      </c>
      <c r="C820" t="s">
        <v>32</v>
      </c>
      <c r="D820" s="3"/>
      <c r="E820" s="3">
        <v>0</v>
      </c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  <c r="AA820" s="3"/>
      <c r="AB820" s="3"/>
      <c r="AC820" s="3"/>
      <c r="AD820" s="3"/>
      <c r="AE820" s="3"/>
      <c r="AF820" s="3"/>
      <c r="AG820" s="3"/>
      <c r="AH820" s="3"/>
      <c r="AI820" s="3"/>
      <c r="AJ820" s="3"/>
      <c r="AK820" s="3"/>
      <c r="AL820" s="3"/>
      <c r="AM820" s="3"/>
      <c r="AN820" s="3"/>
      <c r="AO820" s="3"/>
      <c r="AP820" s="3"/>
      <c r="AQ820" s="3"/>
      <c r="AR820" s="3"/>
      <c r="AS820" s="3"/>
      <c r="AT820" s="3"/>
      <c r="AU820" s="3"/>
      <c r="AV820" s="3"/>
      <c r="AW820" s="3"/>
      <c r="AX820" s="3"/>
      <c r="AY820" s="3"/>
      <c r="AZ820" s="3"/>
      <c r="BA820" s="3"/>
      <c r="BB820" s="3"/>
      <c r="BC820" s="3"/>
    </row>
    <row r="821" spans="1:55">
      <c r="A821" s="1" t="str">
        <f>'Population Definitions'!$A$9</f>
        <v>18-64_females</v>
      </c>
      <c r="C821" t="s">
        <v>32</v>
      </c>
      <c r="D821" s="3"/>
      <c r="E821" s="3">
        <v>0</v>
      </c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  <c r="AA821" s="3"/>
      <c r="AB821" s="3"/>
      <c r="AC821" s="3"/>
      <c r="AD821" s="3"/>
      <c r="AE821" s="3"/>
      <c r="AF821" s="3"/>
      <c r="AG821" s="3"/>
      <c r="AH821" s="3"/>
      <c r="AI821" s="3"/>
      <c r="AJ821" s="3"/>
      <c r="AK821" s="3"/>
      <c r="AL821" s="3"/>
      <c r="AM821" s="3"/>
      <c r="AN821" s="3"/>
      <c r="AO821" s="3"/>
      <c r="AP821" s="3"/>
      <c r="AQ821" s="3"/>
      <c r="AR821" s="3"/>
      <c r="AS821" s="3"/>
      <c r="AT821" s="3"/>
      <c r="AU821" s="3"/>
      <c r="AV821" s="3"/>
      <c r="AW821" s="3"/>
      <c r="AX821" s="3"/>
      <c r="AY821" s="3"/>
      <c r="AZ821" s="3"/>
      <c r="BA821" s="3"/>
      <c r="BB821" s="3"/>
      <c r="BC821" s="3"/>
    </row>
    <row r="822" spans="1:55">
      <c r="A822" s="1" t="str">
        <f>'Population Definitions'!$A$10</f>
        <v>65+_males</v>
      </c>
      <c r="C822" t="s">
        <v>32</v>
      </c>
      <c r="D822" s="3"/>
      <c r="E822" s="3">
        <v>0</v>
      </c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  <c r="AA822" s="3"/>
      <c r="AB822" s="3"/>
      <c r="AC822" s="3"/>
      <c r="AD822" s="3"/>
      <c r="AE822" s="3"/>
      <c r="AF822" s="3"/>
      <c r="AG822" s="3"/>
      <c r="AH822" s="3"/>
      <c r="AI822" s="3"/>
      <c r="AJ822" s="3"/>
      <c r="AK822" s="3"/>
      <c r="AL822" s="3"/>
      <c r="AM822" s="3"/>
      <c r="AN822" s="3"/>
      <c r="AO822" s="3"/>
      <c r="AP822" s="3"/>
      <c r="AQ822" s="3"/>
      <c r="AR822" s="3"/>
      <c r="AS822" s="3"/>
      <c r="AT822" s="3"/>
      <c r="AU822" s="3"/>
      <c r="AV822" s="3"/>
      <c r="AW822" s="3"/>
      <c r="AX822" s="3"/>
      <c r="AY822" s="3"/>
      <c r="AZ822" s="3"/>
      <c r="BA822" s="3"/>
      <c r="BB822" s="3"/>
      <c r="BC822" s="3"/>
    </row>
    <row r="823" spans="1:55">
      <c r="A823" s="1" t="str">
        <f>'Population Definitions'!$A$11</f>
        <v>65+_females</v>
      </c>
      <c r="C823" t="s">
        <v>32</v>
      </c>
      <c r="D823" s="3"/>
      <c r="E823" s="3">
        <v>0</v>
      </c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  <c r="AA823" s="3"/>
      <c r="AB823" s="3"/>
      <c r="AC823" s="3"/>
      <c r="AD823" s="3"/>
      <c r="AE823" s="3"/>
      <c r="AF823" s="3"/>
      <c r="AG823" s="3"/>
      <c r="AH823" s="3"/>
      <c r="AI823" s="3"/>
      <c r="AJ823" s="3"/>
      <c r="AK823" s="3"/>
      <c r="AL823" s="3"/>
      <c r="AM823" s="3"/>
      <c r="AN823" s="3"/>
      <c r="AO823" s="3"/>
      <c r="AP823" s="3"/>
      <c r="AQ823" s="3"/>
      <c r="AR823" s="3"/>
      <c r="AS823" s="3"/>
      <c r="AT823" s="3"/>
      <c r="AU823" s="3"/>
      <c r="AV823" s="3"/>
      <c r="AW823" s="3"/>
      <c r="AX823" s="3"/>
      <c r="AY823" s="3"/>
      <c r="AZ823" s="3"/>
      <c r="BA823" s="3"/>
      <c r="BB823" s="3"/>
      <c r="BC823" s="3"/>
    </row>
    <row r="824" spans="1:55">
      <c r="A824" s="1" t="str">
        <f>'Population Definitions'!$A$12</f>
        <v>Prisoners_males</v>
      </c>
      <c r="C824" t="s">
        <v>32</v>
      </c>
      <c r="D824" s="3"/>
      <c r="E824" s="3">
        <v>0</v>
      </c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  <c r="AA824" s="3"/>
      <c r="AB824" s="3"/>
      <c r="AC824" s="3"/>
      <c r="AD824" s="3"/>
      <c r="AE824" s="3"/>
      <c r="AF824" s="3"/>
      <c r="AG824" s="3"/>
      <c r="AH824" s="3"/>
      <c r="AI824" s="3"/>
      <c r="AJ824" s="3"/>
      <c r="AK824" s="3"/>
      <c r="AL824" s="3"/>
      <c r="AM824" s="3"/>
      <c r="AN824" s="3"/>
      <c r="AO824" s="3"/>
      <c r="AP824" s="3"/>
      <c r="AQ824" s="3"/>
      <c r="AR824" s="3"/>
      <c r="AS824" s="3"/>
      <c r="AT824" s="3"/>
      <c r="AU824" s="3"/>
      <c r="AV824" s="3"/>
      <c r="AW824" s="3"/>
      <c r="AX824" s="3"/>
      <c r="AY824" s="3"/>
      <c r="AZ824" s="3"/>
      <c r="BA824" s="3"/>
      <c r="BB824" s="3"/>
      <c r="BC824" s="3"/>
    </row>
    <row r="825" spans="1:55">
      <c r="A825" s="1" t="str">
        <f>'Population Definitions'!$A$13</f>
        <v>Prisoners_females</v>
      </c>
      <c r="C825" t="s">
        <v>32</v>
      </c>
      <c r="D825" s="3"/>
      <c r="E825" s="3">
        <v>0</v>
      </c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  <c r="AA825" s="3"/>
      <c r="AB825" s="3"/>
      <c r="AC825" s="3"/>
      <c r="AD825" s="3"/>
      <c r="AE825" s="3"/>
      <c r="AF825" s="3"/>
      <c r="AG825" s="3"/>
      <c r="AH825" s="3"/>
      <c r="AI825" s="3"/>
      <c r="AJ825" s="3"/>
      <c r="AK825" s="3"/>
      <c r="AL825" s="3"/>
      <c r="AM825" s="3"/>
      <c r="AN825" s="3"/>
      <c r="AO825" s="3"/>
      <c r="AP825" s="3"/>
      <c r="AQ825" s="3"/>
      <c r="AR825" s="3"/>
      <c r="AS825" s="3"/>
      <c r="AT825" s="3"/>
      <c r="AU825" s="3"/>
      <c r="AV825" s="3"/>
      <c r="AW825" s="3"/>
      <c r="AX825" s="3"/>
      <c r="AY825" s="3"/>
      <c r="AZ825" s="3"/>
      <c r="BA825" s="3"/>
      <c r="BB825" s="3"/>
      <c r="BC825" s="3"/>
    </row>
    <row r="827" spans="1:55">
      <c r="A827" s="1" t="s">
        <v>185</v>
      </c>
      <c r="B827" s="1" t="s">
        <v>29</v>
      </c>
      <c r="C827" s="1" t="s">
        <v>30</v>
      </c>
      <c r="D827" s="1" t="s">
        <v>31</v>
      </c>
      <c r="E827" s="1">
        <v>2000</v>
      </c>
      <c r="F827" s="1">
        <v>2001</v>
      </c>
      <c r="G827" s="1">
        <v>2002</v>
      </c>
      <c r="H827" s="1">
        <v>2003</v>
      </c>
      <c r="I827" s="1">
        <v>2004</v>
      </c>
      <c r="J827" s="1">
        <v>2005</v>
      </c>
      <c r="K827" s="1">
        <v>2006</v>
      </c>
      <c r="L827" s="1">
        <v>2007</v>
      </c>
      <c r="M827" s="1">
        <v>2008</v>
      </c>
      <c r="N827" s="1">
        <v>2009</v>
      </c>
      <c r="O827" s="1">
        <v>2010</v>
      </c>
      <c r="P827" s="1">
        <v>2011</v>
      </c>
      <c r="Q827" s="1">
        <v>2012</v>
      </c>
      <c r="R827" s="1">
        <v>2013</v>
      </c>
      <c r="S827" s="1">
        <v>2014</v>
      </c>
      <c r="T827" s="1">
        <v>2015</v>
      </c>
      <c r="U827" s="1">
        <v>2016</v>
      </c>
      <c r="V827" s="1">
        <v>2017</v>
      </c>
      <c r="W827" s="1">
        <v>2018</v>
      </c>
      <c r="X827" s="1">
        <v>2019</v>
      </c>
      <c r="Y827" s="1">
        <v>2020</v>
      </c>
      <c r="Z827" s="1">
        <v>2021</v>
      </c>
      <c r="AA827" s="1">
        <v>2022</v>
      </c>
      <c r="AB827" s="1">
        <v>2023</v>
      </c>
      <c r="AC827" s="1">
        <v>2024</v>
      </c>
      <c r="AD827" s="1">
        <v>2025</v>
      </c>
      <c r="AE827" s="1">
        <v>2026</v>
      </c>
      <c r="AF827" s="1">
        <v>2027</v>
      </c>
      <c r="AG827" s="1">
        <v>2028</v>
      </c>
      <c r="AH827" s="1">
        <v>2029</v>
      </c>
      <c r="AI827" s="1">
        <v>2030</v>
      </c>
      <c r="AJ827" s="1">
        <v>2031</v>
      </c>
      <c r="AK827" s="1">
        <v>2032</v>
      </c>
      <c r="AL827" s="1">
        <v>2033</v>
      </c>
      <c r="AM827" s="1">
        <v>2034</v>
      </c>
      <c r="AN827" s="1">
        <v>2035</v>
      </c>
      <c r="AO827" s="1">
        <v>2036</v>
      </c>
      <c r="AP827" s="1">
        <v>2037</v>
      </c>
      <c r="AQ827" s="1">
        <v>2038</v>
      </c>
      <c r="AR827" s="1">
        <v>2039</v>
      </c>
      <c r="AS827" s="1">
        <v>2040</v>
      </c>
      <c r="AT827" s="1">
        <v>2041</v>
      </c>
      <c r="AU827" s="1">
        <v>2042</v>
      </c>
      <c r="AV827" s="1">
        <v>2043</v>
      </c>
      <c r="AW827" s="1">
        <v>2044</v>
      </c>
      <c r="AX827" s="1">
        <v>2045</v>
      </c>
      <c r="AY827" s="1">
        <v>2046</v>
      </c>
      <c r="AZ827" s="1">
        <v>2047</v>
      </c>
      <c r="BA827" s="1">
        <v>2048</v>
      </c>
      <c r="BB827" s="1">
        <v>2049</v>
      </c>
      <c r="BC827" s="1">
        <v>2050</v>
      </c>
    </row>
    <row r="828" spans="1:55">
      <c r="A828" s="1" t="str">
        <f>'Population Definitions'!$A$2</f>
        <v>PWID_males</v>
      </c>
      <c r="C828" t="s">
        <v>32</v>
      </c>
      <c r="D828" s="3"/>
      <c r="E828" s="3">
        <v>0</v>
      </c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  <c r="AA828" s="3"/>
      <c r="AB828" s="3"/>
      <c r="AC828" s="3"/>
      <c r="AD828" s="3"/>
      <c r="AE828" s="3"/>
      <c r="AF828" s="3"/>
      <c r="AG828" s="3"/>
      <c r="AH828" s="3"/>
      <c r="AI828" s="3"/>
      <c r="AJ828" s="3"/>
      <c r="AK828" s="3"/>
      <c r="AL828" s="3"/>
      <c r="AM828" s="3"/>
      <c r="AN828" s="3"/>
      <c r="AO828" s="3"/>
      <c r="AP828" s="3"/>
      <c r="AQ828" s="3"/>
      <c r="AR828" s="3"/>
      <c r="AS828" s="3"/>
      <c r="AT828" s="3"/>
      <c r="AU828" s="3"/>
      <c r="AV828" s="3"/>
      <c r="AW828" s="3"/>
      <c r="AX828" s="3"/>
      <c r="AY828" s="3"/>
      <c r="AZ828" s="3"/>
      <c r="BA828" s="3"/>
      <c r="BB828" s="3"/>
      <c r="BC828" s="3"/>
    </row>
    <row r="829" spans="1:55">
      <c r="A829" s="1" t="str">
        <f>'Population Definitions'!$A$3</f>
        <v>PWID_females</v>
      </c>
      <c r="C829" t="s">
        <v>32</v>
      </c>
      <c r="D829" s="3"/>
      <c r="E829" s="3">
        <v>0</v>
      </c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  <c r="AA829" s="3"/>
      <c r="AB829" s="3"/>
      <c r="AC829" s="3"/>
      <c r="AD829" s="3"/>
      <c r="AE829" s="3"/>
      <c r="AF829" s="3"/>
      <c r="AG829" s="3"/>
      <c r="AH829" s="3"/>
      <c r="AI829" s="3"/>
      <c r="AJ829" s="3"/>
      <c r="AK829" s="3"/>
      <c r="AL829" s="3"/>
      <c r="AM829" s="3"/>
      <c r="AN829" s="3"/>
      <c r="AO829" s="3"/>
      <c r="AP829" s="3"/>
      <c r="AQ829" s="3"/>
      <c r="AR829" s="3"/>
      <c r="AS829" s="3"/>
      <c r="AT829" s="3"/>
      <c r="AU829" s="3"/>
      <c r="AV829" s="3"/>
      <c r="AW829" s="3"/>
      <c r="AX829" s="3"/>
      <c r="AY829" s="3"/>
      <c r="AZ829" s="3"/>
      <c r="BA829" s="3"/>
      <c r="BB829" s="3"/>
      <c r="BC829" s="3"/>
    </row>
    <row r="830" spans="1:55">
      <c r="A830" s="1" t="str">
        <f>'Population Definitions'!$A$4</f>
        <v>0-9_males</v>
      </c>
      <c r="C830" t="s">
        <v>32</v>
      </c>
      <c r="D830" s="3"/>
      <c r="E830" s="3">
        <v>0</v>
      </c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  <c r="AA830" s="3"/>
      <c r="AB830" s="3"/>
      <c r="AC830" s="3"/>
      <c r="AD830" s="3"/>
      <c r="AE830" s="3"/>
      <c r="AF830" s="3"/>
      <c r="AG830" s="3"/>
      <c r="AH830" s="3"/>
      <c r="AI830" s="3"/>
      <c r="AJ830" s="3"/>
      <c r="AK830" s="3"/>
      <c r="AL830" s="3"/>
      <c r="AM830" s="3"/>
      <c r="AN830" s="3"/>
      <c r="AO830" s="3"/>
      <c r="AP830" s="3"/>
      <c r="AQ830" s="3"/>
      <c r="AR830" s="3"/>
      <c r="AS830" s="3"/>
      <c r="AT830" s="3"/>
      <c r="AU830" s="3"/>
      <c r="AV830" s="3"/>
      <c r="AW830" s="3"/>
      <c r="AX830" s="3"/>
      <c r="AY830" s="3"/>
      <c r="AZ830" s="3"/>
      <c r="BA830" s="3"/>
      <c r="BB830" s="3"/>
      <c r="BC830" s="3"/>
    </row>
    <row r="831" spans="1:55">
      <c r="A831" s="1" t="str">
        <f>'Population Definitions'!$A$5</f>
        <v>0-9_females</v>
      </c>
      <c r="C831" t="s">
        <v>32</v>
      </c>
      <c r="D831" s="3"/>
      <c r="E831" s="3">
        <v>0</v>
      </c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  <c r="AA831" s="3"/>
      <c r="AB831" s="3"/>
      <c r="AC831" s="3"/>
      <c r="AD831" s="3"/>
      <c r="AE831" s="3"/>
      <c r="AF831" s="3"/>
      <c r="AG831" s="3"/>
      <c r="AH831" s="3"/>
      <c r="AI831" s="3"/>
      <c r="AJ831" s="3"/>
      <c r="AK831" s="3"/>
      <c r="AL831" s="3"/>
      <c r="AM831" s="3"/>
      <c r="AN831" s="3"/>
      <c r="AO831" s="3"/>
      <c r="AP831" s="3"/>
      <c r="AQ831" s="3"/>
      <c r="AR831" s="3"/>
      <c r="AS831" s="3"/>
      <c r="AT831" s="3"/>
      <c r="AU831" s="3"/>
      <c r="AV831" s="3"/>
      <c r="AW831" s="3"/>
      <c r="AX831" s="3"/>
      <c r="AY831" s="3"/>
      <c r="AZ831" s="3"/>
      <c r="BA831" s="3"/>
      <c r="BB831" s="3"/>
      <c r="BC831" s="3"/>
    </row>
    <row r="832" spans="1:55">
      <c r="A832" s="1" t="str">
        <f>'Population Definitions'!$A$6</f>
        <v>10-17_males</v>
      </c>
      <c r="C832" t="s">
        <v>32</v>
      </c>
      <c r="D832" s="3"/>
      <c r="E832" s="3">
        <v>0</v>
      </c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  <c r="AA832" s="3"/>
      <c r="AB832" s="3"/>
      <c r="AC832" s="3"/>
      <c r="AD832" s="3"/>
      <c r="AE832" s="3"/>
      <c r="AF832" s="3"/>
      <c r="AG832" s="3"/>
      <c r="AH832" s="3"/>
      <c r="AI832" s="3"/>
      <c r="AJ832" s="3"/>
      <c r="AK832" s="3"/>
      <c r="AL832" s="3"/>
      <c r="AM832" s="3"/>
      <c r="AN832" s="3"/>
      <c r="AO832" s="3"/>
      <c r="AP832" s="3"/>
      <c r="AQ832" s="3"/>
      <c r="AR832" s="3"/>
      <c r="AS832" s="3"/>
      <c r="AT832" s="3"/>
      <c r="AU832" s="3"/>
      <c r="AV832" s="3"/>
      <c r="AW832" s="3"/>
      <c r="AX832" s="3"/>
      <c r="AY832" s="3"/>
      <c r="AZ832" s="3"/>
      <c r="BA832" s="3"/>
      <c r="BB832" s="3"/>
      <c r="BC832" s="3"/>
    </row>
    <row r="833" spans="1:55">
      <c r="A833" s="1" t="str">
        <f>'Population Definitions'!$A$7</f>
        <v>10-17_females</v>
      </c>
      <c r="C833" t="s">
        <v>32</v>
      </c>
      <c r="D833" s="3"/>
      <c r="E833" s="3">
        <v>0</v>
      </c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  <c r="AA833" s="3"/>
      <c r="AB833" s="3"/>
      <c r="AC833" s="3"/>
      <c r="AD833" s="3"/>
      <c r="AE833" s="3"/>
      <c r="AF833" s="3"/>
      <c r="AG833" s="3"/>
      <c r="AH833" s="3"/>
      <c r="AI833" s="3"/>
      <c r="AJ833" s="3"/>
      <c r="AK833" s="3"/>
      <c r="AL833" s="3"/>
      <c r="AM833" s="3"/>
      <c r="AN833" s="3"/>
      <c r="AO833" s="3"/>
      <c r="AP833" s="3"/>
      <c r="AQ833" s="3"/>
      <c r="AR833" s="3"/>
      <c r="AS833" s="3"/>
      <c r="AT833" s="3"/>
      <c r="AU833" s="3"/>
      <c r="AV833" s="3"/>
      <c r="AW833" s="3"/>
      <c r="AX833" s="3"/>
      <c r="AY833" s="3"/>
      <c r="AZ833" s="3"/>
      <c r="BA833" s="3"/>
      <c r="BB833" s="3"/>
      <c r="BC833" s="3"/>
    </row>
    <row r="834" spans="1:55">
      <c r="A834" s="1" t="str">
        <f>'Population Definitions'!$A$8</f>
        <v>18-64_males</v>
      </c>
      <c r="C834" t="s">
        <v>32</v>
      </c>
      <c r="D834" s="3"/>
      <c r="E834" s="3">
        <v>0</v>
      </c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  <c r="AA834" s="3"/>
      <c r="AB834" s="3"/>
      <c r="AC834" s="3"/>
      <c r="AD834" s="3"/>
      <c r="AE834" s="3"/>
      <c r="AF834" s="3"/>
      <c r="AG834" s="3"/>
      <c r="AH834" s="3"/>
      <c r="AI834" s="3"/>
      <c r="AJ834" s="3"/>
      <c r="AK834" s="3"/>
      <c r="AL834" s="3"/>
      <c r="AM834" s="3"/>
      <c r="AN834" s="3"/>
      <c r="AO834" s="3"/>
      <c r="AP834" s="3"/>
      <c r="AQ834" s="3"/>
      <c r="AR834" s="3"/>
      <c r="AS834" s="3"/>
      <c r="AT834" s="3"/>
      <c r="AU834" s="3"/>
      <c r="AV834" s="3"/>
      <c r="AW834" s="3"/>
      <c r="AX834" s="3"/>
      <c r="AY834" s="3"/>
      <c r="AZ834" s="3"/>
      <c r="BA834" s="3"/>
      <c r="BB834" s="3"/>
      <c r="BC834" s="3"/>
    </row>
    <row r="835" spans="1:55">
      <c r="A835" s="1" t="str">
        <f>'Population Definitions'!$A$9</f>
        <v>18-64_females</v>
      </c>
      <c r="C835" t="s">
        <v>32</v>
      </c>
      <c r="D835" s="3"/>
      <c r="E835" s="3">
        <v>0</v>
      </c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  <c r="AA835" s="3"/>
      <c r="AB835" s="3"/>
      <c r="AC835" s="3"/>
      <c r="AD835" s="3"/>
      <c r="AE835" s="3"/>
      <c r="AF835" s="3"/>
      <c r="AG835" s="3"/>
      <c r="AH835" s="3"/>
      <c r="AI835" s="3"/>
      <c r="AJ835" s="3"/>
      <c r="AK835" s="3"/>
      <c r="AL835" s="3"/>
      <c r="AM835" s="3"/>
      <c r="AN835" s="3"/>
      <c r="AO835" s="3"/>
      <c r="AP835" s="3"/>
      <c r="AQ835" s="3"/>
      <c r="AR835" s="3"/>
      <c r="AS835" s="3"/>
      <c r="AT835" s="3"/>
      <c r="AU835" s="3"/>
      <c r="AV835" s="3"/>
      <c r="AW835" s="3"/>
      <c r="AX835" s="3"/>
      <c r="AY835" s="3"/>
      <c r="AZ835" s="3"/>
      <c r="BA835" s="3"/>
      <c r="BB835" s="3"/>
      <c r="BC835" s="3"/>
    </row>
    <row r="836" spans="1:55">
      <c r="A836" s="1" t="str">
        <f>'Population Definitions'!$A$10</f>
        <v>65+_males</v>
      </c>
      <c r="C836" t="s">
        <v>32</v>
      </c>
      <c r="D836" s="3"/>
      <c r="E836" s="3">
        <v>0</v>
      </c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  <c r="AA836" s="3"/>
      <c r="AB836" s="3"/>
      <c r="AC836" s="3"/>
      <c r="AD836" s="3"/>
      <c r="AE836" s="3"/>
      <c r="AF836" s="3"/>
      <c r="AG836" s="3"/>
      <c r="AH836" s="3"/>
      <c r="AI836" s="3"/>
      <c r="AJ836" s="3"/>
      <c r="AK836" s="3"/>
      <c r="AL836" s="3"/>
      <c r="AM836" s="3"/>
      <c r="AN836" s="3"/>
      <c r="AO836" s="3"/>
      <c r="AP836" s="3"/>
      <c r="AQ836" s="3"/>
      <c r="AR836" s="3"/>
      <c r="AS836" s="3"/>
      <c r="AT836" s="3"/>
      <c r="AU836" s="3"/>
      <c r="AV836" s="3"/>
      <c r="AW836" s="3"/>
      <c r="AX836" s="3"/>
      <c r="AY836" s="3"/>
      <c r="AZ836" s="3"/>
      <c r="BA836" s="3"/>
      <c r="BB836" s="3"/>
      <c r="BC836" s="3"/>
    </row>
    <row r="837" spans="1:55">
      <c r="A837" s="1" t="str">
        <f>'Population Definitions'!$A$11</f>
        <v>65+_females</v>
      </c>
      <c r="C837" t="s">
        <v>32</v>
      </c>
      <c r="D837" s="3"/>
      <c r="E837" s="3">
        <v>0</v>
      </c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  <c r="AA837" s="3"/>
      <c r="AB837" s="3"/>
      <c r="AC837" s="3"/>
      <c r="AD837" s="3"/>
      <c r="AE837" s="3"/>
      <c r="AF837" s="3"/>
      <c r="AG837" s="3"/>
      <c r="AH837" s="3"/>
      <c r="AI837" s="3"/>
      <c r="AJ837" s="3"/>
      <c r="AK837" s="3"/>
      <c r="AL837" s="3"/>
      <c r="AM837" s="3"/>
      <c r="AN837" s="3"/>
      <c r="AO837" s="3"/>
      <c r="AP837" s="3"/>
      <c r="AQ837" s="3"/>
      <c r="AR837" s="3"/>
      <c r="AS837" s="3"/>
      <c r="AT837" s="3"/>
      <c r="AU837" s="3"/>
      <c r="AV837" s="3"/>
      <c r="AW837" s="3"/>
      <c r="AX837" s="3"/>
      <c r="AY837" s="3"/>
      <c r="AZ837" s="3"/>
      <c r="BA837" s="3"/>
      <c r="BB837" s="3"/>
      <c r="BC837" s="3"/>
    </row>
    <row r="838" spans="1:55">
      <c r="A838" s="1" t="str">
        <f>'Population Definitions'!$A$12</f>
        <v>Prisoners_males</v>
      </c>
      <c r="C838" t="s">
        <v>32</v>
      </c>
      <c r="D838" s="3"/>
      <c r="E838" s="3">
        <v>0</v>
      </c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  <c r="AA838" s="3"/>
      <c r="AB838" s="3"/>
      <c r="AC838" s="3"/>
      <c r="AD838" s="3"/>
      <c r="AE838" s="3"/>
      <c r="AF838" s="3"/>
      <c r="AG838" s="3"/>
      <c r="AH838" s="3"/>
      <c r="AI838" s="3"/>
      <c r="AJ838" s="3"/>
      <c r="AK838" s="3"/>
      <c r="AL838" s="3"/>
      <c r="AM838" s="3"/>
      <c r="AN838" s="3"/>
      <c r="AO838" s="3"/>
      <c r="AP838" s="3"/>
      <c r="AQ838" s="3"/>
      <c r="AR838" s="3"/>
      <c r="AS838" s="3"/>
      <c r="AT838" s="3"/>
      <c r="AU838" s="3"/>
      <c r="AV838" s="3"/>
      <c r="AW838" s="3"/>
      <c r="AX838" s="3"/>
      <c r="AY838" s="3"/>
      <c r="AZ838" s="3"/>
      <c r="BA838" s="3"/>
      <c r="BB838" s="3"/>
      <c r="BC838" s="3"/>
    </row>
    <row r="839" spans="1:55">
      <c r="A839" s="1" t="str">
        <f>'Population Definitions'!$A$13</f>
        <v>Prisoners_females</v>
      </c>
      <c r="C839" t="s">
        <v>32</v>
      </c>
      <c r="D839" s="3"/>
      <c r="E839" s="3">
        <v>0</v>
      </c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  <c r="AA839" s="3"/>
      <c r="AB839" s="3"/>
      <c r="AC839" s="3"/>
      <c r="AD839" s="3"/>
      <c r="AE839" s="3"/>
      <c r="AF839" s="3"/>
      <c r="AG839" s="3"/>
      <c r="AH839" s="3"/>
      <c r="AI839" s="3"/>
      <c r="AJ839" s="3"/>
      <c r="AK839" s="3"/>
      <c r="AL839" s="3"/>
      <c r="AM839" s="3"/>
      <c r="AN839" s="3"/>
      <c r="AO839" s="3"/>
      <c r="AP839" s="3"/>
      <c r="AQ839" s="3"/>
      <c r="AR839" s="3"/>
      <c r="AS839" s="3"/>
      <c r="AT839" s="3"/>
      <c r="AU839" s="3"/>
      <c r="AV839" s="3"/>
      <c r="AW839" s="3"/>
      <c r="AX839" s="3"/>
      <c r="AY839" s="3"/>
      <c r="AZ839" s="3"/>
      <c r="BA839" s="3"/>
      <c r="BB839" s="3"/>
      <c r="BC839" s="3"/>
    </row>
    <row r="841" spans="1:55">
      <c r="A841" s="1" t="s">
        <v>186</v>
      </c>
      <c r="B841" s="1" t="s">
        <v>29</v>
      </c>
      <c r="C841" s="1" t="s">
        <v>30</v>
      </c>
      <c r="D841" s="1" t="s">
        <v>31</v>
      </c>
      <c r="E841" s="1">
        <v>2000</v>
      </c>
      <c r="F841" s="1">
        <v>2001</v>
      </c>
      <c r="G841" s="1">
        <v>2002</v>
      </c>
      <c r="H841" s="1">
        <v>2003</v>
      </c>
      <c r="I841" s="1">
        <v>2004</v>
      </c>
      <c r="J841" s="1">
        <v>2005</v>
      </c>
      <c r="K841" s="1">
        <v>2006</v>
      </c>
      <c r="L841" s="1">
        <v>2007</v>
      </c>
      <c r="M841" s="1">
        <v>2008</v>
      </c>
      <c r="N841" s="1">
        <v>2009</v>
      </c>
      <c r="O841" s="1">
        <v>2010</v>
      </c>
      <c r="P841" s="1">
        <v>2011</v>
      </c>
      <c r="Q841" s="1">
        <v>2012</v>
      </c>
      <c r="R841" s="1">
        <v>2013</v>
      </c>
      <c r="S841" s="1">
        <v>2014</v>
      </c>
      <c r="T841" s="1">
        <v>2015</v>
      </c>
      <c r="U841" s="1">
        <v>2016</v>
      </c>
      <c r="V841" s="1">
        <v>2017</v>
      </c>
      <c r="W841" s="1">
        <v>2018</v>
      </c>
      <c r="X841" s="1">
        <v>2019</v>
      </c>
      <c r="Y841" s="1">
        <v>2020</v>
      </c>
      <c r="Z841" s="1">
        <v>2021</v>
      </c>
      <c r="AA841" s="1">
        <v>2022</v>
      </c>
      <c r="AB841" s="1">
        <v>2023</v>
      </c>
      <c r="AC841" s="1">
        <v>2024</v>
      </c>
      <c r="AD841" s="1">
        <v>2025</v>
      </c>
      <c r="AE841" s="1">
        <v>2026</v>
      </c>
      <c r="AF841" s="1">
        <v>2027</v>
      </c>
      <c r="AG841" s="1">
        <v>2028</v>
      </c>
      <c r="AH841" s="1">
        <v>2029</v>
      </c>
      <c r="AI841" s="1">
        <v>2030</v>
      </c>
      <c r="AJ841" s="1">
        <v>2031</v>
      </c>
      <c r="AK841" s="1">
        <v>2032</v>
      </c>
      <c r="AL841" s="1">
        <v>2033</v>
      </c>
      <c r="AM841" s="1">
        <v>2034</v>
      </c>
      <c r="AN841" s="1">
        <v>2035</v>
      </c>
      <c r="AO841" s="1">
        <v>2036</v>
      </c>
      <c r="AP841" s="1">
        <v>2037</v>
      </c>
      <c r="AQ841" s="1">
        <v>2038</v>
      </c>
      <c r="AR841" s="1">
        <v>2039</v>
      </c>
      <c r="AS841" s="1">
        <v>2040</v>
      </c>
      <c r="AT841" s="1">
        <v>2041</v>
      </c>
      <c r="AU841" s="1">
        <v>2042</v>
      </c>
      <c r="AV841" s="1">
        <v>2043</v>
      </c>
      <c r="AW841" s="1">
        <v>2044</v>
      </c>
      <c r="AX841" s="1">
        <v>2045</v>
      </c>
      <c r="AY841" s="1">
        <v>2046</v>
      </c>
      <c r="AZ841" s="1">
        <v>2047</v>
      </c>
      <c r="BA841" s="1">
        <v>2048</v>
      </c>
      <c r="BB841" s="1">
        <v>2049</v>
      </c>
      <c r="BC841" s="1">
        <v>2050</v>
      </c>
    </row>
    <row r="842" spans="1:55">
      <c r="A842" s="1" t="str">
        <f>'Population Definitions'!$A$2</f>
        <v>PWID_males</v>
      </c>
      <c r="C842" t="s">
        <v>32</v>
      </c>
      <c r="D842" s="3"/>
      <c r="E842" s="3">
        <v>0</v>
      </c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  <c r="AA842" s="3"/>
      <c r="AB842" s="3"/>
      <c r="AC842" s="3"/>
      <c r="AD842" s="3"/>
      <c r="AE842" s="3"/>
      <c r="AF842" s="3"/>
      <c r="AG842" s="3"/>
      <c r="AH842" s="3"/>
      <c r="AI842" s="3"/>
      <c r="AJ842" s="3"/>
      <c r="AK842" s="3"/>
      <c r="AL842" s="3"/>
      <c r="AM842" s="3"/>
      <c r="AN842" s="3"/>
      <c r="AO842" s="3"/>
      <c r="AP842" s="3"/>
      <c r="AQ842" s="3"/>
      <c r="AR842" s="3"/>
      <c r="AS842" s="3"/>
      <c r="AT842" s="3"/>
      <c r="AU842" s="3"/>
      <c r="AV842" s="3"/>
      <c r="AW842" s="3"/>
      <c r="AX842" s="3"/>
      <c r="AY842" s="3"/>
      <c r="AZ842" s="3"/>
      <c r="BA842" s="3"/>
      <c r="BB842" s="3"/>
      <c r="BC842" s="3"/>
    </row>
    <row r="843" spans="1:55">
      <c r="A843" s="1" t="str">
        <f>'Population Definitions'!$A$3</f>
        <v>PWID_females</v>
      </c>
      <c r="C843" t="s">
        <v>32</v>
      </c>
      <c r="D843" s="3"/>
      <c r="E843" s="3">
        <v>0</v>
      </c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  <c r="AA843" s="3"/>
      <c r="AB843" s="3"/>
      <c r="AC843" s="3"/>
      <c r="AD843" s="3"/>
      <c r="AE843" s="3"/>
      <c r="AF843" s="3"/>
      <c r="AG843" s="3"/>
      <c r="AH843" s="3"/>
      <c r="AI843" s="3"/>
      <c r="AJ843" s="3"/>
      <c r="AK843" s="3"/>
      <c r="AL843" s="3"/>
      <c r="AM843" s="3"/>
      <c r="AN843" s="3"/>
      <c r="AO843" s="3"/>
      <c r="AP843" s="3"/>
      <c r="AQ843" s="3"/>
      <c r="AR843" s="3"/>
      <c r="AS843" s="3"/>
      <c r="AT843" s="3"/>
      <c r="AU843" s="3"/>
      <c r="AV843" s="3"/>
      <c r="AW843" s="3"/>
      <c r="AX843" s="3"/>
      <c r="AY843" s="3"/>
      <c r="AZ843" s="3"/>
      <c r="BA843" s="3"/>
      <c r="BB843" s="3"/>
      <c r="BC843" s="3"/>
    </row>
    <row r="844" spans="1:55">
      <c r="A844" s="1" t="str">
        <f>'Population Definitions'!$A$4</f>
        <v>0-9_males</v>
      </c>
      <c r="C844" t="s">
        <v>32</v>
      </c>
      <c r="D844" s="3"/>
      <c r="E844" s="3">
        <v>0</v>
      </c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  <c r="AA844" s="3"/>
      <c r="AB844" s="3"/>
      <c r="AC844" s="3"/>
      <c r="AD844" s="3"/>
      <c r="AE844" s="3"/>
      <c r="AF844" s="3"/>
      <c r="AG844" s="3"/>
      <c r="AH844" s="3"/>
      <c r="AI844" s="3"/>
      <c r="AJ844" s="3"/>
      <c r="AK844" s="3"/>
      <c r="AL844" s="3"/>
      <c r="AM844" s="3"/>
      <c r="AN844" s="3"/>
      <c r="AO844" s="3"/>
      <c r="AP844" s="3"/>
      <c r="AQ844" s="3"/>
      <c r="AR844" s="3"/>
      <c r="AS844" s="3"/>
      <c r="AT844" s="3"/>
      <c r="AU844" s="3"/>
      <c r="AV844" s="3"/>
      <c r="AW844" s="3"/>
      <c r="AX844" s="3"/>
      <c r="AY844" s="3"/>
      <c r="AZ844" s="3"/>
      <c r="BA844" s="3"/>
      <c r="BB844" s="3"/>
      <c r="BC844" s="3"/>
    </row>
    <row r="845" spans="1:55">
      <c r="A845" s="1" t="str">
        <f>'Population Definitions'!$A$5</f>
        <v>0-9_females</v>
      </c>
      <c r="C845" t="s">
        <v>32</v>
      </c>
      <c r="D845" s="3"/>
      <c r="E845" s="3">
        <v>0</v>
      </c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  <c r="AA845" s="3"/>
      <c r="AB845" s="3"/>
      <c r="AC845" s="3"/>
      <c r="AD845" s="3"/>
      <c r="AE845" s="3"/>
      <c r="AF845" s="3"/>
      <c r="AG845" s="3"/>
      <c r="AH845" s="3"/>
      <c r="AI845" s="3"/>
      <c r="AJ845" s="3"/>
      <c r="AK845" s="3"/>
      <c r="AL845" s="3"/>
      <c r="AM845" s="3"/>
      <c r="AN845" s="3"/>
      <c r="AO845" s="3"/>
      <c r="AP845" s="3"/>
      <c r="AQ845" s="3"/>
      <c r="AR845" s="3"/>
      <c r="AS845" s="3"/>
      <c r="AT845" s="3"/>
      <c r="AU845" s="3"/>
      <c r="AV845" s="3"/>
      <c r="AW845" s="3"/>
      <c r="AX845" s="3"/>
      <c r="AY845" s="3"/>
      <c r="AZ845" s="3"/>
      <c r="BA845" s="3"/>
      <c r="BB845" s="3"/>
      <c r="BC845" s="3"/>
    </row>
    <row r="846" spans="1:55">
      <c r="A846" s="1" t="str">
        <f>'Population Definitions'!$A$6</f>
        <v>10-17_males</v>
      </c>
      <c r="C846" t="s">
        <v>32</v>
      </c>
      <c r="D846" s="3"/>
      <c r="E846" s="3">
        <v>0</v>
      </c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  <c r="AA846" s="3"/>
      <c r="AB846" s="3"/>
      <c r="AC846" s="3"/>
      <c r="AD846" s="3"/>
      <c r="AE846" s="3"/>
      <c r="AF846" s="3"/>
      <c r="AG846" s="3"/>
      <c r="AH846" s="3"/>
      <c r="AI846" s="3"/>
      <c r="AJ846" s="3"/>
      <c r="AK846" s="3"/>
      <c r="AL846" s="3"/>
      <c r="AM846" s="3"/>
      <c r="AN846" s="3"/>
      <c r="AO846" s="3"/>
      <c r="AP846" s="3"/>
      <c r="AQ846" s="3"/>
      <c r="AR846" s="3"/>
      <c r="AS846" s="3"/>
      <c r="AT846" s="3"/>
      <c r="AU846" s="3"/>
      <c r="AV846" s="3"/>
      <c r="AW846" s="3"/>
      <c r="AX846" s="3"/>
      <c r="AY846" s="3"/>
      <c r="AZ846" s="3"/>
      <c r="BA846" s="3"/>
      <c r="BB846" s="3"/>
      <c r="BC846" s="3"/>
    </row>
    <row r="847" spans="1:55">
      <c r="A847" s="1" t="str">
        <f>'Population Definitions'!$A$7</f>
        <v>10-17_females</v>
      </c>
      <c r="C847" t="s">
        <v>32</v>
      </c>
      <c r="D847" s="3"/>
      <c r="E847" s="3">
        <v>0</v>
      </c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  <c r="AA847" s="3"/>
      <c r="AB847" s="3"/>
      <c r="AC847" s="3"/>
      <c r="AD847" s="3"/>
      <c r="AE847" s="3"/>
      <c r="AF847" s="3"/>
      <c r="AG847" s="3"/>
      <c r="AH847" s="3"/>
      <c r="AI847" s="3"/>
      <c r="AJ847" s="3"/>
      <c r="AK847" s="3"/>
      <c r="AL847" s="3"/>
      <c r="AM847" s="3"/>
      <c r="AN847" s="3"/>
      <c r="AO847" s="3"/>
      <c r="AP847" s="3"/>
      <c r="AQ847" s="3"/>
      <c r="AR847" s="3"/>
      <c r="AS847" s="3"/>
      <c r="AT847" s="3"/>
      <c r="AU847" s="3"/>
      <c r="AV847" s="3"/>
      <c r="AW847" s="3"/>
      <c r="AX847" s="3"/>
      <c r="AY847" s="3"/>
      <c r="AZ847" s="3"/>
      <c r="BA847" s="3"/>
      <c r="BB847" s="3"/>
      <c r="BC847" s="3"/>
    </row>
    <row r="848" spans="1:55">
      <c r="A848" s="1" t="str">
        <f>'Population Definitions'!$A$8</f>
        <v>18-64_males</v>
      </c>
      <c r="C848" t="s">
        <v>32</v>
      </c>
      <c r="D848" s="3"/>
      <c r="E848" s="3">
        <v>0</v>
      </c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  <c r="AA848" s="3"/>
      <c r="AB848" s="3"/>
      <c r="AC848" s="3"/>
      <c r="AD848" s="3"/>
      <c r="AE848" s="3"/>
      <c r="AF848" s="3"/>
      <c r="AG848" s="3"/>
      <c r="AH848" s="3"/>
      <c r="AI848" s="3"/>
      <c r="AJ848" s="3"/>
      <c r="AK848" s="3"/>
      <c r="AL848" s="3"/>
      <c r="AM848" s="3"/>
      <c r="AN848" s="3"/>
      <c r="AO848" s="3"/>
      <c r="AP848" s="3"/>
      <c r="AQ848" s="3"/>
      <c r="AR848" s="3"/>
      <c r="AS848" s="3"/>
      <c r="AT848" s="3"/>
      <c r="AU848" s="3"/>
      <c r="AV848" s="3"/>
      <c r="AW848" s="3"/>
      <c r="AX848" s="3"/>
      <c r="AY848" s="3"/>
      <c r="AZ848" s="3"/>
      <c r="BA848" s="3"/>
      <c r="BB848" s="3"/>
      <c r="BC848" s="3"/>
    </row>
    <row r="849" spans="1:55">
      <c r="A849" s="1" t="str">
        <f>'Population Definitions'!$A$9</f>
        <v>18-64_females</v>
      </c>
      <c r="C849" t="s">
        <v>32</v>
      </c>
      <c r="D849" s="3"/>
      <c r="E849" s="3">
        <v>0</v>
      </c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  <c r="AA849" s="3"/>
      <c r="AB849" s="3"/>
      <c r="AC849" s="3"/>
      <c r="AD849" s="3"/>
      <c r="AE849" s="3"/>
      <c r="AF849" s="3"/>
      <c r="AG849" s="3"/>
      <c r="AH849" s="3"/>
      <c r="AI849" s="3"/>
      <c r="AJ849" s="3"/>
      <c r="AK849" s="3"/>
      <c r="AL849" s="3"/>
      <c r="AM849" s="3"/>
      <c r="AN849" s="3"/>
      <c r="AO849" s="3"/>
      <c r="AP849" s="3"/>
      <c r="AQ849" s="3"/>
      <c r="AR849" s="3"/>
      <c r="AS849" s="3"/>
      <c r="AT849" s="3"/>
      <c r="AU849" s="3"/>
      <c r="AV849" s="3"/>
      <c r="AW849" s="3"/>
      <c r="AX849" s="3"/>
      <c r="AY849" s="3"/>
      <c r="AZ849" s="3"/>
      <c r="BA849" s="3"/>
      <c r="BB849" s="3"/>
      <c r="BC849" s="3"/>
    </row>
    <row r="850" spans="1:55">
      <c r="A850" s="1" t="str">
        <f>'Population Definitions'!$A$10</f>
        <v>65+_males</v>
      </c>
      <c r="C850" t="s">
        <v>32</v>
      </c>
      <c r="D850" s="3"/>
      <c r="E850" s="3">
        <v>0</v>
      </c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  <c r="AA850" s="3"/>
      <c r="AB850" s="3"/>
      <c r="AC850" s="3"/>
      <c r="AD850" s="3"/>
      <c r="AE850" s="3"/>
      <c r="AF850" s="3"/>
      <c r="AG850" s="3"/>
      <c r="AH850" s="3"/>
      <c r="AI850" s="3"/>
      <c r="AJ850" s="3"/>
      <c r="AK850" s="3"/>
      <c r="AL850" s="3"/>
      <c r="AM850" s="3"/>
      <c r="AN850" s="3"/>
      <c r="AO850" s="3"/>
      <c r="AP850" s="3"/>
      <c r="AQ850" s="3"/>
      <c r="AR850" s="3"/>
      <c r="AS850" s="3"/>
      <c r="AT850" s="3"/>
      <c r="AU850" s="3"/>
      <c r="AV850" s="3"/>
      <c r="AW850" s="3"/>
      <c r="AX850" s="3"/>
      <c r="AY850" s="3"/>
      <c r="AZ850" s="3"/>
      <c r="BA850" s="3"/>
      <c r="BB850" s="3"/>
      <c r="BC850" s="3"/>
    </row>
    <row r="851" spans="1:55">
      <c r="A851" s="1" t="str">
        <f>'Population Definitions'!$A$11</f>
        <v>65+_females</v>
      </c>
      <c r="C851" t="s">
        <v>32</v>
      </c>
      <c r="D851" s="3"/>
      <c r="E851" s="3">
        <v>0</v>
      </c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  <c r="AA851" s="3"/>
      <c r="AB851" s="3"/>
      <c r="AC851" s="3"/>
      <c r="AD851" s="3"/>
      <c r="AE851" s="3"/>
      <c r="AF851" s="3"/>
      <c r="AG851" s="3"/>
      <c r="AH851" s="3"/>
      <c r="AI851" s="3"/>
      <c r="AJ851" s="3"/>
      <c r="AK851" s="3"/>
      <c r="AL851" s="3"/>
      <c r="AM851" s="3"/>
      <c r="AN851" s="3"/>
      <c r="AO851" s="3"/>
      <c r="AP851" s="3"/>
      <c r="AQ851" s="3"/>
      <c r="AR851" s="3"/>
      <c r="AS851" s="3"/>
      <c r="AT851" s="3"/>
      <c r="AU851" s="3"/>
      <c r="AV851" s="3"/>
      <c r="AW851" s="3"/>
      <c r="AX851" s="3"/>
      <c r="AY851" s="3"/>
      <c r="AZ851" s="3"/>
      <c r="BA851" s="3"/>
      <c r="BB851" s="3"/>
      <c r="BC851" s="3"/>
    </row>
    <row r="852" spans="1:55">
      <c r="A852" s="1" t="str">
        <f>'Population Definitions'!$A$12</f>
        <v>Prisoners_males</v>
      </c>
      <c r="C852" t="s">
        <v>32</v>
      </c>
      <c r="D852" s="3"/>
      <c r="E852" s="3">
        <v>0</v>
      </c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  <c r="AA852" s="3"/>
      <c r="AB852" s="3"/>
      <c r="AC852" s="3"/>
      <c r="AD852" s="3"/>
      <c r="AE852" s="3"/>
      <c r="AF852" s="3"/>
      <c r="AG852" s="3"/>
      <c r="AH852" s="3"/>
      <c r="AI852" s="3"/>
      <c r="AJ852" s="3"/>
      <c r="AK852" s="3"/>
      <c r="AL852" s="3"/>
      <c r="AM852" s="3"/>
      <c r="AN852" s="3"/>
      <c r="AO852" s="3"/>
      <c r="AP852" s="3"/>
      <c r="AQ852" s="3"/>
      <c r="AR852" s="3"/>
      <c r="AS852" s="3"/>
      <c r="AT852" s="3"/>
      <c r="AU852" s="3"/>
      <c r="AV852" s="3"/>
      <c r="AW852" s="3"/>
      <c r="AX852" s="3"/>
      <c r="AY852" s="3"/>
      <c r="AZ852" s="3"/>
      <c r="BA852" s="3"/>
      <c r="BB852" s="3"/>
      <c r="BC852" s="3"/>
    </row>
    <row r="853" spans="1:55">
      <c r="A853" s="1" t="str">
        <f>'Population Definitions'!$A$13</f>
        <v>Prisoners_females</v>
      </c>
      <c r="C853" t="s">
        <v>32</v>
      </c>
      <c r="D853" s="3"/>
      <c r="E853" s="3">
        <v>0</v>
      </c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  <c r="AA853" s="3"/>
      <c r="AB853" s="3"/>
      <c r="AC853" s="3"/>
      <c r="AD853" s="3"/>
      <c r="AE853" s="3"/>
      <c r="AF853" s="3"/>
      <c r="AG853" s="3"/>
      <c r="AH853" s="3"/>
      <c r="AI853" s="3"/>
      <c r="AJ853" s="3"/>
      <c r="AK853" s="3"/>
      <c r="AL853" s="3"/>
      <c r="AM853" s="3"/>
      <c r="AN853" s="3"/>
      <c r="AO853" s="3"/>
      <c r="AP853" s="3"/>
      <c r="AQ853" s="3"/>
      <c r="AR853" s="3"/>
      <c r="AS853" s="3"/>
      <c r="AT853" s="3"/>
      <c r="AU853" s="3"/>
      <c r="AV853" s="3"/>
      <c r="AW853" s="3"/>
      <c r="AX853" s="3"/>
      <c r="AY853" s="3"/>
      <c r="AZ853" s="3"/>
      <c r="BA853" s="3"/>
      <c r="BB853" s="3"/>
      <c r="BC853" s="3"/>
    </row>
    <row r="855" spans="1:55">
      <c r="A855" s="1" t="s">
        <v>187</v>
      </c>
      <c r="B855" s="1" t="s">
        <v>29</v>
      </c>
      <c r="C855" s="1" t="s">
        <v>30</v>
      </c>
      <c r="D855" s="1" t="s">
        <v>31</v>
      </c>
      <c r="E855" s="1">
        <v>2000</v>
      </c>
      <c r="F855" s="1">
        <v>2001</v>
      </c>
      <c r="G855" s="1">
        <v>2002</v>
      </c>
      <c r="H855" s="1">
        <v>2003</v>
      </c>
      <c r="I855" s="1">
        <v>2004</v>
      </c>
      <c r="J855" s="1">
        <v>2005</v>
      </c>
      <c r="K855" s="1">
        <v>2006</v>
      </c>
      <c r="L855" s="1">
        <v>2007</v>
      </c>
      <c r="M855" s="1">
        <v>2008</v>
      </c>
      <c r="N855" s="1">
        <v>2009</v>
      </c>
      <c r="O855" s="1">
        <v>2010</v>
      </c>
      <c r="P855" s="1">
        <v>2011</v>
      </c>
      <c r="Q855" s="1">
        <v>2012</v>
      </c>
      <c r="R855" s="1">
        <v>2013</v>
      </c>
      <c r="S855" s="1">
        <v>2014</v>
      </c>
      <c r="T855" s="1">
        <v>2015</v>
      </c>
      <c r="U855" s="1">
        <v>2016</v>
      </c>
      <c r="V855" s="1">
        <v>2017</v>
      </c>
      <c r="W855" s="1">
        <v>2018</v>
      </c>
      <c r="X855" s="1">
        <v>2019</v>
      </c>
      <c r="Y855" s="1">
        <v>2020</v>
      </c>
      <c r="Z855" s="1">
        <v>2021</v>
      </c>
      <c r="AA855" s="1">
        <v>2022</v>
      </c>
      <c r="AB855" s="1">
        <v>2023</v>
      </c>
      <c r="AC855" s="1">
        <v>2024</v>
      </c>
      <c r="AD855" s="1">
        <v>2025</v>
      </c>
      <c r="AE855" s="1">
        <v>2026</v>
      </c>
      <c r="AF855" s="1">
        <v>2027</v>
      </c>
      <c r="AG855" s="1">
        <v>2028</v>
      </c>
      <c r="AH855" s="1">
        <v>2029</v>
      </c>
      <c r="AI855" s="1">
        <v>2030</v>
      </c>
      <c r="AJ855" s="1">
        <v>2031</v>
      </c>
      <c r="AK855" s="1">
        <v>2032</v>
      </c>
      <c r="AL855" s="1">
        <v>2033</v>
      </c>
      <c r="AM855" s="1">
        <v>2034</v>
      </c>
      <c r="AN855" s="1">
        <v>2035</v>
      </c>
      <c r="AO855" s="1">
        <v>2036</v>
      </c>
      <c r="AP855" s="1">
        <v>2037</v>
      </c>
      <c r="AQ855" s="1">
        <v>2038</v>
      </c>
      <c r="AR855" s="1">
        <v>2039</v>
      </c>
      <c r="AS855" s="1">
        <v>2040</v>
      </c>
      <c r="AT855" s="1">
        <v>2041</v>
      </c>
      <c r="AU855" s="1">
        <v>2042</v>
      </c>
      <c r="AV855" s="1">
        <v>2043</v>
      </c>
      <c r="AW855" s="1">
        <v>2044</v>
      </c>
      <c r="AX855" s="1">
        <v>2045</v>
      </c>
      <c r="AY855" s="1">
        <v>2046</v>
      </c>
      <c r="AZ855" s="1">
        <v>2047</v>
      </c>
      <c r="BA855" s="1">
        <v>2048</v>
      </c>
      <c r="BB855" s="1">
        <v>2049</v>
      </c>
      <c r="BC855" s="1">
        <v>2050</v>
      </c>
    </row>
    <row r="856" spans="1:55">
      <c r="A856" s="1" t="str">
        <f>'Population Definitions'!$A$2</f>
        <v>PWID_males</v>
      </c>
      <c r="C856" t="s">
        <v>32</v>
      </c>
      <c r="D856" s="3"/>
      <c r="E856" s="3">
        <v>0</v>
      </c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  <c r="AA856" s="3"/>
      <c r="AB856" s="3"/>
      <c r="AC856" s="3"/>
      <c r="AD856" s="3"/>
      <c r="AE856" s="3"/>
      <c r="AF856" s="3"/>
      <c r="AG856" s="3"/>
      <c r="AH856" s="3"/>
      <c r="AI856" s="3"/>
      <c r="AJ856" s="3"/>
      <c r="AK856" s="3"/>
      <c r="AL856" s="3"/>
      <c r="AM856" s="3"/>
      <c r="AN856" s="3"/>
      <c r="AO856" s="3"/>
      <c r="AP856" s="3"/>
      <c r="AQ856" s="3"/>
      <c r="AR856" s="3"/>
      <c r="AS856" s="3"/>
      <c r="AT856" s="3"/>
      <c r="AU856" s="3"/>
      <c r="AV856" s="3"/>
      <c r="AW856" s="3"/>
      <c r="AX856" s="3"/>
      <c r="AY856" s="3"/>
      <c r="AZ856" s="3"/>
      <c r="BA856" s="3"/>
      <c r="BB856" s="3"/>
      <c r="BC856" s="3"/>
    </row>
    <row r="857" spans="1:55">
      <c r="A857" s="1" t="str">
        <f>'Population Definitions'!$A$3</f>
        <v>PWID_females</v>
      </c>
      <c r="C857" t="s">
        <v>32</v>
      </c>
      <c r="D857" s="3"/>
      <c r="E857" s="3">
        <v>0</v>
      </c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  <c r="AA857" s="3"/>
      <c r="AB857" s="3"/>
      <c r="AC857" s="3"/>
      <c r="AD857" s="3"/>
      <c r="AE857" s="3"/>
      <c r="AF857" s="3"/>
      <c r="AG857" s="3"/>
      <c r="AH857" s="3"/>
      <c r="AI857" s="3"/>
      <c r="AJ857" s="3"/>
      <c r="AK857" s="3"/>
      <c r="AL857" s="3"/>
      <c r="AM857" s="3"/>
      <c r="AN857" s="3"/>
      <c r="AO857" s="3"/>
      <c r="AP857" s="3"/>
      <c r="AQ857" s="3"/>
      <c r="AR857" s="3"/>
      <c r="AS857" s="3"/>
      <c r="AT857" s="3"/>
      <c r="AU857" s="3"/>
      <c r="AV857" s="3"/>
      <c r="AW857" s="3"/>
      <c r="AX857" s="3"/>
      <c r="AY857" s="3"/>
      <c r="AZ857" s="3"/>
      <c r="BA857" s="3"/>
      <c r="BB857" s="3"/>
      <c r="BC857" s="3"/>
    </row>
    <row r="858" spans="1:55">
      <c r="A858" s="1" t="str">
        <f>'Population Definitions'!$A$4</f>
        <v>0-9_males</v>
      </c>
      <c r="C858" t="s">
        <v>32</v>
      </c>
      <c r="D858" s="3"/>
      <c r="E858" s="3">
        <v>0</v>
      </c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  <c r="AA858" s="3"/>
      <c r="AB858" s="3"/>
      <c r="AC858" s="3"/>
      <c r="AD858" s="3"/>
      <c r="AE858" s="3"/>
      <c r="AF858" s="3"/>
      <c r="AG858" s="3"/>
      <c r="AH858" s="3"/>
      <c r="AI858" s="3"/>
      <c r="AJ858" s="3"/>
      <c r="AK858" s="3"/>
      <c r="AL858" s="3"/>
      <c r="AM858" s="3"/>
      <c r="AN858" s="3"/>
      <c r="AO858" s="3"/>
      <c r="AP858" s="3"/>
      <c r="AQ858" s="3"/>
      <c r="AR858" s="3"/>
      <c r="AS858" s="3"/>
      <c r="AT858" s="3"/>
      <c r="AU858" s="3"/>
      <c r="AV858" s="3"/>
      <c r="AW858" s="3"/>
      <c r="AX858" s="3"/>
      <c r="AY858" s="3"/>
      <c r="AZ858" s="3"/>
      <c r="BA858" s="3"/>
      <c r="BB858" s="3"/>
      <c r="BC858" s="3"/>
    </row>
    <row r="859" spans="1:55">
      <c r="A859" s="1" t="str">
        <f>'Population Definitions'!$A$5</f>
        <v>0-9_females</v>
      </c>
      <c r="C859" t="s">
        <v>32</v>
      </c>
      <c r="D859" s="3"/>
      <c r="E859" s="3">
        <v>0</v>
      </c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  <c r="AA859" s="3"/>
      <c r="AB859" s="3"/>
      <c r="AC859" s="3"/>
      <c r="AD859" s="3"/>
      <c r="AE859" s="3"/>
      <c r="AF859" s="3"/>
      <c r="AG859" s="3"/>
      <c r="AH859" s="3"/>
      <c r="AI859" s="3"/>
      <c r="AJ859" s="3"/>
      <c r="AK859" s="3"/>
      <c r="AL859" s="3"/>
      <c r="AM859" s="3"/>
      <c r="AN859" s="3"/>
      <c r="AO859" s="3"/>
      <c r="AP859" s="3"/>
      <c r="AQ859" s="3"/>
      <c r="AR859" s="3"/>
      <c r="AS859" s="3"/>
      <c r="AT859" s="3"/>
      <c r="AU859" s="3"/>
      <c r="AV859" s="3"/>
      <c r="AW859" s="3"/>
      <c r="AX859" s="3"/>
      <c r="AY859" s="3"/>
      <c r="AZ859" s="3"/>
      <c r="BA859" s="3"/>
      <c r="BB859" s="3"/>
      <c r="BC859" s="3"/>
    </row>
    <row r="860" spans="1:55">
      <c r="A860" s="1" t="str">
        <f>'Population Definitions'!$A$6</f>
        <v>10-17_males</v>
      </c>
      <c r="C860" t="s">
        <v>32</v>
      </c>
      <c r="D860" s="3"/>
      <c r="E860" s="3">
        <v>0</v>
      </c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  <c r="AA860" s="3"/>
      <c r="AB860" s="3"/>
      <c r="AC860" s="3"/>
      <c r="AD860" s="3"/>
      <c r="AE860" s="3"/>
      <c r="AF860" s="3"/>
      <c r="AG860" s="3"/>
      <c r="AH860" s="3"/>
      <c r="AI860" s="3"/>
      <c r="AJ860" s="3"/>
      <c r="AK860" s="3"/>
      <c r="AL860" s="3"/>
      <c r="AM860" s="3"/>
      <c r="AN860" s="3"/>
      <c r="AO860" s="3"/>
      <c r="AP860" s="3"/>
      <c r="AQ860" s="3"/>
      <c r="AR860" s="3"/>
      <c r="AS860" s="3"/>
      <c r="AT860" s="3"/>
      <c r="AU860" s="3"/>
      <c r="AV860" s="3"/>
      <c r="AW860" s="3"/>
      <c r="AX860" s="3"/>
      <c r="AY860" s="3"/>
      <c r="AZ860" s="3"/>
      <c r="BA860" s="3"/>
      <c r="BB860" s="3"/>
      <c r="BC860" s="3"/>
    </row>
    <row r="861" spans="1:55">
      <c r="A861" s="1" t="str">
        <f>'Population Definitions'!$A$7</f>
        <v>10-17_females</v>
      </c>
      <c r="C861" t="s">
        <v>32</v>
      </c>
      <c r="D861" s="3"/>
      <c r="E861" s="3">
        <v>0</v>
      </c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  <c r="AA861" s="3"/>
      <c r="AB861" s="3"/>
      <c r="AC861" s="3"/>
      <c r="AD861" s="3"/>
      <c r="AE861" s="3"/>
      <c r="AF861" s="3"/>
      <c r="AG861" s="3"/>
      <c r="AH861" s="3"/>
      <c r="AI861" s="3"/>
      <c r="AJ861" s="3"/>
      <c r="AK861" s="3"/>
      <c r="AL861" s="3"/>
      <c r="AM861" s="3"/>
      <c r="AN861" s="3"/>
      <c r="AO861" s="3"/>
      <c r="AP861" s="3"/>
      <c r="AQ861" s="3"/>
      <c r="AR861" s="3"/>
      <c r="AS861" s="3"/>
      <c r="AT861" s="3"/>
      <c r="AU861" s="3"/>
      <c r="AV861" s="3"/>
      <c r="AW861" s="3"/>
      <c r="AX861" s="3"/>
      <c r="AY861" s="3"/>
      <c r="AZ861" s="3"/>
      <c r="BA861" s="3"/>
      <c r="BB861" s="3"/>
      <c r="BC861" s="3"/>
    </row>
    <row r="862" spans="1:55">
      <c r="A862" s="1" t="str">
        <f>'Population Definitions'!$A$8</f>
        <v>18-64_males</v>
      </c>
      <c r="C862" t="s">
        <v>32</v>
      </c>
      <c r="D862" s="3"/>
      <c r="E862" s="3">
        <v>0</v>
      </c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  <c r="AA862" s="3"/>
      <c r="AB862" s="3"/>
      <c r="AC862" s="3"/>
      <c r="AD862" s="3"/>
      <c r="AE862" s="3"/>
      <c r="AF862" s="3"/>
      <c r="AG862" s="3"/>
      <c r="AH862" s="3"/>
      <c r="AI862" s="3"/>
      <c r="AJ862" s="3"/>
      <c r="AK862" s="3"/>
      <c r="AL862" s="3"/>
      <c r="AM862" s="3"/>
      <c r="AN862" s="3"/>
      <c r="AO862" s="3"/>
      <c r="AP862" s="3"/>
      <c r="AQ862" s="3"/>
      <c r="AR862" s="3"/>
      <c r="AS862" s="3"/>
      <c r="AT862" s="3"/>
      <c r="AU862" s="3"/>
      <c r="AV862" s="3"/>
      <c r="AW862" s="3"/>
      <c r="AX862" s="3"/>
      <c r="AY862" s="3"/>
      <c r="AZ862" s="3"/>
      <c r="BA862" s="3"/>
      <c r="BB862" s="3"/>
      <c r="BC862" s="3"/>
    </row>
    <row r="863" spans="1:55">
      <c r="A863" s="1" t="str">
        <f>'Population Definitions'!$A$9</f>
        <v>18-64_females</v>
      </c>
      <c r="C863" t="s">
        <v>32</v>
      </c>
      <c r="D863" s="3"/>
      <c r="E863" s="3">
        <v>0</v>
      </c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  <c r="AA863" s="3"/>
      <c r="AB863" s="3"/>
      <c r="AC863" s="3"/>
      <c r="AD863" s="3"/>
      <c r="AE863" s="3"/>
      <c r="AF863" s="3"/>
      <c r="AG863" s="3"/>
      <c r="AH863" s="3"/>
      <c r="AI863" s="3"/>
      <c r="AJ863" s="3"/>
      <c r="AK863" s="3"/>
      <c r="AL863" s="3"/>
      <c r="AM863" s="3"/>
      <c r="AN863" s="3"/>
      <c r="AO863" s="3"/>
      <c r="AP863" s="3"/>
      <c r="AQ863" s="3"/>
      <c r="AR863" s="3"/>
      <c r="AS863" s="3"/>
      <c r="AT863" s="3"/>
      <c r="AU863" s="3"/>
      <c r="AV863" s="3"/>
      <c r="AW863" s="3"/>
      <c r="AX863" s="3"/>
      <c r="AY863" s="3"/>
      <c r="AZ863" s="3"/>
      <c r="BA863" s="3"/>
      <c r="BB863" s="3"/>
      <c r="BC863" s="3"/>
    </row>
    <row r="864" spans="1:55">
      <c r="A864" s="1" t="str">
        <f>'Population Definitions'!$A$10</f>
        <v>65+_males</v>
      </c>
      <c r="C864" t="s">
        <v>32</v>
      </c>
      <c r="D864" s="3"/>
      <c r="E864" s="3">
        <v>0</v>
      </c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  <c r="AA864" s="3"/>
      <c r="AB864" s="3"/>
      <c r="AC864" s="3"/>
      <c r="AD864" s="3"/>
      <c r="AE864" s="3"/>
      <c r="AF864" s="3"/>
      <c r="AG864" s="3"/>
      <c r="AH864" s="3"/>
      <c r="AI864" s="3"/>
      <c r="AJ864" s="3"/>
      <c r="AK864" s="3"/>
      <c r="AL864" s="3"/>
      <c r="AM864" s="3"/>
      <c r="AN864" s="3"/>
      <c r="AO864" s="3"/>
      <c r="AP864" s="3"/>
      <c r="AQ864" s="3"/>
      <c r="AR864" s="3"/>
      <c r="AS864" s="3"/>
      <c r="AT864" s="3"/>
      <c r="AU864" s="3"/>
      <c r="AV864" s="3"/>
      <c r="AW864" s="3"/>
      <c r="AX864" s="3"/>
      <c r="AY864" s="3"/>
      <c r="AZ864" s="3"/>
      <c r="BA864" s="3"/>
      <c r="BB864" s="3"/>
      <c r="BC864" s="3"/>
    </row>
    <row r="865" spans="1:55">
      <c r="A865" s="1" t="str">
        <f>'Population Definitions'!$A$11</f>
        <v>65+_females</v>
      </c>
      <c r="C865" t="s">
        <v>32</v>
      </c>
      <c r="D865" s="3"/>
      <c r="E865" s="3">
        <v>0</v>
      </c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  <c r="AA865" s="3"/>
      <c r="AB865" s="3"/>
      <c r="AC865" s="3"/>
      <c r="AD865" s="3"/>
      <c r="AE865" s="3"/>
      <c r="AF865" s="3"/>
      <c r="AG865" s="3"/>
      <c r="AH865" s="3"/>
      <c r="AI865" s="3"/>
      <c r="AJ865" s="3"/>
      <c r="AK865" s="3"/>
      <c r="AL865" s="3"/>
      <c r="AM865" s="3"/>
      <c r="AN865" s="3"/>
      <c r="AO865" s="3"/>
      <c r="AP865" s="3"/>
      <c r="AQ865" s="3"/>
      <c r="AR865" s="3"/>
      <c r="AS865" s="3"/>
      <c r="AT865" s="3"/>
      <c r="AU865" s="3"/>
      <c r="AV865" s="3"/>
      <c r="AW865" s="3"/>
      <c r="AX865" s="3"/>
      <c r="AY865" s="3"/>
      <c r="AZ865" s="3"/>
      <c r="BA865" s="3"/>
      <c r="BB865" s="3"/>
      <c r="BC865" s="3"/>
    </row>
    <row r="866" spans="1:55">
      <c r="A866" s="1" t="str">
        <f>'Population Definitions'!$A$12</f>
        <v>Prisoners_males</v>
      </c>
      <c r="C866" t="s">
        <v>32</v>
      </c>
      <c r="D866" s="3"/>
      <c r="E866" s="3">
        <v>0</v>
      </c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  <c r="AA866" s="3"/>
      <c r="AB866" s="3"/>
      <c r="AC866" s="3"/>
      <c r="AD866" s="3"/>
      <c r="AE866" s="3"/>
      <c r="AF866" s="3"/>
      <c r="AG866" s="3"/>
      <c r="AH866" s="3"/>
      <c r="AI866" s="3"/>
      <c r="AJ866" s="3"/>
      <c r="AK866" s="3"/>
      <c r="AL866" s="3"/>
      <c r="AM866" s="3"/>
      <c r="AN866" s="3"/>
      <c r="AO866" s="3"/>
      <c r="AP866" s="3"/>
      <c r="AQ866" s="3"/>
      <c r="AR866" s="3"/>
      <c r="AS866" s="3"/>
      <c r="AT866" s="3"/>
      <c r="AU866" s="3"/>
      <c r="AV866" s="3"/>
      <c r="AW866" s="3"/>
      <c r="AX866" s="3"/>
      <c r="AY866" s="3"/>
      <c r="AZ866" s="3"/>
      <c r="BA866" s="3"/>
      <c r="BB866" s="3"/>
      <c r="BC866" s="3"/>
    </row>
    <row r="867" spans="1:55">
      <c r="A867" s="1" t="str">
        <f>'Population Definitions'!$A$13</f>
        <v>Prisoners_females</v>
      </c>
      <c r="C867" t="s">
        <v>32</v>
      </c>
      <c r="D867" s="3"/>
      <c r="E867" s="3">
        <v>0</v>
      </c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  <c r="AA867" s="3"/>
      <c r="AB867" s="3"/>
      <c r="AC867" s="3"/>
      <c r="AD867" s="3"/>
      <c r="AE867" s="3"/>
      <c r="AF867" s="3"/>
      <c r="AG867" s="3"/>
      <c r="AH867" s="3"/>
      <c r="AI867" s="3"/>
      <c r="AJ867" s="3"/>
      <c r="AK867" s="3"/>
      <c r="AL867" s="3"/>
      <c r="AM867" s="3"/>
      <c r="AN867" s="3"/>
      <c r="AO867" s="3"/>
      <c r="AP867" s="3"/>
      <c r="AQ867" s="3"/>
      <c r="AR867" s="3"/>
      <c r="AS867" s="3"/>
      <c r="AT867" s="3"/>
      <c r="AU867" s="3"/>
      <c r="AV867" s="3"/>
      <c r="AW867" s="3"/>
      <c r="AX867" s="3"/>
      <c r="AY867" s="3"/>
      <c r="AZ867" s="3"/>
      <c r="BA867" s="3"/>
      <c r="BB867" s="3"/>
      <c r="BC867" s="3"/>
    </row>
    <row r="869" spans="1:55">
      <c r="A869" s="1" t="s">
        <v>188</v>
      </c>
      <c r="B869" s="1" t="s">
        <v>29</v>
      </c>
      <c r="C869" s="1" t="s">
        <v>30</v>
      </c>
      <c r="D869" s="1" t="s">
        <v>31</v>
      </c>
      <c r="E869" s="1">
        <v>2000</v>
      </c>
      <c r="F869" s="1">
        <v>2001</v>
      </c>
      <c r="G869" s="1">
        <v>2002</v>
      </c>
      <c r="H869" s="1">
        <v>2003</v>
      </c>
      <c r="I869" s="1">
        <v>2004</v>
      </c>
      <c r="J869" s="1">
        <v>2005</v>
      </c>
      <c r="K869" s="1">
        <v>2006</v>
      </c>
      <c r="L869" s="1">
        <v>2007</v>
      </c>
      <c r="M869" s="1">
        <v>2008</v>
      </c>
      <c r="N869" s="1">
        <v>2009</v>
      </c>
      <c r="O869" s="1">
        <v>2010</v>
      </c>
      <c r="P869" s="1">
        <v>2011</v>
      </c>
      <c r="Q869" s="1">
        <v>2012</v>
      </c>
      <c r="R869" s="1">
        <v>2013</v>
      </c>
      <c r="S869" s="1">
        <v>2014</v>
      </c>
      <c r="T869" s="1">
        <v>2015</v>
      </c>
      <c r="U869" s="1">
        <v>2016</v>
      </c>
      <c r="V869" s="1">
        <v>2017</v>
      </c>
      <c r="W869" s="1">
        <v>2018</v>
      </c>
      <c r="X869" s="1">
        <v>2019</v>
      </c>
      <c r="Y869" s="1">
        <v>2020</v>
      </c>
      <c r="Z869" s="1">
        <v>2021</v>
      </c>
      <c r="AA869" s="1">
        <v>2022</v>
      </c>
      <c r="AB869" s="1">
        <v>2023</v>
      </c>
      <c r="AC869" s="1">
        <v>2024</v>
      </c>
      <c r="AD869" s="1">
        <v>2025</v>
      </c>
      <c r="AE869" s="1">
        <v>2026</v>
      </c>
      <c r="AF869" s="1">
        <v>2027</v>
      </c>
      <c r="AG869" s="1">
        <v>2028</v>
      </c>
      <c r="AH869" s="1">
        <v>2029</v>
      </c>
      <c r="AI869" s="1">
        <v>2030</v>
      </c>
      <c r="AJ869" s="1">
        <v>2031</v>
      </c>
      <c r="AK869" s="1">
        <v>2032</v>
      </c>
      <c r="AL869" s="1">
        <v>2033</v>
      </c>
      <c r="AM869" s="1">
        <v>2034</v>
      </c>
      <c r="AN869" s="1">
        <v>2035</v>
      </c>
      <c r="AO869" s="1">
        <v>2036</v>
      </c>
      <c r="AP869" s="1">
        <v>2037</v>
      </c>
      <c r="AQ869" s="1">
        <v>2038</v>
      </c>
      <c r="AR869" s="1">
        <v>2039</v>
      </c>
      <c r="AS869" s="1">
        <v>2040</v>
      </c>
      <c r="AT869" s="1">
        <v>2041</v>
      </c>
      <c r="AU869" s="1">
        <v>2042</v>
      </c>
      <c r="AV869" s="1">
        <v>2043</v>
      </c>
      <c r="AW869" s="1">
        <v>2044</v>
      </c>
      <c r="AX869" s="1">
        <v>2045</v>
      </c>
      <c r="AY869" s="1">
        <v>2046</v>
      </c>
      <c r="AZ869" s="1">
        <v>2047</v>
      </c>
      <c r="BA869" s="1">
        <v>2048</v>
      </c>
      <c r="BB869" s="1">
        <v>2049</v>
      </c>
      <c r="BC869" s="1">
        <v>2050</v>
      </c>
    </row>
    <row r="870" spans="1:55">
      <c r="A870" s="1" t="str">
        <f>'Population Definitions'!$A$2</f>
        <v>PWID_males</v>
      </c>
      <c r="C870" t="s">
        <v>32</v>
      </c>
      <c r="D870" s="3"/>
      <c r="E870" s="3">
        <v>0</v>
      </c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  <c r="AA870" s="3"/>
      <c r="AB870" s="3"/>
      <c r="AC870" s="3"/>
      <c r="AD870" s="3"/>
      <c r="AE870" s="3"/>
      <c r="AF870" s="3"/>
      <c r="AG870" s="3"/>
      <c r="AH870" s="3"/>
      <c r="AI870" s="3"/>
      <c r="AJ870" s="3"/>
      <c r="AK870" s="3"/>
      <c r="AL870" s="3"/>
      <c r="AM870" s="3"/>
      <c r="AN870" s="3"/>
      <c r="AO870" s="3"/>
      <c r="AP870" s="3"/>
      <c r="AQ870" s="3"/>
      <c r="AR870" s="3"/>
      <c r="AS870" s="3"/>
      <c r="AT870" s="3"/>
      <c r="AU870" s="3"/>
      <c r="AV870" s="3"/>
      <c r="AW870" s="3"/>
      <c r="AX870" s="3"/>
      <c r="AY870" s="3"/>
      <c r="AZ870" s="3"/>
      <c r="BA870" s="3"/>
      <c r="BB870" s="3"/>
      <c r="BC870" s="3"/>
    </row>
    <row r="871" spans="1:55">
      <c r="A871" s="1" t="str">
        <f>'Population Definitions'!$A$3</f>
        <v>PWID_females</v>
      </c>
      <c r="C871" t="s">
        <v>32</v>
      </c>
      <c r="D871" s="3"/>
      <c r="E871" s="3">
        <v>0</v>
      </c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  <c r="AA871" s="3"/>
      <c r="AB871" s="3"/>
      <c r="AC871" s="3"/>
      <c r="AD871" s="3"/>
      <c r="AE871" s="3"/>
      <c r="AF871" s="3"/>
      <c r="AG871" s="3"/>
      <c r="AH871" s="3"/>
      <c r="AI871" s="3"/>
      <c r="AJ871" s="3"/>
      <c r="AK871" s="3"/>
      <c r="AL871" s="3"/>
      <c r="AM871" s="3"/>
      <c r="AN871" s="3"/>
      <c r="AO871" s="3"/>
      <c r="AP871" s="3"/>
      <c r="AQ871" s="3"/>
      <c r="AR871" s="3"/>
      <c r="AS871" s="3"/>
      <c r="AT871" s="3"/>
      <c r="AU871" s="3"/>
      <c r="AV871" s="3"/>
      <c r="AW871" s="3"/>
      <c r="AX871" s="3"/>
      <c r="AY871" s="3"/>
      <c r="AZ871" s="3"/>
      <c r="BA871" s="3"/>
      <c r="BB871" s="3"/>
      <c r="BC871" s="3"/>
    </row>
    <row r="872" spans="1:55">
      <c r="A872" s="1" t="str">
        <f>'Population Definitions'!$A$4</f>
        <v>0-9_males</v>
      </c>
      <c r="C872" t="s">
        <v>32</v>
      </c>
      <c r="D872" s="3"/>
      <c r="E872" s="3">
        <v>0</v>
      </c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  <c r="AA872" s="3"/>
      <c r="AB872" s="3"/>
      <c r="AC872" s="3"/>
      <c r="AD872" s="3"/>
      <c r="AE872" s="3"/>
      <c r="AF872" s="3"/>
      <c r="AG872" s="3"/>
      <c r="AH872" s="3"/>
      <c r="AI872" s="3"/>
      <c r="AJ872" s="3"/>
      <c r="AK872" s="3"/>
      <c r="AL872" s="3"/>
      <c r="AM872" s="3"/>
      <c r="AN872" s="3"/>
      <c r="AO872" s="3"/>
      <c r="AP872" s="3"/>
      <c r="AQ872" s="3"/>
      <c r="AR872" s="3"/>
      <c r="AS872" s="3"/>
      <c r="AT872" s="3"/>
      <c r="AU872" s="3"/>
      <c r="AV872" s="3"/>
      <c r="AW872" s="3"/>
      <c r="AX872" s="3"/>
      <c r="AY872" s="3"/>
      <c r="AZ872" s="3"/>
      <c r="BA872" s="3"/>
      <c r="BB872" s="3"/>
      <c r="BC872" s="3"/>
    </row>
    <row r="873" spans="1:55">
      <c r="A873" s="1" t="str">
        <f>'Population Definitions'!$A$5</f>
        <v>0-9_females</v>
      </c>
      <c r="C873" t="s">
        <v>32</v>
      </c>
      <c r="D873" s="3"/>
      <c r="E873" s="3">
        <v>0</v>
      </c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  <c r="AA873" s="3"/>
      <c r="AB873" s="3"/>
      <c r="AC873" s="3"/>
      <c r="AD873" s="3"/>
      <c r="AE873" s="3"/>
      <c r="AF873" s="3"/>
      <c r="AG873" s="3"/>
      <c r="AH873" s="3"/>
      <c r="AI873" s="3"/>
      <c r="AJ873" s="3"/>
      <c r="AK873" s="3"/>
      <c r="AL873" s="3"/>
      <c r="AM873" s="3"/>
      <c r="AN873" s="3"/>
      <c r="AO873" s="3"/>
      <c r="AP873" s="3"/>
      <c r="AQ873" s="3"/>
      <c r="AR873" s="3"/>
      <c r="AS873" s="3"/>
      <c r="AT873" s="3"/>
      <c r="AU873" s="3"/>
      <c r="AV873" s="3"/>
      <c r="AW873" s="3"/>
      <c r="AX873" s="3"/>
      <c r="AY873" s="3"/>
      <c r="AZ873" s="3"/>
      <c r="BA873" s="3"/>
      <c r="BB873" s="3"/>
      <c r="BC873" s="3"/>
    </row>
    <row r="874" spans="1:55">
      <c r="A874" s="1" t="str">
        <f>'Population Definitions'!$A$6</f>
        <v>10-17_males</v>
      </c>
      <c r="C874" t="s">
        <v>32</v>
      </c>
      <c r="D874" s="3"/>
      <c r="E874" s="3">
        <v>0</v>
      </c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  <c r="AA874" s="3"/>
      <c r="AB874" s="3"/>
      <c r="AC874" s="3"/>
      <c r="AD874" s="3"/>
      <c r="AE874" s="3"/>
      <c r="AF874" s="3"/>
      <c r="AG874" s="3"/>
      <c r="AH874" s="3"/>
      <c r="AI874" s="3"/>
      <c r="AJ874" s="3"/>
      <c r="AK874" s="3"/>
      <c r="AL874" s="3"/>
      <c r="AM874" s="3"/>
      <c r="AN874" s="3"/>
      <c r="AO874" s="3"/>
      <c r="AP874" s="3"/>
      <c r="AQ874" s="3"/>
      <c r="AR874" s="3"/>
      <c r="AS874" s="3"/>
      <c r="AT874" s="3"/>
      <c r="AU874" s="3"/>
      <c r="AV874" s="3"/>
      <c r="AW874" s="3"/>
      <c r="AX874" s="3"/>
      <c r="AY874" s="3"/>
      <c r="AZ874" s="3"/>
      <c r="BA874" s="3"/>
      <c r="BB874" s="3"/>
      <c r="BC874" s="3"/>
    </row>
    <row r="875" spans="1:55">
      <c r="A875" s="1" t="str">
        <f>'Population Definitions'!$A$7</f>
        <v>10-17_females</v>
      </c>
      <c r="C875" t="s">
        <v>32</v>
      </c>
      <c r="D875" s="3"/>
      <c r="E875" s="3">
        <v>0</v>
      </c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  <c r="AA875" s="3"/>
      <c r="AB875" s="3"/>
      <c r="AC875" s="3"/>
      <c r="AD875" s="3"/>
      <c r="AE875" s="3"/>
      <c r="AF875" s="3"/>
      <c r="AG875" s="3"/>
      <c r="AH875" s="3"/>
      <c r="AI875" s="3"/>
      <c r="AJ875" s="3"/>
      <c r="AK875" s="3"/>
      <c r="AL875" s="3"/>
      <c r="AM875" s="3"/>
      <c r="AN875" s="3"/>
      <c r="AO875" s="3"/>
      <c r="AP875" s="3"/>
      <c r="AQ875" s="3"/>
      <c r="AR875" s="3"/>
      <c r="AS875" s="3"/>
      <c r="AT875" s="3"/>
      <c r="AU875" s="3"/>
      <c r="AV875" s="3"/>
      <c r="AW875" s="3"/>
      <c r="AX875" s="3"/>
      <c r="AY875" s="3"/>
      <c r="AZ875" s="3"/>
      <c r="BA875" s="3"/>
      <c r="BB875" s="3"/>
      <c r="BC875" s="3"/>
    </row>
    <row r="876" spans="1:55">
      <c r="A876" s="1" t="str">
        <f>'Population Definitions'!$A$8</f>
        <v>18-64_males</v>
      </c>
      <c r="C876" t="s">
        <v>32</v>
      </c>
      <c r="D876" s="3"/>
      <c r="E876" s="3">
        <v>0</v>
      </c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  <c r="AA876" s="3"/>
      <c r="AB876" s="3"/>
      <c r="AC876" s="3"/>
      <c r="AD876" s="3"/>
      <c r="AE876" s="3"/>
      <c r="AF876" s="3"/>
      <c r="AG876" s="3"/>
      <c r="AH876" s="3"/>
      <c r="AI876" s="3"/>
      <c r="AJ876" s="3"/>
      <c r="AK876" s="3"/>
      <c r="AL876" s="3"/>
      <c r="AM876" s="3"/>
      <c r="AN876" s="3"/>
      <c r="AO876" s="3"/>
      <c r="AP876" s="3"/>
      <c r="AQ876" s="3"/>
      <c r="AR876" s="3"/>
      <c r="AS876" s="3"/>
      <c r="AT876" s="3"/>
      <c r="AU876" s="3"/>
      <c r="AV876" s="3"/>
      <c r="AW876" s="3"/>
      <c r="AX876" s="3"/>
      <c r="AY876" s="3"/>
      <c r="AZ876" s="3"/>
      <c r="BA876" s="3"/>
      <c r="BB876" s="3"/>
      <c r="BC876" s="3"/>
    </row>
    <row r="877" spans="1:55">
      <c r="A877" s="1" t="str">
        <f>'Population Definitions'!$A$9</f>
        <v>18-64_females</v>
      </c>
      <c r="C877" t="s">
        <v>32</v>
      </c>
      <c r="D877" s="3"/>
      <c r="E877" s="3">
        <v>0</v>
      </c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  <c r="AA877" s="3"/>
      <c r="AB877" s="3"/>
      <c r="AC877" s="3"/>
      <c r="AD877" s="3"/>
      <c r="AE877" s="3"/>
      <c r="AF877" s="3"/>
      <c r="AG877" s="3"/>
      <c r="AH877" s="3"/>
      <c r="AI877" s="3"/>
      <c r="AJ877" s="3"/>
      <c r="AK877" s="3"/>
      <c r="AL877" s="3"/>
      <c r="AM877" s="3"/>
      <c r="AN877" s="3"/>
      <c r="AO877" s="3"/>
      <c r="AP877" s="3"/>
      <c r="AQ877" s="3"/>
      <c r="AR877" s="3"/>
      <c r="AS877" s="3"/>
      <c r="AT877" s="3"/>
      <c r="AU877" s="3"/>
      <c r="AV877" s="3"/>
      <c r="AW877" s="3"/>
      <c r="AX877" s="3"/>
      <c r="AY877" s="3"/>
      <c r="AZ877" s="3"/>
      <c r="BA877" s="3"/>
      <c r="BB877" s="3"/>
      <c r="BC877" s="3"/>
    </row>
    <row r="878" spans="1:55">
      <c r="A878" s="1" t="str">
        <f>'Population Definitions'!$A$10</f>
        <v>65+_males</v>
      </c>
      <c r="C878" t="s">
        <v>32</v>
      </c>
      <c r="D878" s="3"/>
      <c r="E878" s="3">
        <v>0</v>
      </c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  <c r="AA878" s="3"/>
      <c r="AB878" s="3"/>
      <c r="AC878" s="3"/>
      <c r="AD878" s="3"/>
      <c r="AE878" s="3"/>
      <c r="AF878" s="3"/>
      <c r="AG878" s="3"/>
      <c r="AH878" s="3"/>
      <c r="AI878" s="3"/>
      <c r="AJ878" s="3"/>
      <c r="AK878" s="3"/>
      <c r="AL878" s="3"/>
      <c r="AM878" s="3"/>
      <c r="AN878" s="3"/>
      <c r="AO878" s="3"/>
      <c r="AP878" s="3"/>
      <c r="AQ878" s="3"/>
      <c r="AR878" s="3"/>
      <c r="AS878" s="3"/>
      <c r="AT878" s="3"/>
      <c r="AU878" s="3"/>
      <c r="AV878" s="3"/>
      <c r="AW878" s="3"/>
      <c r="AX878" s="3"/>
      <c r="AY878" s="3"/>
      <c r="AZ878" s="3"/>
      <c r="BA878" s="3"/>
      <c r="BB878" s="3"/>
      <c r="BC878" s="3"/>
    </row>
    <row r="879" spans="1:55">
      <c r="A879" s="1" t="str">
        <f>'Population Definitions'!$A$11</f>
        <v>65+_females</v>
      </c>
      <c r="C879" t="s">
        <v>32</v>
      </c>
      <c r="D879" s="3"/>
      <c r="E879" s="3">
        <v>0</v>
      </c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  <c r="AA879" s="3"/>
      <c r="AB879" s="3"/>
      <c r="AC879" s="3"/>
      <c r="AD879" s="3"/>
      <c r="AE879" s="3"/>
      <c r="AF879" s="3"/>
      <c r="AG879" s="3"/>
      <c r="AH879" s="3"/>
      <c r="AI879" s="3"/>
      <c r="AJ879" s="3"/>
      <c r="AK879" s="3"/>
      <c r="AL879" s="3"/>
      <c r="AM879" s="3"/>
      <c r="AN879" s="3"/>
      <c r="AO879" s="3"/>
      <c r="AP879" s="3"/>
      <c r="AQ879" s="3"/>
      <c r="AR879" s="3"/>
      <c r="AS879" s="3"/>
      <c r="AT879" s="3"/>
      <c r="AU879" s="3"/>
      <c r="AV879" s="3"/>
      <c r="AW879" s="3"/>
      <c r="AX879" s="3"/>
      <c r="AY879" s="3"/>
      <c r="AZ879" s="3"/>
      <c r="BA879" s="3"/>
      <c r="BB879" s="3"/>
      <c r="BC879" s="3"/>
    </row>
    <row r="880" spans="1:55">
      <c r="A880" s="1" t="str">
        <f>'Population Definitions'!$A$12</f>
        <v>Prisoners_males</v>
      </c>
      <c r="C880" t="s">
        <v>32</v>
      </c>
      <c r="D880" s="3"/>
      <c r="E880" s="3">
        <v>0</v>
      </c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  <c r="AA880" s="3"/>
      <c r="AB880" s="3"/>
      <c r="AC880" s="3"/>
      <c r="AD880" s="3"/>
      <c r="AE880" s="3"/>
      <c r="AF880" s="3"/>
      <c r="AG880" s="3"/>
      <c r="AH880" s="3"/>
      <c r="AI880" s="3"/>
      <c r="AJ880" s="3"/>
      <c r="AK880" s="3"/>
      <c r="AL880" s="3"/>
      <c r="AM880" s="3"/>
      <c r="AN880" s="3"/>
      <c r="AO880" s="3"/>
      <c r="AP880" s="3"/>
      <c r="AQ880" s="3"/>
      <c r="AR880" s="3"/>
      <c r="AS880" s="3"/>
      <c r="AT880" s="3"/>
      <c r="AU880" s="3"/>
      <c r="AV880" s="3"/>
      <c r="AW880" s="3"/>
      <c r="AX880" s="3"/>
      <c r="AY880" s="3"/>
      <c r="AZ880" s="3"/>
      <c r="BA880" s="3"/>
      <c r="BB880" s="3"/>
      <c r="BC880" s="3"/>
    </row>
    <row r="881" spans="1:55">
      <c r="A881" s="1" t="str">
        <f>'Population Definitions'!$A$13</f>
        <v>Prisoners_females</v>
      </c>
      <c r="C881" t="s">
        <v>32</v>
      </c>
      <c r="D881" s="3"/>
      <c r="E881" s="3">
        <v>0</v>
      </c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  <c r="AA881" s="3"/>
      <c r="AB881" s="3"/>
      <c r="AC881" s="3"/>
      <c r="AD881" s="3"/>
      <c r="AE881" s="3"/>
      <c r="AF881" s="3"/>
      <c r="AG881" s="3"/>
      <c r="AH881" s="3"/>
      <c r="AI881" s="3"/>
      <c r="AJ881" s="3"/>
      <c r="AK881" s="3"/>
      <c r="AL881" s="3"/>
      <c r="AM881" s="3"/>
      <c r="AN881" s="3"/>
      <c r="AO881" s="3"/>
      <c r="AP881" s="3"/>
      <c r="AQ881" s="3"/>
      <c r="AR881" s="3"/>
      <c r="AS881" s="3"/>
      <c r="AT881" s="3"/>
      <c r="AU881" s="3"/>
      <c r="AV881" s="3"/>
      <c r="AW881" s="3"/>
      <c r="AX881" s="3"/>
      <c r="AY881" s="3"/>
      <c r="AZ881" s="3"/>
      <c r="BA881" s="3"/>
      <c r="BB881" s="3"/>
      <c r="BC881" s="3"/>
    </row>
    <row r="883" spans="1:55">
      <c r="A883" s="1" t="s">
        <v>189</v>
      </c>
      <c r="B883" s="1" t="s">
        <v>29</v>
      </c>
      <c r="C883" s="1" t="s">
        <v>30</v>
      </c>
      <c r="D883" s="1" t="s">
        <v>31</v>
      </c>
      <c r="E883" s="1">
        <v>2000</v>
      </c>
      <c r="F883" s="1">
        <v>2001</v>
      </c>
      <c r="G883" s="1">
        <v>2002</v>
      </c>
      <c r="H883" s="1">
        <v>2003</v>
      </c>
      <c r="I883" s="1">
        <v>2004</v>
      </c>
      <c r="J883" s="1">
        <v>2005</v>
      </c>
      <c r="K883" s="1">
        <v>2006</v>
      </c>
      <c r="L883" s="1">
        <v>2007</v>
      </c>
      <c r="M883" s="1">
        <v>2008</v>
      </c>
      <c r="N883" s="1">
        <v>2009</v>
      </c>
      <c r="O883" s="1">
        <v>2010</v>
      </c>
      <c r="P883" s="1">
        <v>2011</v>
      </c>
      <c r="Q883" s="1">
        <v>2012</v>
      </c>
      <c r="R883" s="1">
        <v>2013</v>
      </c>
      <c r="S883" s="1">
        <v>2014</v>
      </c>
      <c r="T883" s="1">
        <v>2015</v>
      </c>
      <c r="U883" s="1">
        <v>2016</v>
      </c>
      <c r="V883" s="1">
        <v>2017</v>
      </c>
      <c r="W883" s="1">
        <v>2018</v>
      </c>
      <c r="X883" s="1">
        <v>2019</v>
      </c>
      <c r="Y883" s="1">
        <v>2020</v>
      </c>
      <c r="Z883" s="1">
        <v>2021</v>
      </c>
      <c r="AA883" s="1">
        <v>2022</v>
      </c>
      <c r="AB883" s="1">
        <v>2023</v>
      </c>
      <c r="AC883" s="1">
        <v>2024</v>
      </c>
      <c r="AD883" s="1">
        <v>2025</v>
      </c>
      <c r="AE883" s="1">
        <v>2026</v>
      </c>
      <c r="AF883" s="1">
        <v>2027</v>
      </c>
      <c r="AG883" s="1">
        <v>2028</v>
      </c>
      <c r="AH883" s="1">
        <v>2029</v>
      </c>
      <c r="AI883" s="1">
        <v>2030</v>
      </c>
      <c r="AJ883" s="1">
        <v>2031</v>
      </c>
      <c r="AK883" s="1">
        <v>2032</v>
      </c>
      <c r="AL883" s="1">
        <v>2033</v>
      </c>
      <c r="AM883" s="1">
        <v>2034</v>
      </c>
      <c r="AN883" s="1">
        <v>2035</v>
      </c>
      <c r="AO883" s="1">
        <v>2036</v>
      </c>
      <c r="AP883" s="1">
        <v>2037</v>
      </c>
      <c r="AQ883" s="1">
        <v>2038</v>
      </c>
      <c r="AR883" s="1">
        <v>2039</v>
      </c>
      <c r="AS883" s="1">
        <v>2040</v>
      </c>
      <c r="AT883" s="1">
        <v>2041</v>
      </c>
      <c r="AU883" s="1">
        <v>2042</v>
      </c>
      <c r="AV883" s="1">
        <v>2043</v>
      </c>
      <c r="AW883" s="1">
        <v>2044</v>
      </c>
      <c r="AX883" s="1">
        <v>2045</v>
      </c>
      <c r="AY883" s="1">
        <v>2046</v>
      </c>
      <c r="AZ883" s="1">
        <v>2047</v>
      </c>
      <c r="BA883" s="1">
        <v>2048</v>
      </c>
      <c r="BB883" s="1">
        <v>2049</v>
      </c>
      <c r="BC883" s="1">
        <v>2050</v>
      </c>
    </row>
    <row r="884" spans="1:55">
      <c r="A884" s="1" t="str">
        <f>'Population Definitions'!$A$2</f>
        <v>PWID_males</v>
      </c>
      <c r="C884" t="s">
        <v>32</v>
      </c>
      <c r="D884" s="3"/>
      <c r="E884" s="3">
        <v>0</v>
      </c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  <c r="AA884" s="3"/>
      <c r="AB884" s="3"/>
      <c r="AC884" s="3"/>
      <c r="AD884" s="3"/>
      <c r="AE884" s="3"/>
      <c r="AF884" s="3"/>
      <c r="AG884" s="3"/>
      <c r="AH884" s="3"/>
      <c r="AI884" s="3"/>
      <c r="AJ884" s="3"/>
      <c r="AK884" s="3"/>
      <c r="AL884" s="3"/>
      <c r="AM884" s="3"/>
      <c r="AN884" s="3"/>
      <c r="AO884" s="3"/>
      <c r="AP884" s="3"/>
      <c r="AQ884" s="3"/>
      <c r="AR884" s="3"/>
      <c r="AS884" s="3"/>
      <c r="AT884" s="3"/>
      <c r="AU884" s="3"/>
      <c r="AV884" s="3"/>
      <c r="AW884" s="3"/>
      <c r="AX884" s="3"/>
      <c r="AY884" s="3"/>
      <c r="AZ884" s="3"/>
      <c r="BA884" s="3"/>
      <c r="BB884" s="3"/>
      <c r="BC884" s="3"/>
    </row>
    <row r="885" spans="1:55">
      <c r="A885" s="1" t="str">
        <f>'Population Definitions'!$A$3</f>
        <v>PWID_females</v>
      </c>
      <c r="C885" t="s">
        <v>32</v>
      </c>
      <c r="D885" s="3"/>
      <c r="E885" s="3">
        <v>0</v>
      </c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  <c r="AA885" s="3"/>
      <c r="AB885" s="3"/>
      <c r="AC885" s="3"/>
      <c r="AD885" s="3"/>
      <c r="AE885" s="3"/>
      <c r="AF885" s="3"/>
      <c r="AG885" s="3"/>
      <c r="AH885" s="3"/>
      <c r="AI885" s="3"/>
      <c r="AJ885" s="3"/>
      <c r="AK885" s="3"/>
      <c r="AL885" s="3"/>
      <c r="AM885" s="3"/>
      <c r="AN885" s="3"/>
      <c r="AO885" s="3"/>
      <c r="AP885" s="3"/>
      <c r="AQ885" s="3"/>
      <c r="AR885" s="3"/>
      <c r="AS885" s="3"/>
      <c r="AT885" s="3"/>
      <c r="AU885" s="3"/>
      <c r="AV885" s="3"/>
      <c r="AW885" s="3"/>
      <c r="AX885" s="3"/>
      <c r="AY885" s="3"/>
      <c r="AZ885" s="3"/>
      <c r="BA885" s="3"/>
      <c r="BB885" s="3"/>
      <c r="BC885" s="3"/>
    </row>
    <row r="886" spans="1:55">
      <c r="A886" s="1" t="str">
        <f>'Population Definitions'!$A$4</f>
        <v>0-9_males</v>
      </c>
      <c r="C886" t="s">
        <v>32</v>
      </c>
      <c r="D886" s="3"/>
      <c r="E886" s="3">
        <v>0</v>
      </c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  <c r="AA886" s="3"/>
      <c r="AB886" s="3"/>
      <c r="AC886" s="3"/>
      <c r="AD886" s="3"/>
      <c r="AE886" s="3"/>
      <c r="AF886" s="3"/>
      <c r="AG886" s="3"/>
      <c r="AH886" s="3"/>
      <c r="AI886" s="3"/>
      <c r="AJ886" s="3"/>
      <c r="AK886" s="3"/>
      <c r="AL886" s="3"/>
      <c r="AM886" s="3"/>
      <c r="AN886" s="3"/>
      <c r="AO886" s="3"/>
      <c r="AP886" s="3"/>
      <c r="AQ886" s="3"/>
      <c r="AR886" s="3"/>
      <c r="AS886" s="3"/>
      <c r="AT886" s="3"/>
      <c r="AU886" s="3"/>
      <c r="AV886" s="3"/>
      <c r="AW886" s="3"/>
      <c r="AX886" s="3"/>
      <c r="AY886" s="3"/>
      <c r="AZ886" s="3"/>
      <c r="BA886" s="3"/>
      <c r="BB886" s="3"/>
      <c r="BC886" s="3"/>
    </row>
    <row r="887" spans="1:55">
      <c r="A887" s="1" t="str">
        <f>'Population Definitions'!$A$5</f>
        <v>0-9_females</v>
      </c>
      <c r="C887" t="s">
        <v>32</v>
      </c>
      <c r="D887" s="3"/>
      <c r="E887" s="3">
        <v>0</v>
      </c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  <c r="AA887" s="3"/>
      <c r="AB887" s="3"/>
      <c r="AC887" s="3"/>
      <c r="AD887" s="3"/>
      <c r="AE887" s="3"/>
      <c r="AF887" s="3"/>
      <c r="AG887" s="3"/>
      <c r="AH887" s="3"/>
      <c r="AI887" s="3"/>
      <c r="AJ887" s="3"/>
      <c r="AK887" s="3"/>
      <c r="AL887" s="3"/>
      <c r="AM887" s="3"/>
      <c r="AN887" s="3"/>
      <c r="AO887" s="3"/>
      <c r="AP887" s="3"/>
      <c r="AQ887" s="3"/>
      <c r="AR887" s="3"/>
      <c r="AS887" s="3"/>
      <c r="AT887" s="3"/>
      <c r="AU887" s="3"/>
      <c r="AV887" s="3"/>
      <c r="AW887" s="3"/>
      <c r="AX887" s="3"/>
      <c r="AY887" s="3"/>
      <c r="AZ887" s="3"/>
      <c r="BA887" s="3"/>
      <c r="BB887" s="3"/>
      <c r="BC887" s="3"/>
    </row>
    <row r="888" spans="1:55">
      <c r="A888" s="1" t="str">
        <f>'Population Definitions'!$A$6</f>
        <v>10-17_males</v>
      </c>
      <c r="C888" t="s">
        <v>32</v>
      </c>
      <c r="D888" s="3"/>
      <c r="E888" s="3">
        <v>0</v>
      </c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  <c r="AA888" s="3"/>
      <c r="AB888" s="3"/>
      <c r="AC888" s="3"/>
      <c r="AD888" s="3"/>
      <c r="AE888" s="3"/>
      <c r="AF888" s="3"/>
      <c r="AG888" s="3"/>
      <c r="AH888" s="3"/>
      <c r="AI888" s="3"/>
      <c r="AJ888" s="3"/>
      <c r="AK888" s="3"/>
      <c r="AL888" s="3"/>
      <c r="AM888" s="3"/>
      <c r="AN888" s="3"/>
      <c r="AO888" s="3"/>
      <c r="AP888" s="3"/>
      <c r="AQ888" s="3"/>
      <c r="AR888" s="3"/>
      <c r="AS888" s="3"/>
      <c r="AT888" s="3"/>
      <c r="AU888" s="3"/>
      <c r="AV888" s="3"/>
      <c r="AW888" s="3"/>
      <c r="AX888" s="3"/>
      <c r="AY888" s="3"/>
      <c r="AZ888" s="3"/>
      <c r="BA888" s="3"/>
      <c r="BB888" s="3"/>
      <c r="BC888" s="3"/>
    </row>
    <row r="889" spans="1:55">
      <c r="A889" s="1" t="str">
        <f>'Population Definitions'!$A$7</f>
        <v>10-17_females</v>
      </c>
      <c r="C889" t="s">
        <v>32</v>
      </c>
      <c r="D889" s="3"/>
      <c r="E889" s="3">
        <v>0</v>
      </c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  <c r="AA889" s="3"/>
      <c r="AB889" s="3"/>
      <c r="AC889" s="3"/>
      <c r="AD889" s="3"/>
      <c r="AE889" s="3"/>
      <c r="AF889" s="3"/>
      <c r="AG889" s="3"/>
      <c r="AH889" s="3"/>
      <c r="AI889" s="3"/>
      <c r="AJ889" s="3"/>
      <c r="AK889" s="3"/>
      <c r="AL889" s="3"/>
      <c r="AM889" s="3"/>
      <c r="AN889" s="3"/>
      <c r="AO889" s="3"/>
      <c r="AP889" s="3"/>
      <c r="AQ889" s="3"/>
      <c r="AR889" s="3"/>
      <c r="AS889" s="3"/>
      <c r="AT889" s="3"/>
      <c r="AU889" s="3"/>
      <c r="AV889" s="3"/>
      <c r="AW889" s="3"/>
      <c r="AX889" s="3"/>
      <c r="AY889" s="3"/>
      <c r="AZ889" s="3"/>
      <c r="BA889" s="3"/>
      <c r="BB889" s="3"/>
      <c r="BC889" s="3"/>
    </row>
    <row r="890" spans="1:55">
      <c r="A890" s="1" t="str">
        <f>'Population Definitions'!$A$8</f>
        <v>18-64_males</v>
      </c>
      <c r="C890" t="s">
        <v>32</v>
      </c>
      <c r="D890" s="3"/>
      <c r="E890" s="3">
        <v>0</v>
      </c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  <c r="AA890" s="3"/>
      <c r="AB890" s="3"/>
      <c r="AC890" s="3"/>
      <c r="AD890" s="3"/>
      <c r="AE890" s="3"/>
      <c r="AF890" s="3"/>
      <c r="AG890" s="3"/>
      <c r="AH890" s="3"/>
      <c r="AI890" s="3"/>
      <c r="AJ890" s="3"/>
      <c r="AK890" s="3"/>
      <c r="AL890" s="3"/>
      <c r="AM890" s="3"/>
      <c r="AN890" s="3"/>
      <c r="AO890" s="3"/>
      <c r="AP890" s="3"/>
      <c r="AQ890" s="3"/>
      <c r="AR890" s="3"/>
      <c r="AS890" s="3"/>
      <c r="AT890" s="3"/>
      <c r="AU890" s="3"/>
      <c r="AV890" s="3"/>
      <c r="AW890" s="3"/>
      <c r="AX890" s="3"/>
      <c r="AY890" s="3"/>
      <c r="AZ890" s="3"/>
      <c r="BA890" s="3"/>
      <c r="BB890" s="3"/>
      <c r="BC890" s="3"/>
    </row>
    <row r="891" spans="1:55">
      <c r="A891" s="1" t="str">
        <f>'Population Definitions'!$A$9</f>
        <v>18-64_females</v>
      </c>
      <c r="C891" t="s">
        <v>32</v>
      </c>
      <c r="D891" s="3"/>
      <c r="E891" s="3">
        <v>0</v>
      </c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  <c r="AA891" s="3"/>
      <c r="AB891" s="3"/>
      <c r="AC891" s="3"/>
      <c r="AD891" s="3"/>
      <c r="AE891" s="3"/>
      <c r="AF891" s="3"/>
      <c r="AG891" s="3"/>
      <c r="AH891" s="3"/>
      <c r="AI891" s="3"/>
      <c r="AJ891" s="3"/>
      <c r="AK891" s="3"/>
      <c r="AL891" s="3"/>
      <c r="AM891" s="3"/>
      <c r="AN891" s="3"/>
      <c r="AO891" s="3"/>
      <c r="AP891" s="3"/>
      <c r="AQ891" s="3"/>
      <c r="AR891" s="3"/>
      <c r="AS891" s="3"/>
      <c r="AT891" s="3"/>
      <c r="AU891" s="3"/>
      <c r="AV891" s="3"/>
      <c r="AW891" s="3"/>
      <c r="AX891" s="3"/>
      <c r="AY891" s="3"/>
      <c r="AZ891" s="3"/>
      <c r="BA891" s="3"/>
      <c r="BB891" s="3"/>
      <c r="BC891" s="3"/>
    </row>
    <row r="892" spans="1:55">
      <c r="A892" s="1" t="str">
        <f>'Population Definitions'!$A$10</f>
        <v>65+_males</v>
      </c>
      <c r="C892" t="s">
        <v>32</v>
      </c>
      <c r="D892" s="3"/>
      <c r="E892" s="3">
        <v>0</v>
      </c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  <c r="AA892" s="3"/>
      <c r="AB892" s="3"/>
      <c r="AC892" s="3"/>
      <c r="AD892" s="3"/>
      <c r="AE892" s="3"/>
      <c r="AF892" s="3"/>
      <c r="AG892" s="3"/>
      <c r="AH892" s="3"/>
      <c r="AI892" s="3"/>
      <c r="AJ892" s="3"/>
      <c r="AK892" s="3"/>
      <c r="AL892" s="3"/>
      <c r="AM892" s="3"/>
      <c r="AN892" s="3"/>
      <c r="AO892" s="3"/>
      <c r="AP892" s="3"/>
      <c r="AQ892" s="3"/>
      <c r="AR892" s="3"/>
      <c r="AS892" s="3"/>
      <c r="AT892" s="3"/>
      <c r="AU892" s="3"/>
      <c r="AV892" s="3"/>
      <c r="AW892" s="3"/>
      <c r="AX892" s="3"/>
      <c r="AY892" s="3"/>
      <c r="AZ892" s="3"/>
      <c r="BA892" s="3"/>
      <c r="BB892" s="3"/>
      <c r="BC892" s="3"/>
    </row>
    <row r="893" spans="1:55">
      <c r="A893" s="1" t="str">
        <f>'Population Definitions'!$A$11</f>
        <v>65+_females</v>
      </c>
      <c r="C893" t="s">
        <v>32</v>
      </c>
      <c r="D893" s="3"/>
      <c r="E893" s="3">
        <v>0</v>
      </c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  <c r="AA893" s="3"/>
      <c r="AB893" s="3"/>
      <c r="AC893" s="3"/>
      <c r="AD893" s="3"/>
      <c r="AE893" s="3"/>
      <c r="AF893" s="3"/>
      <c r="AG893" s="3"/>
      <c r="AH893" s="3"/>
      <c r="AI893" s="3"/>
      <c r="AJ893" s="3"/>
      <c r="AK893" s="3"/>
      <c r="AL893" s="3"/>
      <c r="AM893" s="3"/>
      <c r="AN893" s="3"/>
      <c r="AO893" s="3"/>
      <c r="AP893" s="3"/>
      <c r="AQ893" s="3"/>
      <c r="AR893" s="3"/>
      <c r="AS893" s="3"/>
      <c r="AT893" s="3"/>
      <c r="AU893" s="3"/>
      <c r="AV893" s="3"/>
      <c r="AW893" s="3"/>
      <c r="AX893" s="3"/>
      <c r="AY893" s="3"/>
      <c r="AZ893" s="3"/>
      <c r="BA893" s="3"/>
      <c r="BB893" s="3"/>
      <c r="BC893" s="3"/>
    </row>
    <row r="894" spans="1:55">
      <c r="A894" s="1" t="str">
        <f>'Population Definitions'!$A$12</f>
        <v>Prisoners_males</v>
      </c>
      <c r="C894" t="s">
        <v>32</v>
      </c>
      <c r="D894" s="3"/>
      <c r="E894" s="3">
        <v>0</v>
      </c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  <c r="AA894" s="3"/>
      <c r="AB894" s="3"/>
      <c r="AC894" s="3"/>
      <c r="AD894" s="3"/>
      <c r="AE894" s="3"/>
      <c r="AF894" s="3"/>
      <c r="AG894" s="3"/>
      <c r="AH894" s="3"/>
      <c r="AI894" s="3"/>
      <c r="AJ894" s="3"/>
      <c r="AK894" s="3"/>
      <c r="AL894" s="3"/>
      <c r="AM894" s="3"/>
      <c r="AN894" s="3"/>
      <c r="AO894" s="3"/>
      <c r="AP894" s="3"/>
      <c r="AQ894" s="3"/>
      <c r="AR894" s="3"/>
      <c r="AS894" s="3"/>
      <c r="AT894" s="3"/>
      <c r="AU894" s="3"/>
      <c r="AV894" s="3"/>
      <c r="AW894" s="3"/>
      <c r="AX894" s="3"/>
      <c r="AY894" s="3"/>
      <c r="AZ894" s="3"/>
      <c r="BA894" s="3"/>
      <c r="BB894" s="3"/>
      <c r="BC894" s="3"/>
    </row>
    <row r="895" spans="1:55">
      <c r="A895" s="1" t="str">
        <f>'Population Definitions'!$A$13</f>
        <v>Prisoners_females</v>
      </c>
      <c r="C895" t="s">
        <v>32</v>
      </c>
      <c r="D895" s="3"/>
      <c r="E895" s="3">
        <v>0</v>
      </c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  <c r="AA895" s="3"/>
      <c r="AB895" s="3"/>
      <c r="AC895" s="3"/>
      <c r="AD895" s="3"/>
      <c r="AE895" s="3"/>
      <c r="AF895" s="3"/>
      <c r="AG895" s="3"/>
      <c r="AH895" s="3"/>
      <c r="AI895" s="3"/>
      <c r="AJ895" s="3"/>
      <c r="AK895" s="3"/>
      <c r="AL895" s="3"/>
      <c r="AM895" s="3"/>
      <c r="AN895" s="3"/>
      <c r="AO895" s="3"/>
      <c r="AP895" s="3"/>
      <c r="AQ895" s="3"/>
      <c r="AR895" s="3"/>
      <c r="AS895" s="3"/>
      <c r="AT895" s="3"/>
      <c r="AU895" s="3"/>
      <c r="AV895" s="3"/>
      <c r="AW895" s="3"/>
      <c r="AX895" s="3"/>
      <c r="AY895" s="3"/>
      <c r="AZ895" s="3"/>
      <c r="BA895" s="3"/>
      <c r="BB895" s="3"/>
      <c r="BC895" s="3"/>
    </row>
    <row r="897" spans="1:55">
      <c r="A897" s="1" t="s">
        <v>190</v>
      </c>
      <c r="B897" s="1" t="s">
        <v>29</v>
      </c>
      <c r="C897" s="1" t="s">
        <v>30</v>
      </c>
      <c r="D897" s="1" t="s">
        <v>31</v>
      </c>
      <c r="E897" s="1">
        <v>2000</v>
      </c>
      <c r="F897" s="1">
        <v>2001</v>
      </c>
      <c r="G897" s="1">
        <v>2002</v>
      </c>
      <c r="H897" s="1">
        <v>2003</v>
      </c>
      <c r="I897" s="1">
        <v>2004</v>
      </c>
      <c r="J897" s="1">
        <v>2005</v>
      </c>
      <c r="K897" s="1">
        <v>2006</v>
      </c>
      <c r="L897" s="1">
        <v>2007</v>
      </c>
      <c r="M897" s="1">
        <v>2008</v>
      </c>
      <c r="N897" s="1">
        <v>2009</v>
      </c>
      <c r="O897" s="1">
        <v>2010</v>
      </c>
      <c r="P897" s="1">
        <v>2011</v>
      </c>
      <c r="Q897" s="1">
        <v>2012</v>
      </c>
      <c r="R897" s="1">
        <v>2013</v>
      </c>
      <c r="S897" s="1">
        <v>2014</v>
      </c>
      <c r="T897" s="1">
        <v>2015</v>
      </c>
      <c r="U897" s="1">
        <v>2016</v>
      </c>
      <c r="V897" s="1">
        <v>2017</v>
      </c>
      <c r="W897" s="1">
        <v>2018</v>
      </c>
      <c r="X897" s="1">
        <v>2019</v>
      </c>
      <c r="Y897" s="1">
        <v>2020</v>
      </c>
      <c r="Z897" s="1">
        <v>2021</v>
      </c>
      <c r="AA897" s="1">
        <v>2022</v>
      </c>
      <c r="AB897" s="1">
        <v>2023</v>
      </c>
      <c r="AC897" s="1">
        <v>2024</v>
      </c>
      <c r="AD897" s="1">
        <v>2025</v>
      </c>
      <c r="AE897" s="1">
        <v>2026</v>
      </c>
      <c r="AF897" s="1">
        <v>2027</v>
      </c>
      <c r="AG897" s="1">
        <v>2028</v>
      </c>
      <c r="AH897" s="1">
        <v>2029</v>
      </c>
      <c r="AI897" s="1">
        <v>2030</v>
      </c>
      <c r="AJ897" s="1">
        <v>2031</v>
      </c>
      <c r="AK897" s="1">
        <v>2032</v>
      </c>
      <c r="AL897" s="1">
        <v>2033</v>
      </c>
      <c r="AM897" s="1">
        <v>2034</v>
      </c>
      <c r="AN897" s="1">
        <v>2035</v>
      </c>
      <c r="AO897" s="1">
        <v>2036</v>
      </c>
      <c r="AP897" s="1">
        <v>2037</v>
      </c>
      <c r="AQ897" s="1">
        <v>2038</v>
      </c>
      <c r="AR897" s="1">
        <v>2039</v>
      </c>
      <c r="AS897" s="1">
        <v>2040</v>
      </c>
      <c r="AT897" s="1">
        <v>2041</v>
      </c>
      <c r="AU897" s="1">
        <v>2042</v>
      </c>
      <c r="AV897" s="1">
        <v>2043</v>
      </c>
      <c r="AW897" s="1">
        <v>2044</v>
      </c>
      <c r="AX897" s="1">
        <v>2045</v>
      </c>
      <c r="AY897" s="1">
        <v>2046</v>
      </c>
      <c r="AZ897" s="1">
        <v>2047</v>
      </c>
      <c r="BA897" s="1">
        <v>2048</v>
      </c>
      <c r="BB897" s="1">
        <v>2049</v>
      </c>
      <c r="BC897" s="1">
        <v>2050</v>
      </c>
    </row>
    <row r="898" spans="1:55">
      <c r="A898" s="1" t="str">
        <f>'Population Definitions'!$A$2</f>
        <v>PWID_males</v>
      </c>
      <c r="C898" t="s">
        <v>32</v>
      </c>
      <c r="D898" s="3"/>
      <c r="E898" s="3">
        <v>0</v>
      </c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  <c r="AA898" s="3"/>
      <c r="AB898" s="3"/>
      <c r="AC898" s="3"/>
      <c r="AD898" s="3"/>
      <c r="AE898" s="3"/>
      <c r="AF898" s="3"/>
      <c r="AG898" s="3"/>
      <c r="AH898" s="3"/>
      <c r="AI898" s="3"/>
      <c r="AJ898" s="3"/>
      <c r="AK898" s="3"/>
      <c r="AL898" s="3"/>
      <c r="AM898" s="3"/>
      <c r="AN898" s="3"/>
      <c r="AO898" s="3"/>
      <c r="AP898" s="3"/>
      <c r="AQ898" s="3"/>
      <c r="AR898" s="3"/>
      <c r="AS898" s="3"/>
      <c r="AT898" s="3"/>
      <c r="AU898" s="3"/>
      <c r="AV898" s="3"/>
      <c r="AW898" s="3"/>
      <c r="AX898" s="3"/>
      <c r="AY898" s="3"/>
      <c r="AZ898" s="3"/>
      <c r="BA898" s="3"/>
      <c r="BB898" s="3"/>
      <c r="BC898" s="3"/>
    </row>
    <row r="899" spans="1:55">
      <c r="A899" s="1" t="str">
        <f>'Population Definitions'!$A$3</f>
        <v>PWID_females</v>
      </c>
      <c r="C899" t="s">
        <v>32</v>
      </c>
      <c r="D899" s="3"/>
      <c r="E899" s="3">
        <v>0</v>
      </c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  <c r="AA899" s="3"/>
      <c r="AB899" s="3"/>
      <c r="AC899" s="3"/>
      <c r="AD899" s="3"/>
      <c r="AE899" s="3"/>
      <c r="AF899" s="3"/>
      <c r="AG899" s="3"/>
      <c r="AH899" s="3"/>
      <c r="AI899" s="3"/>
      <c r="AJ899" s="3"/>
      <c r="AK899" s="3"/>
      <c r="AL899" s="3"/>
      <c r="AM899" s="3"/>
      <c r="AN899" s="3"/>
      <c r="AO899" s="3"/>
      <c r="AP899" s="3"/>
      <c r="AQ899" s="3"/>
      <c r="AR899" s="3"/>
      <c r="AS899" s="3"/>
      <c r="AT899" s="3"/>
      <c r="AU899" s="3"/>
      <c r="AV899" s="3"/>
      <c r="AW899" s="3"/>
      <c r="AX899" s="3"/>
      <c r="AY899" s="3"/>
      <c r="AZ899" s="3"/>
      <c r="BA899" s="3"/>
      <c r="BB899" s="3"/>
      <c r="BC899" s="3"/>
    </row>
    <row r="900" spans="1:55">
      <c r="A900" s="1" t="str">
        <f>'Population Definitions'!$A$4</f>
        <v>0-9_males</v>
      </c>
      <c r="C900" t="s">
        <v>32</v>
      </c>
      <c r="D900" s="3"/>
      <c r="E900" s="3">
        <v>0</v>
      </c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  <c r="AA900" s="3"/>
      <c r="AB900" s="3"/>
      <c r="AC900" s="3"/>
      <c r="AD900" s="3"/>
      <c r="AE900" s="3"/>
      <c r="AF900" s="3"/>
      <c r="AG900" s="3"/>
      <c r="AH900" s="3"/>
      <c r="AI900" s="3"/>
      <c r="AJ900" s="3"/>
      <c r="AK900" s="3"/>
      <c r="AL900" s="3"/>
      <c r="AM900" s="3"/>
      <c r="AN900" s="3"/>
      <c r="AO900" s="3"/>
      <c r="AP900" s="3"/>
      <c r="AQ900" s="3"/>
      <c r="AR900" s="3"/>
      <c r="AS900" s="3"/>
      <c r="AT900" s="3"/>
      <c r="AU900" s="3"/>
      <c r="AV900" s="3"/>
      <c r="AW900" s="3"/>
      <c r="AX900" s="3"/>
      <c r="AY900" s="3"/>
      <c r="AZ900" s="3"/>
      <c r="BA900" s="3"/>
      <c r="BB900" s="3"/>
      <c r="BC900" s="3"/>
    </row>
    <row r="901" spans="1:55">
      <c r="A901" s="1" t="str">
        <f>'Population Definitions'!$A$5</f>
        <v>0-9_females</v>
      </c>
      <c r="C901" t="s">
        <v>32</v>
      </c>
      <c r="D901" s="3"/>
      <c r="E901" s="3">
        <v>0</v>
      </c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  <c r="AA901" s="3"/>
      <c r="AB901" s="3"/>
      <c r="AC901" s="3"/>
      <c r="AD901" s="3"/>
      <c r="AE901" s="3"/>
      <c r="AF901" s="3"/>
      <c r="AG901" s="3"/>
      <c r="AH901" s="3"/>
      <c r="AI901" s="3"/>
      <c r="AJ901" s="3"/>
      <c r="AK901" s="3"/>
      <c r="AL901" s="3"/>
      <c r="AM901" s="3"/>
      <c r="AN901" s="3"/>
      <c r="AO901" s="3"/>
      <c r="AP901" s="3"/>
      <c r="AQ901" s="3"/>
      <c r="AR901" s="3"/>
      <c r="AS901" s="3"/>
      <c r="AT901" s="3"/>
      <c r="AU901" s="3"/>
      <c r="AV901" s="3"/>
      <c r="AW901" s="3"/>
      <c r="AX901" s="3"/>
      <c r="AY901" s="3"/>
      <c r="AZ901" s="3"/>
      <c r="BA901" s="3"/>
      <c r="BB901" s="3"/>
      <c r="BC901" s="3"/>
    </row>
    <row r="902" spans="1:55">
      <c r="A902" s="1" t="str">
        <f>'Population Definitions'!$A$6</f>
        <v>10-17_males</v>
      </c>
      <c r="C902" t="s">
        <v>32</v>
      </c>
      <c r="D902" s="3"/>
      <c r="E902" s="3">
        <v>0</v>
      </c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  <c r="AA902" s="3"/>
      <c r="AB902" s="3"/>
      <c r="AC902" s="3"/>
      <c r="AD902" s="3"/>
      <c r="AE902" s="3"/>
      <c r="AF902" s="3"/>
      <c r="AG902" s="3"/>
      <c r="AH902" s="3"/>
      <c r="AI902" s="3"/>
      <c r="AJ902" s="3"/>
      <c r="AK902" s="3"/>
      <c r="AL902" s="3"/>
      <c r="AM902" s="3"/>
      <c r="AN902" s="3"/>
      <c r="AO902" s="3"/>
      <c r="AP902" s="3"/>
      <c r="AQ902" s="3"/>
      <c r="AR902" s="3"/>
      <c r="AS902" s="3"/>
      <c r="AT902" s="3"/>
      <c r="AU902" s="3"/>
      <c r="AV902" s="3"/>
      <c r="AW902" s="3"/>
      <c r="AX902" s="3"/>
      <c r="AY902" s="3"/>
      <c r="AZ902" s="3"/>
      <c r="BA902" s="3"/>
      <c r="BB902" s="3"/>
      <c r="BC902" s="3"/>
    </row>
    <row r="903" spans="1:55">
      <c r="A903" s="1" t="str">
        <f>'Population Definitions'!$A$7</f>
        <v>10-17_females</v>
      </c>
      <c r="C903" t="s">
        <v>32</v>
      </c>
      <c r="D903" s="3"/>
      <c r="E903" s="3">
        <v>0</v>
      </c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  <c r="AA903" s="3"/>
      <c r="AB903" s="3"/>
      <c r="AC903" s="3"/>
      <c r="AD903" s="3"/>
      <c r="AE903" s="3"/>
      <c r="AF903" s="3"/>
      <c r="AG903" s="3"/>
      <c r="AH903" s="3"/>
      <c r="AI903" s="3"/>
      <c r="AJ903" s="3"/>
      <c r="AK903" s="3"/>
      <c r="AL903" s="3"/>
      <c r="AM903" s="3"/>
      <c r="AN903" s="3"/>
      <c r="AO903" s="3"/>
      <c r="AP903" s="3"/>
      <c r="AQ903" s="3"/>
      <c r="AR903" s="3"/>
      <c r="AS903" s="3"/>
      <c r="AT903" s="3"/>
      <c r="AU903" s="3"/>
      <c r="AV903" s="3"/>
      <c r="AW903" s="3"/>
      <c r="AX903" s="3"/>
      <c r="AY903" s="3"/>
      <c r="AZ903" s="3"/>
      <c r="BA903" s="3"/>
      <c r="BB903" s="3"/>
      <c r="BC903" s="3"/>
    </row>
    <row r="904" spans="1:55">
      <c r="A904" s="1" t="str">
        <f>'Population Definitions'!$A$8</f>
        <v>18-64_males</v>
      </c>
      <c r="C904" t="s">
        <v>32</v>
      </c>
      <c r="D904" s="3"/>
      <c r="E904" s="3">
        <v>0</v>
      </c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  <c r="AA904" s="3"/>
      <c r="AB904" s="3"/>
      <c r="AC904" s="3"/>
      <c r="AD904" s="3"/>
      <c r="AE904" s="3"/>
      <c r="AF904" s="3"/>
      <c r="AG904" s="3"/>
      <c r="AH904" s="3"/>
      <c r="AI904" s="3"/>
      <c r="AJ904" s="3"/>
      <c r="AK904" s="3"/>
      <c r="AL904" s="3"/>
      <c r="AM904" s="3"/>
      <c r="AN904" s="3"/>
      <c r="AO904" s="3"/>
      <c r="AP904" s="3"/>
      <c r="AQ904" s="3"/>
      <c r="AR904" s="3"/>
      <c r="AS904" s="3"/>
      <c r="AT904" s="3"/>
      <c r="AU904" s="3"/>
      <c r="AV904" s="3"/>
      <c r="AW904" s="3"/>
      <c r="AX904" s="3"/>
      <c r="AY904" s="3"/>
      <c r="AZ904" s="3"/>
      <c r="BA904" s="3"/>
      <c r="BB904" s="3"/>
      <c r="BC904" s="3"/>
    </row>
    <row r="905" spans="1:55">
      <c r="A905" s="1" t="str">
        <f>'Population Definitions'!$A$9</f>
        <v>18-64_females</v>
      </c>
      <c r="C905" t="s">
        <v>32</v>
      </c>
      <c r="D905" s="3"/>
      <c r="E905" s="3">
        <v>0</v>
      </c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  <c r="AA905" s="3"/>
      <c r="AB905" s="3"/>
      <c r="AC905" s="3"/>
      <c r="AD905" s="3"/>
      <c r="AE905" s="3"/>
      <c r="AF905" s="3"/>
      <c r="AG905" s="3"/>
      <c r="AH905" s="3"/>
      <c r="AI905" s="3"/>
      <c r="AJ905" s="3"/>
      <c r="AK905" s="3"/>
      <c r="AL905" s="3"/>
      <c r="AM905" s="3"/>
      <c r="AN905" s="3"/>
      <c r="AO905" s="3"/>
      <c r="AP905" s="3"/>
      <c r="AQ905" s="3"/>
      <c r="AR905" s="3"/>
      <c r="AS905" s="3"/>
      <c r="AT905" s="3"/>
      <c r="AU905" s="3"/>
      <c r="AV905" s="3"/>
      <c r="AW905" s="3"/>
      <c r="AX905" s="3"/>
      <c r="AY905" s="3"/>
      <c r="AZ905" s="3"/>
      <c r="BA905" s="3"/>
      <c r="BB905" s="3"/>
      <c r="BC905" s="3"/>
    </row>
    <row r="906" spans="1:55">
      <c r="A906" s="1" t="str">
        <f>'Population Definitions'!$A$10</f>
        <v>65+_males</v>
      </c>
      <c r="C906" t="s">
        <v>32</v>
      </c>
      <c r="D906" s="3"/>
      <c r="E906" s="3">
        <v>0</v>
      </c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  <c r="AA906" s="3"/>
      <c r="AB906" s="3"/>
      <c r="AC906" s="3"/>
      <c r="AD906" s="3"/>
      <c r="AE906" s="3"/>
      <c r="AF906" s="3"/>
      <c r="AG906" s="3"/>
      <c r="AH906" s="3"/>
      <c r="AI906" s="3"/>
      <c r="AJ906" s="3"/>
      <c r="AK906" s="3"/>
      <c r="AL906" s="3"/>
      <c r="AM906" s="3"/>
      <c r="AN906" s="3"/>
      <c r="AO906" s="3"/>
      <c r="AP906" s="3"/>
      <c r="AQ906" s="3"/>
      <c r="AR906" s="3"/>
      <c r="AS906" s="3"/>
      <c r="AT906" s="3"/>
      <c r="AU906" s="3"/>
      <c r="AV906" s="3"/>
      <c r="AW906" s="3"/>
      <c r="AX906" s="3"/>
      <c r="AY906" s="3"/>
      <c r="AZ906" s="3"/>
      <c r="BA906" s="3"/>
      <c r="BB906" s="3"/>
      <c r="BC906" s="3"/>
    </row>
    <row r="907" spans="1:55">
      <c r="A907" s="1" t="str">
        <f>'Population Definitions'!$A$11</f>
        <v>65+_females</v>
      </c>
      <c r="C907" t="s">
        <v>32</v>
      </c>
      <c r="D907" s="3"/>
      <c r="E907" s="3">
        <v>0</v>
      </c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  <c r="AA907" s="3"/>
      <c r="AB907" s="3"/>
      <c r="AC907" s="3"/>
      <c r="AD907" s="3"/>
      <c r="AE907" s="3"/>
      <c r="AF907" s="3"/>
      <c r="AG907" s="3"/>
      <c r="AH907" s="3"/>
      <c r="AI907" s="3"/>
      <c r="AJ907" s="3"/>
      <c r="AK907" s="3"/>
      <c r="AL907" s="3"/>
      <c r="AM907" s="3"/>
      <c r="AN907" s="3"/>
      <c r="AO907" s="3"/>
      <c r="AP907" s="3"/>
      <c r="AQ907" s="3"/>
      <c r="AR907" s="3"/>
      <c r="AS907" s="3"/>
      <c r="AT907" s="3"/>
      <c r="AU907" s="3"/>
      <c r="AV907" s="3"/>
      <c r="AW907" s="3"/>
      <c r="AX907" s="3"/>
      <c r="AY907" s="3"/>
      <c r="AZ907" s="3"/>
      <c r="BA907" s="3"/>
      <c r="BB907" s="3"/>
      <c r="BC907" s="3"/>
    </row>
    <row r="908" spans="1:55">
      <c r="A908" s="1" t="str">
        <f>'Population Definitions'!$A$12</f>
        <v>Prisoners_males</v>
      </c>
      <c r="C908" t="s">
        <v>32</v>
      </c>
      <c r="D908" s="3"/>
      <c r="E908" s="3">
        <v>0</v>
      </c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  <c r="AA908" s="3"/>
      <c r="AB908" s="3"/>
      <c r="AC908" s="3"/>
      <c r="AD908" s="3"/>
      <c r="AE908" s="3"/>
      <c r="AF908" s="3"/>
      <c r="AG908" s="3"/>
      <c r="AH908" s="3"/>
      <c r="AI908" s="3"/>
      <c r="AJ908" s="3"/>
      <c r="AK908" s="3"/>
      <c r="AL908" s="3"/>
      <c r="AM908" s="3"/>
      <c r="AN908" s="3"/>
      <c r="AO908" s="3"/>
      <c r="AP908" s="3"/>
      <c r="AQ908" s="3"/>
      <c r="AR908" s="3"/>
      <c r="AS908" s="3"/>
      <c r="AT908" s="3"/>
      <c r="AU908" s="3"/>
      <c r="AV908" s="3"/>
      <c r="AW908" s="3"/>
      <c r="AX908" s="3"/>
      <c r="AY908" s="3"/>
      <c r="AZ908" s="3"/>
      <c r="BA908" s="3"/>
      <c r="BB908" s="3"/>
      <c r="BC908" s="3"/>
    </row>
    <row r="909" spans="1:55">
      <c r="A909" s="1" t="str">
        <f>'Population Definitions'!$A$13</f>
        <v>Prisoners_females</v>
      </c>
      <c r="C909" t="s">
        <v>32</v>
      </c>
      <c r="D909" s="3"/>
      <c r="E909" s="3">
        <v>0</v>
      </c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  <c r="AA909" s="3"/>
      <c r="AB909" s="3"/>
      <c r="AC909" s="3"/>
      <c r="AD909" s="3"/>
      <c r="AE909" s="3"/>
      <c r="AF909" s="3"/>
      <c r="AG909" s="3"/>
      <c r="AH909" s="3"/>
      <c r="AI909" s="3"/>
      <c r="AJ909" s="3"/>
      <c r="AK909" s="3"/>
      <c r="AL909" s="3"/>
      <c r="AM909" s="3"/>
      <c r="AN909" s="3"/>
      <c r="AO909" s="3"/>
      <c r="AP909" s="3"/>
      <c r="AQ909" s="3"/>
      <c r="AR909" s="3"/>
      <c r="AS909" s="3"/>
      <c r="AT909" s="3"/>
      <c r="AU909" s="3"/>
      <c r="AV909" s="3"/>
      <c r="AW909" s="3"/>
      <c r="AX909" s="3"/>
      <c r="AY909" s="3"/>
      <c r="AZ909" s="3"/>
      <c r="BA909" s="3"/>
      <c r="BB909" s="3"/>
      <c r="BC909" s="3"/>
    </row>
    <row r="911" spans="1:55">
      <c r="A911" s="1" t="s">
        <v>191</v>
      </c>
      <c r="B911" s="1" t="s">
        <v>29</v>
      </c>
      <c r="C911" s="1" t="s">
        <v>30</v>
      </c>
      <c r="D911" s="1" t="s">
        <v>31</v>
      </c>
      <c r="E911" s="1">
        <v>2000</v>
      </c>
      <c r="F911" s="1">
        <v>2001</v>
      </c>
      <c r="G911" s="1">
        <v>2002</v>
      </c>
      <c r="H911" s="1">
        <v>2003</v>
      </c>
      <c r="I911" s="1">
        <v>2004</v>
      </c>
      <c r="J911" s="1">
        <v>2005</v>
      </c>
      <c r="K911" s="1">
        <v>2006</v>
      </c>
      <c r="L911" s="1">
        <v>2007</v>
      </c>
      <c r="M911" s="1">
        <v>2008</v>
      </c>
      <c r="N911" s="1">
        <v>2009</v>
      </c>
      <c r="O911" s="1">
        <v>2010</v>
      </c>
      <c r="P911" s="1">
        <v>2011</v>
      </c>
      <c r="Q911" s="1">
        <v>2012</v>
      </c>
      <c r="R911" s="1">
        <v>2013</v>
      </c>
      <c r="S911" s="1">
        <v>2014</v>
      </c>
      <c r="T911" s="1">
        <v>2015</v>
      </c>
      <c r="U911" s="1">
        <v>2016</v>
      </c>
      <c r="V911" s="1">
        <v>2017</v>
      </c>
      <c r="W911" s="1">
        <v>2018</v>
      </c>
      <c r="X911" s="1">
        <v>2019</v>
      </c>
      <c r="Y911" s="1">
        <v>2020</v>
      </c>
      <c r="Z911" s="1">
        <v>2021</v>
      </c>
      <c r="AA911" s="1">
        <v>2022</v>
      </c>
      <c r="AB911" s="1">
        <v>2023</v>
      </c>
      <c r="AC911" s="1">
        <v>2024</v>
      </c>
      <c r="AD911" s="1">
        <v>2025</v>
      </c>
      <c r="AE911" s="1">
        <v>2026</v>
      </c>
      <c r="AF911" s="1">
        <v>2027</v>
      </c>
      <c r="AG911" s="1">
        <v>2028</v>
      </c>
      <c r="AH911" s="1">
        <v>2029</v>
      </c>
      <c r="AI911" s="1">
        <v>2030</v>
      </c>
      <c r="AJ911" s="1">
        <v>2031</v>
      </c>
      <c r="AK911" s="1">
        <v>2032</v>
      </c>
      <c r="AL911" s="1">
        <v>2033</v>
      </c>
      <c r="AM911" s="1">
        <v>2034</v>
      </c>
      <c r="AN911" s="1">
        <v>2035</v>
      </c>
      <c r="AO911" s="1">
        <v>2036</v>
      </c>
      <c r="AP911" s="1">
        <v>2037</v>
      </c>
      <c r="AQ911" s="1">
        <v>2038</v>
      </c>
      <c r="AR911" s="1">
        <v>2039</v>
      </c>
      <c r="AS911" s="1">
        <v>2040</v>
      </c>
      <c r="AT911" s="1">
        <v>2041</v>
      </c>
      <c r="AU911" s="1">
        <v>2042</v>
      </c>
      <c r="AV911" s="1">
        <v>2043</v>
      </c>
      <c r="AW911" s="1">
        <v>2044</v>
      </c>
      <c r="AX911" s="1">
        <v>2045</v>
      </c>
      <c r="AY911" s="1">
        <v>2046</v>
      </c>
      <c r="AZ911" s="1">
        <v>2047</v>
      </c>
      <c r="BA911" s="1">
        <v>2048</v>
      </c>
      <c r="BB911" s="1">
        <v>2049</v>
      </c>
      <c r="BC911" s="1">
        <v>2050</v>
      </c>
    </row>
    <row r="912" spans="1:55">
      <c r="A912" s="1" t="str">
        <f>'Population Definitions'!$A$2</f>
        <v>PWID_males</v>
      </c>
      <c r="C912" t="s">
        <v>32</v>
      </c>
      <c r="D912" s="3"/>
      <c r="E912" s="3">
        <v>0</v>
      </c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  <c r="AA912" s="3"/>
      <c r="AB912" s="3"/>
      <c r="AC912" s="3"/>
      <c r="AD912" s="3"/>
      <c r="AE912" s="3"/>
      <c r="AF912" s="3"/>
      <c r="AG912" s="3"/>
      <c r="AH912" s="3"/>
      <c r="AI912" s="3"/>
      <c r="AJ912" s="3"/>
      <c r="AK912" s="3"/>
      <c r="AL912" s="3"/>
      <c r="AM912" s="3"/>
      <c r="AN912" s="3"/>
      <c r="AO912" s="3"/>
      <c r="AP912" s="3"/>
      <c r="AQ912" s="3"/>
      <c r="AR912" s="3"/>
      <c r="AS912" s="3"/>
      <c r="AT912" s="3"/>
      <c r="AU912" s="3"/>
      <c r="AV912" s="3"/>
      <c r="AW912" s="3"/>
      <c r="AX912" s="3"/>
      <c r="AY912" s="3"/>
      <c r="AZ912" s="3"/>
      <c r="BA912" s="3"/>
      <c r="BB912" s="3"/>
      <c r="BC912" s="3"/>
    </row>
    <row r="913" spans="1:55">
      <c r="A913" s="1" t="str">
        <f>'Population Definitions'!$A$3</f>
        <v>PWID_females</v>
      </c>
      <c r="C913" t="s">
        <v>32</v>
      </c>
      <c r="D913" s="3"/>
      <c r="E913" s="3">
        <v>0</v>
      </c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  <c r="AA913" s="3"/>
      <c r="AB913" s="3"/>
      <c r="AC913" s="3"/>
      <c r="AD913" s="3"/>
      <c r="AE913" s="3"/>
      <c r="AF913" s="3"/>
      <c r="AG913" s="3"/>
      <c r="AH913" s="3"/>
      <c r="AI913" s="3"/>
      <c r="AJ913" s="3"/>
      <c r="AK913" s="3"/>
      <c r="AL913" s="3"/>
      <c r="AM913" s="3"/>
      <c r="AN913" s="3"/>
      <c r="AO913" s="3"/>
      <c r="AP913" s="3"/>
      <c r="AQ913" s="3"/>
      <c r="AR913" s="3"/>
      <c r="AS913" s="3"/>
      <c r="AT913" s="3"/>
      <c r="AU913" s="3"/>
      <c r="AV913" s="3"/>
      <c r="AW913" s="3"/>
      <c r="AX913" s="3"/>
      <c r="AY913" s="3"/>
      <c r="AZ913" s="3"/>
      <c r="BA913" s="3"/>
      <c r="BB913" s="3"/>
      <c r="BC913" s="3"/>
    </row>
    <row r="914" spans="1:55">
      <c r="A914" s="1" t="str">
        <f>'Population Definitions'!$A$4</f>
        <v>0-9_males</v>
      </c>
      <c r="C914" t="s">
        <v>32</v>
      </c>
      <c r="D914" s="3"/>
      <c r="E914" s="3">
        <v>0</v>
      </c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  <c r="AA914" s="3"/>
      <c r="AB914" s="3"/>
      <c r="AC914" s="3"/>
      <c r="AD914" s="3"/>
      <c r="AE914" s="3"/>
      <c r="AF914" s="3"/>
      <c r="AG914" s="3"/>
      <c r="AH914" s="3"/>
      <c r="AI914" s="3"/>
      <c r="AJ914" s="3"/>
      <c r="AK914" s="3"/>
      <c r="AL914" s="3"/>
      <c r="AM914" s="3"/>
      <c r="AN914" s="3"/>
      <c r="AO914" s="3"/>
      <c r="AP914" s="3"/>
      <c r="AQ914" s="3"/>
      <c r="AR914" s="3"/>
      <c r="AS914" s="3"/>
      <c r="AT914" s="3"/>
      <c r="AU914" s="3"/>
      <c r="AV914" s="3"/>
      <c r="AW914" s="3"/>
      <c r="AX914" s="3"/>
      <c r="AY914" s="3"/>
      <c r="AZ914" s="3"/>
      <c r="BA914" s="3"/>
      <c r="BB914" s="3"/>
      <c r="BC914" s="3"/>
    </row>
    <row r="915" spans="1:55">
      <c r="A915" s="1" t="str">
        <f>'Population Definitions'!$A$5</f>
        <v>0-9_females</v>
      </c>
      <c r="C915" t="s">
        <v>32</v>
      </c>
      <c r="D915" s="3"/>
      <c r="E915" s="3">
        <v>0</v>
      </c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  <c r="AA915" s="3"/>
      <c r="AB915" s="3"/>
      <c r="AC915" s="3"/>
      <c r="AD915" s="3"/>
      <c r="AE915" s="3"/>
      <c r="AF915" s="3"/>
      <c r="AG915" s="3"/>
      <c r="AH915" s="3"/>
      <c r="AI915" s="3"/>
      <c r="AJ915" s="3"/>
      <c r="AK915" s="3"/>
      <c r="AL915" s="3"/>
      <c r="AM915" s="3"/>
      <c r="AN915" s="3"/>
      <c r="AO915" s="3"/>
      <c r="AP915" s="3"/>
      <c r="AQ915" s="3"/>
      <c r="AR915" s="3"/>
      <c r="AS915" s="3"/>
      <c r="AT915" s="3"/>
      <c r="AU915" s="3"/>
      <c r="AV915" s="3"/>
      <c r="AW915" s="3"/>
      <c r="AX915" s="3"/>
      <c r="AY915" s="3"/>
      <c r="AZ915" s="3"/>
      <c r="BA915" s="3"/>
      <c r="BB915" s="3"/>
      <c r="BC915" s="3"/>
    </row>
    <row r="916" spans="1:55">
      <c r="A916" s="1" t="str">
        <f>'Population Definitions'!$A$6</f>
        <v>10-17_males</v>
      </c>
      <c r="C916" t="s">
        <v>32</v>
      </c>
      <c r="D916" s="3"/>
      <c r="E916" s="3">
        <v>0</v>
      </c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  <c r="AA916" s="3"/>
      <c r="AB916" s="3"/>
      <c r="AC916" s="3"/>
      <c r="AD916" s="3"/>
      <c r="AE916" s="3"/>
      <c r="AF916" s="3"/>
      <c r="AG916" s="3"/>
      <c r="AH916" s="3"/>
      <c r="AI916" s="3"/>
      <c r="AJ916" s="3"/>
      <c r="AK916" s="3"/>
      <c r="AL916" s="3"/>
      <c r="AM916" s="3"/>
      <c r="AN916" s="3"/>
      <c r="AO916" s="3"/>
      <c r="AP916" s="3"/>
      <c r="AQ916" s="3"/>
      <c r="AR916" s="3"/>
      <c r="AS916" s="3"/>
      <c r="AT916" s="3"/>
      <c r="AU916" s="3"/>
      <c r="AV916" s="3"/>
      <c r="AW916" s="3"/>
      <c r="AX916" s="3"/>
      <c r="AY916" s="3"/>
      <c r="AZ916" s="3"/>
      <c r="BA916" s="3"/>
      <c r="BB916" s="3"/>
      <c r="BC916" s="3"/>
    </row>
    <row r="917" spans="1:55">
      <c r="A917" s="1" t="str">
        <f>'Population Definitions'!$A$7</f>
        <v>10-17_females</v>
      </c>
      <c r="C917" t="s">
        <v>32</v>
      </c>
      <c r="D917" s="3"/>
      <c r="E917" s="3">
        <v>0</v>
      </c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  <c r="AA917" s="3"/>
      <c r="AB917" s="3"/>
      <c r="AC917" s="3"/>
      <c r="AD917" s="3"/>
      <c r="AE917" s="3"/>
      <c r="AF917" s="3"/>
      <c r="AG917" s="3"/>
      <c r="AH917" s="3"/>
      <c r="AI917" s="3"/>
      <c r="AJ917" s="3"/>
      <c r="AK917" s="3"/>
      <c r="AL917" s="3"/>
      <c r="AM917" s="3"/>
      <c r="AN917" s="3"/>
      <c r="AO917" s="3"/>
      <c r="AP917" s="3"/>
      <c r="AQ917" s="3"/>
      <c r="AR917" s="3"/>
      <c r="AS917" s="3"/>
      <c r="AT917" s="3"/>
      <c r="AU917" s="3"/>
      <c r="AV917" s="3"/>
      <c r="AW917" s="3"/>
      <c r="AX917" s="3"/>
      <c r="AY917" s="3"/>
      <c r="AZ917" s="3"/>
      <c r="BA917" s="3"/>
      <c r="BB917" s="3"/>
      <c r="BC917" s="3"/>
    </row>
    <row r="918" spans="1:55">
      <c r="A918" s="1" t="str">
        <f>'Population Definitions'!$A$8</f>
        <v>18-64_males</v>
      </c>
      <c r="C918" t="s">
        <v>32</v>
      </c>
      <c r="D918" s="3"/>
      <c r="E918" s="3">
        <v>0</v>
      </c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  <c r="AA918" s="3"/>
      <c r="AB918" s="3"/>
      <c r="AC918" s="3"/>
      <c r="AD918" s="3"/>
      <c r="AE918" s="3"/>
      <c r="AF918" s="3"/>
      <c r="AG918" s="3"/>
      <c r="AH918" s="3"/>
      <c r="AI918" s="3"/>
      <c r="AJ918" s="3"/>
      <c r="AK918" s="3"/>
      <c r="AL918" s="3"/>
      <c r="AM918" s="3"/>
      <c r="AN918" s="3"/>
      <c r="AO918" s="3"/>
      <c r="AP918" s="3"/>
      <c r="AQ918" s="3"/>
      <c r="AR918" s="3"/>
      <c r="AS918" s="3"/>
      <c r="AT918" s="3"/>
      <c r="AU918" s="3"/>
      <c r="AV918" s="3"/>
      <c r="AW918" s="3"/>
      <c r="AX918" s="3"/>
      <c r="AY918" s="3"/>
      <c r="AZ918" s="3"/>
      <c r="BA918" s="3"/>
      <c r="BB918" s="3"/>
      <c r="BC918" s="3"/>
    </row>
    <row r="919" spans="1:55">
      <c r="A919" s="1" t="str">
        <f>'Population Definitions'!$A$9</f>
        <v>18-64_females</v>
      </c>
      <c r="C919" t="s">
        <v>32</v>
      </c>
      <c r="D919" s="3"/>
      <c r="E919" s="3">
        <v>0</v>
      </c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  <c r="AA919" s="3"/>
      <c r="AB919" s="3"/>
      <c r="AC919" s="3"/>
      <c r="AD919" s="3"/>
      <c r="AE919" s="3"/>
      <c r="AF919" s="3"/>
      <c r="AG919" s="3"/>
      <c r="AH919" s="3"/>
      <c r="AI919" s="3"/>
      <c r="AJ919" s="3"/>
      <c r="AK919" s="3"/>
      <c r="AL919" s="3"/>
      <c r="AM919" s="3"/>
      <c r="AN919" s="3"/>
      <c r="AO919" s="3"/>
      <c r="AP919" s="3"/>
      <c r="AQ919" s="3"/>
      <c r="AR919" s="3"/>
      <c r="AS919" s="3"/>
      <c r="AT919" s="3"/>
      <c r="AU919" s="3"/>
      <c r="AV919" s="3"/>
      <c r="AW919" s="3"/>
      <c r="AX919" s="3"/>
      <c r="AY919" s="3"/>
      <c r="AZ919" s="3"/>
      <c r="BA919" s="3"/>
      <c r="BB919" s="3"/>
      <c r="BC919" s="3"/>
    </row>
    <row r="920" spans="1:55">
      <c r="A920" s="1" t="str">
        <f>'Population Definitions'!$A$10</f>
        <v>65+_males</v>
      </c>
      <c r="C920" t="s">
        <v>32</v>
      </c>
      <c r="D920" s="3"/>
      <c r="E920" s="3">
        <v>0</v>
      </c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  <c r="AA920" s="3"/>
      <c r="AB920" s="3"/>
      <c r="AC920" s="3"/>
      <c r="AD920" s="3"/>
      <c r="AE920" s="3"/>
      <c r="AF920" s="3"/>
      <c r="AG920" s="3"/>
      <c r="AH920" s="3"/>
      <c r="AI920" s="3"/>
      <c r="AJ920" s="3"/>
      <c r="AK920" s="3"/>
      <c r="AL920" s="3"/>
      <c r="AM920" s="3"/>
      <c r="AN920" s="3"/>
      <c r="AO920" s="3"/>
      <c r="AP920" s="3"/>
      <c r="AQ920" s="3"/>
      <c r="AR920" s="3"/>
      <c r="AS920" s="3"/>
      <c r="AT920" s="3"/>
      <c r="AU920" s="3"/>
      <c r="AV920" s="3"/>
      <c r="AW920" s="3"/>
      <c r="AX920" s="3"/>
      <c r="AY920" s="3"/>
      <c r="AZ920" s="3"/>
      <c r="BA920" s="3"/>
      <c r="BB920" s="3"/>
      <c r="BC920" s="3"/>
    </row>
    <row r="921" spans="1:55">
      <c r="A921" s="1" t="str">
        <f>'Population Definitions'!$A$11</f>
        <v>65+_females</v>
      </c>
      <c r="C921" t="s">
        <v>32</v>
      </c>
      <c r="D921" s="3"/>
      <c r="E921" s="3">
        <v>0</v>
      </c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  <c r="AA921" s="3"/>
      <c r="AB921" s="3"/>
      <c r="AC921" s="3"/>
      <c r="AD921" s="3"/>
      <c r="AE921" s="3"/>
      <c r="AF921" s="3"/>
      <c r="AG921" s="3"/>
      <c r="AH921" s="3"/>
      <c r="AI921" s="3"/>
      <c r="AJ921" s="3"/>
      <c r="AK921" s="3"/>
      <c r="AL921" s="3"/>
      <c r="AM921" s="3"/>
      <c r="AN921" s="3"/>
      <c r="AO921" s="3"/>
      <c r="AP921" s="3"/>
      <c r="AQ921" s="3"/>
      <c r="AR921" s="3"/>
      <c r="AS921" s="3"/>
      <c r="AT921" s="3"/>
      <c r="AU921" s="3"/>
      <c r="AV921" s="3"/>
      <c r="AW921" s="3"/>
      <c r="AX921" s="3"/>
      <c r="AY921" s="3"/>
      <c r="AZ921" s="3"/>
      <c r="BA921" s="3"/>
      <c r="BB921" s="3"/>
      <c r="BC921" s="3"/>
    </row>
    <row r="922" spans="1:55">
      <c r="A922" s="1" t="str">
        <f>'Population Definitions'!$A$12</f>
        <v>Prisoners_males</v>
      </c>
      <c r="C922" t="s">
        <v>32</v>
      </c>
      <c r="D922" s="3"/>
      <c r="E922" s="3">
        <v>0</v>
      </c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  <c r="AA922" s="3"/>
      <c r="AB922" s="3"/>
      <c r="AC922" s="3"/>
      <c r="AD922" s="3"/>
      <c r="AE922" s="3"/>
      <c r="AF922" s="3"/>
      <c r="AG922" s="3"/>
      <c r="AH922" s="3"/>
      <c r="AI922" s="3"/>
      <c r="AJ922" s="3"/>
      <c r="AK922" s="3"/>
      <c r="AL922" s="3"/>
      <c r="AM922" s="3"/>
      <c r="AN922" s="3"/>
      <c r="AO922" s="3"/>
      <c r="AP922" s="3"/>
      <c r="AQ922" s="3"/>
      <c r="AR922" s="3"/>
      <c r="AS922" s="3"/>
      <c r="AT922" s="3"/>
      <c r="AU922" s="3"/>
      <c r="AV922" s="3"/>
      <c r="AW922" s="3"/>
      <c r="AX922" s="3"/>
      <c r="AY922" s="3"/>
      <c r="AZ922" s="3"/>
      <c r="BA922" s="3"/>
      <c r="BB922" s="3"/>
      <c r="BC922" s="3"/>
    </row>
    <row r="923" spans="1:55">
      <c r="A923" s="1" t="str">
        <f>'Population Definitions'!$A$13</f>
        <v>Prisoners_females</v>
      </c>
      <c r="C923" t="s">
        <v>32</v>
      </c>
      <c r="D923" s="3"/>
      <c r="E923" s="3">
        <v>0</v>
      </c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  <c r="AA923" s="3"/>
      <c r="AB923" s="3"/>
      <c r="AC923" s="3"/>
      <c r="AD923" s="3"/>
      <c r="AE923" s="3"/>
      <c r="AF923" s="3"/>
      <c r="AG923" s="3"/>
      <c r="AH923" s="3"/>
      <c r="AI923" s="3"/>
      <c r="AJ923" s="3"/>
      <c r="AK923" s="3"/>
      <c r="AL923" s="3"/>
      <c r="AM923" s="3"/>
      <c r="AN923" s="3"/>
      <c r="AO923" s="3"/>
      <c r="AP923" s="3"/>
      <c r="AQ923" s="3"/>
      <c r="AR923" s="3"/>
      <c r="AS923" s="3"/>
      <c r="AT923" s="3"/>
      <c r="AU923" s="3"/>
      <c r="AV923" s="3"/>
      <c r="AW923" s="3"/>
      <c r="AX923" s="3"/>
      <c r="AY923" s="3"/>
      <c r="AZ923" s="3"/>
      <c r="BA923" s="3"/>
      <c r="BB923" s="3"/>
      <c r="BC923" s="3"/>
    </row>
    <row r="925" spans="1:55">
      <c r="A925" s="1" t="s">
        <v>192</v>
      </c>
      <c r="B925" s="1" t="s">
        <v>29</v>
      </c>
      <c r="C925" s="1" t="s">
        <v>30</v>
      </c>
      <c r="D925" s="1" t="s">
        <v>31</v>
      </c>
      <c r="E925" s="1">
        <v>2000</v>
      </c>
      <c r="F925" s="1">
        <v>2001</v>
      </c>
      <c r="G925" s="1">
        <v>2002</v>
      </c>
      <c r="H925" s="1">
        <v>2003</v>
      </c>
      <c r="I925" s="1">
        <v>2004</v>
      </c>
      <c r="J925" s="1">
        <v>2005</v>
      </c>
      <c r="K925" s="1">
        <v>2006</v>
      </c>
      <c r="L925" s="1">
        <v>2007</v>
      </c>
      <c r="M925" s="1">
        <v>2008</v>
      </c>
      <c r="N925" s="1">
        <v>2009</v>
      </c>
      <c r="O925" s="1">
        <v>2010</v>
      </c>
      <c r="P925" s="1">
        <v>2011</v>
      </c>
      <c r="Q925" s="1">
        <v>2012</v>
      </c>
      <c r="R925" s="1">
        <v>2013</v>
      </c>
      <c r="S925" s="1">
        <v>2014</v>
      </c>
      <c r="T925" s="1">
        <v>2015</v>
      </c>
      <c r="U925" s="1">
        <v>2016</v>
      </c>
      <c r="V925" s="1">
        <v>2017</v>
      </c>
      <c r="W925" s="1">
        <v>2018</v>
      </c>
      <c r="X925" s="1">
        <v>2019</v>
      </c>
      <c r="Y925" s="1">
        <v>2020</v>
      </c>
      <c r="Z925" s="1">
        <v>2021</v>
      </c>
      <c r="AA925" s="1">
        <v>2022</v>
      </c>
      <c r="AB925" s="1">
        <v>2023</v>
      </c>
      <c r="AC925" s="1">
        <v>2024</v>
      </c>
      <c r="AD925" s="1">
        <v>2025</v>
      </c>
      <c r="AE925" s="1">
        <v>2026</v>
      </c>
      <c r="AF925" s="1">
        <v>2027</v>
      </c>
      <c r="AG925" s="1">
        <v>2028</v>
      </c>
      <c r="AH925" s="1">
        <v>2029</v>
      </c>
      <c r="AI925" s="1">
        <v>2030</v>
      </c>
      <c r="AJ925" s="1">
        <v>2031</v>
      </c>
      <c r="AK925" s="1">
        <v>2032</v>
      </c>
      <c r="AL925" s="1">
        <v>2033</v>
      </c>
      <c r="AM925" s="1">
        <v>2034</v>
      </c>
      <c r="AN925" s="1">
        <v>2035</v>
      </c>
      <c r="AO925" s="1">
        <v>2036</v>
      </c>
      <c r="AP925" s="1">
        <v>2037</v>
      </c>
      <c r="AQ925" s="1">
        <v>2038</v>
      </c>
      <c r="AR925" s="1">
        <v>2039</v>
      </c>
      <c r="AS925" s="1">
        <v>2040</v>
      </c>
      <c r="AT925" s="1">
        <v>2041</v>
      </c>
      <c r="AU925" s="1">
        <v>2042</v>
      </c>
      <c r="AV925" s="1">
        <v>2043</v>
      </c>
      <c r="AW925" s="1">
        <v>2044</v>
      </c>
      <c r="AX925" s="1">
        <v>2045</v>
      </c>
      <c r="AY925" s="1">
        <v>2046</v>
      </c>
      <c r="AZ925" s="1">
        <v>2047</v>
      </c>
      <c r="BA925" s="1">
        <v>2048</v>
      </c>
      <c r="BB925" s="1">
        <v>2049</v>
      </c>
      <c r="BC925" s="1">
        <v>2050</v>
      </c>
    </row>
    <row r="926" spans="1:55">
      <c r="A926" s="1" t="str">
        <f>'Population Definitions'!$A$2</f>
        <v>PWID_males</v>
      </c>
      <c r="C926" t="s">
        <v>32</v>
      </c>
      <c r="D926" s="3"/>
      <c r="E926" s="3">
        <v>0</v>
      </c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  <c r="AA926" s="3"/>
      <c r="AB926" s="3"/>
      <c r="AC926" s="3"/>
      <c r="AD926" s="3"/>
      <c r="AE926" s="3"/>
      <c r="AF926" s="3"/>
      <c r="AG926" s="3"/>
      <c r="AH926" s="3"/>
      <c r="AI926" s="3"/>
      <c r="AJ926" s="3"/>
      <c r="AK926" s="3"/>
      <c r="AL926" s="3"/>
      <c r="AM926" s="3"/>
      <c r="AN926" s="3"/>
      <c r="AO926" s="3"/>
      <c r="AP926" s="3"/>
      <c r="AQ926" s="3"/>
      <c r="AR926" s="3"/>
      <c r="AS926" s="3"/>
      <c r="AT926" s="3"/>
      <c r="AU926" s="3"/>
      <c r="AV926" s="3"/>
      <c r="AW926" s="3"/>
      <c r="AX926" s="3"/>
      <c r="AY926" s="3"/>
      <c r="AZ926" s="3"/>
      <c r="BA926" s="3"/>
      <c r="BB926" s="3"/>
      <c r="BC926" s="3"/>
    </row>
    <row r="927" spans="1:55">
      <c r="A927" s="1" t="str">
        <f>'Population Definitions'!$A$3</f>
        <v>PWID_females</v>
      </c>
      <c r="C927" t="s">
        <v>32</v>
      </c>
      <c r="D927" s="3"/>
      <c r="E927" s="3">
        <v>0</v>
      </c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  <c r="AA927" s="3"/>
      <c r="AB927" s="3"/>
      <c r="AC927" s="3"/>
      <c r="AD927" s="3"/>
      <c r="AE927" s="3"/>
      <c r="AF927" s="3"/>
      <c r="AG927" s="3"/>
      <c r="AH927" s="3"/>
      <c r="AI927" s="3"/>
      <c r="AJ927" s="3"/>
      <c r="AK927" s="3"/>
      <c r="AL927" s="3"/>
      <c r="AM927" s="3"/>
      <c r="AN927" s="3"/>
      <c r="AO927" s="3"/>
      <c r="AP927" s="3"/>
      <c r="AQ927" s="3"/>
      <c r="AR927" s="3"/>
      <c r="AS927" s="3"/>
      <c r="AT927" s="3"/>
      <c r="AU927" s="3"/>
      <c r="AV927" s="3"/>
      <c r="AW927" s="3"/>
      <c r="AX927" s="3"/>
      <c r="AY927" s="3"/>
      <c r="AZ927" s="3"/>
      <c r="BA927" s="3"/>
      <c r="BB927" s="3"/>
      <c r="BC927" s="3"/>
    </row>
    <row r="928" spans="1:55">
      <c r="A928" s="1" t="str">
        <f>'Population Definitions'!$A$4</f>
        <v>0-9_males</v>
      </c>
      <c r="C928" t="s">
        <v>32</v>
      </c>
      <c r="D928" s="3"/>
      <c r="E928" s="3">
        <v>0</v>
      </c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  <c r="AA928" s="3"/>
      <c r="AB928" s="3"/>
      <c r="AC928" s="3"/>
      <c r="AD928" s="3"/>
      <c r="AE928" s="3"/>
      <c r="AF928" s="3"/>
      <c r="AG928" s="3"/>
      <c r="AH928" s="3"/>
      <c r="AI928" s="3"/>
      <c r="AJ928" s="3"/>
      <c r="AK928" s="3"/>
      <c r="AL928" s="3"/>
      <c r="AM928" s="3"/>
      <c r="AN928" s="3"/>
      <c r="AO928" s="3"/>
      <c r="AP928" s="3"/>
      <c r="AQ928" s="3"/>
      <c r="AR928" s="3"/>
      <c r="AS928" s="3"/>
      <c r="AT928" s="3"/>
      <c r="AU928" s="3"/>
      <c r="AV928" s="3"/>
      <c r="AW928" s="3"/>
      <c r="AX928" s="3"/>
      <c r="AY928" s="3"/>
      <c r="AZ928" s="3"/>
      <c r="BA928" s="3"/>
      <c r="BB928" s="3"/>
      <c r="BC928" s="3"/>
    </row>
    <row r="929" spans="1:55">
      <c r="A929" s="1" t="str">
        <f>'Population Definitions'!$A$5</f>
        <v>0-9_females</v>
      </c>
      <c r="C929" t="s">
        <v>32</v>
      </c>
      <c r="D929" s="3"/>
      <c r="E929" s="3">
        <v>0</v>
      </c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  <c r="AA929" s="3"/>
      <c r="AB929" s="3"/>
      <c r="AC929" s="3"/>
      <c r="AD929" s="3"/>
      <c r="AE929" s="3"/>
      <c r="AF929" s="3"/>
      <c r="AG929" s="3"/>
      <c r="AH929" s="3"/>
      <c r="AI929" s="3"/>
      <c r="AJ929" s="3"/>
      <c r="AK929" s="3"/>
      <c r="AL929" s="3"/>
      <c r="AM929" s="3"/>
      <c r="AN929" s="3"/>
      <c r="AO929" s="3"/>
      <c r="AP929" s="3"/>
      <c r="AQ929" s="3"/>
      <c r="AR929" s="3"/>
      <c r="AS929" s="3"/>
      <c r="AT929" s="3"/>
      <c r="AU929" s="3"/>
      <c r="AV929" s="3"/>
      <c r="AW929" s="3"/>
      <c r="AX929" s="3"/>
      <c r="AY929" s="3"/>
      <c r="AZ929" s="3"/>
      <c r="BA929" s="3"/>
      <c r="BB929" s="3"/>
      <c r="BC929" s="3"/>
    </row>
    <row r="930" spans="1:55">
      <c r="A930" s="1" t="str">
        <f>'Population Definitions'!$A$6</f>
        <v>10-17_males</v>
      </c>
      <c r="C930" t="s">
        <v>32</v>
      </c>
      <c r="D930" s="3"/>
      <c r="E930" s="3">
        <v>0</v>
      </c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  <c r="AA930" s="3"/>
      <c r="AB930" s="3"/>
      <c r="AC930" s="3"/>
      <c r="AD930" s="3"/>
      <c r="AE930" s="3"/>
      <c r="AF930" s="3"/>
      <c r="AG930" s="3"/>
      <c r="AH930" s="3"/>
      <c r="AI930" s="3"/>
      <c r="AJ930" s="3"/>
      <c r="AK930" s="3"/>
      <c r="AL930" s="3"/>
      <c r="AM930" s="3"/>
      <c r="AN930" s="3"/>
      <c r="AO930" s="3"/>
      <c r="AP930" s="3"/>
      <c r="AQ930" s="3"/>
      <c r="AR930" s="3"/>
      <c r="AS930" s="3"/>
      <c r="AT930" s="3"/>
      <c r="AU930" s="3"/>
      <c r="AV930" s="3"/>
      <c r="AW930" s="3"/>
      <c r="AX930" s="3"/>
      <c r="AY930" s="3"/>
      <c r="AZ930" s="3"/>
      <c r="BA930" s="3"/>
      <c r="BB930" s="3"/>
      <c r="BC930" s="3"/>
    </row>
    <row r="931" spans="1:55">
      <c r="A931" s="1" t="str">
        <f>'Population Definitions'!$A$7</f>
        <v>10-17_females</v>
      </c>
      <c r="C931" t="s">
        <v>32</v>
      </c>
      <c r="D931" s="3"/>
      <c r="E931" s="3">
        <v>0</v>
      </c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  <c r="AA931" s="3"/>
      <c r="AB931" s="3"/>
      <c r="AC931" s="3"/>
      <c r="AD931" s="3"/>
      <c r="AE931" s="3"/>
      <c r="AF931" s="3"/>
      <c r="AG931" s="3"/>
      <c r="AH931" s="3"/>
      <c r="AI931" s="3"/>
      <c r="AJ931" s="3"/>
      <c r="AK931" s="3"/>
      <c r="AL931" s="3"/>
      <c r="AM931" s="3"/>
      <c r="AN931" s="3"/>
      <c r="AO931" s="3"/>
      <c r="AP931" s="3"/>
      <c r="AQ931" s="3"/>
      <c r="AR931" s="3"/>
      <c r="AS931" s="3"/>
      <c r="AT931" s="3"/>
      <c r="AU931" s="3"/>
      <c r="AV931" s="3"/>
      <c r="AW931" s="3"/>
      <c r="AX931" s="3"/>
      <c r="AY931" s="3"/>
      <c r="AZ931" s="3"/>
      <c r="BA931" s="3"/>
      <c r="BB931" s="3"/>
      <c r="BC931" s="3"/>
    </row>
    <row r="932" spans="1:55">
      <c r="A932" s="1" t="str">
        <f>'Population Definitions'!$A$8</f>
        <v>18-64_males</v>
      </c>
      <c r="C932" t="s">
        <v>32</v>
      </c>
      <c r="D932" s="3"/>
      <c r="E932" s="3">
        <v>0</v>
      </c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  <c r="AA932" s="3"/>
      <c r="AB932" s="3"/>
      <c r="AC932" s="3"/>
      <c r="AD932" s="3"/>
      <c r="AE932" s="3"/>
      <c r="AF932" s="3"/>
      <c r="AG932" s="3"/>
      <c r="AH932" s="3"/>
      <c r="AI932" s="3"/>
      <c r="AJ932" s="3"/>
      <c r="AK932" s="3"/>
      <c r="AL932" s="3"/>
      <c r="AM932" s="3"/>
      <c r="AN932" s="3"/>
      <c r="AO932" s="3"/>
      <c r="AP932" s="3"/>
      <c r="AQ932" s="3"/>
      <c r="AR932" s="3"/>
      <c r="AS932" s="3"/>
      <c r="AT932" s="3"/>
      <c r="AU932" s="3"/>
      <c r="AV932" s="3"/>
      <c r="AW932" s="3"/>
      <c r="AX932" s="3"/>
      <c r="AY932" s="3"/>
      <c r="AZ932" s="3"/>
      <c r="BA932" s="3"/>
      <c r="BB932" s="3"/>
      <c r="BC932" s="3"/>
    </row>
    <row r="933" spans="1:55">
      <c r="A933" s="1" t="str">
        <f>'Population Definitions'!$A$9</f>
        <v>18-64_females</v>
      </c>
      <c r="C933" t="s">
        <v>32</v>
      </c>
      <c r="D933" s="3"/>
      <c r="E933" s="3">
        <v>0</v>
      </c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  <c r="AA933" s="3"/>
      <c r="AB933" s="3"/>
      <c r="AC933" s="3"/>
      <c r="AD933" s="3"/>
      <c r="AE933" s="3"/>
      <c r="AF933" s="3"/>
      <c r="AG933" s="3"/>
      <c r="AH933" s="3"/>
      <c r="AI933" s="3"/>
      <c r="AJ933" s="3"/>
      <c r="AK933" s="3"/>
      <c r="AL933" s="3"/>
      <c r="AM933" s="3"/>
      <c r="AN933" s="3"/>
      <c r="AO933" s="3"/>
      <c r="AP933" s="3"/>
      <c r="AQ933" s="3"/>
      <c r="AR933" s="3"/>
      <c r="AS933" s="3"/>
      <c r="AT933" s="3"/>
      <c r="AU933" s="3"/>
      <c r="AV933" s="3"/>
      <c r="AW933" s="3"/>
      <c r="AX933" s="3"/>
      <c r="AY933" s="3"/>
      <c r="AZ933" s="3"/>
      <c r="BA933" s="3"/>
      <c r="BB933" s="3"/>
      <c r="BC933" s="3"/>
    </row>
    <row r="934" spans="1:55">
      <c r="A934" s="1" t="str">
        <f>'Population Definitions'!$A$10</f>
        <v>65+_males</v>
      </c>
      <c r="C934" t="s">
        <v>32</v>
      </c>
      <c r="D934" s="3"/>
      <c r="E934" s="3">
        <v>0</v>
      </c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  <c r="AA934" s="3"/>
      <c r="AB934" s="3"/>
      <c r="AC934" s="3"/>
      <c r="AD934" s="3"/>
      <c r="AE934" s="3"/>
      <c r="AF934" s="3"/>
      <c r="AG934" s="3"/>
      <c r="AH934" s="3"/>
      <c r="AI934" s="3"/>
      <c r="AJ934" s="3"/>
      <c r="AK934" s="3"/>
      <c r="AL934" s="3"/>
      <c r="AM934" s="3"/>
      <c r="AN934" s="3"/>
      <c r="AO934" s="3"/>
      <c r="AP934" s="3"/>
      <c r="AQ934" s="3"/>
      <c r="AR934" s="3"/>
      <c r="AS934" s="3"/>
      <c r="AT934" s="3"/>
      <c r="AU934" s="3"/>
      <c r="AV934" s="3"/>
      <c r="AW934" s="3"/>
      <c r="AX934" s="3"/>
      <c r="AY934" s="3"/>
      <c r="AZ934" s="3"/>
      <c r="BA934" s="3"/>
      <c r="BB934" s="3"/>
      <c r="BC934" s="3"/>
    </row>
    <row r="935" spans="1:55">
      <c r="A935" s="1" t="str">
        <f>'Population Definitions'!$A$11</f>
        <v>65+_females</v>
      </c>
      <c r="C935" t="s">
        <v>32</v>
      </c>
      <c r="D935" s="3"/>
      <c r="E935" s="3">
        <v>0</v>
      </c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  <c r="AA935" s="3"/>
      <c r="AB935" s="3"/>
      <c r="AC935" s="3"/>
      <c r="AD935" s="3"/>
      <c r="AE935" s="3"/>
      <c r="AF935" s="3"/>
      <c r="AG935" s="3"/>
      <c r="AH935" s="3"/>
      <c r="AI935" s="3"/>
      <c r="AJ935" s="3"/>
      <c r="AK935" s="3"/>
      <c r="AL935" s="3"/>
      <c r="AM935" s="3"/>
      <c r="AN935" s="3"/>
      <c r="AO935" s="3"/>
      <c r="AP935" s="3"/>
      <c r="AQ935" s="3"/>
      <c r="AR935" s="3"/>
      <c r="AS935" s="3"/>
      <c r="AT935" s="3"/>
      <c r="AU935" s="3"/>
      <c r="AV935" s="3"/>
      <c r="AW935" s="3"/>
      <c r="AX935" s="3"/>
      <c r="AY935" s="3"/>
      <c r="AZ935" s="3"/>
      <c r="BA935" s="3"/>
      <c r="BB935" s="3"/>
      <c r="BC935" s="3"/>
    </row>
    <row r="936" spans="1:55">
      <c r="A936" s="1" t="str">
        <f>'Population Definitions'!$A$12</f>
        <v>Prisoners_males</v>
      </c>
      <c r="C936" t="s">
        <v>32</v>
      </c>
      <c r="D936" s="3"/>
      <c r="E936" s="3">
        <v>0</v>
      </c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  <c r="AA936" s="3"/>
      <c r="AB936" s="3"/>
      <c r="AC936" s="3"/>
      <c r="AD936" s="3"/>
      <c r="AE936" s="3"/>
      <c r="AF936" s="3"/>
      <c r="AG936" s="3"/>
      <c r="AH936" s="3"/>
      <c r="AI936" s="3"/>
      <c r="AJ936" s="3"/>
      <c r="AK936" s="3"/>
      <c r="AL936" s="3"/>
      <c r="AM936" s="3"/>
      <c r="AN936" s="3"/>
      <c r="AO936" s="3"/>
      <c r="AP936" s="3"/>
      <c r="AQ936" s="3"/>
      <c r="AR936" s="3"/>
      <c r="AS936" s="3"/>
      <c r="AT936" s="3"/>
      <c r="AU936" s="3"/>
      <c r="AV936" s="3"/>
      <c r="AW936" s="3"/>
      <c r="AX936" s="3"/>
      <c r="AY936" s="3"/>
      <c r="AZ936" s="3"/>
      <c r="BA936" s="3"/>
      <c r="BB936" s="3"/>
      <c r="BC936" s="3"/>
    </row>
    <row r="937" spans="1:55">
      <c r="A937" s="1" t="str">
        <f>'Population Definitions'!$A$13</f>
        <v>Prisoners_females</v>
      </c>
      <c r="C937" t="s">
        <v>32</v>
      </c>
      <c r="D937" s="3"/>
      <c r="E937" s="3">
        <v>0</v>
      </c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  <c r="AA937" s="3"/>
      <c r="AB937" s="3"/>
      <c r="AC937" s="3"/>
      <c r="AD937" s="3"/>
      <c r="AE937" s="3"/>
      <c r="AF937" s="3"/>
      <c r="AG937" s="3"/>
      <c r="AH937" s="3"/>
      <c r="AI937" s="3"/>
      <c r="AJ937" s="3"/>
      <c r="AK937" s="3"/>
      <c r="AL937" s="3"/>
      <c r="AM937" s="3"/>
      <c r="AN937" s="3"/>
      <c r="AO937" s="3"/>
      <c r="AP937" s="3"/>
      <c r="AQ937" s="3"/>
      <c r="AR937" s="3"/>
      <c r="AS937" s="3"/>
      <c r="AT937" s="3"/>
      <c r="AU937" s="3"/>
      <c r="AV937" s="3"/>
      <c r="AW937" s="3"/>
      <c r="AX937" s="3"/>
      <c r="AY937" s="3"/>
      <c r="AZ937" s="3"/>
      <c r="BA937" s="3"/>
      <c r="BB937" s="3"/>
      <c r="BC937" s="3"/>
    </row>
    <row r="939" spans="1:55">
      <c r="A939" s="1" t="s">
        <v>193</v>
      </c>
      <c r="B939" s="1" t="s">
        <v>29</v>
      </c>
      <c r="C939" s="1" t="s">
        <v>30</v>
      </c>
      <c r="D939" s="1" t="s">
        <v>31</v>
      </c>
      <c r="E939" s="1">
        <v>2000</v>
      </c>
      <c r="F939" s="1">
        <v>2001</v>
      </c>
      <c r="G939" s="1">
        <v>2002</v>
      </c>
      <c r="H939" s="1">
        <v>2003</v>
      </c>
      <c r="I939" s="1">
        <v>2004</v>
      </c>
      <c r="J939" s="1">
        <v>2005</v>
      </c>
      <c r="K939" s="1">
        <v>2006</v>
      </c>
      <c r="L939" s="1">
        <v>2007</v>
      </c>
      <c r="M939" s="1">
        <v>2008</v>
      </c>
      <c r="N939" s="1">
        <v>2009</v>
      </c>
      <c r="O939" s="1">
        <v>2010</v>
      </c>
      <c r="P939" s="1">
        <v>2011</v>
      </c>
      <c r="Q939" s="1">
        <v>2012</v>
      </c>
      <c r="R939" s="1">
        <v>2013</v>
      </c>
      <c r="S939" s="1">
        <v>2014</v>
      </c>
      <c r="T939" s="1">
        <v>2015</v>
      </c>
      <c r="U939" s="1">
        <v>2016</v>
      </c>
      <c r="V939" s="1">
        <v>2017</v>
      </c>
      <c r="W939" s="1">
        <v>2018</v>
      </c>
      <c r="X939" s="1">
        <v>2019</v>
      </c>
      <c r="Y939" s="1">
        <v>2020</v>
      </c>
      <c r="Z939" s="1">
        <v>2021</v>
      </c>
      <c r="AA939" s="1">
        <v>2022</v>
      </c>
      <c r="AB939" s="1">
        <v>2023</v>
      </c>
      <c r="AC939" s="1">
        <v>2024</v>
      </c>
      <c r="AD939" s="1">
        <v>2025</v>
      </c>
      <c r="AE939" s="1">
        <v>2026</v>
      </c>
      <c r="AF939" s="1">
        <v>2027</v>
      </c>
      <c r="AG939" s="1">
        <v>2028</v>
      </c>
      <c r="AH939" s="1">
        <v>2029</v>
      </c>
      <c r="AI939" s="1">
        <v>2030</v>
      </c>
      <c r="AJ939" s="1">
        <v>2031</v>
      </c>
      <c r="AK939" s="1">
        <v>2032</v>
      </c>
      <c r="AL939" s="1">
        <v>2033</v>
      </c>
      <c r="AM939" s="1">
        <v>2034</v>
      </c>
      <c r="AN939" s="1">
        <v>2035</v>
      </c>
      <c r="AO939" s="1">
        <v>2036</v>
      </c>
      <c r="AP939" s="1">
        <v>2037</v>
      </c>
      <c r="AQ939" s="1">
        <v>2038</v>
      </c>
      <c r="AR939" s="1">
        <v>2039</v>
      </c>
      <c r="AS939" s="1">
        <v>2040</v>
      </c>
      <c r="AT939" s="1">
        <v>2041</v>
      </c>
      <c r="AU939" s="1">
        <v>2042</v>
      </c>
      <c r="AV939" s="1">
        <v>2043</v>
      </c>
      <c r="AW939" s="1">
        <v>2044</v>
      </c>
      <c r="AX939" s="1">
        <v>2045</v>
      </c>
      <c r="AY939" s="1">
        <v>2046</v>
      </c>
      <c r="AZ939" s="1">
        <v>2047</v>
      </c>
      <c r="BA939" s="1">
        <v>2048</v>
      </c>
      <c r="BB939" s="1">
        <v>2049</v>
      </c>
      <c r="BC939" s="1">
        <v>2050</v>
      </c>
    </row>
    <row r="940" spans="1:55">
      <c r="A940" s="1" t="str">
        <f>'Population Definitions'!$A$2</f>
        <v>PWID_males</v>
      </c>
      <c r="C940" t="s">
        <v>32</v>
      </c>
      <c r="D940" s="3"/>
      <c r="E940" s="3">
        <v>0</v>
      </c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  <c r="AA940" s="3"/>
      <c r="AB940" s="3"/>
      <c r="AC940" s="3"/>
      <c r="AD940" s="3"/>
      <c r="AE940" s="3"/>
      <c r="AF940" s="3"/>
      <c r="AG940" s="3"/>
      <c r="AH940" s="3"/>
      <c r="AI940" s="3"/>
      <c r="AJ940" s="3"/>
      <c r="AK940" s="3"/>
      <c r="AL940" s="3"/>
      <c r="AM940" s="3"/>
      <c r="AN940" s="3"/>
      <c r="AO940" s="3"/>
      <c r="AP940" s="3"/>
      <c r="AQ940" s="3"/>
      <c r="AR940" s="3"/>
      <c r="AS940" s="3"/>
      <c r="AT940" s="3"/>
      <c r="AU940" s="3"/>
      <c r="AV940" s="3"/>
      <c r="AW940" s="3"/>
      <c r="AX940" s="3"/>
      <c r="AY940" s="3"/>
      <c r="AZ940" s="3"/>
      <c r="BA940" s="3"/>
      <c r="BB940" s="3"/>
      <c r="BC940" s="3"/>
    </row>
    <row r="941" spans="1:55">
      <c r="A941" s="1" t="str">
        <f>'Population Definitions'!$A$3</f>
        <v>PWID_females</v>
      </c>
      <c r="C941" t="s">
        <v>32</v>
      </c>
      <c r="D941" s="3"/>
      <c r="E941" s="3">
        <v>0</v>
      </c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  <c r="AA941" s="3"/>
      <c r="AB941" s="3"/>
      <c r="AC941" s="3"/>
      <c r="AD941" s="3"/>
      <c r="AE941" s="3"/>
      <c r="AF941" s="3"/>
      <c r="AG941" s="3"/>
      <c r="AH941" s="3"/>
      <c r="AI941" s="3"/>
      <c r="AJ941" s="3"/>
      <c r="AK941" s="3"/>
      <c r="AL941" s="3"/>
      <c r="AM941" s="3"/>
      <c r="AN941" s="3"/>
      <c r="AO941" s="3"/>
      <c r="AP941" s="3"/>
      <c r="AQ941" s="3"/>
      <c r="AR941" s="3"/>
      <c r="AS941" s="3"/>
      <c r="AT941" s="3"/>
      <c r="AU941" s="3"/>
      <c r="AV941" s="3"/>
      <c r="AW941" s="3"/>
      <c r="AX941" s="3"/>
      <c r="AY941" s="3"/>
      <c r="AZ941" s="3"/>
      <c r="BA941" s="3"/>
      <c r="BB941" s="3"/>
      <c r="BC941" s="3"/>
    </row>
    <row r="942" spans="1:55">
      <c r="A942" s="1" t="str">
        <f>'Population Definitions'!$A$4</f>
        <v>0-9_males</v>
      </c>
      <c r="C942" t="s">
        <v>32</v>
      </c>
      <c r="D942" s="3"/>
      <c r="E942" s="3">
        <v>0</v>
      </c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  <c r="AA942" s="3"/>
      <c r="AB942" s="3"/>
      <c r="AC942" s="3"/>
      <c r="AD942" s="3"/>
      <c r="AE942" s="3"/>
      <c r="AF942" s="3"/>
      <c r="AG942" s="3"/>
      <c r="AH942" s="3"/>
      <c r="AI942" s="3"/>
      <c r="AJ942" s="3"/>
      <c r="AK942" s="3"/>
      <c r="AL942" s="3"/>
      <c r="AM942" s="3"/>
      <c r="AN942" s="3"/>
      <c r="AO942" s="3"/>
      <c r="AP942" s="3"/>
      <c r="AQ942" s="3"/>
      <c r="AR942" s="3"/>
      <c r="AS942" s="3"/>
      <c r="AT942" s="3"/>
      <c r="AU942" s="3"/>
      <c r="AV942" s="3"/>
      <c r="AW942" s="3"/>
      <c r="AX942" s="3"/>
      <c r="AY942" s="3"/>
      <c r="AZ942" s="3"/>
      <c r="BA942" s="3"/>
      <c r="BB942" s="3"/>
      <c r="BC942" s="3"/>
    </row>
    <row r="943" spans="1:55">
      <c r="A943" s="1" t="str">
        <f>'Population Definitions'!$A$5</f>
        <v>0-9_females</v>
      </c>
      <c r="C943" t="s">
        <v>32</v>
      </c>
      <c r="D943" s="3"/>
      <c r="E943" s="3">
        <v>0</v>
      </c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  <c r="AA943" s="3"/>
      <c r="AB943" s="3"/>
      <c r="AC943" s="3"/>
      <c r="AD943" s="3"/>
      <c r="AE943" s="3"/>
      <c r="AF943" s="3"/>
      <c r="AG943" s="3"/>
      <c r="AH943" s="3"/>
      <c r="AI943" s="3"/>
      <c r="AJ943" s="3"/>
      <c r="AK943" s="3"/>
      <c r="AL943" s="3"/>
      <c r="AM943" s="3"/>
      <c r="AN943" s="3"/>
      <c r="AO943" s="3"/>
      <c r="AP943" s="3"/>
      <c r="AQ943" s="3"/>
      <c r="AR943" s="3"/>
      <c r="AS943" s="3"/>
      <c r="AT943" s="3"/>
      <c r="AU943" s="3"/>
      <c r="AV943" s="3"/>
      <c r="AW943" s="3"/>
      <c r="AX943" s="3"/>
      <c r="AY943" s="3"/>
      <c r="AZ943" s="3"/>
      <c r="BA943" s="3"/>
      <c r="BB943" s="3"/>
      <c r="BC943" s="3"/>
    </row>
    <row r="944" spans="1:55">
      <c r="A944" s="1" t="str">
        <f>'Population Definitions'!$A$6</f>
        <v>10-17_males</v>
      </c>
      <c r="C944" t="s">
        <v>32</v>
      </c>
      <c r="D944" s="3"/>
      <c r="E944" s="3">
        <v>0</v>
      </c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  <c r="AA944" s="3"/>
      <c r="AB944" s="3"/>
      <c r="AC944" s="3"/>
      <c r="AD944" s="3"/>
      <c r="AE944" s="3"/>
      <c r="AF944" s="3"/>
      <c r="AG944" s="3"/>
      <c r="AH944" s="3"/>
      <c r="AI944" s="3"/>
      <c r="AJ944" s="3"/>
      <c r="AK944" s="3"/>
      <c r="AL944" s="3"/>
      <c r="AM944" s="3"/>
      <c r="AN944" s="3"/>
      <c r="AO944" s="3"/>
      <c r="AP944" s="3"/>
      <c r="AQ944" s="3"/>
      <c r="AR944" s="3"/>
      <c r="AS944" s="3"/>
      <c r="AT944" s="3"/>
      <c r="AU944" s="3"/>
      <c r="AV944" s="3"/>
      <c r="AW944" s="3"/>
      <c r="AX944" s="3"/>
      <c r="AY944" s="3"/>
      <c r="AZ944" s="3"/>
      <c r="BA944" s="3"/>
      <c r="BB944" s="3"/>
      <c r="BC944" s="3"/>
    </row>
    <row r="945" spans="1:55">
      <c r="A945" s="1" t="str">
        <f>'Population Definitions'!$A$7</f>
        <v>10-17_females</v>
      </c>
      <c r="C945" t="s">
        <v>32</v>
      </c>
      <c r="D945" s="3"/>
      <c r="E945" s="3">
        <v>0</v>
      </c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  <c r="AA945" s="3"/>
      <c r="AB945" s="3"/>
      <c r="AC945" s="3"/>
      <c r="AD945" s="3"/>
      <c r="AE945" s="3"/>
      <c r="AF945" s="3"/>
      <c r="AG945" s="3"/>
      <c r="AH945" s="3"/>
      <c r="AI945" s="3"/>
      <c r="AJ945" s="3"/>
      <c r="AK945" s="3"/>
      <c r="AL945" s="3"/>
      <c r="AM945" s="3"/>
      <c r="AN945" s="3"/>
      <c r="AO945" s="3"/>
      <c r="AP945" s="3"/>
      <c r="AQ945" s="3"/>
      <c r="AR945" s="3"/>
      <c r="AS945" s="3"/>
      <c r="AT945" s="3"/>
      <c r="AU945" s="3"/>
      <c r="AV945" s="3"/>
      <c r="AW945" s="3"/>
      <c r="AX945" s="3"/>
      <c r="AY945" s="3"/>
      <c r="AZ945" s="3"/>
      <c r="BA945" s="3"/>
      <c r="BB945" s="3"/>
      <c r="BC945" s="3"/>
    </row>
    <row r="946" spans="1:55">
      <c r="A946" s="1" t="str">
        <f>'Population Definitions'!$A$8</f>
        <v>18-64_males</v>
      </c>
      <c r="C946" t="s">
        <v>32</v>
      </c>
      <c r="D946" s="3"/>
      <c r="E946" s="3">
        <v>0</v>
      </c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  <c r="AA946" s="3"/>
      <c r="AB946" s="3"/>
      <c r="AC946" s="3"/>
      <c r="AD946" s="3"/>
      <c r="AE946" s="3"/>
      <c r="AF946" s="3"/>
      <c r="AG946" s="3"/>
      <c r="AH946" s="3"/>
      <c r="AI946" s="3"/>
      <c r="AJ946" s="3"/>
      <c r="AK946" s="3"/>
      <c r="AL946" s="3"/>
      <c r="AM946" s="3"/>
      <c r="AN946" s="3"/>
      <c r="AO946" s="3"/>
      <c r="AP946" s="3"/>
      <c r="AQ946" s="3"/>
      <c r="AR946" s="3"/>
      <c r="AS946" s="3"/>
      <c r="AT946" s="3"/>
      <c r="AU946" s="3"/>
      <c r="AV946" s="3"/>
      <c r="AW946" s="3"/>
      <c r="AX946" s="3"/>
      <c r="AY946" s="3"/>
      <c r="AZ946" s="3"/>
      <c r="BA946" s="3"/>
      <c r="BB946" s="3"/>
      <c r="BC946" s="3"/>
    </row>
    <row r="947" spans="1:55">
      <c r="A947" s="1" t="str">
        <f>'Population Definitions'!$A$9</f>
        <v>18-64_females</v>
      </c>
      <c r="C947" t="s">
        <v>32</v>
      </c>
      <c r="D947" s="3"/>
      <c r="E947" s="3">
        <v>0</v>
      </c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  <c r="AA947" s="3"/>
      <c r="AB947" s="3"/>
      <c r="AC947" s="3"/>
      <c r="AD947" s="3"/>
      <c r="AE947" s="3"/>
      <c r="AF947" s="3"/>
      <c r="AG947" s="3"/>
      <c r="AH947" s="3"/>
      <c r="AI947" s="3"/>
      <c r="AJ947" s="3"/>
      <c r="AK947" s="3"/>
      <c r="AL947" s="3"/>
      <c r="AM947" s="3"/>
      <c r="AN947" s="3"/>
      <c r="AO947" s="3"/>
      <c r="AP947" s="3"/>
      <c r="AQ947" s="3"/>
      <c r="AR947" s="3"/>
      <c r="AS947" s="3"/>
      <c r="AT947" s="3"/>
      <c r="AU947" s="3"/>
      <c r="AV947" s="3"/>
      <c r="AW947" s="3"/>
      <c r="AX947" s="3"/>
      <c r="AY947" s="3"/>
      <c r="AZ947" s="3"/>
      <c r="BA947" s="3"/>
      <c r="BB947" s="3"/>
      <c r="BC947" s="3"/>
    </row>
    <row r="948" spans="1:55">
      <c r="A948" s="1" t="str">
        <f>'Population Definitions'!$A$10</f>
        <v>65+_males</v>
      </c>
      <c r="C948" t="s">
        <v>32</v>
      </c>
      <c r="D948" s="3"/>
      <c r="E948" s="3">
        <v>0</v>
      </c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  <c r="AA948" s="3"/>
      <c r="AB948" s="3"/>
      <c r="AC948" s="3"/>
      <c r="AD948" s="3"/>
      <c r="AE948" s="3"/>
      <c r="AF948" s="3"/>
      <c r="AG948" s="3"/>
      <c r="AH948" s="3"/>
      <c r="AI948" s="3"/>
      <c r="AJ948" s="3"/>
      <c r="AK948" s="3"/>
      <c r="AL948" s="3"/>
      <c r="AM948" s="3"/>
      <c r="AN948" s="3"/>
      <c r="AO948" s="3"/>
      <c r="AP948" s="3"/>
      <c r="AQ948" s="3"/>
      <c r="AR948" s="3"/>
      <c r="AS948" s="3"/>
      <c r="AT948" s="3"/>
      <c r="AU948" s="3"/>
      <c r="AV948" s="3"/>
      <c r="AW948" s="3"/>
      <c r="AX948" s="3"/>
      <c r="AY948" s="3"/>
      <c r="AZ948" s="3"/>
      <c r="BA948" s="3"/>
      <c r="BB948" s="3"/>
      <c r="BC948" s="3"/>
    </row>
    <row r="949" spans="1:55">
      <c r="A949" s="1" t="str">
        <f>'Population Definitions'!$A$11</f>
        <v>65+_females</v>
      </c>
      <c r="C949" t="s">
        <v>32</v>
      </c>
      <c r="D949" s="3"/>
      <c r="E949" s="3">
        <v>0</v>
      </c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  <c r="AA949" s="3"/>
      <c r="AB949" s="3"/>
      <c r="AC949" s="3"/>
      <c r="AD949" s="3"/>
      <c r="AE949" s="3"/>
      <c r="AF949" s="3"/>
      <c r="AG949" s="3"/>
      <c r="AH949" s="3"/>
      <c r="AI949" s="3"/>
      <c r="AJ949" s="3"/>
      <c r="AK949" s="3"/>
      <c r="AL949" s="3"/>
      <c r="AM949" s="3"/>
      <c r="AN949" s="3"/>
      <c r="AO949" s="3"/>
      <c r="AP949" s="3"/>
      <c r="AQ949" s="3"/>
      <c r="AR949" s="3"/>
      <c r="AS949" s="3"/>
      <c r="AT949" s="3"/>
      <c r="AU949" s="3"/>
      <c r="AV949" s="3"/>
      <c r="AW949" s="3"/>
      <c r="AX949" s="3"/>
      <c r="AY949" s="3"/>
      <c r="AZ949" s="3"/>
      <c r="BA949" s="3"/>
      <c r="BB949" s="3"/>
      <c r="BC949" s="3"/>
    </row>
    <row r="950" spans="1:55">
      <c r="A950" s="1" t="str">
        <f>'Population Definitions'!$A$12</f>
        <v>Prisoners_males</v>
      </c>
      <c r="C950" t="s">
        <v>32</v>
      </c>
      <c r="D950" s="3"/>
      <c r="E950" s="3">
        <v>0</v>
      </c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  <c r="AA950" s="3"/>
      <c r="AB950" s="3"/>
      <c r="AC950" s="3"/>
      <c r="AD950" s="3"/>
      <c r="AE950" s="3"/>
      <c r="AF950" s="3"/>
      <c r="AG950" s="3"/>
      <c r="AH950" s="3"/>
      <c r="AI950" s="3"/>
      <c r="AJ950" s="3"/>
      <c r="AK950" s="3"/>
      <c r="AL950" s="3"/>
      <c r="AM950" s="3"/>
      <c r="AN950" s="3"/>
      <c r="AO950" s="3"/>
      <c r="AP950" s="3"/>
      <c r="AQ950" s="3"/>
      <c r="AR950" s="3"/>
      <c r="AS950" s="3"/>
      <c r="AT950" s="3"/>
      <c r="AU950" s="3"/>
      <c r="AV950" s="3"/>
      <c r="AW950" s="3"/>
      <c r="AX950" s="3"/>
      <c r="AY950" s="3"/>
      <c r="AZ950" s="3"/>
      <c r="BA950" s="3"/>
      <c r="BB950" s="3"/>
      <c r="BC950" s="3"/>
    </row>
    <row r="951" spans="1:55">
      <c r="A951" s="1" t="str">
        <f>'Population Definitions'!$A$13</f>
        <v>Prisoners_females</v>
      </c>
      <c r="C951" t="s">
        <v>32</v>
      </c>
      <c r="D951" s="3"/>
      <c r="E951" s="3">
        <v>0</v>
      </c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  <c r="AA951" s="3"/>
      <c r="AB951" s="3"/>
      <c r="AC951" s="3"/>
      <c r="AD951" s="3"/>
      <c r="AE951" s="3"/>
      <c r="AF951" s="3"/>
      <c r="AG951" s="3"/>
      <c r="AH951" s="3"/>
      <c r="AI951" s="3"/>
      <c r="AJ951" s="3"/>
      <c r="AK951" s="3"/>
      <c r="AL951" s="3"/>
      <c r="AM951" s="3"/>
      <c r="AN951" s="3"/>
      <c r="AO951" s="3"/>
      <c r="AP951" s="3"/>
      <c r="AQ951" s="3"/>
      <c r="AR951" s="3"/>
      <c r="AS951" s="3"/>
      <c r="AT951" s="3"/>
      <c r="AU951" s="3"/>
      <c r="AV951" s="3"/>
      <c r="AW951" s="3"/>
      <c r="AX951" s="3"/>
      <c r="AY951" s="3"/>
      <c r="AZ951" s="3"/>
      <c r="BA951" s="3"/>
      <c r="BB951" s="3"/>
      <c r="BC951" s="3"/>
    </row>
    <row r="953" spans="1:55">
      <c r="A953" s="1" t="s">
        <v>194</v>
      </c>
      <c r="B953" s="1" t="s">
        <v>29</v>
      </c>
      <c r="C953" s="1" t="s">
        <v>30</v>
      </c>
      <c r="D953" s="1" t="s">
        <v>31</v>
      </c>
      <c r="E953" s="1">
        <v>2000</v>
      </c>
      <c r="F953" s="1">
        <v>2001</v>
      </c>
      <c r="G953" s="1">
        <v>2002</v>
      </c>
      <c r="H953" s="1">
        <v>2003</v>
      </c>
      <c r="I953" s="1">
        <v>2004</v>
      </c>
      <c r="J953" s="1">
        <v>2005</v>
      </c>
      <c r="K953" s="1">
        <v>2006</v>
      </c>
      <c r="L953" s="1">
        <v>2007</v>
      </c>
      <c r="M953" s="1">
        <v>2008</v>
      </c>
      <c r="N953" s="1">
        <v>2009</v>
      </c>
      <c r="O953" s="1">
        <v>2010</v>
      </c>
      <c r="P953" s="1">
        <v>2011</v>
      </c>
      <c r="Q953" s="1">
        <v>2012</v>
      </c>
      <c r="R953" s="1">
        <v>2013</v>
      </c>
      <c r="S953" s="1">
        <v>2014</v>
      </c>
      <c r="T953" s="1">
        <v>2015</v>
      </c>
      <c r="U953" s="1">
        <v>2016</v>
      </c>
      <c r="V953" s="1">
        <v>2017</v>
      </c>
      <c r="W953" s="1">
        <v>2018</v>
      </c>
      <c r="X953" s="1">
        <v>2019</v>
      </c>
      <c r="Y953" s="1">
        <v>2020</v>
      </c>
      <c r="Z953" s="1">
        <v>2021</v>
      </c>
      <c r="AA953" s="1">
        <v>2022</v>
      </c>
      <c r="AB953" s="1">
        <v>2023</v>
      </c>
      <c r="AC953" s="1">
        <v>2024</v>
      </c>
      <c r="AD953" s="1">
        <v>2025</v>
      </c>
      <c r="AE953" s="1">
        <v>2026</v>
      </c>
      <c r="AF953" s="1">
        <v>2027</v>
      </c>
      <c r="AG953" s="1">
        <v>2028</v>
      </c>
      <c r="AH953" s="1">
        <v>2029</v>
      </c>
      <c r="AI953" s="1">
        <v>2030</v>
      </c>
      <c r="AJ953" s="1">
        <v>2031</v>
      </c>
      <c r="AK953" s="1">
        <v>2032</v>
      </c>
      <c r="AL953" s="1">
        <v>2033</v>
      </c>
      <c r="AM953" s="1">
        <v>2034</v>
      </c>
      <c r="AN953" s="1">
        <v>2035</v>
      </c>
      <c r="AO953" s="1">
        <v>2036</v>
      </c>
      <c r="AP953" s="1">
        <v>2037</v>
      </c>
      <c r="AQ953" s="1">
        <v>2038</v>
      </c>
      <c r="AR953" s="1">
        <v>2039</v>
      </c>
      <c r="AS953" s="1">
        <v>2040</v>
      </c>
      <c r="AT953" s="1">
        <v>2041</v>
      </c>
      <c r="AU953" s="1">
        <v>2042</v>
      </c>
      <c r="AV953" s="1">
        <v>2043</v>
      </c>
      <c r="AW953" s="1">
        <v>2044</v>
      </c>
      <c r="AX953" s="1">
        <v>2045</v>
      </c>
      <c r="AY953" s="1">
        <v>2046</v>
      </c>
      <c r="AZ953" s="1">
        <v>2047</v>
      </c>
      <c r="BA953" s="1">
        <v>2048</v>
      </c>
      <c r="BB953" s="1">
        <v>2049</v>
      </c>
      <c r="BC953" s="1">
        <v>2050</v>
      </c>
    </row>
    <row r="954" spans="1:55">
      <c r="A954" s="1" t="str">
        <f>'Population Definitions'!$A$2</f>
        <v>PWID_males</v>
      </c>
      <c r="C954" t="s">
        <v>32</v>
      </c>
      <c r="D954" s="3"/>
      <c r="E954" s="3">
        <v>0</v>
      </c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  <c r="AA954" s="3"/>
      <c r="AB954" s="3"/>
      <c r="AC954" s="3"/>
      <c r="AD954" s="3"/>
      <c r="AE954" s="3"/>
      <c r="AF954" s="3"/>
      <c r="AG954" s="3"/>
      <c r="AH954" s="3"/>
      <c r="AI954" s="3"/>
      <c r="AJ954" s="3"/>
      <c r="AK954" s="3"/>
      <c r="AL954" s="3"/>
      <c r="AM954" s="3"/>
      <c r="AN954" s="3"/>
      <c r="AO954" s="3"/>
      <c r="AP954" s="3"/>
      <c r="AQ954" s="3"/>
      <c r="AR954" s="3"/>
      <c r="AS954" s="3"/>
      <c r="AT954" s="3"/>
      <c r="AU954" s="3"/>
      <c r="AV954" s="3"/>
      <c r="AW954" s="3"/>
      <c r="AX954" s="3"/>
      <c r="AY954" s="3"/>
      <c r="AZ954" s="3"/>
      <c r="BA954" s="3"/>
      <c r="BB954" s="3"/>
      <c r="BC954" s="3"/>
    </row>
    <row r="955" spans="1:55">
      <c r="A955" s="1" t="str">
        <f>'Population Definitions'!$A$3</f>
        <v>PWID_females</v>
      </c>
      <c r="C955" t="s">
        <v>32</v>
      </c>
      <c r="D955" s="3"/>
      <c r="E955" s="3">
        <v>0</v>
      </c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  <c r="AA955" s="3"/>
      <c r="AB955" s="3"/>
      <c r="AC955" s="3"/>
      <c r="AD955" s="3"/>
      <c r="AE955" s="3"/>
      <c r="AF955" s="3"/>
      <c r="AG955" s="3"/>
      <c r="AH955" s="3"/>
      <c r="AI955" s="3"/>
      <c r="AJ955" s="3"/>
      <c r="AK955" s="3"/>
      <c r="AL955" s="3"/>
      <c r="AM955" s="3"/>
      <c r="AN955" s="3"/>
      <c r="AO955" s="3"/>
      <c r="AP955" s="3"/>
      <c r="AQ955" s="3"/>
      <c r="AR955" s="3"/>
      <c r="AS955" s="3"/>
      <c r="AT955" s="3"/>
      <c r="AU955" s="3"/>
      <c r="AV955" s="3"/>
      <c r="AW955" s="3"/>
      <c r="AX955" s="3"/>
      <c r="AY955" s="3"/>
      <c r="AZ955" s="3"/>
      <c r="BA955" s="3"/>
      <c r="BB955" s="3"/>
      <c r="BC955" s="3"/>
    </row>
    <row r="956" spans="1:55">
      <c r="A956" s="1" t="str">
        <f>'Population Definitions'!$A$4</f>
        <v>0-9_males</v>
      </c>
      <c r="C956" t="s">
        <v>32</v>
      </c>
      <c r="D956" s="3"/>
      <c r="E956" s="3">
        <v>0</v>
      </c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  <c r="AA956" s="3"/>
      <c r="AB956" s="3"/>
      <c r="AC956" s="3"/>
      <c r="AD956" s="3"/>
      <c r="AE956" s="3"/>
      <c r="AF956" s="3"/>
      <c r="AG956" s="3"/>
      <c r="AH956" s="3"/>
      <c r="AI956" s="3"/>
      <c r="AJ956" s="3"/>
      <c r="AK956" s="3"/>
      <c r="AL956" s="3"/>
      <c r="AM956" s="3"/>
      <c r="AN956" s="3"/>
      <c r="AO956" s="3"/>
      <c r="AP956" s="3"/>
      <c r="AQ956" s="3"/>
      <c r="AR956" s="3"/>
      <c r="AS956" s="3"/>
      <c r="AT956" s="3"/>
      <c r="AU956" s="3"/>
      <c r="AV956" s="3"/>
      <c r="AW956" s="3"/>
      <c r="AX956" s="3"/>
      <c r="AY956" s="3"/>
      <c r="AZ956" s="3"/>
      <c r="BA956" s="3"/>
      <c r="BB956" s="3"/>
      <c r="BC956" s="3"/>
    </row>
    <row r="957" spans="1:55">
      <c r="A957" s="1" t="str">
        <f>'Population Definitions'!$A$5</f>
        <v>0-9_females</v>
      </c>
      <c r="C957" t="s">
        <v>32</v>
      </c>
      <c r="D957" s="3"/>
      <c r="E957" s="3">
        <v>0</v>
      </c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  <c r="AA957" s="3"/>
      <c r="AB957" s="3"/>
      <c r="AC957" s="3"/>
      <c r="AD957" s="3"/>
      <c r="AE957" s="3"/>
      <c r="AF957" s="3"/>
      <c r="AG957" s="3"/>
      <c r="AH957" s="3"/>
      <c r="AI957" s="3"/>
      <c r="AJ957" s="3"/>
      <c r="AK957" s="3"/>
      <c r="AL957" s="3"/>
      <c r="AM957" s="3"/>
      <c r="AN957" s="3"/>
      <c r="AO957" s="3"/>
      <c r="AP957" s="3"/>
      <c r="AQ957" s="3"/>
      <c r="AR957" s="3"/>
      <c r="AS957" s="3"/>
      <c r="AT957" s="3"/>
      <c r="AU957" s="3"/>
      <c r="AV957" s="3"/>
      <c r="AW957" s="3"/>
      <c r="AX957" s="3"/>
      <c r="AY957" s="3"/>
      <c r="AZ957" s="3"/>
      <c r="BA957" s="3"/>
      <c r="BB957" s="3"/>
      <c r="BC957" s="3"/>
    </row>
    <row r="958" spans="1:55">
      <c r="A958" s="1" t="str">
        <f>'Population Definitions'!$A$6</f>
        <v>10-17_males</v>
      </c>
      <c r="C958" t="s">
        <v>32</v>
      </c>
      <c r="D958" s="3"/>
      <c r="E958" s="3">
        <v>0</v>
      </c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  <c r="AA958" s="3"/>
      <c r="AB958" s="3"/>
      <c r="AC958" s="3"/>
      <c r="AD958" s="3"/>
      <c r="AE958" s="3"/>
      <c r="AF958" s="3"/>
      <c r="AG958" s="3"/>
      <c r="AH958" s="3"/>
      <c r="AI958" s="3"/>
      <c r="AJ958" s="3"/>
      <c r="AK958" s="3"/>
      <c r="AL958" s="3"/>
      <c r="AM958" s="3"/>
      <c r="AN958" s="3"/>
      <c r="AO958" s="3"/>
      <c r="AP958" s="3"/>
      <c r="AQ958" s="3"/>
      <c r="AR958" s="3"/>
      <c r="AS958" s="3"/>
      <c r="AT958" s="3"/>
      <c r="AU958" s="3"/>
      <c r="AV958" s="3"/>
      <c r="AW958" s="3"/>
      <c r="AX958" s="3"/>
      <c r="AY958" s="3"/>
      <c r="AZ958" s="3"/>
      <c r="BA958" s="3"/>
      <c r="BB958" s="3"/>
      <c r="BC958" s="3"/>
    </row>
    <row r="959" spans="1:55">
      <c r="A959" s="1" t="str">
        <f>'Population Definitions'!$A$7</f>
        <v>10-17_females</v>
      </c>
      <c r="C959" t="s">
        <v>32</v>
      </c>
      <c r="D959" s="3"/>
      <c r="E959" s="3">
        <v>0</v>
      </c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  <c r="AA959" s="3"/>
      <c r="AB959" s="3"/>
      <c r="AC959" s="3"/>
      <c r="AD959" s="3"/>
      <c r="AE959" s="3"/>
      <c r="AF959" s="3"/>
      <c r="AG959" s="3"/>
      <c r="AH959" s="3"/>
      <c r="AI959" s="3"/>
      <c r="AJ959" s="3"/>
      <c r="AK959" s="3"/>
      <c r="AL959" s="3"/>
      <c r="AM959" s="3"/>
      <c r="AN959" s="3"/>
      <c r="AO959" s="3"/>
      <c r="AP959" s="3"/>
      <c r="AQ959" s="3"/>
      <c r="AR959" s="3"/>
      <c r="AS959" s="3"/>
      <c r="AT959" s="3"/>
      <c r="AU959" s="3"/>
      <c r="AV959" s="3"/>
      <c r="AW959" s="3"/>
      <c r="AX959" s="3"/>
      <c r="AY959" s="3"/>
      <c r="AZ959" s="3"/>
      <c r="BA959" s="3"/>
      <c r="BB959" s="3"/>
      <c r="BC959" s="3"/>
    </row>
    <row r="960" spans="1:55">
      <c r="A960" s="1" t="str">
        <f>'Population Definitions'!$A$8</f>
        <v>18-64_males</v>
      </c>
      <c r="C960" t="s">
        <v>32</v>
      </c>
      <c r="D960" s="3"/>
      <c r="E960" s="3">
        <v>0</v>
      </c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  <c r="AA960" s="3"/>
      <c r="AB960" s="3"/>
      <c r="AC960" s="3"/>
      <c r="AD960" s="3"/>
      <c r="AE960" s="3"/>
      <c r="AF960" s="3"/>
      <c r="AG960" s="3"/>
      <c r="AH960" s="3"/>
      <c r="AI960" s="3"/>
      <c r="AJ960" s="3"/>
      <c r="AK960" s="3"/>
      <c r="AL960" s="3"/>
      <c r="AM960" s="3"/>
      <c r="AN960" s="3"/>
      <c r="AO960" s="3"/>
      <c r="AP960" s="3"/>
      <c r="AQ960" s="3"/>
      <c r="AR960" s="3"/>
      <c r="AS960" s="3"/>
      <c r="AT960" s="3"/>
      <c r="AU960" s="3"/>
      <c r="AV960" s="3"/>
      <c r="AW960" s="3"/>
      <c r="AX960" s="3"/>
      <c r="AY960" s="3"/>
      <c r="AZ960" s="3"/>
      <c r="BA960" s="3"/>
      <c r="BB960" s="3"/>
      <c r="BC960" s="3"/>
    </row>
    <row r="961" spans="1:55">
      <c r="A961" s="1" t="str">
        <f>'Population Definitions'!$A$9</f>
        <v>18-64_females</v>
      </c>
      <c r="C961" t="s">
        <v>32</v>
      </c>
      <c r="D961" s="3"/>
      <c r="E961" s="3">
        <v>0</v>
      </c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  <c r="AA961" s="3"/>
      <c r="AB961" s="3"/>
      <c r="AC961" s="3"/>
      <c r="AD961" s="3"/>
      <c r="AE961" s="3"/>
      <c r="AF961" s="3"/>
      <c r="AG961" s="3"/>
      <c r="AH961" s="3"/>
      <c r="AI961" s="3"/>
      <c r="AJ961" s="3"/>
      <c r="AK961" s="3"/>
      <c r="AL961" s="3"/>
      <c r="AM961" s="3"/>
      <c r="AN961" s="3"/>
      <c r="AO961" s="3"/>
      <c r="AP961" s="3"/>
      <c r="AQ961" s="3"/>
      <c r="AR961" s="3"/>
      <c r="AS961" s="3"/>
      <c r="AT961" s="3"/>
      <c r="AU961" s="3"/>
      <c r="AV961" s="3"/>
      <c r="AW961" s="3"/>
      <c r="AX961" s="3"/>
      <c r="AY961" s="3"/>
      <c r="AZ961" s="3"/>
      <c r="BA961" s="3"/>
      <c r="BB961" s="3"/>
      <c r="BC961" s="3"/>
    </row>
    <row r="962" spans="1:55">
      <c r="A962" s="1" t="str">
        <f>'Population Definitions'!$A$10</f>
        <v>65+_males</v>
      </c>
      <c r="C962" t="s">
        <v>32</v>
      </c>
      <c r="D962" s="3"/>
      <c r="E962" s="3">
        <v>0</v>
      </c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  <c r="AA962" s="3"/>
      <c r="AB962" s="3"/>
      <c r="AC962" s="3"/>
      <c r="AD962" s="3"/>
      <c r="AE962" s="3"/>
      <c r="AF962" s="3"/>
      <c r="AG962" s="3"/>
      <c r="AH962" s="3"/>
      <c r="AI962" s="3"/>
      <c r="AJ962" s="3"/>
      <c r="AK962" s="3"/>
      <c r="AL962" s="3"/>
      <c r="AM962" s="3"/>
      <c r="AN962" s="3"/>
      <c r="AO962" s="3"/>
      <c r="AP962" s="3"/>
      <c r="AQ962" s="3"/>
      <c r="AR962" s="3"/>
      <c r="AS962" s="3"/>
      <c r="AT962" s="3"/>
      <c r="AU962" s="3"/>
      <c r="AV962" s="3"/>
      <c r="AW962" s="3"/>
      <c r="AX962" s="3"/>
      <c r="AY962" s="3"/>
      <c r="AZ962" s="3"/>
      <c r="BA962" s="3"/>
      <c r="BB962" s="3"/>
      <c r="BC962" s="3"/>
    </row>
    <row r="963" spans="1:55">
      <c r="A963" s="1" t="str">
        <f>'Population Definitions'!$A$11</f>
        <v>65+_females</v>
      </c>
      <c r="C963" t="s">
        <v>32</v>
      </c>
      <c r="D963" s="3"/>
      <c r="E963" s="3">
        <v>0</v>
      </c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  <c r="AA963" s="3"/>
      <c r="AB963" s="3"/>
      <c r="AC963" s="3"/>
      <c r="AD963" s="3"/>
      <c r="AE963" s="3"/>
      <c r="AF963" s="3"/>
      <c r="AG963" s="3"/>
      <c r="AH963" s="3"/>
      <c r="AI963" s="3"/>
      <c r="AJ963" s="3"/>
      <c r="AK963" s="3"/>
      <c r="AL963" s="3"/>
      <c r="AM963" s="3"/>
      <c r="AN963" s="3"/>
      <c r="AO963" s="3"/>
      <c r="AP963" s="3"/>
      <c r="AQ963" s="3"/>
      <c r="AR963" s="3"/>
      <c r="AS963" s="3"/>
      <c r="AT963" s="3"/>
      <c r="AU963" s="3"/>
      <c r="AV963" s="3"/>
      <c r="AW963" s="3"/>
      <c r="AX963" s="3"/>
      <c r="AY963" s="3"/>
      <c r="AZ963" s="3"/>
      <c r="BA963" s="3"/>
      <c r="BB963" s="3"/>
      <c r="BC963" s="3"/>
    </row>
    <row r="964" spans="1:55">
      <c r="A964" s="1" t="str">
        <f>'Population Definitions'!$A$12</f>
        <v>Prisoners_males</v>
      </c>
      <c r="C964" t="s">
        <v>32</v>
      </c>
      <c r="D964" s="3"/>
      <c r="E964" s="3">
        <v>0</v>
      </c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  <c r="AA964" s="3"/>
      <c r="AB964" s="3"/>
      <c r="AC964" s="3"/>
      <c r="AD964" s="3"/>
      <c r="AE964" s="3"/>
      <c r="AF964" s="3"/>
      <c r="AG964" s="3"/>
      <c r="AH964" s="3"/>
      <c r="AI964" s="3"/>
      <c r="AJ964" s="3"/>
      <c r="AK964" s="3"/>
      <c r="AL964" s="3"/>
      <c r="AM964" s="3"/>
      <c r="AN964" s="3"/>
      <c r="AO964" s="3"/>
      <c r="AP964" s="3"/>
      <c r="AQ964" s="3"/>
      <c r="AR964" s="3"/>
      <c r="AS964" s="3"/>
      <c r="AT964" s="3"/>
      <c r="AU964" s="3"/>
      <c r="AV964" s="3"/>
      <c r="AW964" s="3"/>
      <c r="AX964" s="3"/>
      <c r="AY964" s="3"/>
      <c r="AZ964" s="3"/>
      <c r="BA964" s="3"/>
      <c r="BB964" s="3"/>
      <c r="BC964" s="3"/>
    </row>
    <row r="965" spans="1:55">
      <c r="A965" s="1" t="str">
        <f>'Population Definitions'!$A$13</f>
        <v>Prisoners_females</v>
      </c>
      <c r="C965" t="s">
        <v>32</v>
      </c>
      <c r="D965" s="3"/>
      <c r="E965" s="3">
        <v>0</v>
      </c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  <c r="AA965" s="3"/>
      <c r="AB965" s="3"/>
      <c r="AC965" s="3"/>
      <c r="AD965" s="3"/>
      <c r="AE965" s="3"/>
      <c r="AF965" s="3"/>
      <c r="AG965" s="3"/>
      <c r="AH965" s="3"/>
      <c r="AI965" s="3"/>
      <c r="AJ965" s="3"/>
      <c r="AK965" s="3"/>
      <c r="AL965" s="3"/>
      <c r="AM965" s="3"/>
      <c r="AN965" s="3"/>
      <c r="AO965" s="3"/>
      <c r="AP965" s="3"/>
      <c r="AQ965" s="3"/>
      <c r="AR965" s="3"/>
      <c r="AS965" s="3"/>
      <c r="AT965" s="3"/>
      <c r="AU965" s="3"/>
      <c r="AV965" s="3"/>
      <c r="AW965" s="3"/>
      <c r="AX965" s="3"/>
      <c r="AY965" s="3"/>
      <c r="AZ965" s="3"/>
      <c r="BA965" s="3"/>
      <c r="BB965" s="3"/>
      <c r="BC965" s="3"/>
    </row>
    <row r="967" spans="1:55">
      <c r="A967" s="1" t="s">
        <v>195</v>
      </c>
      <c r="B967" s="1" t="s">
        <v>29</v>
      </c>
      <c r="C967" s="1" t="s">
        <v>30</v>
      </c>
      <c r="D967" s="1" t="s">
        <v>31</v>
      </c>
      <c r="E967" s="1">
        <v>2000</v>
      </c>
      <c r="F967" s="1">
        <v>2001</v>
      </c>
      <c r="G967" s="1">
        <v>2002</v>
      </c>
      <c r="H967" s="1">
        <v>2003</v>
      </c>
      <c r="I967" s="1">
        <v>2004</v>
      </c>
      <c r="J967" s="1">
        <v>2005</v>
      </c>
      <c r="K967" s="1">
        <v>2006</v>
      </c>
      <c r="L967" s="1">
        <v>2007</v>
      </c>
      <c r="M967" s="1">
        <v>2008</v>
      </c>
      <c r="N967" s="1">
        <v>2009</v>
      </c>
      <c r="O967" s="1">
        <v>2010</v>
      </c>
      <c r="P967" s="1">
        <v>2011</v>
      </c>
      <c r="Q967" s="1">
        <v>2012</v>
      </c>
      <c r="R967" s="1">
        <v>2013</v>
      </c>
      <c r="S967" s="1">
        <v>2014</v>
      </c>
      <c r="T967" s="1">
        <v>2015</v>
      </c>
      <c r="U967" s="1">
        <v>2016</v>
      </c>
      <c r="V967" s="1">
        <v>2017</v>
      </c>
      <c r="W967" s="1">
        <v>2018</v>
      </c>
      <c r="X967" s="1">
        <v>2019</v>
      </c>
      <c r="Y967" s="1">
        <v>2020</v>
      </c>
      <c r="Z967" s="1">
        <v>2021</v>
      </c>
      <c r="AA967" s="1">
        <v>2022</v>
      </c>
      <c r="AB967" s="1">
        <v>2023</v>
      </c>
      <c r="AC967" s="1">
        <v>2024</v>
      </c>
      <c r="AD967" s="1">
        <v>2025</v>
      </c>
      <c r="AE967" s="1">
        <v>2026</v>
      </c>
      <c r="AF967" s="1">
        <v>2027</v>
      </c>
      <c r="AG967" s="1">
        <v>2028</v>
      </c>
      <c r="AH967" s="1">
        <v>2029</v>
      </c>
      <c r="AI967" s="1">
        <v>2030</v>
      </c>
      <c r="AJ967" s="1">
        <v>2031</v>
      </c>
      <c r="AK967" s="1">
        <v>2032</v>
      </c>
      <c r="AL967" s="1">
        <v>2033</v>
      </c>
      <c r="AM967" s="1">
        <v>2034</v>
      </c>
      <c r="AN967" s="1">
        <v>2035</v>
      </c>
      <c r="AO967" s="1">
        <v>2036</v>
      </c>
      <c r="AP967" s="1">
        <v>2037</v>
      </c>
      <c r="AQ967" s="1">
        <v>2038</v>
      </c>
      <c r="AR967" s="1">
        <v>2039</v>
      </c>
      <c r="AS967" s="1">
        <v>2040</v>
      </c>
      <c r="AT967" s="1">
        <v>2041</v>
      </c>
      <c r="AU967" s="1">
        <v>2042</v>
      </c>
      <c r="AV967" s="1">
        <v>2043</v>
      </c>
      <c r="AW967" s="1">
        <v>2044</v>
      </c>
      <c r="AX967" s="1">
        <v>2045</v>
      </c>
      <c r="AY967" s="1">
        <v>2046</v>
      </c>
      <c r="AZ967" s="1">
        <v>2047</v>
      </c>
      <c r="BA967" s="1">
        <v>2048</v>
      </c>
      <c r="BB967" s="1">
        <v>2049</v>
      </c>
      <c r="BC967" s="1">
        <v>2050</v>
      </c>
    </row>
    <row r="968" spans="1:55">
      <c r="A968" s="1" t="str">
        <f>'Population Definitions'!$A$2</f>
        <v>PWID_males</v>
      </c>
      <c r="C968" t="s">
        <v>32</v>
      </c>
      <c r="D968" s="3"/>
      <c r="E968" s="3">
        <v>0</v>
      </c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  <c r="AA968" s="3"/>
      <c r="AB968" s="3"/>
      <c r="AC968" s="3"/>
      <c r="AD968" s="3"/>
      <c r="AE968" s="3"/>
      <c r="AF968" s="3"/>
      <c r="AG968" s="3"/>
      <c r="AH968" s="3"/>
      <c r="AI968" s="3"/>
      <c r="AJ968" s="3"/>
      <c r="AK968" s="3"/>
      <c r="AL968" s="3"/>
      <c r="AM968" s="3"/>
      <c r="AN968" s="3"/>
      <c r="AO968" s="3"/>
      <c r="AP968" s="3"/>
      <c r="AQ968" s="3"/>
      <c r="AR968" s="3"/>
      <c r="AS968" s="3"/>
      <c r="AT968" s="3"/>
      <c r="AU968" s="3"/>
      <c r="AV968" s="3"/>
      <c r="AW968" s="3"/>
      <c r="AX968" s="3"/>
      <c r="AY968" s="3"/>
      <c r="AZ968" s="3"/>
      <c r="BA968" s="3"/>
      <c r="BB968" s="3"/>
      <c r="BC968" s="3"/>
    </row>
    <row r="969" spans="1:55">
      <c r="A969" s="1" t="str">
        <f>'Population Definitions'!$A$3</f>
        <v>PWID_females</v>
      </c>
      <c r="C969" t="s">
        <v>32</v>
      </c>
      <c r="D969" s="3"/>
      <c r="E969" s="3">
        <v>0</v>
      </c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  <c r="AA969" s="3"/>
      <c r="AB969" s="3"/>
      <c r="AC969" s="3"/>
      <c r="AD969" s="3"/>
      <c r="AE969" s="3"/>
      <c r="AF969" s="3"/>
      <c r="AG969" s="3"/>
      <c r="AH969" s="3"/>
      <c r="AI969" s="3"/>
      <c r="AJ969" s="3"/>
      <c r="AK969" s="3"/>
      <c r="AL969" s="3"/>
      <c r="AM969" s="3"/>
      <c r="AN969" s="3"/>
      <c r="AO969" s="3"/>
      <c r="AP969" s="3"/>
      <c r="AQ969" s="3"/>
      <c r="AR969" s="3"/>
      <c r="AS969" s="3"/>
      <c r="AT969" s="3"/>
      <c r="AU969" s="3"/>
      <c r="AV969" s="3"/>
      <c r="AW969" s="3"/>
      <c r="AX969" s="3"/>
      <c r="AY969" s="3"/>
      <c r="AZ969" s="3"/>
      <c r="BA969" s="3"/>
      <c r="BB969" s="3"/>
      <c r="BC969" s="3"/>
    </row>
    <row r="970" spans="1:55">
      <c r="A970" s="1" t="str">
        <f>'Population Definitions'!$A$4</f>
        <v>0-9_males</v>
      </c>
      <c r="C970" t="s">
        <v>32</v>
      </c>
      <c r="D970" s="3"/>
      <c r="E970" s="3">
        <v>0</v>
      </c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  <c r="AA970" s="3"/>
      <c r="AB970" s="3"/>
      <c r="AC970" s="3"/>
      <c r="AD970" s="3"/>
      <c r="AE970" s="3"/>
      <c r="AF970" s="3"/>
      <c r="AG970" s="3"/>
      <c r="AH970" s="3"/>
      <c r="AI970" s="3"/>
      <c r="AJ970" s="3"/>
      <c r="AK970" s="3"/>
      <c r="AL970" s="3"/>
      <c r="AM970" s="3"/>
      <c r="AN970" s="3"/>
      <c r="AO970" s="3"/>
      <c r="AP970" s="3"/>
      <c r="AQ970" s="3"/>
      <c r="AR970" s="3"/>
      <c r="AS970" s="3"/>
      <c r="AT970" s="3"/>
      <c r="AU970" s="3"/>
      <c r="AV970" s="3"/>
      <c r="AW970" s="3"/>
      <c r="AX970" s="3"/>
      <c r="AY970" s="3"/>
      <c r="AZ970" s="3"/>
      <c r="BA970" s="3"/>
      <c r="BB970" s="3"/>
      <c r="BC970" s="3"/>
    </row>
    <row r="971" spans="1:55">
      <c r="A971" s="1" t="str">
        <f>'Population Definitions'!$A$5</f>
        <v>0-9_females</v>
      </c>
      <c r="C971" t="s">
        <v>32</v>
      </c>
      <c r="D971" s="3"/>
      <c r="E971" s="3">
        <v>0</v>
      </c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  <c r="AA971" s="3"/>
      <c r="AB971" s="3"/>
      <c r="AC971" s="3"/>
      <c r="AD971" s="3"/>
      <c r="AE971" s="3"/>
      <c r="AF971" s="3"/>
      <c r="AG971" s="3"/>
      <c r="AH971" s="3"/>
      <c r="AI971" s="3"/>
      <c r="AJ971" s="3"/>
      <c r="AK971" s="3"/>
      <c r="AL971" s="3"/>
      <c r="AM971" s="3"/>
      <c r="AN971" s="3"/>
      <c r="AO971" s="3"/>
      <c r="AP971" s="3"/>
      <c r="AQ971" s="3"/>
      <c r="AR971" s="3"/>
      <c r="AS971" s="3"/>
      <c r="AT971" s="3"/>
      <c r="AU971" s="3"/>
      <c r="AV971" s="3"/>
      <c r="AW971" s="3"/>
      <c r="AX971" s="3"/>
      <c r="AY971" s="3"/>
      <c r="AZ971" s="3"/>
      <c r="BA971" s="3"/>
      <c r="BB971" s="3"/>
      <c r="BC971" s="3"/>
    </row>
    <row r="972" spans="1:55">
      <c r="A972" s="1" t="str">
        <f>'Population Definitions'!$A$6</f>
        <v>10-17_males</v>
      </c>
      <c r="C972" t="s">
        <v>32</v>
      </c>
      <c r="D972" s="3"/>
      <c r="E972" s="3">
        <v>0</v>
      </c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  <c r="AA972" s="3"/>
      <c r="AB972" s="3"/>
      <c r="AC972" s="3"/>
      <c r="AD972" s="3"/>
      <c r="AE972" s="3"/>
      <c r="AF972" s="3"/>
      <c r="AG972" s="3"/>
      <c r="AH972" s="3"/>
      <c r="AI972" s="3"/>
      <c r="AJ972" s="3"/>
      <c r="AK972" s="3"/>
      <c r="AL972" s="3"/>
      <c r="AM972" s="3"/>
      <c r="AN972" s="3"/>
      <c r="AO972" s="3"/>
      <c r="AP972" s="3"/>
      <c r="AQ972" s="3"/>
      <c r="AR972" s="3"/>
      <c r="AS972" s="3"/>
      <c r="AT972" s="3"/>
      <c r="AU972" s="3"/>
      <c r="AV972" s="3"/>
      <c r="AW972" s="3"/>
      <c r="AX972" s="3"/>
      <c r="AY972" s="3"/>
      <c r="AZ972" s="3"/>
      <c r="BA972" s="3"/>
      <c r="BB972" s="3"/>
      <c r="BC972" s="3"/>
    </row>
    <row r="973" spans="1:55">
      <c r="A973" s="1" t="str">
        <f>'Population Definitions'!$A$7</f>
        <v>10-17_females</v>
      </c>
      <c r="C973" t="s">
        <v>32</v>
      </c>
      <c r="D973" s="3"/>
      <c r="E973" s="3">
        <v>0</v>
      </c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  <c r="AA973" s="3"/>
      <c r="AB973" s="3"/>
      <c r="AC973" s="3"/>
      <c r="AD973" s="3"/>
      <c r="AE973" s="3"/>
      <c r="AF973" s="3"/>
      <c r="AG973" s="3"/>
      <c r="AH973" s="3"/>
      <c r="AI973" s="3"/>
      <c r="AJ973" s="3"/>
      <c r="AK973" s="3"/>
      <c r="AL973" s="3"/>
      <c r="AM973" s="3"/>
      <c r="AN973" s="3"/>
      <c r="AO973" s="3"/>
      <c r="AP973" s="3"/>
      <c r="AQ973" s="3"/>
      <c r="AR973" s="3"/>
      <c r="AS973" s="3"/>
      <c r="AT973" s="3"/>
      <c r="AU973" s="3"/>
      <c r="AV973" s="3"/>
      <c r="AW973" s="3"/>
      <c r="AX973" s="3"/>
      <c r="AY973" s="3"/>
      <c r="AZ973" s="3"/>
      <c r="BA973" s="3"/>
      <c r="BB973" s="3"/>
      <c r="BC973" s="3"/>
    </row>
    <row r="974" spans="1:55">
      <c r="A974" s="1" t="str">
        <f>'Population Definitions'!$A$8</f>
        <v>18-64_males</v>
      </c>
      <c r="C974" t="s">
        <v>32</v>
      </c>
      <c r="D974" s="3"/>
      <c r="E974" s="3">
        <v>0</v>
      </c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  <c r="AA974" s="3"/>
      <c r="AB974" s="3"/>
      <c r="AC974" s="3"/>
      <c r="AD974" s="3"/>
      <c r="AE974" s="3"/>
      <c r="AF974" s="3"/>
      <c r="AG974" s="3"/>
      <c r="AH974" s="3"/>
      <c r="AI974" s="3"/>
      <c r="AJ974" s="3"/>
      <c r="AK974" s="3"/>
      <c r="AL974" s="3"/>
      <c r="AM974" s="3"/>
      <c r="AN974" s="3"/>
      <c r="AO974" s="3"/>
      <c r="AP974" s="3"/>
      <c r="AQ974" s="3"/>
      <c r="AR974" s="3"/>
      <c r="AS974" s="3"/>
      <c r="AT974" s="3"/>
      <c r="AU974" s="3"/>
      <c r="AV974" s="3"/>
      <c r="AW974" s="3"/>
      <c r="AX974" s="3"/>
      <c r="AY974" s="3"/>
      <c r="AZ974" s="3"/>
      <c r="BA974" s="3"/>
      <c r="BB974" s="3"/>
      <c r="BC974" s="3"/>
    </row>
    <row r="975" spans="1:55">
      <c r="A975" s="1" t="str">
        <f>'Population Definitions'!$A$9</f>
        <v>18-64_females</v>
      </c>
      <c r="C975" t="s">
        <v>32</v>
      </c>
      <c r="D975" s="3"/>
      <c r="E975" s="3">
        <v>0</v>
      </c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  <c r="AA975" s="3"/>
      <c r="AB975" s="3"/>
      <c r="AC975" s="3"/>
      <c r="AD975" s="3"/>
      <c r="AE975" s="3"/>
      <c r="AF975" s="3"/>
      <c r="AG975" s="3"/>
      <c r="AH975" s="3"/>
      <c r="AI975" s="3"/>
      <c r="AJ975" s="3"/>
      <c r="AK975" s="3"/>
      <c r="AL975" s="3"/>
      <c r="AM975" s="3"/>
      <c r="AN975" s="3"/>
      <c r="AO975" s="3"/>
      <c r="AP975" s="3"/>
      <c r="AQ975" s="3"/>
      <c r="AR975" s="3"/>
      <c r="AS975" s="3"/>
      <c r="AT975" s="3"/>
      <c r="AU975" s="3"/>
      <c r="AV975" s="3"/>
      <c r="AW975" s="3"/>
      <c r="AX975" s="3"/>
      <c r="AY975" s="3"/>
      <c r="AZ975" s="3"/>
      <c r="BA975" s="3"/>
      <c r="BB975" s="3"/>
      <c r="BC975" s="3"/>
    </row>
    <row r="976" spans="1:55">
      <c r="A976" s="1" t="str">
        <f>'Population Definitions'!$A$10</f>
        <v>65+_males</v>
      </c>
      <c r="C976" t="s">
        <v>32</v>
      </c>
      <c r="D976" s="3"/>
      <c r="E976" s="3">
        <v>0</v>
      </c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  <c r="AA976" s="3"/>
      <c r="AB976" s="3"/>
      <c r="AC976" s="3"/>
      <c r="AD976" s="3"/>
      <c r="AE976" s="3"/>
      <c r="AF976" s="3"/>
      <c r="AG976" s="3"/>
      <c r="AH976" s="3"/>
      <c r="AI976" s="3"/>
      <c r="AJ976" s="3"/>
      <c r="AK976" s="3"/>
      <c r="AL976" s="3"/>
      <c r="AM976" s="3"/>
      <c r="AN976" s="3"/>
      <c r="AO976" s="3"/>
      <c r="AP976" s="3"/>
      <c r="AQ976" s="3"/>
      <c r="AR976" s="3"/>
      <c r="AS976" s="3"/>
      <c r="AT976" s="3"/>
      <c r="AU976" s="3"/>
      <c r="AV976" s="3"/>
      <c r="AW976" s="3"/>
      <c r="AX976" s="3"/>
      <c r="AY976" s="3"/>
      <c r="AZ976" s="3"/>
      <c r="BA976" s="3"/>
      <c r="BB976" s="3"/>
      <c r="BC976" s="3"/>
    </row>
    <row r="977" spans="1:55">
      <c r="A977" s="1" t="str">
        <f>'Population Definitions'!$A$11</f>
        <v>65+_females</v>
      </c>
      <c r="C977" t="s">
        <v>32</v>
      </c>
      <c r="D977" s="3"/>
      <c r="E977" s="3">
        <v>0</v>
      </c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  <c r="AA977" s="3"/>
      <c r="AB977" s="3"/>
      <c r="AC977" s="3"/>
      <c r="AD977" s="3"/>
      <c r="AE977" s="3"/>
      <c r="AF977" s="3"/>
      <c r="AG977" s="3"/>
      <c r="AH977" s="3"/>
      <c r="AI977" s="3"/>
      <c r="AJ977" s="3"/>
      <c r="AK977" s="3"/>
      <c r="AL977" s="3"/>
      <c r="AM977" s="3"/>
      <c r="AN977" s="3"/>
      <c r="AO977" s="3"/>
      <c r="AP977" s="3"/>
      <c r="AQ977" s="3"/>
      <c r="AR977" s="3"/>
      <c r="AS977" s="3"/>
      <c r="AT977" s="3"/>
      <c r="AU977" s="3"/>
      <c r="AV977" s="3"/>
      <c r="AW977" s="3"/>
      <c r="AX977" s="3"/>
      <c r="AY977" s="3"/>
      <c r="AZ977" s="3"/>
      <c r="BA977" s="3"/>
      <c r="BB977" s="3"/>
      <c r="BC977" s="3"/>
    </row>
    <row r="978" spans="1:55">
      <c r="A978" s="1" t="str">
        <f>'Population Definitions'!$A$12</f>
        <v>Prisoners_males</v>
      </c>
      <c r="C978" t="s">
        <v>32</v>
      </c>
      <c r="D978" s="3"/>
      <c r="E978" s="3">
        <v>0</v>
      </c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  <c r="AA978" s="3"/>
      <c r="AB978" s="3"/>
      <c r="AC978" s="3"/>
      <c r="AD978" s="3"/>
      <c r="AE978" s="3"/>
      <c r="AF978" s="3"/>
      <c r="AG978" s="3"/>
      <c r="AH978" s="3"/>
      <c r="AI978" s="3"/>
      <c r="AJ978" s="3"/>
      <c r="AK978" s="3"/>
      <c r="AL978" s="3"/>
      <c r="AM978" s="3"/>
      <c r="AN978" s="3"/>
      <c r="AO978" s="3"/>
      <c r="AP978" s="3"/>
      <c r="AQ978" s="3"/>
      <c r="AR978" s="3"/>
      <c r="AS978" s="3"/>
      <c r="AT978" s="3"/>
      <c r="AU978" s="3"/>
      <c r="AV978" s="3"/>
      <c r="AW978" s="3"/>
      <c r="AX978" s="3"/>
      <c r="AY978" s="3"/>
      <c r="AZ978" s="3"/>
      <c r="BA978" s="3"/>
      <c r="BB978" s="3"/>
      <c r="BC978" s="3"/>
    </row>
    <row r="979" spans="1:55">
      <c r="A979" s="1" t="str">
        <f>'Population Definitions'!$A$13</f>
        <v>Prisoners_females</v>
      </c>
      <c r="C979" t="s">
        <v>32</v>
      </c>
      <c r="D979" s="3"/>
      <c r="E979" s="3">
        <v>0</v>
      </c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  <c r="AA979" s="3"/>
      <c r="AB979" s="3"/>
      <c r="AC979" s="3"/>
      <c r="AD979" s="3"/>
      <c r="AE979" s="3"/>
      <c r="AF979" s="3"/>
      <c r="AG979" s="3"/>
      <c r="AH979" s="3"/>
      <c r="AI979" s="3"/>
      <c r="AJ979" s="3"/>
      <c r="AK979" s="3"/>
      <c r="AL979" s="3"/>
      <c r="AM979" s="3"/>
      <c r="AN979" s="3"/>
      <c r="AO979" s="3"/>
      <c r="AP979" s="3"/>
      <c r="AQ979" s="3"/>
      <c r="AR979" s="3"/>
      <c r="AS979" s="3"/>
      <c r="AT979" s="3"/>
      <c r="AU979" s="3"/>
      <c r="AV979" s="3"/>
      <c r="AW979" s="3"/>
      <c r="AX979" s="3"/>
      <c r="AY979" s="3"/>
      <c r="AZ979" s="3"/>
      <c r="BA979" s="3"/>
      <c r="BB979" s="3"/>
      <c r="BC979" s="3"/>
    </row>
    <row r="981" spans="1:55">
      <c r="A981" s="1" t="s">
        <v>196</v>
      </c>
      <c r="B981" s="1" t="s">
        <v>29</v>
      </c>
      <c r="C981" s="1" t="s">
        <v>30</v>
      </c>
      <c r="D981" s="1" t="s">
        <v>31</v>
      </c>
      <c r="E981" s="1">
        <v>2000</v>
      </c>
      <c r="F981" s="1">
        <v>2001</v>
      </c>
      <c r="G981" s="1">
        <v>2002</v>
      </c>
      <c r="H981" s="1">
        <v>2003</v>
      </c>
      <c r="I981" s="1">
        <v>2004</v>
      </c>
      <c r="J981" s="1">
        <v>2005</v>
      </c>
      <c r="K981" s="1">
        <v>2006</v>
      </c>
      <c r="L981" s="1">
        <v>2007</v>
      </c>
      <c r="M981" s="1">
        <v>2008</v>
      </c>
      <c r="N981" s="1">
        <v>2009</v>
      </c>
      <c r="O981" s="1">
        <v>2010</v>
      </c>
      <c r="P981" s="1">
        <v>2011</v>
      </c>
      <c r="Q981" s="1">
        <v>2012</v>
      </c>
      <c r="R981" s="1">
        <v>2013</v>
      </c>
      <c r="S981" s="1">
        <v>2014</v>
      </c>
      <c r="T981" s="1">
        <v>2015</v>
      </c>
      <c r="U981" s="1">
        <v>2016</v>
      </c>
      <c r="V981" s="1">
        <v>2017</v>
      </c>
      <c r="W981" s="1">
        <v>2018</v>
      </c>
      <c r="X981" s="1">
        <v>2019</v>
      </c>
      <c r="Y981" s="1">
        <v>2020</v>
      </c>
      <c r="Z981" s="1">
        <v>2021</v>
      </c>
      <c r="AA981" s="1">
        <v>2022</v>
      </c>
      <c r="AB981" s="1">
        <v>2023</v>
      </c>
      <c r="AC981" s="1">
        <v>2024</v>
      </c>
      <c r="AD981" s="1">
        <v>2025</v>
      </c>
      <c r="AE981" s="1">
        <v>2026</v>
      </c>
      <c r="AF981" s="1">
        <v>2027</v>
      </c>
      <c r="AG981" s="1">
        <v>2028</v>
      </c>
      <c r="AH981" s="1">
        <v>2029</v>
      </c>
      <c r="AI981" s="1">
        <v>2030</v>
      </c>
      <c r="AJ981" s="1">
        <v>2031</v>
      </c>
      <c r="AK981" s="1">
        <v>2032</v>
      </c>
      <c r="AL981" s="1">
        <v>2033</v>
      </c>
      <c r="AM981" s="1">
        <v>2034</v>
      </c>
      <c r="AN981" s="1">
        <v>2035</v>
      </c>
      <c r="AO981" s="1">
        <v>2036</v>
      </c>
      <c r="AP981" s="1">
        <v>2037</v>
      </c>
      <c r="AQ981" s="1">
        <v>2038</v>
      </c>
      <c r="AR981" s="1">
        <v>2039</v>
      </c>
      <c r="AS981" s="1">
        <v>2040</v>
      </c>
      <c r="AT981" s="1">
        <v>2041</v>
      </c>
      <c r="AU981" s="1">
        <v>2042</v>
      </c>
      <c r="AV981" s="1">
        <v>2043</v>
      </c>
      <c r="AW981" s="1">
        <v>2044</v>
      </c>
      <c r="AX981" s="1">
        <v>2045</v>
      </c>
      <c r="AY981" s="1">
        <v>2046</v>
      </c>
      <c r="AZ981" s="1">
        <v>2047</v>
      </c>
      <c r="BA981" s="1">
        <v>2048</v>
      </c>
      <c r="BB981" s="1">
        <v>2049</v>
      </c>
      <c r="BC981" s="1">
        <v>2050</v>
      </c>
    </row>
    <row r="982" spans="1:55">
      <c r="A982" s="1" t="str">
        <f>'Population Definitions'!$A$2</f>
        <v>PWID_males</v>
      </c>
      <c r="C982" t="s">
        <v>32</v>
      </c>
      <c r="D982" s="3"/>
      <c r="E982" s="3">
        <v>0</v>
      </c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  <c r="AA982" s="3"/>
      <c r="AB982" s="3"/>
      <c r="AC982" s="3"/>
      <c r="AD982" s="3"/>
      <c r="AE982" s="3"/>
      <c r="AF982" s="3"/>
      <c r="AG982" s="3"/>
      <c r="AH982" s="3"/>
      <c r="AI982" s="3"/>
      <c r="AJ982" s="3"/>
      <c r="AK982" s="3"/>
      <c r="AL982" s="3"/>
      <c r="AM982" s="3"/>
      <c r="AN982" s="3"/>
      <c r="AO982" s="3"/>
      <c r="AP982" s="3"/>
      <c r="AQ982" s="3"/>
      <c r="AR982" s="3"/>
      <c r="AS982" s="3"/>
      <c r="AT982" s="3"/>
      <c r="AU982" s="3"/>
      <c r="AV982" s="3"/>
      <c r="AW982" s="3"/>
      <c r="AX982" s="3"/>
      <c r="AY982" s="3"/>
      <c r="AZ982" s="3"/>
      <c r="BA982" s="3"/>
      <c r="BB982" s="3"/>
      <c r="BC982" s="3"/>
    </row>
    <row r="983" spans="1:55">
      <c r="A983" s="1" t="str">
        <f>'Population Definitions'!$A$3</f>
        <v>PWID_females</v>
      </c>
      <c r="C983" t="s">
        <v>32</v>
      </c>
      <c r="D983" s="3"/>
      <c r="E983" s="3">
        <v>0</v>
      </c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  <c r="AA983" s="3"/>
      <c r="AB983" s="3"/>
      <c r="AC983" s="3"/>
      <c r="AD983" s="3"/>
      <c r="AE983" s="3"/>
      <c r="AF983" s="3"/>
      <c r="AG983" s="3"/>
      <c r="AH983" s="3"/>
      <c r="AI983" s="3"/>
      <c r="AJ983" s="3"/>
      <c r="AK983" s="3"/>
      <c r="AL983" s="3"/>
      <c r="AM983" s="3"/>
      <c r="AN983" s="3"/>
      <c r="AO983" s="3"/>
      <c r="AP983" s="3"/>
      <c r="AQ983" s="3"/>
      <c r="AR983" s="3"/>
      <c r="AS983" s="3"/>
      <c r="AT983" s="3"/>
      <c r="AU983" s="3"/>
      <c r="AV983" s="3"/>
      <c r="AW983" s="3"/>
      <c r="AX983" s="3"/>
      <c r="AY983" s="3"/>
      <c r="AZ983" s="3"/>
      <c r="BA983" s="3"/>
      <c r="BB983" s="3"/>
      <c r="BC983" s="3"/>
    </row>
    <row r="984" spans="1:55">
      <c r="A984" s="1" t="str">
        <f>'Population Definitions'!$A$4</f>
        <v>0-9_males</v>
      </c>
      <c r="C984" t="s">
        <v>32</v>
      </c>
      <c r="D984" s="3"/>
      <c r="E984" s="3">
        <v>0</v>
      </c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  <c r="AA984" s="3"/>
      <c r="AB984" s="3"/>
      <c r="AC984" s="3"/>
      <c r="AD984" s="3"/>
      <c r="AE984" s="3"/>
      <c r="AF984" s="3"/>
      <c r="AG984" s="3"/>
      <c r="AH984" s="3"/>
      <c r="AI984" s="3"/>
      <c r="AJ984" s="3"/>
      <c r="AK984" s="3"/>
      <c r="AL984" s="3"/>
      <c r="AM984" s="3"/>
      <c r="AN984" s="3"/>
      <c r="AO984" s="3"/>
      <c r="AP984" s="3"/>
      <c r="AQ984" s="3"/>
      <c r="AR984" s="3"/>
      <c r="AS984" s="3"/>
      <c r="AT984" s="3"/>
      <c r="AU984" s="3"/>
      <c r="AV984" s="3"/>
      <c r="AW984" s="3"/>
      <c r="AX984" s="3"/>
      <c r="AY984" s="3"/>
      <c r="AZ984" s="3"/>
      <c r="BA984" s="3"/>
      <c r="BB984" s="3"/>
      <c r="BC984" s="3"/>
    </row>
    <row r="985" spans="1:55">
      <c r="A985" s="1" t="str">
        <f>'Population Definitions'!$A$5</f>
        <v>0-9_females</v>
      </c>
      <c r="C985" t="s">
        <v>32</v>
      </c>
      <c r="D985" s="3"/>
      <c r="E985" s="3">
        <v>0</v>
      </c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  <c r="AA985" s="3"/>
      <c r="AB985" s="3"/>
      <c r="AC985" s="3"/>
      <c r="AD985" s="3"/>
      <c r="AE985" s="3"/>
      <c r="AF985" s="3"/>
      <c r="AG985" s="3"/>
      <c r="AH985" s="3"/>
      <c r="AI985" s="3"/>
      <c r="AJ985" s="3"/>
      <c r="AK985" s="3"/>
      <c r="AL985" s="3"/>
      <c r="AM985" s="3"/>
      <c r="AN985" s="3"/>
      <c r="AO985" s="3"/>
      <c r="AP985" s="3"/>
      <c r="AQ985" s="3"/>
      <c r="AR985" s="3"/>
      <c r="AS985" s="3"/>
      <c r="AT985" s="3"/>
      <c r="AU985" s="3"/>
      <c r="AV985" s="3"/>
      <c r="AW985" s="3"/>
      <c r="AX985" s="3"/>
      <c r="AY985" s="3"/>
      <c r="AZ985" s="3"/>
      <c r="BA985" s="3"/>
      <c r="BB985" s="3"/>
      <c r="BC985" s="3"/>
    </row>
    <row r="986" spans="1:55">
      <c r="A986" s="1" t="str">
        <f>'Population Definitions'!$A$6</f>
        <v>10-17_males</v>
      </c>
      <c r="C986" t="s">
        <v>32</v>
      </c>
      <c r="D986" s="3"/>
      <c r="E986" s="3">
        <v>0</v>
      </c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  <c r="AA986" s="3"/>
      <c r="AB986" s="3"/>
      <c r="AC986" s="3"/>
      <c r="AD986" s="3"/>
      <c r="AE986" s="3"/>
      <c r="AF986" s="3"/>
      <c r="AG986" s="3"/>
      <c r="AH986" s="3"/>
      <c r="AI986" s="3"/>
      <c r="AJ986" s="3"/>
      <c r="AK986" s="3"/>
      <c r="AL986" s="3"/>
      <c r="AM986" s="3"/>
      <c r="AN986" s="3"/>
      <c r="AO986" s="3"/>
      <c r="AP986" s="3"/>
      <c r="AQ986" s="3"/>
      <c r="AR986" s="3"/>
      <c r="AS986" s="3"/>
      <c r="AT986" s="3"/>
      <c r="AU986" s="3"/>
      <c r="AV986" s="3"/>
      <c r="AW986" s="3"/>
      <c r="AX986" s="3"/>
      <c r="AY986" s="3"/>
      <c r="AZ986" s="3"/>
      <c r="BA986" s="3"/>
      <c r="BB986" s="3"/>
      <c r="BC986" s="3"/>
    </row>
    <row r="987" spans="1:55">
      <c r="A987" s="1" t="str">
        <f>'Population Definitions'!$A$7</f>
        <v>10-17_females</v>
      </c>
      <c r="C987" t="s">
        <v>32</v>
      </c>
      <c r="D987" s="3"/>
      <c r="E987" s="3">
        <v>0</v>
      </c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  <c r="AA987" s="3"/>
      <c r="AB987" s="3"/>
      <c r="AC987" s="3"/>
      <c r="AD987" s="3"/>
      <c r="AE987" s="3"/>
      <c r="AF987" s="3"/>
      <c r="AG987" s="3"/>
      <c r="AH987" s="3"/>
      <c r="AI987" s="3"/>
      <c r="AJ987" s="3"/>
      <c r="AK987" s="3"/>
      <c r="AL987" s="3"/>
      <c r="AM987" s="3"/>
      <c r="AN987" s="3"/>
      <c r="AO987" s="3"/>
      <c r="AP987" s="3"/>
      <c r="AQ987" s="3"/>
      <c r="AR987" s="3"/>
      <c r="AS987" s="3"/>
      <c r="AT987" s="3"/>
      <c r="AU987" s="3"/>
      <c r="AV987" s="3"/>
      <c r="AW987" s="3"/>
      <c r="AX987" s="3"/>
      <c r="AY987" s="3"/>
      <c r="AZ987" s="3"/>
      <c r="BA987" s="3"/>
      <c r="BB987" s="3"/>
      <c r="BC987" s="3"/>
    </row>
    <row r="988" spans="1:55">
      <c r="A988" s="1" t="str">
        <f>'Population Definitions'!$A$8</f>
        <v>18-64_males</v>
      </c>
      <c r="C988" t="s">
        <v>32</v>
      </c>
      <c r="D988" s="3"/>
      <c r="E988" s="3">
        <v>0</v>
      </c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  <c r="AA988" s="3"/>
      <c r="AB988" s="3"/>
      <c r="AC988" s="3"/>
      <c r="AD988" s="3"/>
      <c r="AE988" s="3"/>
      <c r="AF988" s="3"/>
      <c r="AG988" s="3"/>
      <c r="AH988" s="3"/>
      <c r="AI988" s="3"/>
      <c r="AJ988" s="3"/>
      <c r="AK988" s="3"/>
      <c r="AL988" s="3"/>
      <c r="AM988" s="3"/>
      <c r="AN988" s="3"/>
      <c r="AO988" s="3"/>
      <c r="AP988" s="3"/>
      <c r="AQ988" s="3"/>
      <c r="AR988" s="3"/>
      <c r="AS988" s="3"/>
      <c r="AT988" s="3"/>
      <c r="AU988" s="3"/>
      <c r="AV988" s="3"/>
      <c r="AW988" s="3"/>
      <c r="AX988" s="3"/>
      <c r="AY988" s="3"/>
      <c r="AZ988" s="3"/>
      <c r="BA988" s="3"/>
      <c r="BB988" s="3"/>
      <c r="BC988" s="3"/>
    </row>
    <row r="989" spans="1:55">
      <c r="A989" s="1" t="str">
        <f>'Population Definitions'!$A$9</f>
        <v>18-64_females</v>
      </c>
      <c r="C989" t="s">
        <v>32</v>
      </c>
      <c r="D989" s="3"/>
      <c r="E989" s="3">
        <v>0</v>
      </c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  <c r="AA989" s="3"/>
      <c r="AB989" s="3"/>
      <c r="AC989" s="3"/>
      <c r="AD989" s="3"/>
      <c r="AE989" s="3"/>
      <c r="AF989" s="3"/>
      <c r="AG989" s="3"/>
      <c r="AH989" s="3"/>
      <c r="AI989" s="3"/>
      <c r="AJ989" s="3"/>
      <c r="AK989" s="3"/>
      <c r="AL989" s="3"/>
      <c r="AM989" s="3"/>
      <c r="AN989" s="3"/>
      <c r="AO989" s="3"/>
      <c r="AP989" s="3"/>
      <c r="AQ989" s="3"/>
      <c r="AR989" s="3"/>
      <c r="AS989" s="3"/>
      <c r="AT989" s="3"/>
      <c r="AU989" s="3"/>
      <c r="AV989" s="3"/>
      <c r="AW989" s="3"/>
      <c r="AX989" s="3"/>
      <c r="AY989" s="3"/>
      <c r="AZ989" s="3"/>
      <c r="BA989" s="3"/>
      <c r="BB989" s="3"/>
      <c r="BC989" s="3"/>
    </row>
    <row r="990" spans="1:55">
      <c r="A990" s="1" t="str">
        <f>'Population Definitions'!$A$10</f>
        <v>65+_males</v>
      </c>
      <c r="C990" t="s">
        <v>32</v>
      </c>
      <c r="D990" s="3"/>
      <c r="E990" s="3">
        <v>0</v>
      </c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  <c r="AA990" s="3"/>
      <c r="AB990" s="3"/>
      <c r="AC990" s="3"/>
      <c r="AD990" s="3"/>
      <c r="AE990" s="3"/>
      <c r="AF990" s="3"/>
      <c r="AG990" s="3"/>
      <c r="AH990" s="3"/>
      <c r="AI990" s="3"/>
      <c r="AJ990" s="3"/>
      <c r="AK990" s="3"/>
      <c r="AL990" s="3"/>
      <c r="AM990" s="3"/>
      <c r="AN990" s="3"/>
      <c r="AO990" s="3"/>
      <c r="AP990" s="3"/>
      <c r="AQ990" s="3"/>
      <c r="AR990" s="3"/>
      <c r="AS990" s="3"/>
      <c r="AT990" s="3"/>
      <c r="AU990" s="3"/>
      <c r="AV990" s="3"/>
      <c r="AW990" s="3"/>
      <c r="AX990" s="3"/>
      <c r="AY990" s="3"/>
      <c r="AZ990" s="3"/>
      <c r="BA990" s="3"/>
      <c r="BB990" s="3"/>
      <c r="BC990" s="3"/>
    </row>
    <row r="991" spans="1:55">
      <c r="A991" s="1" t="str">
        <f>'Population Definitions'!$A$11</f>
        <v>65+_females</v>
      </c>
      <c r="C991" t="s">
        <v>32</v>
      </c>
      <c r="D991" s="3"/>
      <c r="E991" s="3">
        <v>0</v>
      </c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  <c r="AA991" s="3"/>
      <c r="AB991" s="3"/>
      <c r="AC991" s="3"/>
      <c r="AD991" s="3"/>
      <c r="AE991" s="3"/>
      <c r="AF991" s="3"/>
      <c r="AG991" s="3"/>
      <c r="AH991" s="3"/>
      <c r="AI991" s="3"/>
      <c r="AJ991" s="3"/>
      <c r="AK991" s="3"/>
      <c r="AL991" s="3"/>
      <c r="AM991" s="3"/>
      <c r="AN991" s="3"/>
      <c r="AO991" s="3"/>
      <c r="AP991" s="3"/>
      <c r="AQ991" s="3"/>
      <c r="AR991" s="3"/>
      <c r="AS991" s="3"/>
      <c r="AT991" s="3"/>
      <c r="AU991" s="3"/>
      <c r="AV991" s="3"/>
      <c r="AW991" s="3"/>
      <c r="AX991" s="3"/>
      <c r="AY991" s="3"/>
      <c r="AZ991" s="3"/>
      <c r="BA991" s="3"/>
      <c r="BB991" s="3"/>
      <c r="BC991" s="3"/>
    </row>
    <row r="992" spans="1:55">
      <c r="A992" s="1" t="str">
        <f>'Population Definitions'!$A$12</f>
        <v>Prisoners_males</v>
      </c>
      <c r="C992" t="s">
        <v>32</v>
      </c>
      <c r="D992" s="3"/>
      <c r="E992" s="3">
        <v>0</v>
      </c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  <c r="AA992" s="3"/>
      <c r="AB992" s="3"/>
      <c r="AC992" s="3"/>
      <c r="AD992" s="3"/>
      <c r="AE992" s="3"/>
      <c r="AF992" s="3"/>
      <c r="AG992" s="3"/>
      <c r="AH992" s="3"/>
      <c r="AI992" s="3"/>
      <c r="AJ992" s="3"/>
      <c r="AK992" s="3"/>
      <c r="AL992" s="3"/>
      <c r="AM992" s="3"/>
      <c r="AN992" s="3"/>
      <c r="AO992" s="3"/>
      <c r="AP992" s="3"/>
      <c r="AQ992" s="3"/>
      <c r="AR992" s="3"/>
      <c r="AS992" s="3"/>
      <c r="AT992" s="3"/>
      <c r="AU992" s="3"/>
      <c r="AV992" s="3"/>
      <c r="AW992" s="3"/>
      <c r="AX992" s="3"/>
      <c r="AY992" s="3"/>
      <c r="AZ992" s="3"/>
      <c r="BA992" s="3"/>
      <c r="BB992" s="3"/>
      <c r="BC992" s="3"/>
    </row>
    <row r="993" spans="1:55">
      <c r="A993" s="1" t="str">
        <f>'Population Definitions'!$A$13</f>
        <v>Prisoners_females</v>
      </c>
      <c r="C993" t="s">
        <v>32</v>
      </c>
      <c r="D993" s="3"/>
      <c r="E993" s="3">
        <v>0</v>
      </c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  <c r="AA993" s="3"/>
      <c r="AB993" s="3"/>
      <c r="AC993" s="3"/>
      <c r="AD993" s="3"/>
      <c r="AE993" s="3"/>
      <c r="AF993" s="3"/>
      <c r="AG993" s="3"/>
      <c r="AH993" s="3"/>
      <c r="AI993" s="3"/>
      <c r="AJ993" s="3"/>
      <c r="AK993" s="3"/>
      <c r="AL993" s="3"/>
      <c r="AM993" s="3"/>
      <c r="AN993" s="3"/>
      <c r="AO993" s="3"/>
      <c r="AP993" s="3"/>
      <c r="AQ993" s="3"/>
      <c r="AR993" s="3"/>
      <c r="AS993" s="3"/>
      <c r="AT993" s="3"/>
      <c r="AU993" s="3"/>
      <c r="AV993" s="3"/>
      <c r="AW993" s="3"/>
      <c r="AX993" s="3"/>
      <c r="AY993" s="3"/>
      <c r="AZ993" s="3"/>
      <c r="BA993" s="3"/>
      <c r="BB993" s="3"/>
      <c r="BC993" s="3"/>
    </row>
    <row r="995" spans="1:55">
      <c r="A995" s="1" t="s">
        <v>197</v>
      </c>
      <c r="B995" s="1" t="s">
        <v>29</v>
      </c>
      <c r="C995" s="1" t="s">
        <v>30</v>
      </c>
      <c r="D995" s="1" t="s">
        <v>31</v>
      </c>
      <c r="E995" s="1">
        <v>2000</v>
      </c>
      <c r="F995" s="1">
        <v>2001</v>
      </c>
      <c r="G995" s="1">
        <v>2002</v>
      </c>
      <c r="H995" s="1">
        <v>2003</v>
      </c>
      <c r="I995" s="1">
        <v>2004</v>
      </c>
      <c r="J995" s="1">
        <v>2005</v>
      </c>
      <c r="K995" s="1">
        <v>2006</v>
      </c>
      <c r="L995" s="1">
        <v>2007</v>
      </c>
      <c r="M995" s="1">
        <v>2008</v>
      </c>
      <c r="N995" s="1">
        <v>2009</v>
      </c>
      <c r="O995" s="1">
        <v>2010</v>
      </c>
      <c r="P995" s="1">
        <v>2011</v>
      </c>
      <c r="Q995" s="1">
        <v>2012</v>
      </c>
      <c r="R995" s="1">
        <v>2013</v>
      </c>
      <c r="S995" s="1">
        <v>2014</v>
      </c>
      <c r="T995" s="1">
        <v>2015</v>
      </c>
      <c r="U995" s="1">
        <v>2016</v>
      </c>
      <c r="V995" s="1">
        <v>2017</v>
      </c>
      <c r="W995" s="1">
        <v>2018</v>
      </c>
      <c r="X995" s="1">
        <v>2019</v>
      </c>
      <c r="Y995" s="1">
        <v>2020</v>
      </c>
      <c r="Z995" s="1">
        <v>2021</v>
      </c>
      <c r="AA995" s="1">
        <v>2022</v>
      </c>
      <c r="AB995" s="1">
        <v>2023</v>
      </c>
      <c r="AC995" s="1">
        <v>2024</v>
      </c>
      <c r="AD995" s="1">
        <v>2025</v>
      </c>
      <c r="AE995" s="1">
        <v>2026</v>
      </c>
      <c r="AF995" s="1">
        <v>2027</v>
      </c>
      <c r="AG995" s="1">
        <v>2028</v>
      </c>
      <c r="AH995" s="1">
        <v>2029</v>
      </c>
      <c r="AI995" s="1">
        <v>2030</v>
      </c>
      <c r="AJ995" s="1">
        <v>2031</v>
      </c>
      <c r="AK995" s="1">
        <v>2032</v>
      </c>
      <c r="AL995" s="1">
        <v>2033</v>
      </c>
      <c r="AM995" s="1">
        <v>2034</v>
      </c>
      <c r="AN995" s="1">
        <v>2035</v>
      </c>
      <c r="AO995" s="1">
        <v>2036</v>
      </c>
      <c r="AP995" s="1">
        <v>2037</v>
      </c>
      <c r="AQ995" s="1">
        <v>2038</v>
      </c>
      <c r="AR995" s="1">
        <v>2039</v>
      </c>
      <c r="AS995" s="1">
        <v>2040</v>
      </c>
      <c r="AT995" s="1">
        <v>2041</v>
      </c>
      <c r="AU995" s="1">
        <v>2042</v>
      </c>
      <c r="AV995" s="1">
        <v>2043</v>
      </c>
      <c r="AW995" s="1">
        <v>2044</v>
      </c>
      <c r="AX995" s="1">
        <v>2045</v>
      </c>
      <c r="AY995" s="1">
        <v>2046</v>
      </c>
      <c r="AZ995" s="1">
        <v>2047</v>
      </c>
      <c r="BA995" s="1">
        <v>2048</v>
      </c>
      <c r="BB995" s="1">
        <v>2049</v>
      </c>
      <c r="BC995" s="1">
        <v>2050</v>
      </c>
    </row>
    <row r="996" spans="1:55">
      <c r="A996" s="1" t="str">
        <f>'Population Definitions'!$A$2</f>
        <v>PWID_males</v>
      </c>
      <c r="C996" t="s">
        <v>32</v>
      </c>
      <c r="D996" s="3"/>
      <c r="E996" s="3">
        <v>0</v>
      </c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  <c r="AA996" s="3"/>
      <c r="AB996" s="3"/>
      <c r="AC996" s="3"/>
      <c r="AD996" s="3"/>
      <c r="AE996" s="3"/>
      <c r="AF996" s="3"/>
      <c r="AG996" s="3"/>
      <c r="AH996" s="3"/>
      <c r="AI996" s="3"/>
      <c r="AJ996" s="3"/>
      <c r="AK996" s="3"/>
      <c r="AL996" s="3"/>
      <c r="AM996" s="3"/>
      <c r="AN996" s="3"/>
      <c r="AO996" s="3"/>
      <c r="AP996" s="3"/>
      <c r="AQ996" s="3"/>
      <c r="AR996" s="3"/>
      <c r="AS996" s="3"/>
      <c r="AT996" s="3"/>
      <c r="AU996" s="3"/>
      <c r="AV996" s="3"/>
      <c r="AW996" s="3"/>
      <c r="AX996" s="3"/>
      <c r="AY996" s="3"/>
      <c r="AZ996" s="3"/>
      <c r="BA996" s="3"/>
      <c r="BB996" s="3"/>
      <c r="BC996" s="3"/>
    </row>
    <row r="997" spans="1:55">
      <c r="A997" s="1" t="str">
        <f>'Population Definitions'!$A$3</f>
        <v>PWID_females</v>
      </c>
      <c r="C997" t="s">
        <v>32</v>
      </c>
      <c r="D997" s="3"/>
      <c r="E997" s="3">
        <v>0</v>
      </c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  <c r="AA997" s="3"/>
      <c r="AB997" s="3"/>
      <c r="AC997" s="3"/>
      <c r="AD997" s="3"/>
      <c r="AE997" s="3"/>
      <c r="AF997" s="3"/>
      <c r="AG997" s="3"/>
      <c r="AH997" s="3"/>
      <c r="AI997" s="3"/>
      <c r="AJ997" s="3"/>
      <c r="AK997" s="3"/>
      <c r="AL997" s="3"/>
      <c r="AM997" s="3"/>
      <c r="AN997" s="3"/>
      <c r="AO997" s="3"/>
      <c r="AP997" s="3"/>
      <c r="AQ997" s="3"/>
      <c r="AR997" s="3"/>
      <c r="AS997" s="3"/>
      <c r="AT997" s="3"/>
      <c r="AU997" s="3"/>
      <c r="AV997" s="3"/>
      <c r="AW997" s="3"/>
      <c r="AX997" s="3"/>
      <c r="AY997" s="3"/>
      <c r="AZ997" s="3"/>
      <c r="BA997" s="3"/>
      <c r="BB997" s="3"/>
      <c r="BC997" s="3"/>
    </row>
    <row r="998" spans="1:55">
      <c r="A998" s="1" t="str">
        <f>'Population Definitions'!$A$4</f>
        <v>0-9_males</v>
      </c>
      <c r="C998" t="s">
        <v>32</v>
      </c>
      <c r="D998" s="3"/>
      <c r="E998" s="3">
        <v>0</v>
      </c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  <c r="AA998" s="3"/>
      <c r="AB998" s="3"/>
      <c r="AC998" s="3"/>
      <c r="AD998" s="3"/>
      <c r="AE998" s="3"/>
      <c r="AF998" s="3"/>
      <c r="AG998" s="3"/>
      <c r="AH998" s="3"/>
      <c r="AI998" s="3"/>
      <c r="AJ998" s="3"/>
      <c r="AK998" s="3"/>
      <c r="AL998" s="3"/>
      <c r="AM998" s="3"/>
      <c r="AN998" s="3"/>
      <c r="AO998" s="3"/>
      <c r="AP998" s="3"/>
      <c r="AQ998" s="3"/>
      <c r="AR998" s="3"/>
      <c r="AS998" s="3"/>
      <c r="AT998" s="3"/>
      <c r="AU998" s="3"/>
      <c r="AV998" s="3"/>
      <c r="AW998" s="3"/>
      <c r="AX998" s="3"/>
      <c r="AY998" s="3"/>
      <c r="AZ998" s="3"/>
      <c r="BA998" s="3"/>
      <c r="BB998" s="3"/>
      <c r="BC998" s="3"/>
    </row>
    <row r="999" spans="1:55">
      <c r="A999" s="1" t="str">
        <f>'Population Definitions'!$A$5</f>
        <v>0-9_females</v>
      </c>
      <c r="C999" t="s">
        <v>32</v>
      </c>
      <c r="D999" s="3"/>
      <c r="E999" s="3">
        <v>0</v>
      </c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  <c r="AA999" s="3"/>
      <c r="AB999" s="3"/>
      <c r="AC999" s="3"/>
      <c r="AD999" s="3"/>
      <c r="AE999" s="3"/>
      <c r="AF999" s="3"/>
      <c r="AG999" s="3"/>
      <c r="AH999" s="3"/>
      <c r="AI999" s="3"/>
      <c r="AJ999" s="3"/>
      <c r="AK999" s="3"/>
      <c r="AL999" s="3"/>
      <c r="AM999" s="3"/>
      <c r="AN999" s="3"/>
      <c r="AO999" s="3"/>
      <c r="AP999" s="3"/>
      <c r="AQ999" s="3"/>
      <c r="AR999" s="3"/>
      <c r="AS999" s="3"/>
      <c r="AT999" s="3"/>
      <c r="AU999" s="3"/>
      <c r="AV999" s="3"/>
      <c r="AW999" s="3"/>
      <c r="AX999" s="3"/>
      <c r="AY999" s="3"/>
      <c r="AZ999" s="3"/>
      <c r="BA999" s="3"/>
      <c r="BB999" s="3"/>
      <c r="BC999" s="3"/>
    </row>
    <row r="1000" spans="1:55">
      <c r="A1000" s="1" t="str">
        <f>'Population Definitions'!$A$6</f>
        <v>10-17_males</v>
      </c>
      <c r="C1000" t="s">
        <v>32</v>
      </c>
      <c r="D1000" s="3"/>
      <c r="E1000" s="3">
        <v>0</v>
      </c>
      <c r="F1000" s="3"/>
      <c r="G1000" s="3"/>
      <c r="H1000" s="3"/>
      <c r="I1000" s="3"/>
      <c r="J1000" s="3"/>
      <c r="K1000" s="3"/>
      <c r="L1000" s="3"/>
      <c r="M1000" s="3"/>
      <c r="N1000" s="3"/>
      <c r="O1000" s="3"/>
      <c r="P1000" s="3"/>
      <c r="Q1000" s="3"/>
      <c r="R1000" s="3"/>
      <c r="S1000" s="3"/>
      <c r="T1000" s="3"/>
      <c r="U1000" s="3"/>
      <c r="V1000" s="3"/>
      <c r="W1000" s="3"/>
      <c r="X1000" s="3"/>
      <c r="Y1000" s="3"/>
      <c r="Z1000" s="3"/>
      <c r="AA1000" s="3"/>
      <c r="AB1000" s="3"/>
      <c r="AC1000" s="3"/>
      <c r="AD1000" s="3"/>
      <c r="AE1000" s="3"/>
      <c r="AF1000" s="3"/>
      <c r="AG1000" s="3"/>
      <c r="AH1000" s="3"/>
      <c r="AI1000" s="3"/>
      <c r="AJ1000" s="3"/>
      <c r="AK1000" s="3"/>
      <c r="AL1000" s="3"/>
      <c r="AM1000" s="3"/>
      <c r="AN1000" s="3"/>
      <c r="AO1000" s="3"/>
      <c r="AP1000" s="3"/>
      <c r="AQ1000" s="3"/>
      <c r="AR1000" s="3"/>
      <c r="AS1000" s="3"/>
      <c r="AT1000" s="3"/>
      <c r="AU1000" s="3"/>
      <c r="AV1000" s="3"/>
      <c r="AW1000" s="3"/>
      <c r="AX1000" s="3"/>
      <c r="AY1000" s="3"/>
      <c r="AZ1000" s="3"/>
      <c r="BA1000" s="3"/>
      <c r="BB1000" s="3"/>
      <c r="BC1000" s="3"/>
    </row>
    <row r="1001" spans="1:55">
      <c r="A1001" s="1" t="str">
        <f>'Population Definitions'!$A$7</f>
        <v>10-17_females</v>
      </c>
      <c r="C1001" t="s">
        <v>32</v>
      </c>
      <c r="D1001" s="3"/>
      <c r="E1001" s="3">
        <v>0</v>
      </c>
      <c r="F1001" s="3"/>
      <c r="G1001" s="3"/>
      <c r="H1001" s="3"/>
      <c r="I1001" s="3"/>
      <c r="J1001" s="3"/>
      <c r="K1001" s="3"/>
      <c r="L1001" s="3"/>
      <c r="M1001" s="3"/>
      <c r="N1001" s="3"/>
      <c r="O1001" s="3"/>
      <c r="P1001" s="3"/>
      <c r="Q1001" s="3"/>
      <c r="R1001" s="3"/>
      <c r="S1001" s="3"/>
      <c r="T1001" s="3"/>
      <c r="U1001" s="3"/>
      <c r="V1001" s="3"/>
      <c r="W1001" s="3"/>
      <c r="X1001" s="3"/>
      <c r="Y1001" s="3"/>
      <c r="Z1001" s="3"/>
      <c r="AA1001" s="3"/>
      <c r="AB1001" s="3"/>
      <c r="AC1001" s="3"/>
      <c r="AD1001" s="3"/>
      <c r="AE1001" s="3"/>
      <c r="AF1001" s="3"/>
      <c r="AG1001" s="3"/>
      <c r="AH1001" s="3"/>
      <c r="AI1001" s="3"/>
      <c r="AJ1001" s="3"/>
      <c r="AK1001" s="3"/>
      <c r="AL1001" s="3"/>
      <c r="AM1001" s="3"/>
      <c r="AN1001" s="3"/>
      <c r="AO1001" s="3"/>
      <c r="AP1001" s="3"/>
      <c r="AQ1001" s="3"/>
      <c r="AR1001" s="3"/>
      <c r="AS1001" s="3"/>
      <c r="AT1001" s="3"/>
      <c r="AU1001" s="3"/>
      <c r="AV1001" s="3"/>
      <c r="AW1001" s="3"/>
      <c r="AX1001" s="3"/>
      <c r="AY1001" s="3"/>
      <c r="AZ1001" s="3"/>
      <c r="BA1001" s="3"/>
      <c r="BB1001" s="3"/>
      <c r="BC1001" s="3"/>
    </row>
    <row r="1002" spans="1:55">
      <c r="A1002" s="1" t="str">
        <f>'Population Definitions'!$A$8</f>
        <v>18-64_males</v>
      </c>
      <c r="C1002" t="s">
        <v>32</v>
      </c>
      <c r="D1002" s="3"/>
      <c r="E1002" s="3">
        <v>0</v>
      </c>
      <c r="F1002" s="3"/>
      <c r="G1002" s="3"/>
      <c r="H1002" s="3"/>
      <c r="I1002" s="3"/>
      <c r="J1002" s="3"/>
      <c r="K1002" s="3"/>
      <c r="L1002" s="3"/>
      <c r="M1002" s="3"/>
      <c r="N1002" s="3"/>
      <c r="O1002" s="3"/>
      <c r="P1002" s="3"/>
      <c r="Q1002" s="3"/>
      <c r="R1002" s="3"/>
      <c r="S1002" s="3"/>
      <c r="T1002" s="3"/>
      <c r="U1002" s="3"/>
      <c r="V1002" s="3"/>
      <c r="W1002" s="3"/>
      <c r="X1002" s="3"/>
      <c r="Y1002" s="3"/>
      <c r="Z1002" s="3"/>
      <c r="AA1002" s="3"/>
      <c r="AB1002" s="3"/>
      <c r="AC1002" s="3"/>
      <c r="AD1002" s="3"/>
      <c r="AE1002" s="3"/>
      <c r="AF1002" s="3"/>
      <c r="AG1002" s="3"/>
      <c r="AH1002" s="3"/>
      <c r="AI1002" s="3"/>
      <c r="AJ1002" s="3"/>
      <c r="AK1002" s="3"/>
      <c r="AL1002" s="3"/>
      <c r="AM1002" s="3"/>
      <c r="AN1002" s="3"/>
      <c r="AO1002" s="3"/>
      <c r="AP1002" s="3"/>
      <c r="AQ1002" s="3"/>
      <c r="AR1002" s="3"/>
      <c r="AS1002" s="3"/>
      <c r="AT1002" s="3"/>
      <c r="AU1002" s="3"/>
      <c r="AV1002" s="3"/>
      <c r="AW1002" s="3"/>
      <c r="AX1002" s="3"/>
      <c r="AY1002" s="3"/>
      <c r="AZ1002" s="3"/>
      <c r="BA1002" s="3"/>
      <c r="BB1002" s="3"/>
      <c r="BC1002" s="3"/>
    </row>
    <row r="1003" spans="1:55">
      <c r="A1003" s="1" t="str">
        <f>'Population Definitions'!$A$9</f>
        <v>18-64_females</v>
      </c>
      <c r="C1003" t="s">
        <v>32</v>
      </c>
      <c r="D1003" s="3"/>
      <c r="E1003" s="3">
        <v>0</v>
      </c>
      <c r="F1003" s="3"/>
      <c r="G1003" s="3"/>
      <c r="H1003" s="3"/>
      <c r="I1003" s="3"/>
      <c r="J1003" s="3"/>
      <c r="K1003" s="3"/>
      <c r="L1003" s="3"/>
      <c r="M1003" s="3"/>
      <c r="N1003" s="3"/>
      <c r="O1003" s="3"/>
      <c r="P1003" s="3"/>
      <c r="Q1003" s="3"/>
      <c r="R1003" s="3"/>
      <c r="S1003" s="3"/>
      <c r="T1003" s="3"/>
      <c r="U1003" s="3"/>
      <c r="V1003" s="3"/>
      <c r="W1003" s="3"/>
      <c r="X1003" s="3"/>
      <c r="Y1003" s="3"/>
      <c r="Z1003" s="3"/>
      <c r="AA1003" s="3"/>
      <c r="AB1003" s="3"/>
      <c r="AC1003" s="3"/>
      <c r="AD1003" s="3"/>
      <c r="AE1003" s="3"/>
      <c r="AF1003" s="3"/>
      <c r="AG1003" s="3"/>
      <c r="AH1003" s="3"/>
      <c r="AI1003" s="3"/>
      <c r="AJ1003" s="3"/>
      <c r="AK1003" s="3"/>
      <c r="AL1003" s="3"/>
      <c r="AM1003" s="3"/>
      <c r="AN1003" s="3"/>
      <c r="AO1003" s="3"/>
      <c r="AP1003" s="3"/>
      <c r="AQ1003" s="3"/>
      <c r="AR1003" s="3"/>
      <c r="AS1003" s="3"/>
      <c r="AT1003" s="3"/>
      <c r="AU1003" s="3"/>
      <c r="AV1003" s="3"/>
      <c r="AW1003" s="3"/>
      <c r="AX1003" s="3"/>
      <c r="AY1003" s="3"/>
      <c r="AZ1003" s="3"/>
      <c r="BA1003" s="3"/>
      <c r="BB1003" s="3"/>
      <c r="BC1003" s="3"/>
    </row>
    <row r="1004" spans="1:55">
      <c r="A1004" s="1" t="str">
        <f>'Population Definitions'!$A$10</f>
        <v>65+_males</v>
      </c>
      <c r="C1004" t="s">
        <v>32</v>
      </c>
      <c r="D1004" s="3"/>
      <c r="E1004" s="3">
        <v>0</v>
      </c>
      <c r="F1004" s="3"/>
      <c r="G1004" s="3"/>
      <c r="H1004" s="3"/>
      <c r="I1004" s="3"/>
      <c r="J1004" s="3"/>
      <c r="K1004" s="3"/>
      <c r="L1004" s="3"/>
      <c r="M1004" s="3"/>
      <c r="N1004" s="3"/>
      <c r="O1004" s="3"/>
      <c r="P1004" s="3"/>
      <c r="Q1004" s="3"/>
      <c r="R1004" s="3"/>
      <c r="S1004" s="3"/>
      <c r="T1004" s="3"/>
      <c r="U1004" s="3"/>
      <c r="V1004" s="3"/>
      <c r="W1004" s="3"/>
      <c r="X1004" s="3"/>
      <c r="Y1004" s="3"/>
      <c r="Z1004" s="3"/>
      <c r="AA1004" s="3"/>
      <c r="AB1004" s="3"/>
      <c r="AC1004" s="3"/>
      <c r="AD1004" s="3"/>
      <c r="AE1004" s="3"/>
      <c r="AF1004" s="3"/>
      <c r="AG1004" s="3"/>
      <c r="AH1004" s="3"/>
      <c r="AI1004" s="3"/>
      <c r="AJ1004" s="3"/>
      <c r="AK1004" s="3"/>
      <c r="AL1004" s="3"/>
      <c r="AM1004" s="3"/>
      <c r="AN1004" s="3"/>
      <c r="AO1004" s="3"/>
      <c r="AP1004" s="3"/>
      <c r="AQ1004" s="3"/>
      <c r="AR1004" s="3"/>
      <c r="AS1004" s="3"/>
      <c r="AT1004" s="3"/>
      <c r="AU1004" s="3"/>
      <c r="AV1004" s="3"/>
      <c r="AW1004" s="3"/>
      <c r="AX1004" s="3"/>
      <c r="AY1004" s="3"/>
      <c r="AZ1004" s="3"/>
      <c r="BA1004" s="3"/>
      <c r="BB1004" s="3"/>
      <c r="BC1004" s="3"/>
    </row>
    <row r="1005" spans="1:55">
      <c r="A1005" s="1" t="str">
        <f>'Population Definitions'!$A$11</f>
        <v>65+_females</v>
      </c>
      <c r="C1005" t="s">
        <v>32</v>
      </c>
      <c r="D1005" s="3"/>
      <c r="E1005" s="3">
        <v>0</v>
      </c>
      <c r="F1005" s="3"/>
      <c r="G1005" s="3"/>
      <c r="H1005" s="3"/>
      <c r="I1005" s="3"/>
      <c r="J1005" s="3"/>
      <c r="K1005" s="3"/>
      <c r="L1005" s="3"/>
      <c r="M1005" s="3"/>
      <c r="N1005" s="3"/>
      <c r="O1005" s="3"/>
      <c r="P1005" s="3"/>
      <c r="Q1005" s="3"/>
      <c r="R1005" s="3"/>
      <c r="S1005" s="3"/>
      <c r="T1005" s="3"/>
      <c r="U1005" s="3"/>
      <c r="V1005" s="3"/>
      <c r="W1005" s="3"/>
      <c r="X1005" s="3"/>
      <c r="Y1005" s="3"/>
      <c r="Z1005" s="3"/>
      <c r="AA1005" s="3"/>
      <c r="AB1005" s="3"/>
      <c r="AC1005" s="3"/>
      <c r="AD1005" s="3"/>
      <c r="AE1005" s="3"/>
      <c r="AF1005" s="3"/>
      <c r="AG1005" s="3"/>
      <c r="AH1005" s="3"/>
      <c r="AI1005" s="3"/>
      <c r="AJ1005" s="3"/>
      <c r="AK1005" s="3"/>
      <c r="AL1005" s="3"/>
      <c r="AM1005" s="3"/>
      <c r="AN1005" s="3"/>
      <c r="AO1005" s="3"/>
      <c r="AP1005" s="3"/>
      <c r="AQ1005" s="3"/>
      <c r="AR1005" s="3"/>
      <c r="AS1005" s="3"/>
      <c r="AT1005" s="3"/>
      <c r="AU1005" s="3"/>
      <c r="AV1005" s="3"/>
      <c r="AW1005" s="3"/>
      <c r="AX1005" s="3"/>
      <c r="AY1005" s="3"/>
      <c r="AZ1005" s="3"/>
      <c r="BA1005" s="3"/>
      <c r="BB1005" s="3"/>
      <c r="BC1005" s="3"/>
    </row>
    <row r="1006" spans="1:55">
      <c r="A1006" s="1" t="str">
        <f>'Population Definitions'!$A$12</f>
        <v>Prisoners_males</v>
      </c>
      <c r="C1006" t="s">
        <v>32</v>
      </c>
      <c r="D1006" s="3"/>
      <c r="E1006" s="3">
        <v>0</v>
      </c>
      <c r="F1006" s="3"/>
      <c r="G1006" s="3"/>
      <c r="H1006" s="3"/>
      <c r="I1006" s="3"/>
      <c r="J1006" s="3"/>
      <c r="K1006" s="3"/>
      <c r="L1006" s="3"/>
      <c r="M1006" s="3"/>
      <c r="N1006" s="3"/>
      <c r="O1006" s="3"/>
      <c r="P1006" s="3"/>
      <c r="Q1006" s="3"/>
      <c r="R1006" s="3"/>
      <c r="S1006" s="3"/>
      <c r="T1006" s="3"/>
      <c r="U1006" s="3"/>
      <c r="V1006" s="3"/>
      <c r="W1006" s="3"/>
      <c r="X1006" s="3"/>
      <c r="Y1006" s="3"/>
      <c r="Z1006" s="3"/>
      <c r="AA1006" s="3"/>
      <c r="AB1006" s="3"/>
      <c r="AC1006" s="3"/>
      <c r="AD1006" s="3"/>
      <c r="AE1006" s="3"/>
      <c r="AF1006" s="3"/>
      <c r="AG1006" s="3"/>
      <c r="AH1006" s="3"/>
      <c r="AI1006" s="3"/>
      <c r="AJ1006" s="3"/>
      <c r="AK1006" s="3"/>
      <c r="AL1006" s="3"/>
      <c r="AM1006" s="3"/>
      <c r="AN1006" s="3"/>
      <c r="AO1006" s="3"/>
      <c r="AP1006" s="3"/>
      <c r="AQ1006" s="3"/>
      <c r="AR1006" s="3"/>
      <c r="AS1006" s="3"/>
      <c r="AT1006" s="3"/>
      <c r="AU1006" s="3"/>
      <c r="AV1006" s="3"/>
      <c r="AW1006" s="3"/>
      <c r="AX1006" s="3"/>
      <c r="AY1006" s="3"/>
      <c r="AZ1006" s="3"/>
      <c r="BA1006" s="3"/>
      <c r="BB1006" s="3"/>
      <c r="BC1006" s="3"/>
    </row>
    <row r="1007" spans="1:55">
      <c r="A1007" s="1" t="str">
        <f>'Population Definitions'!$A$13</f>
        <v>Prisoners_females</v>
      </c>
      <c r="C1007" t="s">
        <v>32</v>
      </c>
      <c r="D1007" s="3"/>
      <c r="E1007" s="3">
        <v>0</v>
      </c>
      <c r="F1007" s="3"/>
      <c r="G1007" s="3"/>
      <c r="H1007" s="3"/>
      <c r="I1007" s="3"/>
      <c r="J1007" s="3"/>
      <c r="K1007" s="3"/>
      <c r="L1007" s="3"/>
      <c r="M1007" s="3"/>
      <c r="N1007" s="3"/>
      <c r="O1007" s="3"/>
      <c r="P1007" s="3"/>
      <c r="Q1007" s="3"/>
      <c r="R1007" s="3"/>
      <c r="S1007" s="3"/>
      <c r="T1007" s="3"/>
      <c r="U1007" s="3"/>
      <c r="V1007" s="3"/>
      <c r="W1007" s="3"/>
      <c r="X1007" s="3"/>
      <c r="Y1007" s="3"/>
      <c r="Z1007" s="3"/>
      <c r="AA1007" s="3"/>
      <c r="AB1007" s="3"/>
      <c r="AC1007" s="3"/>
      <c r="AD1007" s="3"/>
      <c r="AE1007" s="3"/>
      <c r="AF1007" s="3"/>
      <c r="AG1007" s="3"/>
      <c r="AH1007" s="3"/>
      <c r="AI1007" s="3"/>
      <c r="AJ1007" s="3"/>
      <c r="AK1007" s="3"/>
      <c r="AL1007" s="3"/>
      <c r="AM1007" s="3"/>
      <c r="AN1007" s="3"/>
      <c r="AO1007" s="3"/>
      <c r="AP1007" s="3"/>
      <c r="AQ1007" s="3"/>
      <c r="AR1007" s="3"/>
      <c r="AS1007" s="3"/>
      <c r="AT1007" s="3"/>
      <c r="AU1007" s="3"/>
      <c r="AV1007" s="3"/>
      <c r="AW1007" s="3"/>
      <c r="AX1007" s="3"/>
      <c r="AY1007" s="3"/>
      <c r="AZ1007" s="3"/>
      <c r="BA1007" s="3"/>
      <c r="BB1007" s="3"/>
      <c r="BC1007" s="3"/>
    </row>
    <row r="1009" spans="1:55">
      <c r="A1009" s="1" t="s">
        <v>198</v>
      </c>
      <c r="B1009" s="1" t="s">
        <v>29</v>
      </c>
      <c r="C1009" s="1" t="s">
        <v>30</v>
      </c>
      <c r="D1009" s="1" t="s">
        <v>31</v>
      </c>
      <c r="E1009" s="1">
        <v>2000</v>
      </c>
      <c r="F1009" s="1">
        <v>2001</v>
      </c>
      <c r="G1009" s="1">
        <v>2002</v>
      </c>
      <c r="H1009" s="1">
        <v>2003</v>
      </c>
      <c r="I1009" s="1">
        <v>2004</v>
      </c>
      <c r="J1009" s="1">
        <v>2005</v>
      </c>
      <c r="K1009" s="1">
        <v>2006</v>
      </c>
      <c r="L1009" s="1">
        <v>2007</v>
      </c>
      <c r="M1009" s="1">
        <v>2008</v>
      </c>
      <c r="N1009" s="1">
        <v>2009</v>
      </c>
      <c r="O1009" s="1">
        <v>2010</v>
      </c>
      <c r="P1009" s="1">
        <v>2011</v>
      </c>
      <c r="Q1009" s="1">
        <v>2012</v>
      </c>
      <c r="R1009" s="1">
        <v>2013</v>
      </c>
      <c r="S1009" s="1">
        <v>2014</v>
      </c>
      <c r="T1009" s="1">
        <v>2015</v>
      </c>
      <c r="U1009" s="1">
        <v>2016</v>
      </c>
      <c r="V1009" s="1">
        <v>2017</v>
      </c>
      <c r="W1009" s="1">
        <v>2018</v>
      </c>
      <c r="X1009" s="1">
        <v>2019</v>
      </c>
      <c r="Y1009" s="1">
        <v>2020</v>
      </c>
      <c r="Z1009" s="1">
        <v>2021</v>
      </c>
      <c r="AA1009" s="1">
        <v>2022</v>
      </c>
      <c r="AB1009" s="1">
        <v>2023</v>
      </c>
      <c r="AC1009" s="1">
        <v>2024</v>
      </c>
      <c r="AD1009" s="1">
        <v>2025</v>
      </c>
      <c r="AE1009" s="1">
        <v>2026</v>
      </c>
      <c r="AF1009" s="1">
        <v>2027</v>
      </c>
      <c r="AG1009" s="1">
        <v>2028</v>
      </c>
      <c r="AH1009" s="1">
        <v>2029</v>
      </c>
      <c r="AI1009" s="1">
        <v>2030</v>
      </c>
      <c r="AJ1009" s="1">
        <v>2031</v>
      </c>
      <c r="AK1009" s="1">
        <v>2032</v>
      </c>
      <c r="AL1009" s="1">
        <v>2033</v>
      </c>
      <c r="AM1009" s="1">
        <v>2034</v>
      </c>
      <c r="AN1009" s="1">
        <v>2035</v>
      </c>
      <c r="AO1009" s="1">
        <v>2036</v>
      </c>
      <c r="AP1009" s="1">
        <v>2037</v>
      </c>
      <c r="AQ1009" s="1">
        <v>2038</v>
      </c>
      <c r="AR1009" s="1">
        <v>2039</v>
      </c>
      <c r="AS1009" s="1">
        <v>2040</v>
      </c>
      <c r="AT1009" s="1">
        <v>2041</v>
      </c>
      <c r="AU1009" s="1">
        <v>2042</v>
      </c>
      <c r="AV1009" s="1">
        <v>2043</v>
      </c>
      <c r="AW1009" s="1">
        <v>2044</v>
      </c>
      <c r="AX1009" s="1">
        <v>2045</v>
      </c>
      <c r="AY1009" s="1">
        <v>2046</v>
      </c>
      <c r="AZ1009" s="1">
        <v>2047</v>
      </c>
      <c r="BA1009" s="1">
        <v>2048</v>
      </c>
      <c r="BB1009" s="1">
        <v>2049</v>
      </c>
      <c r="BC1009" s="1">
        <v>2050</v>
      </c>
    </row>
    <row r="1010" spans="1:55">
      <c r="A1010" s="1" t="str">
        <f>'Population Definitions'!$A$2</f>
        <v>PWID_males</v>
      </c>
      <c r="C1010" t="s">
        <v>32</v>
      </c>
      <c r="D1010" s="3"/>
      <c r="E1010" s="3">
        <v>0</v>
      </c>
      <c r="F1010" s="3"/>
      <c r="G1010" s="3"/>
      <c r="H1010" s="3"/>
      <c r="I1010" s="3"/>
      <c r="J1010" s="3"/>
      <c r="K1010" s="3"/>
      <c r="L1010" s="3"/>
      <c r="M1010" s="3"/>
      <c r="N1010" s="3"/>
      <c r="O1010" s="3"/>
      <c r="P1010" s="3"/>
      <c r="Q1010" s="3"/>
      <c r="R1010" s="3"/>
      <c r="S1010" s="3"/>
      <c r="T1010" s="3"/>
      <c r="U1010" s="3"/>
      <c r="V1010" s="3"/>
      <c r="W1010" s="3"/>
      <c r="X1010" s="3"/>
      <c r="Y1010" s="3"/>
      <c r="Z1010" s="3"/>
      <c r="AA1010" s="3"/>
      <c r="AB1010" s="3"/>
      <c r="AC1010" s="3"/>
      <c r="AD1010" s="3"/>
      <c r="AE1010" s="3"/>
      <c r="AF1010" s="3"/>
      <c r="AG1010" s="3"/>
      <c r="AH1010" s="3"/>
      <c r="AI1010" s="3"/>
      <c r="AJ1010" s="3"/>
      <c r="AK1010" s="3"/>
      <c r="AL1010" s="3"/>
      <c r="AM1010" s="3"/>
      <c r="AN1010" s="3"/>
      <c r="AO1010" s="3"/>
      <c r="AP1010" s="3"/>
      <c r="AQ1010" s="3"/>
      <c r="AR1010" s="3"/>
      <c r="AS1010" s="3"/>
      <c r="AT1010" s="3"/>
      <c r="AU1010" s="3"/>
      <c r="AV1010" s="3"/>
      <c r="AW1010" s="3"/>
      <c r="AX1010" s="3"/>
      <c r="AY1010" s="3"/>
      <c r="AZ1010" s="3"/>
      <c r="BA1010" s="3"/>
      <c r="BB1010" s="3"/>
      <c r="BC1010" s="3"/>
    </row>
    <row r="1011" spans="1:55">
      <c r="A1011" s="1" t="str">
        <f>'Population Definitions'!$A$3</f>
        <v>PWID_females</v>
      </c>
      <c r="C1011" t="s">
        <v>32</v>
      </c>
      <c r="D1011" s="3"/>
      <c r="E1011" s="3">
        <v>0</v>
      </c>
      <c r="F1011" s="3"/>
      <c r="G1011" s="3"/>
      <c r="H1011" s="3"/>
      <c r="I1011" s="3"/>
      <c r="J1011" s="3"/>
      <c r="K1011" s="3"/>
      <c r="L1011" s="3"/>
      <c r="M1011" s="3"/>
      <c r="N1011" s="3"/>
      <c r="O1011" s="3"/>
      <c r="P1011" s="3"/>
      <c r="Q1011" s="3"/>
      <c r="R1011" s="3"/>
      <c r="S1011" s="3"/>
      <c r="T1011" s="3"/>
      <c r="U1011" s="3"/>
      <c r="V1011" s="3"/>
      <c r="W1011" s="3"/>
      <c r="X1011" s="3"/>
      <c r="Y1011" s="3"/>
      <c r="Z1011" s="3"/>
      <c r="AA1011" s="3"/>
      <c r="AB1011" s="3"/>
      <c r="AC1011" s="3"/>
      <c r="AD1011" s="3"/>
      <c r="AE1011" s="3"/>
      <c r="AF1011" s="3"/>
      <c r="AG1011" s="3"/>
      <c r="AH1011" s="3"/>
      <c r="AI1011" s="3"/>
      <c r="AJ1011" s="3"/>
      <c r="AK1011" s="3"/>
      <c r="AL1011" s="3"/>
      <c r="AM1011" s="3"/>
      <c r="AN1011" s="3"/>
      <c r="AO1011" s="3"/>
      <c r="AP1011" s="3"/>
      <c r="AQ1011" s="3"/>
      <c r="AR1011" s="3"/>
      <c r="AS1011" s="3"/>
      <c r="AT1011" s="3"/>
      <c r="AU1011" s="3"/>
      <c r="AV1011" s="3"/>
      <c r="AW1011" s="3"/>
      <c r="AX1011" s="3"/>
      <c r="AY1011" s="3"/>
      <c r="AZ1011" s="3"/>
      <c r="BA1011" s="3"/>
      <c r="BB1011" s="3"/>
      <c r="BC1011" s="3"/>
    </row>
    <row r="1012" spans="1:55">
      <c r="A1012" s="1" t="str">
        <f>'Population Definitions'!$A$4</f>
        <v>0-9_males</v>
      </c>
      <c r="C1012" t="s">
        <v>32</v>
      </c>
      <c r="D1012" s="3"/>
      <c r="E1012" s="3">
        <v>0</v>
      </c>
      <c r="F1012" s="3"/>
      <c r="G1012" s="3"/>
      <c r="H1012" s="3"/>
      <c r="I1012" s="3"/>
      <c r="J1012" s="3"/>
      <c r="K1012" s="3"/>
      <c r="L1012" s="3"/>
      <c r="M1012" s="3"/>
      <c r="N1012" s="3"/>
      <c r="O1012" s="3"/>
      <c r="P1012" s="3"/>
      <c r="Q1012" s="3"/>
      <c r="R1012" s="3"/>
      <c r="S1012" s="3"/>
      <c r="T1012" s="3"/>
      <c r="U1012" s="3"/>
      <c r="V1012" s="3"/>
      <c r="W1012" s="3"/>
      <c r="X1012" s="3"/>
      <c r="Y1012" s="3"/>
      <c r="Z1012" s="3"/>
      <c r="AA1012" s="3"/>
      <c r="AB1012" s="3"/>
      <c r="AC1012" s="3"/>
      <c r="AD1012" s="3"/>
      <c r="AE1012" s="3"/>
      <c r="AF1012" s="3"/>
      <c r="AG1012" s="3"/>
      <c r="AH1012" s="3"/>
      <c r="AI1012" s="3"/>
      <c r="AJ1012" s="3"/>
      <c r="AK1012" s="3"/>
      <c r="AL1012" s="3"/>
      <c r="AM1012" s="3"/>
      <c r="AN1012" s="3"/>
      <c r="AO1012" s="3"/>
      <c r="AP1012" s="3"/>
      <c r="AQ1012" s="3"/>
      <c r="AR1012" s="3"/>
      <c r="AS1012" s="3"/>
      <c r="AT1012" s="3"/>
      <c r="AU1012" s="3"/>
      <c r="AV1012" s="3"/>
      <c r="AW1012" s="3"/>
      <c r="AX1012" s="3"/>
      <c r="AY1012" s="3"/>
      <c r="AZ1012" s="3"/>
      <c r="BA1012" s="3"/>
      <c r="BB1012" s="3"/>
      <c r="BC1012" s="3"/>
    </row>
    <row r="1013" spans="1:55">
      <c r="A1013" s="1" t="str">
        <f>'Population Definitions'!$A$5</f>
        <v>0-9_females</v>
      </c>
      <c r="C1013" t="s">
        <v>32</v>
      </c>
      <c r="D1013" s="3"/>
      <c r="E1013" s="3">
        <v>0</v>
      </c>
      <c r="F1013" s="3"/>
      <c r="G1013" s="3"/>
      <c r="H1013" s="3"/>
      <c r="I1013" s="3"/>
      <c r="J1013" s="3"/>
      <c r="K1013" s="3"/>
      <c r="L1013" s="3"/>
      <c r="M1013" s="3"/>
      <c r="N1013" s="3"/>
      <c r="O1013" s="3"/>
      <c r="P1013" s="3"/>
      <c r="Q1013" s="3"/>
      <c r="R1013" s="3"/>
      <c r="S1013" s="3"/>
      <c r="T1013" s="3"/>
      <c r="U1013" s="3"/>
      <c r="V1013" s="3"/>
      <c r="W1013" s="3"/>
      <c r="X1013" s="3"/>
      <c r="Y1013" s="3"/>
      <c r="Z1013" s="3"/>
      <c r="AA1013" s="3"/>
      <c r="AB1013" s="3"/>
      <c r="AC1013" s="3"/>
      <c r="AD1013" s="3"/>
      <c r="AE1013" s="3"/>
      <c r="AF1013" s="3"/>
      <c r="AG1013" s="3"/>
      <c r="AH1013" s="3"/>
      <c r="AI1013" s="3"/>
      <c r="AJ1013" s="3"/>
      <c r="AK1013" s="3"/>
      <c r="AL1013" s="3"/>
      <c r="AM1013" s="3"/>
      <c r="AN1013" s="3"/>
      <c r="AO1013" s="3"/>
      <c r="AP1013" s="3"/>
      <c r="AQ1013" s="3"/>
      <c r="AR1013" s="3"/>
      <c r="AS1013" s="3"/>
      <c r="AT1013" s="3"/>
      <c r="AU1013" s="3"/>
      <c r="AV1013" s="3"/>
      <c r="AW1013" s="3"/>
      <c r="AX1013" s="3"/>
      <c r="AY1013" s="3"/>
      <c r="AZ1013" s="3"/>
      <c r="BA1013" s="3"/>
      <c r="BB1013" s="3"/>
      <c r="BC1013" s="3"/>
    </row>
    <row r="1014" spans="1:55">
      <c r="A1014" s="1" t="str">
        <f>'Population Definitions'!$A$6</f>
        <v>10-17_males</v>
      </c>
      <c r="C1014" t="s">
        <v>32</v>
      </c>
      <c r="D1014" s="3"/>
      <c r="E1014" s="3">
        <v>0</v>
      </c>
      <c r="F1014" s="3"/>
      <c r="G1014" s="3"/>
      <c r="H1014" s="3"/>
      <c r="I1014" s="3"/>
      <c r="J1014" s="3"/>
      <c r="K1014" s="3"/>
      <c r="L1014" s="3"/>
      <c r="M1014" s="3"/>
      <c r="N1014" s="3"/>
      <c r="O1014" s="3"/>
      <c r="P1014" s="3"/>
      <c r="Q1014" s="3"/>
      <c r="R1014" s="3"/>
      <c r="S1014" s="3"/>
      <c r="T1014" s="3"/>
      <c r="U1014" s="3"/>
      <c r="V1014" s="3"/>
      <c r="W1014" s="3"/>
      <c r="X1014" s="3"/>
      <c r="Y1014" s="3"/>
      <c r="Z1014" s="3"/>
      <c r="AA1014" s="3"/>
      <c r="AB1014" s="3"/>
      <c r="AC1014" s="3"/>
      <c r="AD1014" s="3"/>
      <c r="AE1014" s="3"/>
      <c r="AF1014" s="3"/>
      <c r="AG1014" s="3"/>
      <c r="AH1014" s="3"/>
      <c r="AI1014" s="3"/>
      <c r="AJ1014" s="3"/>
      <c r="AK1014" s="3"/>
      <c r="AL1014" s="3"/>
      <c r="AM1014" s="3"/>
      <c r="AN1014" s="3"/>
      <c r="AO1014" s="3"/>
      <c r="AP1014" s="3"/>
      <c r="AQ1014" s="3"/>
      <c r="AR1014" s="3"/>
      <c r="AS1014" s="3"/>
      <c r="AT1014" s="3"/>
      <c r="AU1014" s="3"/>
      <c r="AV1014" s="3"/>
      <c r="AW1014" s="3"/>
      <c r="AX1014" s="3"/>
      <c r="AY1014" s="3"/>
      <c r="AZ1014" s="3"/>
      <c r="BA1014" s="3"/>
      <c r="BB1014" s="3"/>
      <c r="BC1014" s="3"/>
    </row>
    <row r="1015" spans="1:55">
      <c r="A1015" s="1" t="str">
        <f>'Population Definitions'!$A$7</f>
        <v>10-17_females</v>
      </c>
      <c r="C1015" t="s">
        <v>32</v>
      </c>
      <c r="D1015" s="3"/>
      <c r="E1015" s="3">
        <v>0</v>
      </c>
      <c r="F1015" s="3"/>
      <c r="G1015" s="3"/>
      <c r="H1015" s="3"/>
      <c r="I1015" s="3"/>
      <c r="J1015" s="3"/>
      <c r="K1015" s="3"/>
      <c r="L1015" s="3"/>
      <c r="M1015" s="3"/>
      <c r="N1015" s="3"/>
      <c r="O1015" s="3"/>
      <c r="P1015" s="3"/>
      <c r="Q1015" s="3"/>
      <c r="R1015" s="3"/>
      <c r="S1015" s="3"/>
      <c r="T1015" s="3"/>
      <c r="U1015" s="3"/>
      <c r="V1015" s="3"/>
      <c r="W1015" s="3"/>
      <c r="X1015" s="3"/>
      <c r="Y1015" s="3"/>
      <c r="Z1015" s="3"/>
      <c r="AA1015" s="3"/>
      <c r="AB1015" s="3"/>
      <c r="AC1015" s="3"/>
      <c r="AD1015" s="3"/>
      <c r="AE1015" s="3"/>
      <c r="AF1015" s="3"/>
      <c r="AG1015" s="3"/>
      <c r="AH1015" s="3"/>
      <c r="AI1015" s="3"/>
      <c r="AJ1015" s="3"/>
      <c r="AK1015" s="3"/>
      <c r="AL1015" s="3"/>
      <c r="AM1015" s="3"/>
      <c r="AN1015" s="3"/>
      <c r="AO1015" s="3"/>
      <c r="AP1015" s="3"/>
      <c r="AQ1015" s="3"/>
      <c r="AR1015" s="3"/>
      <c r="AS1015" s="3"/>
      <c r="AT1015" s="3"/>
      <c r="AU1015" s="3"/>
      <c r="AV1015" s="3"/>
      <c r="AW1015" s="3"/>
      <c r="AX1015" s="3"/>
      <c r="AY1015" s="3"/>
      <c r="AZ1015" s="3"/>
      <c r="BA1015" s="3"/>
      <c r="BB1015" s="3"/>
      <c r="BC1015" s="3"/>
    </row>
    <row r="1016" spans="1:55">
      <c r="A1016" s="1" t="str">
        <f>'Population Definitions'!$A$8</f>
        <v>18-64_males</v>
      </c>
      <c r="C1016" t="s">
        <v>32</v>
      </c>
      <c r="D1016" s="3"/>
      <c r="E1016" s="3">
        <v>0</v>
      </c>
      <c r="F1016" s="3"/>
      <c r="G1016" s="3"/>
      <c r="H1016" s="3"/>
      <c r="I1016" s="3"/>
      <c r="J1016" s="3"/>
      <c r="K1016" s="3"/>
      <c r="L1016" s="3"/>
      <c r="M1016" s="3"/>
      <c r="N1016" s="3"/>
      <c r="O1016" s="3"/>
      <c r="P1016" s="3"/>
      <c r="Q1016" s="3"/>
      <c r="R1016" s="3"/>
      <c r="S1016" s="3"/>
      <c r="T1016" s="3"/>
      <c r="U1016" s="3"/>
      <c r="V1016" s="3"/>
      <c r="W1016" s="3"/>
      <c r="X1016" s="3"/>
      <c r="Y1016" s="3"/>
      <c r="Z1016" s="3"/>
      <c r="AA1016" s="3"/>
      <c r="AB1016" s="3"/>
      <c r="AC1016" s="3"/>
      <c r="AD1016" s="3"/>
      <c r="AE1016" s="3"/>
      <c r="AF1016" s="3"/>
      <c r="AG1016" s="3"/>
      <c r="AH1016" s="3"/>
      <c r="AI1016" s="3"/>
      <c r="AJ1016" s="3"/>
      <c r="AK1016" s="3"/>
      <c r="AL1016" s="3"/>
      <c r="AM1016" s="3"/>
      <c r="AN1016" s="3"/>
      <c r="AO1016" s="3"/>
      <c r="AP1016" s="3"/>
      <c r="AQ1016" s="3"/>
      <c r="AR1016" s="3"/>
      <c r="AS1016" s="3"/>
      <c r="AT1016" s="3"/>
      <c r="AU1016" s="3"/>
      <c r="AV1016" s="3"/>
      <c r="AW1016" s="3"/>
      <c r="AX1016" s="3"/>
      <c r="AY1016" s="3"/>
      <c r="AZ1016" s="3"/>
      <c r="BA1016" s="3"/>
      <c r="BB1016" s="3"/>
      <c r="BC1016" s="3"/>
    </row>
    <row r="1017" spans="1:55">
      <c r="A1017" s="1" t="str">
        <f>'Population Definitions'!$A$9</f>
        <v>18-64_females</v>
      </c>
      <c r="C1017" t="s">
        <v>32</v>
      </c>
      <c r="D1017" s="3"/>
      <c r="E1017" s="3">
        <v>0</v>
      </c>
      <c r="F1017" s="3"/>
      <c r="G1017" s="3"/>
      <c r="H1017" s="3"/>
      <c r="I1017" s="3"/>
      <c r="J1017" s="3"/>
      <c r="K1017" s="3"/>
      <c r="L1017" s="3"/>
      <c r="M1017" s="3"/>
      <c r="N1017" s="3"/>
      <c r="O1017" s="3"/>
      <c r="P1017" s="3"/>
      <c r="Q1017" s="3"/>
      <c r="R1017" s="3"/>
      <c r="S1017" s="3"/>
      <c r="T1017" s="3"/>
      <c r="U1017" s="3"/>
      <c r="V1017" s="3"/>
      <c r="W1017" s="3"/>
      <c r="X1017" s="3"/>
      <c r="Y1017" s="3"/>
      <c r="Z1017" s="3"/>
      <c r="AA1017" s="3"/>
      <c r="AB1017" s="3"/>
      <c r="AC1017" s="3"/>
      <c r="AD1017" s="3"/>
      <c r="AE1017" s="3"/>
      <c r="AF1017" s="3"/>
      <c r="AG1017" s="3"/>
      <c r="AH1017" s="3"/>
      <c r="AI1017" s="3"/>
      <c r="AJ1017" s="3"/>
      <c r="AK1017" s="3"/>
      <c r="AL1017" s="3"/>
      <c r="AM1017" s="3"/>
      <c r="AN1017" s="3"/>
      <c r="AO1017" s="3"/>
      <c r="AP1017" s="3"/>
      <c r="AQ1017" s="3"/>
      <c r="AR1017" s="3"/>
      <c r="AS1017" s="3"/>
      <c r="AT1017" s="3"/>
      <c r="AU1017" s="3"/>
      <c r="AV1017" s="3"/>
      <c r="AW1017" s="3"/>
      <c r="AX1017" s="3"/>
      <c r="AY1017" s="3"/>
      <c r="AZ1017" s="3"/>
      <c r="BA1017" s="3"/>
      <c r="BB1017" s="3"/>
      <c r="BC1017" s="3"/>
    </row>
    <row r="1018" spans="1:55">
      <c r="A1018" s="1" t="str">
        <f>'Population Definitions'!$A$10</f>
        <v>65+_males</v>
      </c>
      <c r="C1018" t="s">
        <v>32</v>
      </c>
      <c r="D1018" s="3"/>
      <c r="E1018" s="3">
        <v>0</v>
      </c>
      <c r="F1018" s="3"/>
      <c r="G1018" s="3"/>
      <c r="H1018" s="3"/>
      <c r="I1018" s="3"/>
      <c r="J1018" s="3"/>
      <c r="K1018" s="3"/>
      <c r="L1018" s="3"/>
      <c r="M1018" s="3"/>
      <c r="N1018" s="3"/>
      <c r="O1018" s="3"/>
      <c r="P1018" s="3"/>
      <c r="Q1018" s="3"/>
      <c r="R1018" s="3"/>
      <c r="S1018" s="3"/>
      <c r="T1018" s="3"/>
      <c r="U1018" s="3"/>
      <c r="V1018" s="3"/>
      <c r="W1018" s="3"/>
      <c r="X1018" s="3"/>
      <c r="Y1018" s="3"/>
      <c r="Z1018" s="3"/>
      <c r="AA1018" s="3"/>
      <c r="AB1018" s="3"/>
      <c r="AC1018" s="3"/>
      <c r="AD1018" s="3"/>
      <c r="AE1018" s="3"/>
      <c r="AF1018" s="3"/>
      <c r="AG1018" s="3"/>
      <c r="AH1018" s="3"/>
      <c r="AI1018" s="3"/>
      <c r="AJ1018" s="3"/>
      <c r="AK1018" s="3"/>
      <c r="AL1018" s="3"/>
      <c r="AM1018" s="3"/>
      <c r="AN1018" s="3"/>
      <c r="AO1018" s="3"/>
      <c r="AP1018" s="3"/>
      <c r="AQ1018" s="3"/>
      <c r="AR1018" s="3"/>
      <c r="AS1018" s="3"/>
      <c r="AT1018" s="3"/>
      <c r="AU1018" s="3"/>
      <c r="AV1018" s="3"/>
      <c r="AW1018" s="3"/>
      <c r="AX1018" s="3"/>
      <c r="AY1018" s="3"/>
      <c r="AZ1018" s="3"/>
      <c r="BA1018" s="3"/>
      <c r="BB1018" s="3"/>
      <c r="BC1018" s="3"/>
    </row>
    <row r="1019" spans="1:55">
      <c r="A1019" s="1" t="str">
        <f>'Population Definitions'!$A$11</f>
        <v>65+_females</v>
      </c>
      <c r="C1019" t="s">
        <v>32</v>
      </c>
      <c r="D1019" s="3"/>
      <c r="E1019" s="3">
        <v>0</v>
      </c>
      <c r="F1019" s="3"/>
      <c r="G1019" s="3"/>
      <c r="H1019" s="3"/>
      <c r="I1019" s="3"/>
      <c r="J1019" s="3"/>
      <c r="K1019" s="3"/>
      <c r="L1019" s="3"/>
      <c r="M1019" s="3"/>
      <c r="N1019" s="3"/>
      <c r="O1019" s="3"/>
      <c r="P1019" s="3"/>
      <c r="Q1019" s="3"/>
      <c r="R1019" s="3"/>
      <c r="S1019" s="3"/>
      <c r="T1019" s="3"/>
      <c r="U1019" s="3"/>
      <c r="V1019" s="3"/>
      <c r="W1019" s="3"/>
      <c r="X1019" s="3"/>
      <c r="Y1019" s="3"/>
      <c r="Z1019" s="3"/>
      <c r="AA1019" s="3"/>
      <c r="AB1019" s="3"/>
      <c r="AC1019" s="3"/>
      <c r="AD1019" s="3"/>
      <c r="AE1019" s="3"/>
      <c r="AF1019" s="3"/>
      <c r="AG1019" s="3"/>
      <c r="AH1019" s="3"/>
      <c r="AI1019" s="3"/>
      <c r="AJ1019" s="3"/>
      <c r="AK1019" s="3"/>
      <c r="AL1019" s="3"/>
      <c r="AM1019" s="3"/>
      <c r="AN1019" s="3"/>
      <c r="AO1019" s="3"/>
      <c r="AP1019" s="3"/>
      <c r="AQ1019" s="3"/>
      <c r="AR1019" s="3"/>
      <c r="AS1019" s="3"/>
      <c r="AT1019" s="3"/>
      <c r="AU1019" s="3"/>
      <c r="AV1019" s="3"/>
      <c r="AW1019" s="3"/>
      <c r="AX1019" s="3"/>
      <c r="AY1019" s="3"/>
      <c r="AZ1019" s="3"/>
      <c r="BA1019" s="3"/>
      <c r="BB1019" s="3"/>
      <c r="BC1019" s="3"/>
    </row>
    <row r="1020" spans="1:55">
      <c r="A1020" s="1" t="str">
        <f>'Population Definitions'!$A$12</f>
        <v>Prisoners_males</v>
      </c>
      <c r="C1020" t="s">
        <v>32</v>
      </c>
      <c r="D1020" s="3"/>
      <c r="E1020" s="3">
        <v>0</v>
      </c>
      <c r="F1020" s="3"/>
      <c r="G1020" s="3"/>
      <c r="H1020" s="3"/>
      <c r="I1020" s="3"/>
      <c r="J1020" s="3"/>
      <c r="K1020" s="3"/>
      <c r="L1020" s="3"/>
      <c r="M1020" s="3"/>
      <c r="N1020" s="3"/>
      <c r="O1020" s="3"/>
      <c r="P1020" s="3"/>
      <c r="Q1020" s="3"/>
      <c r="R1020" s="3"/>
      <c r="S1020" s="3"/>
      <c r="T1020" s="3"/>
      <c r="U1020" s="3"/>
      <c r="V1020" s="3"/>
      <c r="W1020" s="3"/>
      <c r="X1020" s="3"/>
      <c r="Y1020" s="3"/>
      <c r="Z1020" s="3"/>
      <c r="AA1020" s="3"/>
      <c r="AB1020" s="3"/>
      <c r="AC1020" s="3"/>
      <c r="AD1020" s="3"/>
      <c r="AE1020" s="3"/>
      <c r="AF1020" s="3"/>
      <c r="AG1020" s="3"/>
      <c r="AH1020" s="3"/>
      <c r="AI1020" s="3"/>
      <c r="AJ1020" s="3"/>
      <c r="AK1020" s="3"/>
      <c r="AL1020" s="3"/>
      <c r="AM1020" s="3"/>
      <c r="AN1020" s="3"/>
      <c r="AO1020" s="3"/>
      <c r="AP1020" s="3"/>
      <c r="AQ1020" s="3"/>
      <c r="AR1020" s="3"/>
      <c r="AS1020" s="3"/>
      <c r="AT1020" s="3"/>
      <c r="AU1020" s="3"/>
      <c r="AV1020" s="3"/>
      <c r="AW1020" s="3"/>
      <c r="AX1020" s="3"/>
      <c r="AY1020" s="3"/>
      <c r="AZ1020" s="3"/>
      <c r="BA1020" s="3"/>
      <c r="BB1020" s="3"/>
      <c r="BC1020" s="3"/>
    </row>
    <row r="1021" spans="1:55">
      <c r="A1021" s="1" t="str">
        <f>'Population Definitions'!$A$13</f>
        <v>Prisoners_females</v>
      </c>
      <c r="C1021" t="s">
        <v>32</v>
      </c>
      <c r="D1021" s="3"/>
      <c r="E1021" s="3">
        <v>0</v>
      </c>
      <c r="F1021" s="3"/>
      <c r="G1021" s="3"/>
      <c r="H1021" s="3"/>
      <c r="I1021" s="3"/>
      <c r="J1021" s="3"/>
      <c r="K1021" s="3"/>
      <c r="L1021" s="3"/>
      <c r="M1021" s="3"/>
      <c r="N1021" s="3"/>
      <c r="O1021" s="3"/>
      <c r="P1021" s="3"/>
      <c r="Q1021" s="3"/>
      <c r="R1021" s="3"/>
      <c r="S1021" s="3"/>
      <c r="T1021" s="3"/>
      <c r="U1021" s="3"/>
      <c r="V1021" s="3"/>
      <c r="W1021" s="3"/>
      <c r="X1021" s="3"/>
      <c r="Y1021" s="3"/>
      <c r="Z1021" s="3"/>
      <c r="AA1021" s="3"/>
      <c r="AB1021" s="3"/>
      <c r="AC1021" s="3"/>
      <c r="AD1021" s="3"/>
      <c r="AE1021" s="3"/>
      <c r="AF1021" s="3"/>
      <c r="AG1021" s="3"/>
      <c r="AH1021" s="3"/>
      <c r="AI1021" s="3"/>
      <c r="AJ1021" s="3"/>
      <c r="AK1021" s="3"/>
      <c r="AL1021" s="3"/>
      <c r="AM1021" s="3"/>
      <c r="AN1021" s="3"/>
      <c r="AO1021" s="3"/>
      <c r="AP1021" s="3"/>
      <c r="AQ1021" s="3"/>
      <c r="AR1021" s="3"/>
      <c r="AS1021" s="3"/>
      <c r="AT1021" s="3"/>
      <c r="AU1021" s="3"/>
      <c r="AV1021" s="3"/>
      <c r="AW1021" s="3"/>
      <c r="AX1021" s="3"/>
      <c r="AY1021" s="3"/>
      <c r="AZ1021" s="3"/>
      <c r="BA1021" s="3"/>
      <c r="BB1021" s="3"/>
      <c r="BC1021" s="3"/>
    </row>
    <row r="1023" spans="1:55">
      <c r="A1023" s="1" t="s">
        <v>199</v>
      </c>
      <c r="B1023" s="1" t="s">
        <v>29</v>
      </c>
      <c r="C1023" s="1" t="s">
        <v>30</v>
      </c>
      <c r="D1023" s="1" t="s">
        <v>31</v>
      </c>
      <c r="E1023" s="1">
        <v>2000</v>
      </c>
      <c r="F1023" s="1">
        <v>2001</v>
      </c>
      <c r="G1023" s="1">
        <v>2002</v>
      </c>
      <c r="H1023" s="1">
        <v>2003</v>
      </c>
      <c r="I1023" s="1">
        <v>2004</v>
      </c>
      <c r="J1023" s="1">
        <v>2005</v>
      </c>
      <c r="K1023" s="1">
        <v>2006</v>
      </c>
      <c r="L1023" s="1">
        <v>2007</v>
      </c>
      <c r="M1023" s="1">
        <v>2008</v>
      </c>
      <c r="N1023" s="1">
        <v>2009</v>
      </c>
      <c r="O1023" s="1">
        <v>2010</v>
      </c>
      <c r="P1023" s="1">
        <v>2011</v>
      </c>
      <c r="Q1023" s="1">
        <v>2012</v>
      </c>
      <c r="R1023" s="1">
        <v>2013</v>
      </c>
      <c r="S1023" s="1">
        <v>2014</v>
      </c>
      <c r="T1023" s="1">
        <v>2015</v>
      </c>
      <c r="U1023" s="1">
        <v>2016</v>
      </c>
      <c r="V1023" s="1">
        <v>2017</v>
      </c>
      <c r="W1023" s="1">
        <v>2018</v>
      </c>
      <c r="X1023" s="1">
        <v>2019</v>
      </c>
      <c r="Y1023" s="1">
        <v>2020</v>
      </c>
      <c r="Z1023" s="1">
        <v>2021</v>
      </c>
      <c r="AA1023" s="1">
        <v>2022</v>
      </c>
      <c r="AB1023" s="1">
        <v>2023</v>
      </c>
      <c r="AC1023" s="1">
        <v>2024</v>
      </c>
      <c r="AD1023" s="1">
        <v>2025</v>
      </c>
      <c r="AE1023" s="1">
        <v>2026</v>
      </c>
      <c r="AF1023" s="1">
        <v>2027</v>
      </c>
      <c r="AG1023" s="1">
        <v>2028</v>
      </c>
      <c r="AH1023" s="1">
        <v>2029</v>
      </c>
      <c r="AI1023" s="1">
        <v>2030</v>
      </c>
      <c r="AJ1023" s="1">
        <v>2031</v>
      </c>
      <c r="AK1023" s="1">
        <v>2032</v>
      </c>
      <c r="AL1023" s="1">
        <v>2033</v>
      </c>
      <c r="AM1023" s="1">
        <v>2034</v>
      </c>
      <c r="AN1023" s="1">
        <v>2035</v>
      </c>
      <c r="AO1023" s="1">
        <v>2036</v>
      </c>
      <c r="AP1023" s="1">
        <v>2037</v>
      </c>
      <c r="AQ1023" s="1">
        <v>2038</v>
      </c>
      <c r="AR1023" s="1">
        <v>2039</v>
      </c>
      <c r="AS1023" s="1">
        <v>2040</v>
      </c>
      <c r="AT1023" s="1">
        <v>2041</v>
      </c>
      <c r="AU1023" s="1">
        <v>2042</v>
      </c>
      <c r="AV1023" s="1">
        <v>2043</v>
      </c>
      <c r="AW1023" s="1">
        <v>2044</v>
      </c>
      <c r="AX1023" s="1">
        <v>2045</v>
      </c>
      <c r="AY1023" s="1">
        <v>2046</v>
      </c>
      <c r="AZ1023" s="1">
        <v>2047</v>
      </c>
      <c r="BA1023" s="1">
        <v>2048</v>
      </c>
      <c r="BB1023" s="1">
        <v>2049</v>
      </c>
      <c r="BC1023" s="1">
        <v>2050</v>
      </c>
    </row>
    <row r="1024" spans="1:55">
      <c r="A1024" s="1" t="str">
        <f>'Population Definitions'!$A$2</f>
        <v>PWID_males</v>
      </c>
      <c r="C1024" t="s">
        <v>32</v>
      </c>
      <c r="D1024" s="3"/>
      <c r="E1024" s="3">
        <v>0</v>
      </c>
      <c r="F1024" s="3"/>
      <c r="G1024" s="3"/>
      <c r="H1024" s="3"/>
      <c r="I1024" s="3"/>
      <c r="J1024" s="3"/>
      <c r="K1024" s="3"/>
      <c r="L1024" s="3"/>
      <c r="M1024" s="3"/>
      <c r="N1024" s="3"/>
      <c r="O1024" s="3"/>
      <c r="P1024" s="3"/>
      <c r="Q1024" s="3"/>
      <c r="R1024" s="3"/>
      <c r="S1024" s="3"/>
      <c r="T1024" s="3"/>
      <c r="U1024" s="3"/>
      <c r="V1024" s="3"/>
      <c r="W1024" s="3"/>
      <c r="X1024" s="3"/>
      <c r="Y1024" s="3"/>
      <c r="Z1024" s="3"/>
      <c r="AA1024" s="3"/>
      <c r="AB1024" s="3"/>
      <c r="AC1024" s="3"/>
      <c r="AD1024" s="3"/>
      <c r="AE1024" s="3"/>
      <c r="AF1024" s="3"/>
      <c r="AG1024" s="3"/>
      <c r="AH1024" s="3"/>
      <c r="AI1024" s="3"/>
      <c r="AJ1024" s="3"/>
      <c r="AK1024" s="3"/>
      <c r="AL1024" s="3"/>
      <c r="AM1024" s="3"/>
      <c r="AN1024" s="3"/>
      <c r="AO1024" s="3"/>
      <c r="AP1024" s="3"/>
      <c r="AQ1024" s="3"/>
      <c r="AR1024" s="3"/>
      <c r="AS1024" s="3"/>
      <c r="AT1024" s="3"/>
      <c r="AU1024" s="3"/>
      <c r="AV1024" s="3"/>
      <c r="AW1024" s="3"/>
      <c r="AX1024" s="3"/>
      <c r="AY1024" s="3"/>
      <c r="AZ1024" s="3"/>
      <c r="BA1024" s="3"/>
      <c r="BB1024" s="3"/>
      <c r="BC1024" s="3"/>
    </row>
    <row r="1025" spans="1:55">
      <c r="A1025" s="1" t="str">
        <f>'Population Definitions'!$A$3</f>
        <v>PWID_females</v>
      </c>
      <c r="C1025" t="s">
        <v>32</v>
      </c>
      <c r="D1025" s="3"/>
      <c r="E1025" s="3">
        <v>0</v>
      </c>
      <c r="F1025" s="3"/>
      <c r="G1025" s="3"/>
      <c r="H1025" s="3"/>
      <c r="I1025" s="3"/>
      <c r="J1025" s="3"/>
      <c r="K1025" s="3"/>
      <c r="L1025" s="3"/>
      <c r="M1025" s="3"/>
      <c r="N1025" s="3"/>
      <c r="O1025" s="3"/>
      <c r="P1025" s="3"/>
      <c r="Q1025" s="3"/>
      <c r="R1025" s="3"/>
      <c r="S1025" s="3"/>
      <c r="T1025" s="3"/>
      <c r="U1025" s="3"/>
      <c r="V1025" s="3"/>
      <c r="W1025" s="3"/>
      <c r="X1025" s="3"/>
      <c r="Y1025" s="3"/>
      <c r="Z1025" s="3"/>
      <c r="AA1025" s="3"/>
      <c r="AB1025" s="3"/>
      <c r="AC1025" s="3"/>
      <c r="AD1025" s="3"/>
      <c r="AE1025" s="3"/>
      <c r="AF1025" s="3"/>
      <c r="AG1025" s="3"/>
      <c r="AH1025" s="3"/>
      <c r="AI1025" s="3"/>
      <c r="AJ1025" s="3"/>
      <c r="AK1025" s="3"/>
      <c r="AL1025" s="3"/>
      <c r="AM1025" s="3"/>
      <c r="AN1025" s="3"/>
      <c r="AO1025" s="3"/>
      <c r="AP1025" s="3"/>
      <c r="AQ1025" s="3"/>
      <c r="AR1025" s="3"/>
      <c r="AS1025" s="3"/>
      <c r="AT1025" s="3"/>
      <c r="AU1025" s="3"/>
      <c r="AV1025" s="3"/>
      <c r="AW1025" s="3"/>
      <c r="AX1025" s="3"/>
      <c r="AY1025" s="3"/>
      <c r="AZ1025" s="3"/>
      <c r="BA1025" s="3"/>
      <c r="BB1025" s="3"/>
      <c r="BC1025" s="3"/>
    </row>
    <row r="1026" spans="1:55">
      <c r="A1026" s="1" t="str">
        <f>'Population Definitions'!$A$4</f>
        <v>0-9_males</v>
      </c>
      <c r="C1026" t="s">
        <v>32</v>
      </c>
      <c r="D1026" s="3"/>
      <c r="E1026" s="3">
        <v>0</v>
      </c>
      <c r="F1026" s="3"/>
      <c r="G1026" s="3"/>
      <c r="H1026" s="3"/>
      <c r="I1026" s="3"/>
      <c r="J1026" s="3"/>
      <c r="K1026" s="3"/>
      <c r="L1026" s="3"/>
      <c r="M1026" s="3"/>
      <c r="N1026" s="3"/>
      <c r="O1026" s="3"/>
      <c r="P1026" s="3"/>
      <c r="Q1026" s="3"/>
      <c r="R1026" s="3"/>
      <c r="S1026" s="3"/>
      <c r="T1026" s="3"/>
      <c r="U1026" s="3"/>
      <c r="V1026" s="3"/>
      <c r="W1026" s="3"/>
      <c r="X1026" s="3"/>
      <c r="Y1026" s="3"/>
      <c r="Z1026" s="3"/>
      <c r="AA1026" s="3"/>
      <c r="AB1026" s="3"/>
      <c r="AC1026" s="3"/>
      <c r="AD1026" s="3"/>
      <c r="AE1026" s="3"/>
      <c r="AF1026" s="3"/>
      <c r="AG1026" s="3"/>
      <c r="AH1026" s="3"/>
      <c r="AI1026" s="3"/>
      <c r="AJ1026" s="3"/>
      <c r="AK1026" s="3"/>
      <c r="AL1026" s="3"/>
      <c r="AM1026" s="3"/>
      <c r="AN1026" s="3"/>
      <c r="AO1026" s="3"/>
      <c r="AP1026" s="3"/>
      <c r="AQ1026" s="3"/>
      <c r="AR1026" s="3"/>
      <c r="AS1026" s="3"/>
      <c r="AT1026" s="3"/>
      <c r="AU1026" s="3"/>
      <c r="AV1026" s="3"/>
      <c r="AW1026" s="3"/>
      <c r="AX1026" s="3"/>
      <c r="AY1026" s="3"/>
      <c r="AZ1026" s="3"/>
      <c r="BA1026" s="3"/>
      <c r="BB1026" s="3"/>
      <c r="BC1026" s="3"/>
    </row>
    <row r="1027" spans="1:55">
      <c r="A1027" s="1" t="str">
        <f>'Population Definitions'!$A$5</f>
        <v>0-9_females</v>
      </c>
      <c r="C1027" t="s">
        <v>32</v>
      </c>
      <c r="D1027" s="3"/>
      <c r="E1027" s="3">
        <v>0</v>
      </c>
      <c r="F1027" s="3"/>
      <c r="G1027" s="3"/>
      <c r="H1027" s="3"/>
      <c r="I1027" s="3"/>
      <c r="J1027" s="3"/>
      <c r="K1027" s="3"/>
      <c r="L1027" s="3"/>
      <c r="M1027" s="3"/>
      <c r="N1027" s="3"/>
      <c r="O1027" s="3"/>
      <c r="P1027" s="3"/>
      <c r="Q1027" s="3"/>
      <c r="R1027" s="3"/>
      <c r="S1027" s="3"/>
      <c r="T1027" s="3"/>
      <c r="U1027" s="3"/>
      <c r="V1027" s="3"/>
      <c r="W1027" s="3"/>
      <c r="X1027" s="3"/>
      <c r="Y1027" s="3"/>
      <c r="Z1027" s="3"/>
      <c r="AA1027" s="3"/>
      <c r="AB1027" s="3"/>
      <c r="AC1027" s="3"/>
      <c r="AD1027" s="3"/>
      <c r="AE1027" s="3"/>
      <c r="AF1027" s="3"/>
      <c r="AG1027" s="3"/>
      <c r="AH1027" s="3"/>
      <c r="AI1027" s="3"/>
      <c r="AJ1027" s="3"/>
      <c r="AK1027" s="3"/>
      <c r="AL1027" s="3"/>
      <c r="AM1027" s="3"/>
      <c r="AN1027" s="3"/>
      <c r="AO1027" s="3"/>
      <c r="AP1027" s="3"/>
      <c r="AQ1027" s="3"/>
      <c r="AR1027" s="3"/>
      <c r="AS1027" s="3"/>
      <c r="AT1027" s="3"/>
      <c r="AU1027" s="3"/>
      <c r="AV1027" s="3"/>
      <c r="AW1027" s="3"/>
      <c r="AX1027" s="3"/>
      <c r="AY1027" s="3"/>
      <c r="AZ1027" s="3"/>
      <c r="BA1027" s="3"/>
      <c r="BB1027" s="3"/>
      <c r="BC1027" s="3"/>
    </row>
    <row r="1028" spans="1:55">
      <c r="A1028" s="1" t="str">
        <f>'Population Definitions'!$A$6</f>
        <v>10-17_males</v>
      </c>
      <c r="C1028" t="s">
        <v>32</v>
      </c>
      <c r="D1028" s="3"/>
      <c r="E1028" s="3">
        <v>0</v>
      </c>
      <c r="F1028" s="3"/>
      <c r="G1028" s="3"/>
      <c r="H1028" s="3"/>
      <c r="I1028" s="3"/>
      <c r="J1028" s="3"/>
      <c r="K1028" s="3"/>
      <c r="L1028" s="3"/>
      <c r="M1028" s="3"/>
      <c r="N1028" s="3"/>
      <c r="O1028" s="3"/>
      <c r="P1028" s="3"/>
      <c r="Q1028" s="3"/>
      <c r="R1028" s="3"/>
      <c r="S1028" s="3"/>
      <c r="T1028" s="3"/>
      <c r="U1028" s="3"/>
      <c r="V1028" s="3"/>
      <c r="W1028" s="3"/>
      <c r="X1028" s="3"/>
      <c r="Y1028" s="3"/>
      <c r="Z1028" s="3"/>
      <c r="AA1028" s="3"/>
      <c r="AB1028" s="3"/>
      <c r="AC1028" s="3"/>
      <c r="AD1028" s="3"/>
      <c r="AE1028" s="3"/>
      <c r="AF1028" s="3"/>
      <c r="AG1028" s="3"/>
      <c r="AH1028" s="3"/>
      <c r="AI1028" s="3"/>
      <c r="AJ1028" s="3"/>
      <c r="AK1028" s="3"/>
      <c r="AL1028" s="3"/>
      <c r="AM1028" s="3"/>
      <c r="AN1028" s="3"/>
      <c r="AO1028" s="3"/>
      <c r="AP1028" s="3"/>
      <c r="AQ1028" s="3"/>
      <c r="AR1028" s="3"/>
      <c r="AS1028" s="3"/>
      <c r="AT1028" s="3"/>
      <c r="AU1028" s="3"/>
      <c r="AV1028" s="3"/>
      <c r="AW1028" s="3"/>
      <c r="AX1028" s="3"/>
      <c r="AY1028" s="3"/>
      <c r="AZ1028" s="3"/>
      <c r="BA1028" s="3"/>
      <c r="BB1028" s="3"/>
      <c r="BC1028" s="3"/>
    </row>
    <row r="1029" spans="1:55">
      <c r="A1029" s="1" t="str">
        <f>'Population Definitions'!$A$7</f>
        <v>10-17_females</v>
      </c>
      <c r="C1029" t="s">
        <v>32</v>
      </c>
      <c r="D1029" s="3"/>
      <c r="E1029" s="3">
        <v>0</v>
      </c>
      <c r="F1029" s="3"/>
      <c r="G1029" s="3"/>
      <c r="H1029" s="3"/>
      <c r="I1029" s="3"/>
      <c r="J1029" s="3"/>
      <c r="K1029" s="3"/>
      <c r="L1029" s="3"/>
      <c r="M1029" s="3"/>
      <c r="N1029" s="3"/>
      <c r="O1029" s="3"/>
      <c r="P1029" s="3"/>
      <c r="Q1029" s="3"/>
      <c r="R1029" s="3"/>
      <c r="S1029" s="3"/>
      <c r="T1029" s="3"/>
      <c r="U1029" s="3"/>
      <c r="V1029" s="3"/>
      <c r="W1029" s="3"/>
      <c r="X1029" s="3"/>
      <c r="Y1029" s="3"/>
      <c r="Z1029" s="3"/>
      <c r="AA1029" s="3"/>
      <c r="AB1029" s="3"/>
      <c r="AC1029" s="3"/>
      <c r="AD1029" s="3"/>
      <c r="AE1029" s="3"/>
      <c r="AF1029" s="3"/>
      <c r="AG1029" s="3"/>
      <c r="AH1029" s="3"/>
      <c r="AI1029" s="3"/>
      <c r="AJ1029" s="3"/>
      <c r="AK1029" s="3"/>
      <c r="AL1029" s="3"/>
      <c r="AM1029" s="3"/>
      <c r="AN1029" s="3"/>
      <c r="AO1029" s="3"/>
      <c r="AP1029" s="3"/>
      <c r="AQ1029" s="3"/>
      <c r="AR1029" s="3"/>
      <c r="AS1029" s="3"/>
      <c r="AT1029" s="3"/>
      <c r="AU1029" s="3"/>
      <c r="AV1029" s="3"/>
      <c r="AW1029" s="3"/>
      <c r="AX1029" s="3"/>
      <c r="AY1029" s="3"/>
      <c r="AZ1029" s="3"/>
      <c r="BA1029" s="3"/>
      <c r="BB1029" s="3"/>
      <c r="BC1029" s="3"/>
    </row>
    <row r="1030" spans="1:55">
      <c r="A1030" s="1" t="str">
        <f>'Population Definitions'!$A$8</f>
        <v>18-64_males</v>
      </c>
      <c r="C1030" t="s">
        <v>32</v>
      </c>
      <c r="D1030" s="3"/>
      <c r="E1030" s="3">
        <v>0</v>
      </c>
      <c r="F1030" s="3"/>
      <c r="G1030" s="3"/>
      <c r="H1030" s="3"/>
      <c r="I1030" s="3"/>
      <c r="J1030" s="3"/>
      <c r="K1030" s="3"/>
      <c r="L1030" s="3"/>
      <c r="M1030" s="3"/>
      <c r="N1030" s="3"/>
      <c r="O1030" s="3"/>
      <c r="P1030" s="3"/>
      <c r="Q1030" s="3"/>
      <c r="R1030" s="3"/>
      <c r="S1030" s="3"/>
      <c r="T1030" s="3"/>
      <c r="U1030" s="3"/>
      <c r="V1030" s="3"/>
      <c r="W1030" s="3"/>
      <c r="X1030" s="3"/>
      <c r="Y1030" s="3"/>
      <c r="Z1030" s="3"/>
      <c r="AA1030" s="3"/>
      <c r="AB1030" s="3"/>
      <c r="AC1030" s="3"/>
      <c r="AD1030" s="3"/>
      <c r="AE1030" s="3"/>
      <c r="AF1030" s="3"/>
      <c r="AG1030" s="3"/>
      <c r="AH1030" s="3"/>
      <c r="AI1030" s="3"/>
      <c r="AJ1030" s="3"/>
      <c r="AK1030" s="3"/>
      <c r="AL1030" s="3"/>
      <c r="AM1030" s="3"/>
      <c r="AN1030" s="3"/>
      <c r="AO1030" s="3"/>
      <c r="AP1030" s="3"/>
      <c r="AQ1030" s="3"/>
      <c r="AR1030" s="3"/>
      <c r="AS1030" s="3"/>
      <c r="AT1030" s="3"/>
      <c r="AU1030" s="3"/>
      <c r="AV1030" s="3"/>
      <c r="AW1030" s="3"/>
      <c r="AX1030" s="3"/>
      <c r="AY1030" s="3"/>
      <c r="AZ1030" s="3"/>
      <c r="BA1030" s="3"/>
      <c r="BB1030" s="3"/>
      <c r="BC1030" s="3"/>
    </row>
    <row r="1031" spans="1:55">
      <c r="A1031" s="1" t="str">
        <f>'Population Definitions'!$A$9</f>
        <v>18-64_females</v>
      </c>
      <c r="C1031" t="s">
        <v>32</v>
      </c>
      <c r="D1031" s="3"/>
      <c r="E1031" s="3">
        <v>0</v>
      </c>
      <c r="F1031" s="3"/>
      <c r="G1031" s="3"/>
      <c r="H1031" s="3"/>
      <c r="I1031" s="3"/>
      <c r="J1031" s="3"/>
      <c r="K1031" s="3"/>
      <c r="L1031" s="3"/>
      <c r="M1031" s="3"/>
      <c r="N1031" s="3"/>
      <c r="O1031" s="3"/>
      <c r="P1031" s="3"/>
      <c r="Q1031" s="3"/>
      <c r="R1031" s="3"/>
      <c r="S1031" s="3"/>
      <c r="T1031" s="3"/>
      <c r="U1031" s="3"/>
      <c r="V1031" s="3"/>
      <c r="W1031" s="3"/>
      <c r="X1031" s="3"/>
      <c r="Y1031" s="3"/>
      <c r="Z1031" s="3"/>
      <c r="AA1031" s="3"/>
      <c r="AB1031" s="3"/>
      <c r="AC1031" s="3"/>
      <c r="AD1031" s="3"/>
      <c r="AE1031" s="3"/>
      <c r="AF1031" s="3"/>
      <c r="AG1031" s="3"/>
      <c r="AH1031" s="3"/>
      <c r="AI1031" s="3"/>
      <c r="AJ1031" s="3"/>
      <c r="AK1031" s="3"/>
      <c r="AL1031" s="3"/>
      <c r="AM1031" s="3"/>
      <c r="AN1031" s="3"/>
      <c r="AO1031" s="3"/>
      <c r="AP1031" s="3"/>
      <c r="AQ1031" s="3"/>
      <c r="AR1031" s="3"/>
      <c r="AS1031" s="3"/>
      <c r="AT1031" s="3"/>
      <c r="AU1031" s="3"/>
      <c r="AV1031" s="3"/>
      <c r="AW1031" s="3"/>
      <c r="AX1031" s="3"/>
      <c r="AY1031" s="3"/>
      <c r="AZ1031" s="3"/>
      <c r="BA1031" s="3"/>
      <c r="BB1031" s="3"/>
      <c r="BC1031" s="3"/>
    </row>
    <row r="1032" spans="1:55">
      <c r="A1032" s="1" t="str">
        <f>'Population Definitions'!$A$10</f>
        <v>65+_males</v>
      </c>
      <c r="C1032" t="s">
        <v>32</v>
      </c>
      <c r="D1032" s="3"/>
      <c r="E1032" s="3">
        <v>0</v>
      </c>
      <c r="F1032" s="3"/>
      <c r="G1032" s="3"/>
      <c r="H1032" s="3"/>
      <c r="I1032" s="3"/>
      <c r="J1032" s="3"/>
      <c r="K1032" s="3"/>
      <c r="L1032" s="3"/>
      <c r="M1032" s="3"/>
      <c r="N1032" s="3"/>
      <c r="O1032" s="3"/>
      <c r="P1032" s="3"/>
      <c r="Q1032" s="3"/>
      <c r="R1032" s="3"/>
      <c r="S1032" s="3"/>
      <c r="T1032" s="3"/>
      <c r="U1032" s="3"/>
      <c r="V1032" s="3"/>
      <c r="W1032" s="3"/>
      <c r="X1032" s="3"/>
      <c r="Y1032" s="3"/>
      <c r="Z1032" s="3"/>
      <c r="AA1032" s="3"/>
      <c r="AB1032" s="3"/>
      <c r="AC1032" s="3"/>
      <c r="AD1032" s="3"/>
      <c r="AE1032" s="3"/>
      <c r="AF1032" s="3"/>
      <c r="AG1032" s="3"/>
      <c r="AH1032" s="3"/>
      <c r="AI1032" s="3"/>
      <c r="AJ1032" s="3"/>
      <c r="AK1032" s="3"/>
      <c r="AL1032" s="3"/>
      <c r="AM1032" s="3"/>
      <c r="AN1032" s="3"/>
      <c r="AO1032" s="3"/>
      <c r="AP1032" s="3"/>
      <c r="AQ1032" s="3"/>
      <c r="AR1032" s="3"/>
      <c r="AS1032" s="3"/>
      <c r="AT1032" s="3"/>
      <c r="AU1032" s="3"/>
      <c r="AV1032" s="3"/>
      <c r="AW1032" s="3"/>
      <c r="AX1032" s="3"/>
      <c r="AY1032" s="3"/>
      <c r="AZ1032" s="3"/>
      <c r="BA1032" s="3"/>
      <c r="BB1032" s="3"/>
      <c r="BC1032" s="3"/>
    </row>
    <row r="1033" spans="1:55">
      <c r="A1033" s="1" t="str">
        <f>'Population Definitions'!$A$11</f>
        <v>65+_females</v>
      </c>
      <c r="C1033" t="s">
        <v>32</v>
      </c>
      <c r="D1033" s="3"/>
      <c r="E1033" s="3">
        <v>0</v>
      </c>
      <c r="F1033" s="3"/>
      <c r="G1033" s="3"/>
      <c r="H1033" s="3"/>
      <c r="I1033" s="3"/>
      <c r="J1033" s="3"/>
      <c r="K1033" s="3"/>
      <c r="L1033" s="3"/>
      <c r="M1033" s="3"/>
      <c r="N1033" s="3"/>
      <c r="O1033" s="3"/>
      <c r="P1033" s="3"/>
      <c r="Q1033" s="3"/>
      <c r="R1033" s="3"/>
      <c r="S1033" s="3"/>
      <c r="T1033" s="3"/>
      <c r="U1033" s="3"/>
      <c r="V1033" s="3"/>
      <c r="W1033" s="3"/>
      <c r="X1033" s="3"/>
      <c r="Y1033" s="3"/>
      <c r="Z1033" s="3"/>
      <c r="AA1033" s="3"/>
      <c r="AB1033" s="3"/>
      <c r="AC1033" s="3"/>
      <c r="AD1033" s="3"/>
      <c r="AE1033" s="3"/>
      <c r="AF1033" s="3"/>
      <c r="AG1033" s="3"/>
      <c r="AH1033" s="3"/>
      <c r="AI1033" s="3"/>
      <c r="AJ1033" s="3"/>
      <c r="AK1033" s="3"/>
      <c r="AL1033" s="3"/>
      <c r="AM1033" s="3"/>
      <c r="AN1033" s="3"/>
      <c r="AO1033" s="3"/>
      <c r="AP1033" s="3"/>
      <c r="AQ1033" s="3"/>
      <c r="AR1033" s="3"/>
      <c r="AS1033" s="3"/>
      <c r="AT1033" s="3"/>
      <c r="AU1033" s="3"/>
      <c r="AV1033" s="3"/>
      <c r="AW1033" s="3"/>
      <c r="AX1033" s="3"/>
      <c r="AY1033" s="3"/>
      <c r="AZ1033" s="3"/>
      <c r="BA1033" s="3"/>
      <c r="BB1033" s="3"/>
      <c r="BC1033" s="3"/>
    </row>
    <row r="1034" spans="1:55">
      <c r="A1034" s="1" t="str">
        <f>'Population Definitions'!$A$12</f>
        <v>Prisoners_males</v>
      </c>
      <c r="C1034" t="s">
        <v>32</v>
      </c>
      <c r="D1034" s="3"/>
      <c r="E1034" s="3">
        <v>0</v>
      </c>
      <c r="F1034" s="3"/>
      <c r="G1034" s="3"/>
      <c r="H1034" s="3"/>
      <c r="I1034" s="3"/>
      <c r="J1034" s="3"/>
      <c r="K1034" s="3"/>
      <c r="L1034" s="3"/>
      <c r="M1034" s="3"/>
      <c r="N1034" s="3"/>
      <c r="O1034" s="3"/>
      <c r="P1034" s="3"/>
      <c r="Q1034" s="3"/>
      <c r="R1034" s="3"/>
      <c r="S1034" s="3"/>
      <c r="T1034" s="3"/>
      <c r="U1034" s="3"/>
      <c r="V1034" s="3"/>
      <c r="W1034" s="3"/>
      <c r="X1034" s="3"/>
      <c r="Y1034" s="3"/>
      <c r="Z1034" s="3"/>
      <c r="AA1034" s="3"/>
      <c r="AB1034" s="3"/>
      <c r="AC1034" s="3"/>
      <c r="AD1034" s="3"/>
      <c r="AE1034" s="3"/>
      <c r="AF1034" s="3"/>
      <c r="AG1034" s="3"/>
      <c r="AH1034" s="3"/>
      <c r="AI1034" s="3"/>
      <c r="AJ1034" s="3"/>
      <c r="AK1034" s="3"/>
      <c r="AL1034" s="3"/>
      <c r="AM1034" s="3"/>
      <c r="AN1034" s="3"/>
      <c r="AO1034" s="3"/>
      <c r="AP1034" s="3"/>
      <c r="AQ1034" s="3"/>
      <c r="AR1034" s="3"/>
      <c r="AS1034" s="3"/>
      <c r="AT1034" s="3"/>
      <c r="AU1034" s="3"/>
      <c r="AV1034" s="3"/>
      <c r="AW1034" s="3"/>
      <c r="AX1034" s="3"/>
      <c r="AY1034" s="3"/>
      <c r="AZ1034" s="3"/>
      <c r="BA1034" s="3"/>
      <c r="BB1034" s="3"/>
      <c r="BC1034" s="3"/>
    </row>
    <row r="1035" spans="1:55">
      <c r="A1035" s="1" t="str">
        <f>'Population Definitions'!$A$13</f>
        <v>Prisoners_females</v>
      </c>
      <c r="C1035" t="s">
        <v>32</v>
      </c>
      <c r="D1035" s="3"/>
      <c r="E1035" s="3">
        <v>0</v>
      </c>
      <c r="F1035" s="3"/>
      <c r="G1035" s="3"/>
      <c r="H1035" s="3"/>
      <c r="I1035" s="3"/>
      <c r="J1035" s="3"/>
      <c r="K1035" s="3"/>
      <c r="L1035" s="3"/>
      <c r="M1035" s="3"/>
      <c r="N1035" s="3"/>
      <c r="O1035" s="3"/>
      <c r="P1035" s="3"/>
      <c r="Q1035" s="3"/>
      <c r="R1035" s="3"/>
      <c r="S1035" s="3"/>
      <c r="T1035" s="3"/>
      <c r="U1035" s="3"/>
      <c r="V1035" s="3"/>
      <c r="W1035" s="3"/>
      <c r="X1035" s="3"/>
      <c r="Y1035" s="3"/>
      <c r="Z1035" s="3"/>
      <c r="AA1035" s="3"/>
      <c r="AB1035" s="3"/>
      <c r="AC1035" s="3"/>
      <c r="AD1035" s="3"/>
      <c r="AE1035" s="3"/>
      <c r="AF1035" s="3"/>
      <c r="AG1035" s="3"/>
      <c r="AH1035" s="3"/>
      <c r="AI1035" s="3"/>
      <c r="AJ1035" s="3"/>
      <c r="AK1035" s="3"/>
      <c r="AL1035" s="3"/>
      <c r="AM1035" s="3"/>
      <c r="AN1035" s="3"/>
      <c r="AO1035" s="3"/>
      <c r="AP1035" s="3"/>
      <c r="AQ1035" s="3"/>
      <c r="AR1035" s="3"/>
      <c r="AS1035" s="3"/>
      <c r="AT1035" s="3"/>
      <c r="AU1035" s="3"/>
      <c r="AV1035" s="3"/>
      <c r="AW1035" s="3"/>
      <c r="AX1035" s="3"/>
      <c r="AY1035" s="3"/>
      <c r="AZ1035" s="3"/>
      <c r="BA1035" s="3"/>
      <c r="BB1035" s="3"/>
      <c r="BC1035" s="3"/>
    </row>
    <row r="1037" spans="1:55">
      <c r="A1037" s="1" t="s">
        <v>200</v>
      </c>
      <c r="B1037" s="1" t="s">
        <v>29</v>
      </c>
      <c r="C1037" s="1" t="s">
        <v>30</v>
      </c>
      <c r="D1037" s="1" t="s">
        <v>31</v>
      </c>
      <c r="E1037" s="1">
        <v>2000</v>
      </c>
      <c r="F1037" s="1">
        <v>2001</v>
      </c>
      <c r="G1037" s="1">
        <v>2002</v>
      </c>
      <c r="H1037" s="1">
        <v>2003</v>
      </c>
      <c r="I1037" s="1">
        <v>2004</v>
      </c>
      <c r="J1037" s="1">
        <v>2005</v>
      </c>
      <c r="K1037" s="1">
        <v>2006</v>
      </c>
      <c r="L1037" s="1">
        <v>2007</v>
      </c>
      <c r="M1037" s="1">
        <v>2008</v>
      </c>
      <c r="N1037" s="1">
        <v>2009</v>
      </c>
      <c r="O1037" s="1">
        <v>2010</v>
      </c>
      <c r="P1037" s="1">
        <v>2011</v>
      </c>
      <c r="Q1037" s="1">
        <v>2012</v>
      </c>
      <c r="R1037" s="1">
        <v>2013</v>
      </c>
      <c r="S1037" s="1">
        <v>2014</v>
      </c>
      <c r="T1037" s="1">
        <v>2015</v>
      </c>
      <c r="U1037" s="1">
        <v>2016</v>
      </c>
      <c r="V1037" s="1">
        <v>2017</v>
      </c>
      <c r="W1037" s="1">
        <v>2018</v>
      </c>
      <c r="X1037" s="1">
        <v>2019</v>
      </c>
      <c r="Y1037" s="1">
        <v>2020</v>
      </c>
      <c r="Z1037" s="1">
        <v>2021</v>
      </c>
      <c r="AA1037" s="1">
        <v>2022</v>
      </c>
      <c r="AB1037" s="1">
        <v>2023</v>
      </c>
      <c r="AC1037" s="1">
        <v>2024</v>
      </c>
      <c r="AD1037" s="1">
        <v>2025</v>
      </c>
      <c r="AE1037" s="1">
        <v>2026</v>
      </c>
      <c r="AF1037" s="1">
        <v>2027</v>
      </c>
      <c r="AG1037" s="1">
        <v>2028</v>
      </c>
      <c r="AH1037" s="1">
        <v>2029</v>
      </c>
      <c r="AI1037" s="1">
        <v>2030</v>
      </c>
      <c r="AJ1037" s="1">
        <v>2031</v>
      </c>
      <c r="AK1037" s="1">
        <v>2032</v>
      </c>
      <c r="AL1037" s="1">
        <v>2033</v>
      </c>
      <c r="AM1037" s="1">
        <v>2034</v>
      </c>
      <c r="AN1037" s="1">
        <v>2035</v>
      </c>
      <c r="AO1037" s="1">
        <v>2036</v>
      </c>
      <c r="AP1037" s="1">
        <v>2037</v>
      </c>
      <c r="AQ1037" s="1">
        <v>2038</v>
      </c>
      <c r="AR1037" s="1">
        <v>2039</v>
      </c>
      <c r="AS1037" s="1">
        <v>2040</v>
      </c>
      <c r="AT1037" s="1">
        <v>2041</v>
      </c>
      <c r="AU1037" s="1">
        <v>2042</v>
      </c>
      <c r="AV1037" s="1">
        <v>2043</v>
      </c>
      <c r="AW1037" s="1">
        <v>2044</v>
      </c>
      <c r="AX1037" s="1">
        <v>2045</v>
      </c>
      <c r="AY1037" s="1">
        <v>2046</v>
      </c>
      <c r="AZ1037" s="1">
        <v>2047</v>
      </c>
      <c r="BA1037" s="1">
        <v>2048</v>
      </c>
      <c r="BB1037" s="1">
        <v>2049</v>
      </c>
      <c r="BC1037" s="1">
        <v>2050</v>
      </c>
    </row>
    <row r="1038" spans="1:55">
      <c r="A1038" s="1" t="str">
        <f>'Population Definitions'!$A$2</f>
        <v>PWID_males</v>
      </c>
      <c r="C1038" t="s">
        <v>32</v>
      </c>
      <c r="D1038" s="3"/>
      <c r="E1038" s="3">
        <v>0</v>
      </c>
      <c r="F1038" s="3"/>
      <c r="G1038" s="3"/>
      <c r="H1038" s="3"/>
      <c r="I1038" s="3"/>
      <c r="J1038" s="3"/>
      <c r="K1038" s="3"/>
      <c r="L1038" s="3"/>
      <c r="M1038" s="3"/>
      <c r="N1038" s="3"/>
      <c r="O1038" s="3"/>
      <c r="P1038" s="3"/>
      <c r="Q1038" s="3"/>
      <c r="R1038" s="3"/>
      <c r="S1038" s="3"/>
      <c r="T1038" s="3"/>
      <c r="U1038" s="3"/>
      <c r="V1038" s="3"/>
      <c r="W1038" s="3"/>
      <c r="X1038" s="3"/>
      <c r="Y1038" s="3"/>
      <c r="Z1038" s="3"/>
      <c r="AA1038" s="3"/>
      <c r="AB1038" s="3"/>
      <c r="AC1038" s="3"/>
      <c r="AD1038" s="3"/>
      <c r="AE1038" s="3"/>
      <c r="AF1038" s="3"/>
      <c r="AG1038" s="3"/>
      <c r="AH1038" s="3"/>
      <c r="AI1038" s="3"/>
      <c r="AJ1038" s="3"/>
      <c r="AK1038" s="3"/>
      <c r="AL1038" s="3"/>
      <c r="AM1038" s="3"/>
      <c r="AN1038" s="3"/>
      <c r="AO1038" s="3"/>
      <c r="AP1038" s="3"/>
      <c r="AQ1038" s="3"/>
      <c r="AR1038" s="3"/>
      <c r="AS1038" s="3"/>
      <c r="AT1038" s="3"/>
      <c r="AU1038" s="3"/>
      <c r="AV1038" s="3"/>
      <c r="AW1038" s="3"/>
      <c r="AX1038" s="3"/>
      <c r="AY1038" s="3"/>
      <c r="AZ1038" s="3"/>
      <c r="BA1038" s="3"/>
      <c r="BB1038" s="3"/>
      <c r="BC1038" s="3"/>
    </row>
    <row r="1039" spans="1:55">
      <c r="A1039" s="1" t="str">
        <f>'Population Definitions'!$A$3</f>
        <v>PWID_females</v>
      </c>
      <c r="C1039" t="s">
        <v>32</v>
      </c>
      <c r="D1039" s="3"/>
      <c r="E1039" s="3">
        <v>0</v>
      </c>
      <c r="F1039" s="3"/>
      <c r="G1039" s="3"/>
      <c r="H1039" s="3"/>
      <c r="I1039" s="3"/>
      <c r="J1039" s="3"/>
      <c r="K1039" s="3"/>
      <c r="L1039" s="3"/>
      <c r="M1039" s="3"/>
      <c r="N1039" s="3"/>
      <c r="O1039" s="3"/>
      <c r="P1039" s="3"/>
      <c r="Q1039" s="3"/>
      <c r="R1039" s="3"/>
      <c r="S1039" s="3"/>
      <c r="T1039" s="3"/>
      <c r="U1039" s="3"/>
      <c r="V1039" s="3"/>
      <c r="W1039" s="3"/>
      <c r="X1039" s="3"/>
      <c r="Y1039" s="3"/>
      <c r="Z1039" s="3"/>
      <c r="AA1039" s="3"/>
      <c r="AB1039" s="3"/>
      <c r="AC1039" s="3"/>
      <c r="AD1039" s="3"/>
      <c r="AE1039" s="3"/>
      <c r="AF1039" s="3"/>
      <c r="AG1039" s="3"/>
      <c r="AH1039" s="3"/>
      <c r="AI1039" s="3"/>
      <c r="AJ1039" s="3"/>
      <c r="AK1039" s="3"/>
      <c r="AL1039" s="3"/>
      <c r="AM1039" s="3"/>
      <c r="AN1039" s="3"/>
      <c r="AO1039" s="3"/>
      <c r="AP1039" s="3"/>
      <c r="AQ1039" s="3"/>
      <c r="AR1039" s="3"/>
      <c r="AS1039" s="3"/>
      <c r="AT1039" s="3"/>
      <c r="AU1039" s="3"/>
      <c r="AV1039" s="3"/>
      <c r="AW1039" s="3"/>
      <c r="AX1039" s="3"/>
      <c r="AY1039" s="3"/>
      <c r="AZ1039" s="3"/>
      <c r="BA1039" s="3"/>
      <c r="BB1039" s="3"/>
      <c r="BC1039" s="3"/>
    </row>
    <row r="1040" spans="1:55">
      <c r="A1040" s="1" t="str">
        <f>'Population Definitions'!$A$4</f>
        <v>0-9_males</v>
      </c>
      <c r="C1040" t="s">
        <v>32</v>
      </c>
      <c r="D1040" s="3"/>
      <c r="E1040" s="3">
        <v>0</v>
      </c>
      <c r="F1040" s="3"/>
      <c r="G1040" s="3"/>
      <c r="H1040" s="3"/>
      <c r="I1040" s="3"/>
      <c r="J1040" s="3"/>
      <c r="K1040" s="3"/>
      <c r="L1040" s="3"/>
      <c r="M1040" s="3"/>
      <c r="N1040" s="3"/>
      <c r="O1040" s="3"/>
      <c r="P1040" s="3"/>
      <c r="Q1040" s="3"/>
      <c r="R1040" s="3"/>
      <c r="S1040" s="3"/>
      <c r="T1040" s="3"/>
      <c r="U1040" s="3"/>
      <c r="V1040" s="3"/>
      <c r="W1040" s="3"/>
      <c r="X1040" s="3"/>
      <c r="Y1040" s="3"/>
      <c r="Z1040" s="3"/>
      <c r="AA1040" s="3"/>
      <c r="AB1040" s="3"/>
      <c r="AC1040" s="3"/>
      <c r="AD1040" s="3"/>
      <c r="AE1040" s="3"/>
      <c r="AF1040" s="3"/>
      <c r="AG1040" s="3"/>
      <c r="AH1040" s="3"/>
      <c r="AI1040" s="3"/>
      <c r="AJ1040" s="3"/>
      <c r="AK1040" s="3"/>
      <c r="AL1040" s="3"/>
      <c r="AM1040" s="3"/>
      <c r="AN1040" s="3"/>
      <c r="AO1040" s="3"/>
      <c r="AP1040" s="3"/>
      <c r="AQ1040" s="3"/>
      <c r="AR1040" s="3"/>
      <c r="AS1040" s="3"/>
      <c r="AT1040" s="3"/>
      <c r="AU1040" s="3"/>
      <c r="AV1040" s="3"/>
      <c r="AW1040" s="3"/>
      <c r="AX1040" s="3"/>
      <c r="AY1040" s="3"/>
      <c r="AZ1040" s="3"/>
      <c r="BA1040" s="3"/>
      <c r="BB1040" s="3"/>
      <c r="BC1040" s="3"/>
    </row>
    <row r="1041" spans="1:55">
      <c r="A1041" s="1" t="str">
        <f>'Population Definitions'!$A$5</f>
        <v>0-9_females</v>
      </c>
      <c r="C1041" t="s">
        <v>32</v>
      </c>
      <c r="D1041" s="3"/>
      <c r="E1041" s="3">
        <v>0</v>
      </c>
      <c r="F1041" s="3"/>
      <c r="G1041" s="3"/>
      <c r="H1041" s="3"/>
      <c r="I1041" s="3"/>
      <c r="J1041" s="3"/>
      <c r="K1041" s="3"/>
      <c r="L1041" s="3"/>
      <c r="M1041" s="3"/>
      <c r="N1041" s="3"/>
      <c r="O1041" s="3"/>
      <c r="P1041" s="3"/>
      <c r="Q1041" s="3"/>
      <c r="R1041" s="3"/>
      <c r="S1041" s="3"/>
      <c r="T1041" s="3"/>
      <c r="U1041" s="3"/>
      <c r="V1041" s="3"/>
      <c r="W1041" s="3"/>
      <c r="X1041" s="3"/>
      <c r="Y1041" s="3"/>
      <c r="Z1041" s="3"/>
      <c r="AA1041" s="3"/>
      <c r="AB1041" s="3"/>
      <c r="AC1041" s="3"/>
      <c r="AD1041" s="3"/>
      <c r="AE1041" s="3"/>
      <c r="AF1041" s="3"/>
      <c r="AG1041" s="3"/>
      <c r="AH1041" s="3"/>
      <c r="AI1041" s="3"/>
      <c r="AJ1041" s="3"/>
      <c r="AK1041" s="3"/>
      <c r="AL1041" s="3"/>
      <c r="AM1041" s="3"/>
      <c r="AN1041" s="3"/>
      <c r="AO1041" s="3"/>
      <c r="AP1041" s="3"/>
      <c r="AQ1041" s="3"/>
      <c r="AR1041" s="3"/>
      <c r="AS1041" s="3"/>
      <c r="AT1041" s="3"/>
      <c r="AU1041" s="3"/>
      <c r="AV1041" s="3"/>
      <c r="AW1041" s="3"/>
      <c r="AX1041" s="3"/>
      <c r="AY1041" s="3"/>
      <c r="AZ1041" s="3"/>
      <c r="BA1041" s="3"/>
      <c r="BB1041" s="3"/>
      <c r="BC1041" s="3"/>
    </row>
    <row r="1042" spans="1:55">
      <c r="A1042" s="1" t="str">
        <f>'Population Definitions'!$A$6</f>
        <v>10-17_males</v>
      </c>
      <c r="C1042" t="s">
        <v>32</v>
      </c>
      <c r="D1042" s="3"/>
      <c r="E1042" s="3">
        <v>0</v>
      </c>
      <c r="F1042" s="3"/>
      <c r="G1042" s="3"/>
      <c r="H1042" s="3"/>
      <c r="I1042" s="3"/>
      <c r="J1042" s="3"/>
      <c r="K1042" s="3"/>
      <c r="L1042" s="3"/>
      <c r="M1042" s="3"/>
      <c r="N1042" s="3"/>
      <c r="O1042" s="3"/>
      <c r="P1042" s="3"/>
      <c r="Q1042" s="3"/>
      <c r="R1042" s="3"/>
      <c r="S1042" s="3"/>
      <c r="T1042" s="3"/>
      <c r="U1042" s="3"/>
      <c r="V1042" s="3"/>
      <c r="W1042" s="3"/>
      <c r="X1042" s="3"/>
      <c r="Y1042" s="3"/>
      <c r="Z1042" s="3"/>
      <c r="AA1042" s="3"/>
      <c r="AB1042" s="3"/>
      <c r="AC1042" s="3"/>
      <c r="AD1042" s="3"/>
      <c r="AE1042" s="3"/>
      <c r="AF1042" s="3"/>
      <c r="AG1042" s="3"/>
      <c r="AH1042" s="3"/>
      <c r="AI1042" s="3"/>
      <c r="AJ1042" s="3"/>
      <c r="AK1042" s="3"/>
      <c r="AL1042" s="3"/>
      <c r="AM1042" s="3"/>
      <c r="AN1042" s="3"/>
      <c r="AO1042" s="3"/>
      <c r="AP1042" s="3"/>
      <c r="AQ1042" s="3"/>
      <c r="AR1042" s="3"/>
      <c r="AS1042" s="3"/>
      <c r="AT1042" s="3"/>
      <c r="AU1042" s="3"/>
      <c r="AV1042" s="3"/>
      <c r="AW1042" s="3"/>
      <c r="AX1042" s="3"/>
      <c r="AY1042" s="3"/>
      <c r="AZ1042" s="3"/>
      <c r="BA1042" s="3"/>
      <c r="BB1042" s="3"/>
      <c r="BC1042" s="3"/>
    </row>
    <row r="1043" spans="1:55">
      <c r="A1043" s="1" t="str">
        <f>'Population Definitions'!$A$7</f>
        <v>10-17_females</v>
      </c>
      <c r="C1043" t="s">
        <v>32</v>
      </c>
      <c r="D1043" s="3"/>
      <c r="E1043" s="3">
        <v>0</v>
      </c>
      <c r="F1043" s="3"/>
      <c r="G1043" s="3"/>
      <c r="H1043" s="3"/>
      <c r="I1043" s="3"/>
      <c r="J1043" s="3"/>
      <c r="K1043" s="3"/>
      <c r="L1043" s="3"/>
      <c r="M1043" s="3"/>
      <c r="N1043" s="3"/>
      <c r="O1043" s="3"/>
      <c r="P1043" s="3"/>
      <c r="Q1043" s="3"/>
      <c r="R1043" s="3"/>
      <c r="S1043" s="3"/>
      <c r="T1043" s="3"/>
      <c r="U1043" s="3"/>
      <c r="V1043" s="3"/>
      <c r="W1043" s="3"/>
      <c r="X1043" s="3"/>
      <c r="Y1043" s="3"/>
      <c r="Z1043" s="3"/>
      <c r="AA1043" s="3"/>
      <c r="AB1043" s="3"/>
      <c r="AC1043" s="3"/>
      <c r="AD1043" s="3"/>
      <c r="AE1043" s="3"/>
      <c r="AF1043" s="3"/>
      <c r="AG1043" s="3"/>
      <c r="AH1043" s="3"/>
      <c r="AI1043" s="3"/>
      <c r="AJ1043" s="3"/>
      <c r="AK1043" s="3"/>
      <c r="AL1043" s="3"/>
      <c r="AM1043" s="3"/>
      <c r="AN1043" s="3"/>
      <c r="AO1043" s="3"/>
      <c r="AP1043" s="3"/>
      <c r="AQ1043" s="3"/>
      <c r="AR1043" s="3"/>
      <c r="AS1043" s="3"/>
      <c r="AT1043" s="3"/>
      <c r="AU1043" s="3"/>
      <c r="AV1043" s="3"/>
      <c r="AW1043" s="3"/>
      <c r="AX1043" s="3"/>
      <c r="AY1043" s="3"/>
      <c r="AZ1043" s="3"/>
      <c r="BA1043" s="3"/>
      <c r="BB1043" s="3"/>
      <c r="BC1043" s="3"/>
    </row>
    <row r="1044" spans="1:55">
      <c r="A1044" s="1" t="str">
        <f>'Population Definitions'!$A$8</f>
        <v>18-64_males</v>
      </c>
      <c r="C1044" t="s">
        <v>32</v>
      </c>
      <c r="D1044" s="3"/>
      <c r="E1044" s="3">
        <v>0</v>
      </c>
      <c r="F1044" s="3"/>
      <c r="G1044" s="3"/>
      <c r="H1044" s="3"/>
      <c r="I1044" s="3"/>
      <c r="J1044" s="3"/>
      <c r="K1044" s="3"/>
      <c r="L1044" s="3"/>
      <c r="M1044" s="3"/>
      <c r="N1044" s="3"/>
      <c r="O1044" s="3"/>
      <c r="P1044" s="3"/>
      <c r="Q1044" s="3"/>
      <c r="R1044" s="3"/>
      <c r="S1044" s="3"/>
      <c r="T1044" s="3"/>
      <c r="U1044" s="3"/>
      <c r="V1044" s="3"/>
      <c r="W1044" s="3"/>
      <c r="X1044" s="3"/>
      <c r="Y1044" s="3"/>
      <c r="Z1044" s="3"/>
      <c r="AA1044" s="3"/>
      <c r="AB1044" s="3"/>
      <c r="AC1044" s="3"/>
      <c r="AD1044" s="3"/>
      <c r="AE1044" s="3"/>
      <c r="AF1044" s="3"/>
      <c r="AG1044" s="3"/>
      <c r="AH1044" s="3"/>
      <c r="AI1044" s="3"/>
      <c r="AJ1044" s="3"/>
      <c r="AK1044" s="3"/>
      <c r="AL1044" s="3"/>
      <c r="AM1044" s="3"/>
      <c r="AN1044" s="3"/>
      <c r="AO1044" s="3"/>
      <c r="AP1044" s="3"/>
      <c r="AQ1044" s="3"/>
      <c r="AR1044" s="3"/>
      <c r="AS1044" s="3"/>
      <c r="AT1044" s="3"/>
      <c r="AU1044" s="3"/>
      <c r="AV1044" s="3"/>
      <c r="AW1044" s="3"/>
      <c r="AX1044" s="3"/>
      <c r="AY1044" s="3"/>
      <c r="AZ1044" s="3"/>
      <c r="BA1044" s="3"/>
      <c r="BB1044" s="3"/>
      <c r="BC1044" s="3"/>
    </row>
    <row r="1045" spans="1:55">
      <c r="A1045" s="1" t="str">
        <f>'Population Definitions'!$A$9</f>
        <v>18-64_females</v>
      </c>
      <c r="C1045" t="s">
        <v>32</v>
      </c>
      <c r="D1045" s="3"/>
      <c r="E1045" s="3">
        <v>0</v>
      </c>
      <c r="F1045" s="3"/>
      <c r="G1045" s="3"/>
      <c r="H1045" s="3"/>
      <c r="I1045" s="3"/>
      <c r="J1045" s="3"/>
      <c r="K1045" s="3"/>
      <c r="L1045" s="3"/>
      <c r="M1045" s="3"/>
      <c r="N1045" s="3"/>
      <c r="O1045" s="3"/>
      <c r="P1045" s="3"/>
      <c r="Q1045" s="3"/>
      <c r="R1045" s="3"/>
      <c r="S1045" s="3"/>
      <c r="T1045" s="3"/>
      <c r="U1045" s="3"/>
      <c r="V1045" s="3"/>
      <c r="W1045" s="3"/>
      <c r="X1045" s="3"/>
      <c r="Y1045" s="3"/>
      <c r="Z1045" s="3"/>
      <c r="AA1045" s="3"/>
      <c r="AB1045" s="3"/>
      <c r="AC1045" s="3"/>
      <c r="AD1045" s="3"/>
      <c r="AE1045" s="3"/>
      <c r="AF1045" s="3"/>
      <c r="AG1045" s="3"/>
      <c r="AH1045" s="3"/>
      <c r="AI1045" s="3"/>
      <c r="AJ1045" s="3"/>
      <c r="AK1045" s="3"/>
      <c r="AL1045" s="3"/>
      <c r="AM1045" s="3"/>
      <c r="AN1045" s="3"/>
      <c r="AO1045" s="3"/>
      <c r="AP1045" s="3"/>
      <c r="AQ1045" s="3"/>
      <c r="AR1045" s="3"/>
      <c r="AS1045" s="3"/>
      <c r="AT1045" s="3"/>
      <c r="AU1045" s="3"/>
      <c r="AV1045" s="3"/>
      <c r="AW1045" s="3"/>
      <c r="AX1045" s="3"/>
      <c r="AY1045" s="3"/>
      <c r="AZ1045" s="3"/>
      <c r="BA1045" s="3"/>
      <c r="BB1045" s="3"/>
      <c r="BC1045" s="3"/>
    </row>
    <row r="1046" spans="1:55">
      <c r="A1046" s="1" t="str">
        <f>'Population Definitions'!$A$10</f>
        <v>65+_males</v>
      </c>
      <c r="C1046" t="s">
        <v>32</v>
      </c>
      <c r="D1046" s="3"/>
      <c r="E1046" s="3">
        <v>0</v>
      </c>
      <c r="F1046" s="3"/>
      <c r="G1046" s="3"/>
      <c r="H1046" s="3"/>
      <c r="I1046" s="3"/>
      <c r="J1046" s="3"/>
      <c r="K1046" s="3"/>
      <c r="L1046" s="3"/>
      <c r="M1046" s="3"/>
      <c r="N1046" s="3"/>
      <c r="O1046" s="3"/>
      <c r="P1046" s="3"/>
      <c r="Q1046" s="3"/>
      <c r="R1046" s="3"/>
      <c r="S1046" s="3"/>
      <c r="T1046" s="3"/>
      <c r="U1046" s="3"/>
      <c r="V1046" s="3"/>
      <c r="W1046" s="3"/>
      <c r="X1046" s="3"/>
      <c r="Y1046" s="3"/>
      <c r="Z1046" s="3"/>
      <c r="AA1046" s="3"/>
      <c r="AB1046" s="3"/>
      <c r="AC1046" s="3"/>
      <c r="AD1046" s="3"/>
      <c r="AE1046" s="3"/>
      <c r="AF1046" s="3"/>
      <c r="AG1046" s="3"/>
      <c r="AH1046" s="3"/>
      <c r="AI1046" s="3"/>
      <c r="AJ1046" s="3"/>
      <c r="AK1046" s="3"/>
      <c r="AL1046" s="3"/>
      <c r="AM1046" s="3"/>
      <c r="AN1046" s="3"/>
      <c r="AO1046" s="3"/>
      <c r="AP1046" s="3"/>
      <c r="AQ1046" s="3"/>
      <c r="AR1046" s="3"/>
      <c r="AS1046" s="3"/>
      <c r="AT1046" s="3"/>
      <c r="AU1046" s="3"/>
      <c r="AV1046" s="3"/>
      <c r="AW1046" s="3"/>
      <c r="AX1046" s="3"/>
      <c r="AY1046" s="3"/>
      <c r="AZ1046" s="3"/>
      <c r="BA1046" s="3"/>
      <c r="BB1046" s="3"/>
      <c r="BC1046" s="3"/>
    </row>
    <row r="1047" spans="1:55">
      <c r="A1047" s="1" t="str">
        <f>'Population Definitions'!$A$11</f>
        <v>65+_females</v>
      </c>
      <c r="C1047" t="s">
        <v>32</v>
      </c>
      <c r="D1047" s="3"/>
      <c r="E1047" s="3">
        <v>0</v>
      </c>
      <c r="F1047" s="3"/>
      <c r="G1047" s="3"/>
      <c r="H1047" s="3"/>
      <c r="I1047" s="3"/>
      <c r="J1047" s="3"/>
      <c r="K1047" s="3"/>
      <c r="L1047" s="3"/>
      <c r="M1047" s="3"/>
      <c r="N1047" s="3"/>
      <c r="O1047" s="3"/>
      <c r="P1047" s="3"/>
      <c r="Q1047" s="3"/>
      <c r="R1047" s="3"/>
      <c r="S1047" s="3"/>
      <c r="T1047" s="3"/>
      <c r="U1047" s="3"/>
      <c r="V1047" s="3"/>
      <c r="W1047" s="3"/>
      <c r="X1047" s="3"/>
      <c r="Y1047" s="3"/>
      <c r="Z1047" s="3"/>
      <c r="AA1047" s="3"/>
      <c r="AB1047" s="3"/>
      <c r="AC1047" s="3"/>
      <c r="AD1047" s="3"/>
      <c r="AE1047" s="3"/>
      <c r="AF1047" s="3"/>
      <c r="AG1047" s="3"/>
      <c r="AH1047" s="3"/>
      <c r="AI1047" s="3"/>
      <c r="AJ1047" s="3"/>
      <c r="AK1047" s="3"/>
      <c r="AL1047" s="3"/>
      <c r="AM1047" s="3"/>
      <c r="AN1047" s="3"/>
      <c r="AO1047" s="3"/>
      <c r="AP1047" s="3"/>
      <c r="AQ1047" s="3"/>
      <c r="AR1047" s="3"/>
      <c r="AS1047" s="3"/>
      <c r="AT1047" s="3"/>
      <c r="AU1047" s="3"/>
      <c r="AV1047" s="3"/>
      <c r="AW1047" s="3"/>
      <c r="AX1047" s="3"/>
      <c r="AY1047" s="3"/>
      <c r="AZ1047" s="3"/>
      <c r="BA1047" s="3"/>
      <c r="BB1047" s="3"/>
      <c r="BC1047" s="3"/>
    </row>
    <row r="1048" spans="1:55">
      <c r="A1048" s="1" t="str">
        <f>'Population Definitions'!$A$12</f>
        <v>Prisoners_males</v>
      </c>
      <c r="C1048" t="s">
        <v>32</v>
      </c>
      <c r="D1048" s="3"/>
      <c r="E1048" s="3">
        <v>0</v>
      </c>
      <c r="F1048" s="3"/>
      <c r="G1048" s="3"/>
      <c r="H1048" s="3"/>
      <c r="I1048" s="3"/>
      <c r="J1048" s="3"/>
      <c r="K1048" s="3"/>
      <c r="L1048" s="3"/>
      <c r="M1048" s="3"/>
      <c r="N1048" s="3"/>
      <c r="O1048" s="3"/>
      <c r="P1048" s="3"/>
      <c r="Q1048" s="3"/>
      <c r="R1048" s="3"/>
      <c r="S1048" s="3"/>
      <c r="T1048" s="3"/>
      <c r="U1048" s="3"/>
      <c r="V1048" s="3"/>
      <c r="W1048" s="3"/>
      <c r="X1048" s="3"/>
      <c r="Y1048" s="3"/>
      <c r="Z1048" s="3"/>
      <c r="AA1048" s="3"/>
      <c r="AB1048" s="3"/>
      <c r="AC1048" s="3"/>
      <c r="AD1048" s="3"/>
      <c r="AE1048" s="3"/>
      <c r="AF1048" s="3"/>
      <c r="AG1048" s="3"/>
      <c r="AH1048" s="3"/>
      <c r="AI1048" s="3"/>
      <c r="AJ1048" s="3"/>
      <c r="AK1048" s="3"/>
      <c r="AL1048" s="3"/>
      <c r="AM1048" s="3"/>
      <c r="AN1048" s="3"/>
      <c r="AO1048" s="3"/>
      <c r="AP1048" s="3"/>
      <c r="AQ1048" s="3"/>
      <c r="AR1048" s="3"/>
      <c r="AS1048" s="3"/>
      <c r="AT1048" s="3"/>
      <c r="AU1048" s="3"/>
      <c r="AV1048" s="3"/>
      <c r="AW1048" s="3"/>
      <c r="AX1048" s="3"/>
      <c r="AY1048" s="3"/>
      <c r="AZ1048" s="3"/>
      <c r="BA1048" s="3"/>
      <c r="BB1048" s="3"/>
      <c r="BC1048" s="3"/>
    </row>
    <row r="1049" spans="1:55">
      <c r="A1049" s="1" t="str">
        <f>'Population Definitions'!$A$13</f>
        <v>Prisoners_females</v>
      </c>
      <c r="C1049" t="s">
        <v>32</v>
      </c>
      <c r="D1049" s="3"/>
      <c r="E1049" s="3">
        <v>0</v>
      </c>
      <c r="F1049" s="3"/>
      <c r="G1049" s="3"/>
      <c r="H1049" s="3"/>
      <c r="I1049" s="3"/>
      <c r="J1049" s="3"/>
      <c r="K1049" s="3"/>
      <c r="L1049" s="3"/>
      <c r="M1049" s="3"/>
      <c r="N1049" s="3"/>
      <c r="O1049" s="3"/>
      <c r="P1049" s="3"/>
      <c r="Q1049" s="3"/>
      <c r="R1049" s="3"/>
      <c r="S1049" s="3"/>
      <c r="T1049" s="3"/>
      <c r="U1049" s="3"/>
      <c r="V1049" s="3"/>
      <c r="W1049" s="3"/>
      <c r="X1049" s="3"/>
      <c r="Y1049" s="3"/>
      <c r="Z1049" s="3"/>
      <c r="AA1049" s="3"/>
      <c r="AB1049" s="3"/>
      <c r="AC1049" s="3"/>
      <c r="AD1049" s="3"/>
      <c r="AE1049" s="3"/>
      <c r="AF1049" s="3"/>
      <c r="AG1049" s="3"/>
      <c r="AH1049" s="3"/>
      <c r="AI1049" s="3"/>
      <c r="AJ1049" s="3"/>
      <c r="AK1049" s="3"/>
      <c r="AL1049" s="3"/>
      <c r="AM1049" s="3"/>
      <c r="AN1049" s="3"/>
      <c r="AO1049" s="3"/>
      <c r="AP1049" s="3"/>
      <c r="AQ1049" s="3"/>
      <c r="AR1049" s="3"/>
      <c r="AS1049" s="3"/>
      <c r="AT1049" s="3"/>
      <c r="AU1049" s="3"/>
      <c r="AV1049" s="3"/>
      <c r="AW1049" s="3"/>
      <c r="AX1049" s="3"/>
      <c r="AY1049" s="3"/>
      <c r="AZ1049" s="3"/>
      <c r="BA1049" s="3"/>
      <c r="BB1049" s="3"/>
      <c r="BC1049" s="3"/>
    </row>
    <row r="1051" spans="1:55">
      <c r="A1051" s="1" t="s">
        <v>201</v>
      </c>
      <c r="B1051" s="1" t="s">
        <v>29</v>
      </c>
      <c r="C1051" s="1" t="s">
        <v>30</v>
      </c>
      <c r="D1051" s="1" t="s">
        <v>31</v>
      </c>
      <c r="E1051" s="1">
        <v>2000</v>
      </c>
      <c r="F1051" s="1">
        <v>2001</v>
      </c>
      <c r="G1051" s="1">
        <v>2002</v>
      </c>
      <c r="H1051" s="1">
        <v>2003</v>
      </c>
      <c r="I1051" s="1">
        <v>2004</v>
      </c>
      <c r="J1051" s="1">
        <v>2005</v>
      </c>
      <c r="K1051" s="1">
        <v>2006</v>
      </c>
      <c r="L1051" s="1">
        <v>2007</v>
      </c>
      <c r="M1051" s="1">
        <v>2008</v>
      </c>
      <c r="N1051" s="1">
        <v>2009</v>
      </c>
      <c r="O1051" s="1">
        <v>2010</v>
      </c>
      <c r="P1051" s="1">
        <v>2011</v>
      </c>
      <c r="Q1051" s="1">
        <v>2012</v>
      </c>
      <c r="R1051" s="1">
        <v>2013</v>
      </c>
      <c r="S1051" s="1">
        <v>2014</v>
      </c>
      <c r="T1051" s="1">
        <v>2015</v>
      </c>
      <c r="U1051" s="1">
        <v>2016</v>
      </c>
      <c r="V1051" s="1">
        <v>2017</v>
      </c>
      <c r="W1051" s="1">
        <v>2018</v>
      </c>
      <c r="X1051" s="1">
        <v>2019</v>
      </c>
      <c r="Y1051" s="1">
        <v>2020</v>
      </c>
      <c r="Z1051" s="1">
        <v>2021</v>
      </c>
      <c r="AA1051" s="1">
        <v>2022</v>
      </c>
      <c r="AB1051" s="1">
        <v>2023</v>
      </c>
      <c r="AC1051" s="1">
        <v>2024</v>
      </c>
      <c r="AD1051" s="1">
        <v>2025</v>
      </c>
      <c r="AE1051" s="1">
        <v>2026</v>
      </c>
      <c r="AF1051" s="1">
        <v>2027</v>
      </c>
      <c r="AG1051" s="1">
        <v>2028</v>
      </c>
      <c r="AH1051" s="1">
        <v>2029</v>
      </c>
      <c r="AI1051" s="1">
        <v>2030</v>
      </c>
      <c r="AJ1051" s="1">
        <v>2031</v>
      </c>
      <c r="AK1051" s="1">
        <v>2032</v>
      </c>
      <c r="AL1051" s="1">
        <v>2033</v>
      </c>
      <c r="AM1051" s="1">
        <v>2034</v>
      </c>
      <c r="AN1051" s="1">
        <v>2035</v>
      </c>
      <c r="AO1051" s="1">
        <v>2036</v>
      </c>
      <c r="AP1051" s="1">
        <v>2037</v>
      </c>
      <c r="AQ1051" s="1">
        <v>2038</v>
      </c>
      <c r="AR1051" s="1">
        <v>2039</v>
      </c>
      <c r="AS1051" s="1">
        <v>2040</v>
      </c>
      <c r="AT1051" s="1">
        <v>2041</v>
      </c>
      <c r="AU1051" s="1">
        <v>2042</v>
      </c>
      <c r="AV1051" s="1">
        <v>2043</v>
      </c>
      <c r="AW1051" s="1">
        <v>2044</v>
      </c>
      <c r="AX1051" s="1">
        <v>2045</v>
      </c>
      <c r="AY1051" s="1">
        <v>2046</v>
      </c>
      <c r="AZ1051" s="1">
        <v>2047</v>
      </c>
      <c r="BA1051" s="1">
        <v>2048</v>
      </c>
      <c r="BB1051" s="1">
        <v>2049</v>
      </c>
      <c r="BC1051" s="1">
        <v>2050</v>
      </c>
    </row>
    <row r="1052" spans="1:55">
      <c r="A1052" s="1" t="str">
        <f>'Population Definitions'!$A$2</f>
        <v>PWID_males</v>
      </c>
      <c r="C1052" t="s">
        <v>32</v>
      </c>
      <c r="D1052" s="3"/>
      <c r="E1052" s="3">
        <v>0</v>
      </c>
      <c r="F1052" s="3"/>
      <c r="G1052" s="3"/>
      <c r="H1052" s="3"/>
      <c r="I1052" s="3"/>
      <c r="J1052" s="3"/>
      <c r="K1052" s="3"/>
      <c r="L1052" s="3"/>
      <c r="M1052" s="3"/>
      <c r="N1052" s="3"/>
      <c r="O1052" s="3"/>
      <c r="P1052" s="3"/>
      <c r="Q1052" s="3"/>
      <c r="R1052" s="3"/>
      <c r="S1052" s="3"/>
      <c r="T1052" s="3"/>
      <c r="U1052" s="3"/>
      <c r="V1052" s="3"/>
      <c r="W1052" s="3"/>
      <c r="X1052" s="3"/>
      <c r="Y1052" s="3"/>
      <c r="Z1052" s="3"/>
      <c r="AA1052" s="3"/>
      <c r="AB1052" s="3"/>
      <c r="AC1052" s="3"/>
      <c r="AD1052" s="3"/>
      <c r="AE1052" s="3"/>
      <c r="AF1052" s="3"/>
      <c r="AG1052" s="3"/>
      <c r="AH1052" s="3"/>
      <c r="AI1052" s="3"/>
      <c r="AJ1052" s="3"/>
      <c r="AK1052" s="3"/>
      <c r="AL1052" s="3"/>
      <c r="AM1052" s="3"/>
      <c r="AN1052" s="3"/>
      <c r="AO1052" s="3"/>
      <c r="AP1052" s="3"/>
      <c r="AQ1052" s="3"/>
      <c r="AR1052" s="3"/>
      <c r="AS1052" s="3"/>
      <c r="AT1052" s="3"/>
      <c r="AU1052" s="3"/>
      <c r="AV1052" s="3"/>
      <c r="AW1052" s="3"/>
      <c r="AX1052" s="3"/>
      <c r="AY1052" s="3"/>
      <c r="AZ1052" s="3"/>
      <c r="BA1052" s="3"/>
      <c r="BB1052" s="3"/>
      <c r="BC1052" s="3"/>
    </row>
    <row r="1053" spans="1:55">
      <c r="A1053" s="1" t="str">
        <f>'Population Definitions'!$A$3</f>
        <v>PWID_females</v>
      </c>
      <c r="C1053" t="s">
        <v>32</v>
      </c>
      <c r="D1053" s="3"/>
      <c r="E1053" s="3">
        <v>0</v>
      </c>
      <c r="F1053" s="3"/>
      <c r="G1053" s="3"/>
      <c r="H1053" s="3"/>
      <c r="I1053" s="3"/>
      <c r="J1053" s="3"/>
      <c r="K1053" s="3"/>
      <c r="L1053" s="3"/>
      <c r="M1053" s="3"/>
      <c r="N1053" s="3"/>
      <c r="O1053" s="3"/>
      <c r="P1053" s="3"/>
      <c r="Q1053" s="3"/>
      <c r="R1053" s="3"/>
      <c r="S1053" s="3"/>
      <c r="T1053" s="3"/>
      <c r="U1053" s="3"/>
      <c r="V1053" s="3"/>
      <c r="W1053" s="3"/>
      <c r="X1053" s="3"/>
      <c r="Y1053" s="3"/>
      <c r="Z1053" s="3"/>
      <c r="AA1053" s="3"/>
      <c r="AB1053" s="3"/>
      <c r="AC1053" s="3"/>
      <c r="AD1053" s="3"/>
      <c r="AE1053" s="3"/>
      <c r="AF1053" s="3"/>
      <c r="AG1053" s="3"/>
      <c r="AH1053" s="3"/>
      <c r="AI1053" s="3"/>
      <c r="AJ1053" s="3"/>
      <c r="AK1053" s="3"/>
      <c r="AL1053" s="3"/>
      <c r="AM1053" s="3"/>
      <c r="AN1053" s="3"/>
      <c r="AO1053" s="3"/>
      <c r="AP1053" s="3"/>
      <c r="AQ1053" s="3"/>
      <c r="AR1053" s="3"/>
      <c r="AS1053" s="3"/>
      <c r="AT1053" s="3"/>
      <c r="AU1053" s="3"/>
      <c r="AV1053" s="3"/>
      <c r="AW1053" s="3"/>
      <c r="AX1053" s="3"/>
      <c r="AY1053" s="3"/>
      <c r="AZ1053" s="3"/>
      <c r="BA1053" s="3"/>
      <c r="BB1053" s="3"/>
      <c r="BC1053" s="3"/>
    </row>
    <row r="1054" spans="1:55">
      <c r="A1054" s="1" t="str">
        <f>'Population Definitions'!$A$4</f>
        <v>0-9_males</v>
      </c>
      <c r="C1054" t="s">
        <v>32</v>
      </c>
      <c r="D1054" s="3"/>
      <c r="E1054" s="3">
        <v>0</v>
      </c>
      <c r="F1054" s="3"/>
      <c r="G1054" s="3"/>
      <c r="H1054" s="3"/>
      <c r="I1054" s="3"/>
      <c r="J1054" s="3"/>
      <c r="K1054" s="3"/>
      <c r="L1054" s="3"/>
      <c r="M1054" s="3"/>
      <c r="N1054" s="3"/>
      <c r="O1054" s="3"/>
      <c r="P1054" s="3"/>
      <c r="Q1054" s="3"/>
      <c r="R1054" s="3"/>
      <c r="S1054" s="3"/>
      <c r="T1054" s="3"/>
      <c r="U1054" s="3"/>
      <c r="V1054" s="3"/>
      <c r="W1054" s="3"/>
      <c r="X1054" s="3"/>
      <c r="Y1054" s="3"/>
      <c r="Z1054" s="3"/>
      <c r="AA1054" s="3"/>
      <c r="AB1054" s="3"/>
      <c r="AC1054" s="3"/>
      <c r="AD1054" s="3"/>
      <c r="AE1054" s="3"/>
      <c r="AF1054" s="3"/>
      <c r="AG1054" s="3"/>
      <c r="AH1054" s="3"/>
      <c r="AI1054" s="3"/>
      <c r="AJ1054" s="3"/>
      <c r="AK1054" s="3"/>
      <c r="AL1054" s="3"/>
      <c r="AM1054" s="3"/>
      <c r="AN1054" s="3"/>
      <c r="AO1054" s="3"/>
      <c r="AP1054" s="3"/>
      <c r="AQ1054" s="3"/>
      <c r="AR1054" s="3"/>
      <c r="AS1054" s="3"/>
      <c r="AT1054" s="3"/>
      <c r="AU1054" s="3"/>
      <c r="AV1054" s="3"/>
      <c r="AW1054" s="3"/>
      <c r="AX1054" s="3"/>
      <c r="AY1054" s="3"/>
      <c r="AZ1054" s="3"/>
      <c r="BA1054" s="3"/>
      <c r="BB1054" s="3"/>
      <c r="BC1054" s="3"/>
    </row>
    <row r="1055" spans="1:55">
      <c r="A1055" s="1" t="str">
        <f>'Population Definitions'!$A$5</f>
        <v>0-9_females</v>
      </c>
      <c r="C1055" t="s">
        <v>32</v>
      </c>
      <c r="D1055" s="3"/>
      <c r="E1055" s="3">
        <v>0</v>
      </c>
      <c r="F1055" s="3"/>
      <c r="G1055" s="3"/>
      <c r="H1055" s="3"/>
      <c r="I1055" s="3"/>
      <c r="J1055" s="3"/>
      <c r="K1055" s="3"/>
      <c r="L1055" s="3"/>
      <c r="M1055" s="3"/>
      <c r="N1055" s="3"/>
      <c r="O1055" s="3"/>
      <c r="P1055" s="3"/>
      <c r="Q1055" s="3"/>
      <c r="R1055" s="3"/>
      <c r="S1055" s="3"/>
      <c r="T1055" s="3"/>
      <c r="U1055" s="3"/>
      <c r="V1055" s="3"/>
      <c r="W1055" s="3"/>
      <c r="X1055" s="3"/>
      <c r="Y1055" s="3"/>
      <c r="Z1055" s="3"/>
      <c r="AA1055" s="3"/>
      <c r="AB1055" s="3"/>
      <c r="AC1055" s="3"/>
      <c r="AD1055" s="3"/>
      <c r="AE1055" s="3"/>
      <c r="AF1055" s="3"/>
      <c r="AG1055" s="3"/>
      <c r="AH1055" s="3"/>
      <c r="AI1055" s="3"/>
      <c r="AJ1055" s="3"/>
      <c r="AK1055" s="3"/>
      <c r="AL1055" s="3"/>
      <c r="AM1055" s="3"/>
      <c r="AN1055" s="3"/>
      <c r="AO1055" s="3"/>
      <c r="AP1055" s="3"/>
      <c r="AQ1055" s="3"/>
      <c r="AR1055" s="3"/>
      <c r="AS1055" s="3"/>
      <c r="AT1055" s="3"/>
      <c r="AU1055" s="3"/>
      <c r="AV1055" s="3"/>
      <c r="AW1055" s="3"/>
      <c r="AX1055" s="3"/>
      <c r="AY1055" s="3"/>
      <c r="AZ1055" s="3"/>
      <c r="BA1055" s="3"/>
      <c r="BB1055" s="3"/>
      <c r="BC1055" s="3"/>
    </row>
    <row r="1056" spans="1:55">
      <c r="A1056" s="1" t="str">
        <f>'Population Definitions'!$A$6</f>
        <v>10-17_males</v>
      </c>
      <c r="C1056" t="s">
        <v>32</v>
      </c>
      <c r="D1056" s="3"/>
      <c r="E1056" s="3">
        <v>0</v>
      </c>
      <c r="F1056" s="3"/>
      <c r="G1056" s="3"/>
      <c r="H1056" s="3"/>
      <c r="I1056" s="3"/>
      <c r="J1056" s="3"/>
      <c r="K1056" s="3"/>
      <c r="L1056" s="3"/>
      <c r="M1056" s="3"/>
      <c r="N1056" s="3"/>
      <c r="O1056" s="3"/>
      <c r="P1056" s="3"/>
      <c r="Q1056" s="3"/>
      <c r="R1056" s="3"/>
      <c r="S1056" s="3"/>
      <c r="T1056" s="3"/>
      <c r="U1056" s="3"/>
      <c r="V1056" s="3"/>
      <c r="W1056" s="3"/>
      <c r="X1056" s="3"/>
      <c r="Y1056" s="3"/>
      <c r="Z1056" s="3"/>
      <c r="AA1056" s="3"/>
      <c r="AB1056" s="3"/>
      <c r="AC1056" s="3"/>
      <c r="AD1056" s="3"/>
      <c r="AE1056" s="3"/>
      <c r="AF1056" s="3"/>
      <c r="AG1056" s="3"/>
      <c r="AH1056" s="3"/>
      <c r="AI1056" s="3"/>
      <c r="AJ1056" s="3"/>
      <c r="AK1056" s="3"/>
      <c r="AL1056" s="3"/>
      <c r="AM1056" s="3"/>
      <c r="AN1056" s="3"/>
      <c r="AO1056" s="3"/>
      <c r="AP1056" s="3"/>
      <c r="AQ1056" s="3"/>
      <c r="AR1056" s="3"/>
      <c r="AS1056" s="3"/>
      <c r="AT1056" s="3"/>
      <c r="AU1056" s="3"/>
      <c r="AV1056" s="3"/>
      <c r="AW1056" s="3"/>
      <c r="AX1056" s="3"/>
      <c r="AY1056" s="3"/>
      <c r="AZ1056" s="3"/>
      <c r="BA1056" s="3"/>
      <c r="BB1056" s="3"/>
      <c r="BC1056" s="3"/>
    </row>
    <row r="1057" spans="1:55">
      <c r="A1057" s="1" t="str">
        <f>'Population Definitions'!$A$7</f>
        <v>10-17_females</v>
      </c>
      <c r="C1057" t="s">
        <v>32</v>
      </c>
      <c r="D1057" s="3"/>
      <c r="E1057" s="3">
        <v>0</v>
      </c>
      <c r="F1057" s="3"/>
      <c r="G1057" s="3"/>
      <c r="H1057" s="3"/>
      <c r="I1057" s="3"/>
      <c r="J1057" s="3"/>
      <c r="K1057" s="3"/>
      <c r="L1057" s="3"/>
      <c r="M1057" s="3"/>
      <c r="N1057" s="3"/>
      <c r="O1057" s="3"/>
      <c r="P1057" s="3"/>
      <c r="Q1057" s="3"/>
      <c r="R1057" s="3"/>
      <c r="S1057" s="3"/>
      <c r="T1057" s="3"/>
      <c r="U1057" s="3"/>
      <c r="V1057" s="3"/>
      <c r="W1057" s="3"/>
      <c r="X1057" s="3"/>
      <c r="Y1057" s="3"/>
      <c r="Z1057" s="3"/>
      <c r="AA1057" s="3"/>
      <c r="AB1057" s="3"/>
      <c r="AC1057" s="3"/>
      <c r="AD1057" s="3"/>
      <c r="AE1057" s="3"/>
      <c r="AF1057" s="3"/>
      <c r="AG1057" s="3"/>
      <c r="AH1057" s="3"/>
      <c r="AI1057" s="3"/>
      <c r="AJ1057" s="3"/>
      <c r="AK1057" s="3"/>
      <c r="AL1057" s="3"/>
      <c r="AM1057" s="3"/>
      <c r="AN1057" s="3"/>
      <c r="AO1057" s="3"/>
      <c r="AP1057" s="3"/>
      <c r="AQ1057" s="3"/>
      <c r="AR1057" s="3"/>
      <c r="AS1057" s="3"/>
      <c r="AT1057" s="3"/>
      <c r="AU1057" s="3"/>
      <c r="AV1057" s="3"/>
      <c r="AW1057" s="3"/>
      <c r="AX1057" s="3"/>
      <c r="AY1057" s="3"/>
      <c r="AZ1057" s="3"/>
      <c r="BA1057" s="3"/>
      <c r="BB1057" s="3"/>
      <c r="BC1057" s="3"/>
    </row>
    <row r="1058" spans="1:55">
      <c r="A1058" s="1" t="str">
        <f>'Population Definitions'!$A$8</f>
        <v>18-64_males</v>
      </c>
      <c r="C1058" t="s">
        <v>32</v>
      </c>
      <c r="D1058" s="3"/>
      <c r="E1058" s="3">
        <v>0</v>
      </c>
      <c r="F1058" s="3"/>
      <c r="G1058" s="3"/>
      <c r="H1058" s="3"/>
      <c r="I1058" s="3"/>
      <c r="J1058" s="3"/>
      <c r="K1058" s="3"/>
      <c r="L1058" s="3"/>
      <c r="M1058" s="3"/>
      <c r="N1058" s="3"/>
      <c r="O1058" s="3"/>
      <c r="P1058" s="3"/>
      <c r="Q1058" s="3"/>
      <c r="R1058" s="3"/>
      <c r="S1058" s="3"/>
      <c r="T1058" s="3"/>
      <c r="U1058" s="3"/>
      <c r="V1058" s="3"/>
      <c r="W1058" s="3"/>
      <c r="X1058" s="3"/>
      <c r="Y1058" s="3"/>
      <c r="Z1058" s="3"/>
      <c r="AA1058" s="3"/>
      <c r="AB1058" s="3"/>
      <c r="AC1058" s="3"/>
      <c r="AD1058" s="3"/>
      <c r="AE1058" s="3"/>
      <c r="AF1058" s="3"/>
      <c r="AG1058" s="3"/>
      <c r="AH1058" s="3"/>
      <c r="AI1058" s="3"/>
      <c r="AJ1058" s="3"/>
      <c r="AK1058" s="3"/>
      <c r="AL1058" s="3"/>
      <c r="AM1058" s="3"/>
      <c r="AN1058" s="3"/>
      <c r="AO1058" s="3"/>
      <c r="AP1058" s="3"/>
      <c r="AQ1058" s="3"/>
      <c r="AR1058" s="3"/>
      <c r="AS1058" s="3"/>
      <c r="AT1058" s="3"/>
      <c r="AU1058" s="3"/>
      <c r="AV1058" s="3"/>
      <c r="AW1058" s="3"/>
      <c r="AX1058" s="3"/>
      <c r="AY1058" s="3"/>
      <c r="AZ1058" s="3"/>
      <c r="BA1058" s="3"/>
      <c r="BB1058" s="3"/>
      <c r="BC1058" s="3"/>
    </row>
    <row r="1059" spans="1:55">
      <c r="A1059" s="1" t="str">
        <f>'Population Definitions'!$A$9</f>
        <v>18-64_females</v>
      </c>
      <c r="C1059" t="s">
        <v>32</v>
      </c>
      <c r="D1059" s="3"/>
      <c r="E1059" s="3">
        <v>0</v>
      </c>
      <c r="F1059" s="3"/>
      <c r="G1059" s="3"/>
      <c r="H1059" s="3"/>
      <c r="I1059" s="3"/>
      <c r="J1059" s="3"/>
      <c r="K1059" s="3"/>
      <c r="L1059" s="3"/>
      <c r="M1059" s="3"/>
      <c r="N1059" s="3"/>
      <c r="O1059" s="3"/>
      <c r="P1059" s="3"/>
      <c r="Q1059" s="3"/>
      <c r="R1059" s="3"/>
      <c r="S1059" s="3"/>
      <c r="T1059" s="3"/>
      <c r="U1059" s="3"/>
      <c r="V1059" s="3"/>
      <c r="W1059" s="3"/>
      <c r="X1059" s="3"/>
      <c r="Y1059" s="3"/>
      <c r="Z1059" s="3"/>
      <c r="AA1059" s="3"/>
      <c r="AB1059" s="3"/>
      <c r="AC1059" s="3"/>
      <c r="AD1059" s="3"/>
      <c r="AE1059" s="3"/>
      <c r="AF1059" s="3"/>
      <c r="AG1059" s="3"/>
      <c r="AH1059" s="3"/>
      <c r="AI1059" s="3"/>
      <c r="AJ1059" s="3"/>
      <c r="AK1059" s="3"/>
      <c r="AL1059" s="3"/>
      <c r="AM1059" s="3"/>
      <c r="AN1059" s="3"/>
      <c r="AO1059" s="3"/>
      <c r="AP1059" s="3"/>
      <c r="AQ1059" s="3"/>
      <c r="AR1059" s="3"/>
      <c r="AS1059" s="3"/>
      <c r="AT1059" s="3"/>
      <c r="AU1059" s="3"/>
      <c r="AV1059" s="3"/>
      <c r="AW1059" s="3"/>
      <c r="AX1059" s="3"/>
      <c r="AY1059" s="3"/>
      <c r="AZ1059" s="3"/>
      <c r="BA1059" s="3"/>
      <c r="BB1059" s="3"/>
      <c r="BC1059" s="3"/>
    </row>
    <row r="1060" spans="1:55">
      <c r="A1060" s="1" t="str">
        <f>'Population Definitions'!$A$10</f>
        <v>65+_males</v>
      </c>
      <c r="C1060" t="s">
        <v>32</v>
      </c>
      <c r="D1060" s="3"/>
      <c r="E1060" s="3">
        <v>0</v>
      </c>
      <c r="F1060" s="3"/>
      <c r="G1060" s="3"/>
      <c r="H1060" s="3"/>
      <c r="I1060" s="3"/>
      <c r="J1060" s="3"/>
      <c r="K1060" s="3"/>
      <c r="L1060" s="3"/>
      <c r="M1060" s="3"/>
      <c r="N1060" s="3"/>
      <c r="O1060" s="3"/>
      <c r="P1060" s="3"/>
      <c r="Q1060" s="3"/>
      <c r="R1060" s="3"/>
      <c r="S1060" s="3"/>
      <c r="T1060" s="3"/>
      <c r="U1060" s="3"/>
      <c r="V1060" s="3"/>
      <c r="W1060" s="3"/>
      <c r="X1060" s="3"/>
      <c r="Y1060" s="3"/>
      <c r="Z1060" s="3"/>
      <c r="AA1060" s="3"/>
      <c r="AB1060" s="3"/>
      <c r="AC1060" s="3"/>
      <c r="AD1060" s="3"/>
      <c r="AE1060" s="3"/>
      <c r="AF1060" s="3"/>
      <c r="AG1060" s="3"/>
      <c r="AH1060" s="3"/>
      <c r="AI1060" s="3"/>
      <c r="AJ1060" s="3"/>
      <c r="AK1060" s="3"/>
      <c r="AL1060" s="3"/>
      <c r="AM1060" s="3"/>
      <c r="AN1060" s="3"/>
      <c r="AO1060" s="3"/>
      <c r="AP1060" s="3"/>
      <c r="AQ1060" s="3"/>
      <c r="AR1060" s="3"/>
      <c r="AS1060" s="3"/>
      <c r="AT1060" s="3"/>
      <c r="AU1060" s="3"/>
      <c r="AV1060" s="3"/>
      <c r="AW1060" s="3"/>
      <c r="AX1060" s="3"/>
      <c r="AY1060" s="3"/>
      <c r="AZ1060" s="3"/>
      <c r="BA1060" s="3"/>
      <c r="BB1060" s="3"/>
      <c r="BC1060" s="3"/>
    </row>
    <row r="1061" spans="1:55">
      <c r="A1061" s="1" t="str">
        <f>'Population Definitions'!$A$11</f>
        <v>65+_females</v>
      </c>
      <c r="C1061" t="s">
        <v>32</v>
      </c>
      <c r="D1061" s="3"/>
      <c r="E1061" s="3">
        <v>0</v>
      </c>
      <c r="F1061" s="3"/>
      <c r="G1061" s="3"/>
      <c r="H1061" s="3"/>
      <c r="I1061" s="3"/>
      <c r="J1061" s="3"/>
      <c r="K1061" s="3"/>
      <c r="L1061" s="3"/>
      <c r="M1061" s="3"/>
      <c r="N1061" s="3"/>
      <c r="O1061" s="3"/>
      <c r="P1061" s="3"/>
      <c r="Q1061" s="3"/>
      <c r="R1061" s="3"/>
      <c r="S1061" s="3"/>
      <c r="T1061" s="3"/>
      <c r="U1061" s="3"/>
      <c r="V1061" s="3"/>
      <c r="W1061" s="3"/>
      <c r="X1061" s="3"/>
      <c r="Y1061" s="3"/>
      <c r="Z1061" s="3"/>
      <c r="AA1061" s="3"/>
      <c r="AB1061" s="3"/>
      <c r="AC1061" s="3"/>
      <c r="AD1061" s="3"/>
      <c r="AE1061" s="3"/>
      <c r="AF1061" s="3"/>
      <c r="AG1061" s="3"/>
      <c r="AH1061" s="3"/>
      <c r="AI1061" s="3"/>
      <c r="AJ1061" s="3"/>
      <c r="AK1061" s="3"/>
      <c r="AL1061" s="3"/>
      <c r="AM1061" s="3"/>
      <c r="AN1061" s="3"/>
      <c r="AO1061" s="3"/>
      <c r="AP1061" s="3"/>
      <c r="AQ1061" s="3"/>
      <c r="AR1061" s="3"/>
      <c r="AS1061" s="3"/>
      <c r="AT1061" s="3"/>
      <c r="AU1061" s="3"/>
      <c r="AV1061" s="3"/>
      <c r="AW1061" s="3"/>
      <c r="AX1061" s="3"/>
      <c r="AY1061" s="3"/>
      <c r="AZ1061" s="3"/>
      <c r="BA1061" s="3"/>
      <c r="BB1061" s="3"/>
      <c r="BC1061" s="3"/>
    </row>
    <row r="1062" spans="1:55">
      <c r="A1062" s="1" t="str">
        <f>'Population Definitions'!$A$12</f>
        <v>Prisoners_males</v>
      </c>
      <c r="C1062" t="s">
        <v>32</v>
      </c>
      <c r="D1062" s="3"/>
      <c r="E1062" s="3">
        <v>0</v>
      </c>
      <c r="F1062" s="3"/>
      <c r="G1062" s="3"/>
      <c r="H1062" s="3"/>
      <c r="I1062" s="3"/>
      <c r="J1062" s="3"/>
      <c r="K1062" s="3"/>
      <c r="L1062" s="3"/>
      <c r="M1062" s="3"/>
      <c r="N1062" s="3"/>
      <c r="O1062" s="3"/>
      <c r="P1062" s="3"/>
      <c r="Q1062" s="3"/>
      <c r="R1062" s="3"/>
      <c r="S1062" s="3"/>
      <c r="T1062" s="3"/>
      <c r="U1062" s="3"/>
      <c r="V1062" s="3"/>
      <c r="W1062" s="3"/>
      <c r="X1062" s="3"/>
      <c r="Y1062" s="3"/>
      <c r="Z1062" s="3"/>
      <c r="AA1062" s="3"/>
      <c r="AB1062" s="3"/>
      <c r="AC1062" s="3"/>
      <c r="AD1062" s="3"/>
      <c r="AE1062" s="3"/>
      <c r="AF1062" s="3"/>
      <c r="AG1062" s="3"/>
      <c r="AH1062" s="3"/>
      <c r="AI1062" s="3"/>
      <c r="AJ1062" s="3"/>
      <c r="AK1062" s="3"/>
      <c r="AL1062" s="3"/>
      <c r="AM1062" s="3"/>
      <c r="AN1062" s="3"/>
      <c r="AO1062" s="3"/>
      <c r="AP1062" s="3"/>
      <c r="AQ1062" s="3"/>
      <c r="AR1062" s="3"/>
      <c r="AS1062" s="3"/>
      <c r="AT1062" s="3"/>
      <c r="AU1062" s="3"/>
      <c r="AV1062" s="3"/>
      <c r="AW1062" s="3"/>
      <c r="AX1062" s="3"/>
      <c r="AY1062" s="3"/>
      <c r="AZ1062" s="3"/>
      <c r="BA1062" s="3"/>
      <c r="BB1062" s="3"/>
      <c r="BC1062" s="3"/>
    </row>
    <row r="1063" spans="1:55">
      <c r="A1063" s="1" t="str">
        <f>'Population Definitions'!$A$13</f>
        <v>Prisoners_females</v>
      </c>
      <c r="C1063" t="s">
        <v>32</v>
      </c>
      <c r="D1063" s="3"/>
      <c r="E1063" s="3">
        <v>0</v>
      </c>
      <c r="F1063" s="3"/>
      <c r="G1063" s="3"/>
      <c r="H1063" s="3"/>
      <c r="I1063" s="3"/>
      <c r="J1063" s="3"/>
      <c r="K1063" s="3"/>
      <c r="L1063" s="3"/>
      <c r="M1063" s="3"/>
      <c r="N1063" s="3"/>
      <c r="O1063" s="3"/>
      <c r="P1063" s="3"/>
      <c r="Q1063" s="3"/>
      <c r="R1063" s="3"/>
      <c r="S1063" s="3"/>
      <c r="T1063" s="3"/>
      <c r="U1063" s="3"/>
      <c r="V1063" s="3"/>
      <c r="W1063" s="3"/>
      <c r="X1063" s="3"/>
      <c r="Y1063" s="3"/>
      <c r="Z1063" s="3"/>
      <c r="AA1063" s="3"/>
      <c r="AB1063" s="3"/>
      <c r="AC1063" s="3"/>
      <c r="AD1063" s="3"/>
      <c r="AE1063" s="3"/>
      <c r="AF1063" s="3"/>
      <c r="AG1063" s="3"/>
      <c r="AH1063" s="3"/>
      <c r="AI1063" s="3"/>
      <c r="AJ1063" s="3"/>
      <c r="AK1063" s="3"/>
      <c r="AL1063" s="3"/>
      <c r="AM1063" s="3"/>
      <c r="AN1063" s="3"/>
      <c r="AO1063" s="3"/>
      <c r="AP1063" s="3"/>
      <c r="AQ1063" s="3"/>
      <c r="AR1063" s="3"/>
      <c r="AS1063" s="3"/>
      <c r="AT1063" s="3"/>
      <c r="AU1063" s="3"/>
      <c r="AV1063" s="3"/>
      <c r="AW1063" s="3"/>
      <c r="AX1063" s="3"/>
      <c r="AY1063" s="3"/>
      <c r="AZ1063" s="3"/>
      <c r="BA1063" s="3"/>
      <c r="BB1063" s="3"/>
      <c r="BC1063" s="3"/>
    </row>
    <row r="1065" spans="1:55">
      <c r="A1065" s="1" t="s">
        <v>202</v>
      </c>
      <c r="B1065" s="1" t="s">
        <v>29</v>
      </c>
      <c r="C1065" s="1" t="s">
        <v>30</v>
      </c>
      <c r="D1065" s="1" t="s">
        <v>31</v>
      </c>
      <c r="E1065" s="1">
        <v>2000</v>
      </c>
      <c r="F1065" s="1">
        <v>2001</v>
      </c>
      <c r="G1065" s="1">
        <v>2002</v>
      </c>
      <c r="H1065" s="1">
        <v>2003</v>
      </c>
      <c r="I1065" s="1">
        <v>2004</v>
      </c>
      <c r="J1065" s="1">
        <v>2005</v>
      </c>
      <c r="K1065" s="1">
        <v>2006</v>
      </c>
      <c r="L1065" s="1">
        <v>2007</v>
      </c>
      <c r="M1065" s="1">
        <v>2008</v>
      </c>
      <c r="N1065" s="1">
        <v>2009</v>
      </c>
      <c r="O1065" s="1">
        <v>2010</v>
      </c>
      <c r="P1065" s="1">
        <v>2011</v>
      </c>
      <c r="Q1065" s="1">
        <v>2012</v>
      </c>
      <c r="R1065" s="1">
        <v>2013</v>
      </c>
      <c r="S1065" s="1">
        <v>2014</v>
      </c>
      <c r="T1065" s="1">
        <v>2015</v>
      </c>
      <c r="U1065" s="1">
        <v>2016</v>
      </c>
      <c r="V1065" s="1">
        <v>2017</v>
      </c>
      <c r="W1065" s="1">
        <v>2018</v>
      </c>
      <c r="X1065" s="1">
        <v>2019</v>
      </c>
      <c r="Y1065" s="1">
        <v>2020</v>
      </c>
      <c r="Z1065" s="1">
        <v>2021</v>
      </c>
      <c r="AA1065" s="1">
        <v>2022</v>
      </c>
      <c r="AB1065" s="1">
        <v>2023</v>
      </c>
      <c r="AC1065" s="1">
        <v>2024</v>
      </c>
      <c r="AD1065" s="1">
        <v>2025</v>
      </c>
      <c r="AE1065" s="1">
        <v>2026</v>
      </c>
      <c r="AF1065" s="1">
        <v>2027</v>
      </c>
      <c r="AG1065" s="1">
        <v>2028</v>
      </c>
      <c r="AH1065" s="1">
        <v>2029</v>
      </c>
      <c r="AI1065" s="1">
        <v>2030</v>
      </c>
      <c r="AJ1065" s="1">
        <v>2031</v>
      </c>
      <c r="AK1065" s="1">
        <v>2032</v>
      </c>
      <c r="AL1065" s="1">
        <v>2033</v>
      </c>
      <c r="AM1065" s="1">
        <v>2034</v>
      </c>
      <c r="AN1065" s="1">
        <v>2035</v>
      </c>
      <c r="AO1065" s="1">
        <v>2036</v>
      </c>
      <c r="AP1065" s="1">
        <v>2037</v>
      </c>
      <c r="AQ1065" s="1">
        <v>2038</v>
      </c>
      <c r="AR1065" s="1">
        <v>2039</v>
      </c>
      <c r="AS1065" s="1">
        <v>2040</v>
      </c>
      <c r="AT1065" s="1">
        <v>2041</v>
      </c>
      <c r="AU1065" s="1">
        <v>2042</v>
      </c>
      <c r="AV1065" s="1">
        <v>2043</v>
      </c>
      <c r="AW1065" s="1">
        <v>2044</v>
      </c>
      <c r="AX1065" s="1">
        <v>2045</v>
      </c>
      <c r="AY1065" s="1">
        <v>2046</v>
      </c>
      <c r="AZ1065" s="1">
        <v>2047</v>
      </c>
      <c r="BA1065" s="1">
        <v>2048</v>
      </c>
      <c r="BB1065" s="1">
        <v>2049</v>
      </c>
      <c r="BC1065" s="1">
        <v>2050</v>
      </c>
    </row>
    <row r="1066" spans="1:55">
      <c r="A1066" s="1" t="str">
        <f>'Population Definitions'!$A$2</f>
        <v>PWID_males</v>
      </c>
      <c r="C1066" t="s">
        <v>32</v>
      </c>
      <c r="D1066" s="3"/>
      <c r="E1066" s="3">
        <v>0</v>
      </c>
      <c r="F1066" s="3"/>
      <c r="G1066" s="3"/>
      <c r="H1066" s="3"/>
      <c r="I1066" s="3"/>
      <c r="J1066" s="3"/>
      <c r="K1066" s="3"/>
      <c r="L1066" s="3"/>
      <c r="M1066" s="3"/>
      <c r="N1066" s="3"/>
      <c r="O1066" s="3"/>
      <c r="P1066" s="3"/>
      <c r="Q1066" s="3"/>
      <c r="R1066" s="3"/>
      <c r="S1066" s="3"/>
      <c r="T1066" s="3"/>
      <c r="U1066" s="3"/>
      <c r="V1066" s="3"/>
      <c r="W1066" s="3"/>
      <c r="X1066" s="3"/>
      <c r="Y1066" s="3"/>
      <c r="Z1066" s="3"/>
      <c r="AA1066" s="3"/>
      <c r="AB1066" s="3"/>
      <c r="AC1066" s="3"/>
      <c r="AD1066" s="3"/>
      <c r="AE1066" s="3"/>
      <c r="AF1066" s="3"/>
      <c r="AG1066" s="3"/>
      <c r="AH1066" s="3"/>
      <c r="AI1066" s="3"/>
      <c r="AJ1066" s="3"/>
      <c r="AK1066" s="3"/>
      <c r="AL1066" s="3"/>
      <c r="AM1066" s="3"/>
      <c r="AN1066" s="3"/>
      <c r="AO1066" s="3"/>
      <c r="AP1066" s="3"/>
      <c r="AQ1066" s="3"/>
      <c r="AR1066" s="3"/>
      <c r="AS1066" s="3"/>
      <c r="AT1066" s="3"/>
      <c r="AU1066" s="3"/>
      <c r="AV1066" s="3"/>
      <c r="AW1066" s="3"/>
      <c r="AX1066" s="3"/>
      <c r="AY1066" s="3"/>
      <c r="AZ1066" s="3"/>
      <c r="BA1066" s="3"/>
      <c r="BB1066" s="3"/>
      <c r="BC1066" s="3"/>
    </row>
    <row r="1067" spans="1:55">
      <c r="A1067" s="1" t="str">
        <f>'Population Definitions'!$A$3</f>
        <v>PWID_females</v>
      </c>
      <c r="C1067" t="s">
        <v>32</v>
      </c>
      <c r="D1067" s="3"/>
      <c r="E1067" s="3">
        <v>0</v>
      </c>
      <c r="F1067" s="3"/>
      <c r="G1067" s="3"/>
      <c r="H1067" s="3"/>
      <c r="I1067" s="3"/>
      <c r="J1067" s="3"/>
      <c r="K1067" s="3"/>
      <c r="L1067" s="3"/>
      <c r="M1067" s="3"/>
      <c r="N1067" s="3"/>
      <c r="O1067" s="3"/>
      <c r="P1067" s="3"/>
      <c r="Q1067" s="3"/>
      <c r="R1067" s="3"/>
      <c r="S1067" s="3"/>
      <c r="T1067" s="3"/>
      <c r="U1067" s="3"/>
      <c r="V1067" s="3"/>
      <c r="W1067" s="3"/>
      <c r="X1067" s="3"/>
      <c r="Y1067" s="3"/>
      <c r="Z1067" s="3"/>
      <c r="AA1067" s="3"/>
      <c r="AB1067" s="3"/>
      <c r="AC1067" s="3"/>
      <c r="AD1067" s="3"/>
      <c r="AE1067" s="3"/>
      <c r="AF1067" s="3"/>
      <c r="AG1067" s="3"/>
      <c r="AH1067" s="3"/>
      <c r="AI1067" s="3"/>
      <c r="AJ1067" s="3"/>
      <c r="AK1067" s="3"/>
      <c r="AL1067" s="3"/>
      <c r="AM1067" s="3"/>
      <c r="AN1067" s="3"/>
      <c r="AO1067" s="3"/>
      <c r="AP1067" s="3"/>
      <c r="AQ1067" s="3"/>
      <c r="AR1067" s="3"/>
      <c r="AS1067" s="3"/>
      <c r="AT1067" s="3"/>
      <c r="AU1067" s="3"/>
      <c r="AV1067" s="3"/>
      <c r="AW1067" s="3"/>
      <c r="AX1067" s="3"/>
      <c r="AY1067" s="3"/>
      <c r="AZ1067" s="3"/>
      <c r="BA1067" s="3"/>
      <c r="BB1067" s="3"/>
      <c r="BC1067" s="3"/>
    </row>
    <row r="1068" spans="1:55">
      <c r="A1068" s="1" t="str">
        <f>'Population Definitions'!$A$4</f>
        <v>0-9_males</v>
      </c>
      <c r="C1068" t="s">
        <v>32</v>
      </c>
      <c r="D1068" s="3"/>
      <c r="E1068" s="3">
        <v>0</v>
      </c>
      <c r="F1068" s="3"/>
      <c r="G1068" s="3"/>
      <c r="H1068" s="3"/>
      <c r="I1068" s="3"/>
      <c r="J1068" s="3"/>
      <c r="K1068" s="3"/>
      <c r="L1068" s="3"/>
      <c r="M1068" s="3"/>
      <c r="N1068" s="3"/>
      <c r="O1068" s="3"/>
      <c r="P1068" s="3"/>
      <c r="Q1068" s="3"/>
      <c r="R1068" s="3"/>
      <c r="S1068" s="3"/>
      <c r="T1068" s="3"/>
      <c r="U1068" s="3"/>
      <c r="V1068" s="3"/>
      <c r="W1068" s="3"/>
      <c r="X1068" s="3"/>
      <c r="Y1068" s="3"/>
      <c r="Z1068" s="3"/>
      <c r="AA1068" s="3"/>
      <c r="AB1068" s="3"/>
      <c r="AC1068" s="3"/>
      <c r="AD1068" s="3"/>
      <c r="AE1068" s="3"/>
      <c r="AF1068" s="3"/>
      <c r="AG1068" s="3"/>
      <c r="AH1068" s="3"/>
      <c r="AI1068" s="3"/>
      <c r="AJ1068" s="3"/>
      <c r="AK1068" s="3"/>
      <c r="AL1068" s="3"/>
      <c r="AM1068" s="3"/>
      <c r="AN1068" s="3"/>
      <c r="AO1068" s="3"/>
      <c r="AP1068" s="3"/>
      <c r="AQ1068" s="3"/>
      <c r="AR1068" s="3"/>
      <c r="AS1068" s="3"/>
      <c r="AT1068" s="3"/>
      <c r="AU1068" s="3"/>
      <c r="AV1068" s="3"/>
      <c r="AW1068" s="3"/>
      <c r="AX1068" s="3"/>
      <c r="AY1068" s="3"/>
      <c r="AZ1068" s="3"/>
      <c r="BA1068" s="3"/>
      <c r="BB1068" s="3"/>
      <c r="BC1068" s="3"/>
    </row>
    <row r="1069" spans="1:55">
      <c r="A1069" s="1" t="str">
        <f>'Population Definitions'!$A$5</f>
        <v>0-9_females</v>
      </c>
      <c r="C1069" t="s">
        <v>32</v>
      </c>
      <c r="D1069" s="3"/>
      <c r="E1069" s="3">
        <v>0</v>
      </c>
      <c r="F1069" s="3"/>
      <c r="G1069" s="3"/>
      <c r="H1069" s="3"/>
      <c r="I1069" s="3"/>
      <c r="J1069" s="3"/>
      <c r="K1069" s="3"/>
      <c r="L1069" s="3"/>
      <c r="M1069" s="3"/>
      <c r="N1069" s="3"/>
      <c r="O1069" s="3"/>
      <c r="P1069" s="3"/>
      <c r="Q1069" s="3"/>
      <c r="R1069" s="3"/>
      <c r="S1069" s="3"/>
      <c r="T1069" s="3"/>
      <c r="U1069" s="3"/>
      <c r="V1069" s="3"/>
      <c r="W1069" s="3"/>
      <c r="X1069" s="3"/>
      <c r="Y1069" s="3"/>
      <c r="Z1069" s="3"/>
      <c r="AA1069" s="3"/>
      <c r="AB1069" s="3"/>
      <c r="AC1069" s="3"/>
      <c r="AD1069" s="3"/>
      <c r="AE1069" s="3"/>
      <c r="AF1069" s="3"/>
      <c r="AG1069" s="3"/>
      <c r="AH1069" s="3"/>
      <c r="AI1069" s="3"/>
      <c r="AJ1069" s="3"/>
      <c r="AK1069" s="3"/>
      <c r="AL1069" s="3"/>
      <c r="AM1069" s="3"/>
      <c r="AN1069" s="3"/>
      <c r="AO1069" s="3"/>
      <c r="AP1069" s="3"/>
      <c r="AQ1069" s="3"/>
      <c r="AR1069" s="3"/>
      <c r="AS1069" s="3"/>
      <c r="AT1069" s="3"/>
      <c r="AU1069" s="3"/>
      <c r="AV1069" s="3"/>
      <c r="AW1069" s="3"/>
      <c r="AX1069" s="3"/>
      <c r="AY1069" s="3"/>
      <c r="AZ1069" s="3"/>
      <c r="BA1069" s="3"/>
      <c r="BB1069" s="3"/>
      <c r="BC1069" s="3"/>
    </row>
    <row r="1070" spans="1:55">
      <c r="A1070" s="1" t="str">
        <f>'Population Definitions'!$A$6</f>
        <v>10-17_males</v>
      </c>
      <c r="C1070" t="s">
        <v>32</v>
      </c>
      <c r="D1070" s="3"/>
      <c r="E1070" s="3">
        <v>0</v>
      </c>
      <c r="F1070" s="3"/>
      <c r="G1070" s="3"/>
      <c r="H1070" s="3"/>
      <c r="I1070" s="3"/>
      <c r="J1070" s="3"/>
      <c r="K1070" s="3"/>
      <c r="L1070" s="3"/>
      <c r="M1070" s="3"/>
      <c r="N1070" s="3"/>
      <c r="O1070" s="3"/>
      <c r="P1070" s="3"/>
      <c r="Q1070" s="3"/>
      <c r="R1070" s="3"/>
      <c r="S1070" s="3"/>
      <c r="T1070" s="3"/>
      <c r="U1070" s="3"/>
      <c r="V1070" s="3"/>
      <c r="W1070" s="3"/>
      <c r="X1070" s="3"/>
      <c r="Y1070" s="3"/>
      <c r="Z1070" s="3"/>
      <c r="AA1070" s="3"/>
      <c r="AB1070" s="3"/>
      <c r="AC1070" s="3"/>
      <c r="AD1070" s="3"/>
      <c r="AE1070" s="3"/>
      <c r="AF1070" s="3"/>
      <c r="AG1070" s="3"/>
      <c r="AH1070" s="3"/>
      <c r="AI1070" s="3"/>
      <c r="AJ1070" s="3"/>
      <c r="AK1070" s="3"/>
      <c r="AL1070" s="3"/>
      <c r="AM1070" s="3"/>
      <c r="AN1070" s="3"/>
      <c r="AO1070" s="3"/>
      <c r="AP1070" s="3"/>
      <c r="AQ1070" s="3"/>
      <c r="AR1070" s="3"/>
      <c r="AS1070" s="3"/>
      <c r="AT1070" s="3"/>
      <c r="AU1070" s="3"/>
      <c r="AV1070" s="3"/>
      <c r="AW1070" s="3"/>
      <c r="AX1070" s="3"/>
      <c r="AY1070" s="3"/>
      <c r="AZ1070" s="3"/>
      <c r="BA1070" s="3"/>
      <c r="BB1070" s="3"/>
      <c r="BC1070" s="3"/>
    </row>
    <row r="1071" spans="1:55">
      <c r="A1071" s="1" t="str">
        <f>'Population Definitions'!$A$7</f>
        <v>10-17_females</v>
      </c>
      <c r="C1071" t="s">
        <v>32</v>
      </c>
      <c r="D1071" s="3"/>
      <c r="E1071" s="3">
        <v>0</v>
      </c>
      <c r="F1071" s="3"/>
      <c r="G1071" s="3"/>
      <c r="H1071" s="3"/>
      <c r="I1071" s="3"/>
      <c r="J1071" s="3"/>
      <c r="K1071" s="3"/>
      <c r="L1071" s="3"/>
      <c r="M1071" s="3"/>
      <c r="N1071" s="3"/>
      <c r="O1071" s="3"/>
      <c r="P1071" s="3"/>
      <c r="Q1071" s="3"/>
      <c r="R1071" s="3"/>
      <c r="S1071" s="3"/>
      <c r="T1071" s="3"/>
      <c r="U1071" s="3"/>
      <c r="V1071" s="3"/>
      <c r="W1071" s="3"/>
      <c r="X1071" s="3"/>
      <c r="Y1071" s="3"/>
      <c r="Z1071" s="3"/>
      <c r="AA1071" s="3"/>
      <c r="AB1071" s="3"/>
      <c r="AC1071" s="3"/>
      <c r="AD1071" s="3"/>
      <c r="AE1071" s="3"/>
      <c r="AF1071" s="3"/>
      <c r="AG1071" s="3"/>
      <c r="AH1071" s="3"/>
      <c r="AI1071" s="3"/>
      <c r="AJ1071" s="3"/>
      <c r="AK1071" s="3"/>
      <c r="AL1071" s="3"/>
      <c r="AM1071" s="3"/>
      <c r="AN1071" s="3"/>
      <c r="AO1071" s="3"/>
      <c r="AP1071" s="3"/>
      <c r="AQ1071" s="3"/>
      <c r="AR1071" s="3"/>
      <c r="AS1071" s="3"/>
      <c r="AT1071" s="3"/>
      <c r="AU1071" s="3"/>
      <c r="AV1071" s="3"/>
      <c r="AW1071" s="3"/>
      <c r="AX1071" s="3"/>
      <c r="AY1071" s="3"/>
      <c r="AZ1071" s="3"/>
      <c r="BA1071" s="3"/>
      <c r="BB1071" s="3"/>
      <c r="BC1071" s="3"/>
    </row>
    <row r="1072" spans="1:55">
      <c r="A1072" s="1" t="str">
        <f>'Population Definitions'!$A$8</f>
        <v>18-64_males</v>
      </c>
      <c r="C1072" t="s">
        <v>32</v>
      </c>
      <c r="D1072" s="3"/>
      <c r="E1072" s="3">
        <v>0</v>
      </c>
      <c r="F1072" s="3"/>
      <c r="G1072" s="3"/>
      <c r="H1072" s="3"/>
      <c r="I1072" s="3"/>
      <c r="J1072" s="3"/>
      <c r="K1072" s="3"/>
      <c r="L1072" s="3"/>
      <c r="M1072" s="3"/>
      <c r="N1072" s="3"/>
      <c r="O1072" s="3"/>
      <c r="P1072" s="3"/>
      <c r="Q1072" s="3"/>
      <c r="R1072" s="3"/>
      <c r="S1072" s="3"/>
      <c r="T1072" s="3"/>
      <c r="U1072" s="3"/>
      <c r="V1072" s="3"/>
      <c r="W1072" s="3"/>
      <c r="X1072" s="3"/>
      <c r="Y1072" s="3"/>
      <c r="Z1072" s="3"/>
      <c r="AA1072" s="3"/>
      <c r="AB1072" s="3"/>
      <c r="AC1072" s="3"/>
      <c r="AD1072" s="3"/>
      <c r="AE1072" s="3"/>
      <c r="AF1072" s="3"/>
      <c r="AG1072" s="3"/>
      <c r="AH1072" s="3"/>
      <c r="AI1072" s="3"/>
      <c r="AJ1072" s="3"/>
      <c r="AK1072" s="3"/>
      <c r="AL1072" s="3"/>
      <c r="AM1072" s="3"/>
      <c r="AN1072" s="3"/>
      <c r="AO1072" s="3"/>
      <c r="AP1072" s="3"/>
      <c r="AQ1072" s="3"/>
      <c r="AR1072" s="3"/>
      <c r="AS1072" s="3"/>
      <c r="AT1072" s="3"/>
      <c r="AU1072" s="3"/>
      <c r="AV1072" s="3"/>
      <c r="AW1072" s="3"/>
      <c r="AX1072" s="3"/>
      <c r="AY1072" s="3"/>
      <c r="AZ1072" s="3"/>
      <c r="BA1072" s="3"/>
      <c r="BB1072" s="3"/>
      <c r="BC1072" s="3"/>
    </row>
    <row r="1073" spans="1:55">
      <c r="A1073" s="1" t="str">
        <f>'Population Definitions'!$A$9</f>
        <v>18-64_females</v>
      </c>
      <c r="C1073" t="s">
        <v>32</v>
      </c>
      <c r="D1073" s="3"/>
      <c r="E1073" s="3">
        <v>0</v>
      </c>
      <c r="F1073" s="3"/>
      <c r="G1073" s="3"/>
      <c r="H1073" s="3"/>
      <c r="I1073" s="3"/>
      <c r="J1073" s="3"/>
      <c r="K1073" s="3"/>
      <c r="L1073" s="3"/>
      <c r="M1073" s="3"/>
      <c r="N1073" s="3"/>
      <c r="O1073" s="3"/>
      <c r="P1073" s="3"/>
      <c r="Q1073" s="3"/>
      <c r="R1073" s="3"/>
      <c r="S1073" s="3"/>
      <c r="T1073" s="3"/>
      <c r="U1073" s="3"/>
      <c r="V1073" s="3"/>
      <c r="W1073" s="3"/>
      <c r="X1073" s="3"/>
      <c r="Y1073" s="3"/>
      <c r="Z1073" s="3"/>
      <c r="AA1073" s="3"/>
      <c r="AB1073" s="3"/>
      <c r="AC1073" s="3"/>
      <c r="AD1073" s="3"/>
      <c r="AE1073" s="3"/>
      <c r="AF1073" s="3"/>
      <c r="AG1073" s="3"/>
      <c r="AH1073" s="3"/>
      <c r="AI1073" s="3"/>
      <c r="AJ1073" s="3"/>
      <c r="AK1073" s="3"/>
      <c r="AL1073" s="3"/>
      <c r="AM1073" s="3"/>
      <c r="AN1073" s="3"/>
      <c r="AO1073" s="3"/>
      <c r="AP1073" s="3"/>
      <c r="AQ1073" s="3"/>
      <c r="AR1073" s="3"/>
      <c r="AS1073" s="3"/>
      <c r="AT1073" s="3"/>
      <c r="AU1073" s="3"/>
      <c r="AV1073" s="3"/>
      <c r="AW1073" s="3"/>
      <c r="AX1073" s="3"/>
      <c r="AY1073" s="3"/>
      <c r="AZ1073" s="3"/>
      <c r="BA1073" s="3"/>
      <c r="BB1073" s="3"/>
      <c r="BC1073" s="3"/>
    </row>
    <row r="1074" spans="1:55">
      <c r="A1074" s="1" t="str">
        <f>'Population Definitions'!$A$10</f>
        <v>65+_males</v>
      </c>
      <c r="C1074" t="s">
        <v>32</v>
      </c>
      <c r="D1074" s="3"/>
      <c r="E1074" s="3">
        <v>0</v>
      </c>
      <c r="F1074" s="3"/>
      <c r="G1074" s="3"/>
      <c r="H1074" s="3"/>
      <c r="I1074" s="3"/>
      <c r="J1074" s="3"/>
      <c r="K1074" s="3"/>
      <c r="L1074" s="3"/>
      <c r="M1074" s="3"/>
      <c r="N1074" s="3"/>
      <c r="O1074" s="3"/>
      <c r="P1074" s="3"/>
      <c r="Q1074" s="3"/>
      <c r="R1074" s="3"/>
      <c r="S1074" s="3"/>
      <c r="T1074" s="3"/>
      <c r="U1074" s="3"/>
      <c r="V1074" s="3"/>
      <c r="W1074" s="3"/>
      <c r="X1074" s="3"/>
      <c r="Y1074" s="3"/>
      <c r="Z1074" s="3"/>
      <c r="AA1074" s="3"/>
      <c r="AB1074" s="3"/>
      <c r="AC1074" s="3"/>
      <c r="AD1074" s="3"/>
      <c r="AE1074" s="3"/>
      <c r="AF1074" s="3"/>
      <c r="AG1074" s="3"/>
      <c r="AH1074" s="3"/>
      <c r="AI1074" s="3"/>
      <c r="AJ1074" s="3"/>
      <c r="AK1074" s="3"/>
      <c r="AL1074" s="3"/>
      <c r="AM1074" s="3"/>
      <c r="AN1074" s="3"/>
      <c r="AO1074" s="3"/>
      <c r="AP1074" s="3"/>
      <c r="AQ1074" s="3"/>
      <c r="AR1074" s="3"/>
      <c r="AS1074" s="3"/>
      <c r="AT1074" s="3"/>
      <c r="AU1074" s="3"/>
      <c r="AV1074" s="3"/>
      <c r="AW1074" s="3"/>
      <c r="AX1074" s="3"/>
      <c r="AY1074" s="3"/>
      <c r="AZ1074" s="3"/>
      <c r="BA1074" s="3"/>
      <c r="BB1074" s="3"/>
      <c r="BC1074" s="3"/>
    </row>
    <row r="1075" spans="1:55">
      <c r="A1075" s="1" t="str">
        <f>'Population Definitions'!$A$11</f>
        <v>65+_females</v>
      </c>
      <c r="C1075" t="s">
        <v>32</v>
      </c>
      <c r="D1075" s="3"/>
      <c r="E1075" s="3">
        <v>0</v>
      </c>
      <c r="F1075" s="3"/>
      <c r="G1075" s="3"/>
      <c r="H1075" s="3"/>
      <c r="I1075" s="3"/>
      <c r="J1075" s="3"/>
      <c r="K1075" s="3"/>
      <c r="L1075" s="3"/>
      <c r="M1075" s="3"/>
      <c r="N1075" s="3"/>
      <c r="O1075" s="3"/>
      <c r="P1075" s="3"/>
      <c r="Q1075" s="3"/>
      <c r="R1075" s="3"/>
      <c r="S1075" s="3"/>
      <c r="T1075" s="3"/>
      <c r="U1075" s="3"/>
      <c r="V1075" s="3"/>
      <c r="W1075" s="3"/>
      <c r="X1075" s="3"/>
      <c r="Y1075" s="3"/>
      <c r="Z1075" s="3"/>
      <c r="AA1075" s="3"/>
      <c r="AB1075" s="3"/>
      <c r="AC1075" s="3"/>
      <c r="AD1075" s="3"/>
      <c r="AE1075" s="3"/>
      <c r="AF1075" s="3"/>
      <c r="AG1075" s="3"/>
      <c r="AH1075" s="3"/>
      <c r="AI1075" s="3"/>
      <c r="AJ1075" s="3"/>
      <c r="AK1075" s="3"/>
      <c r="AL1075" s="3"/>
      <c r="AM1075" s="3"/>
      <c r="AN1075" s="3"/>
      <c r="AO1075" s="3"/>
      <c r="AP1075" s="3"/>
      <c r="AQ1075" s="3"/>
      <c r="AR1075" s="3"/>
      <c r="AS1075" s="3"/>
      <c r="AT1075" s="3"/>
      <c r="AU1075" s="3"/>
      <c r="AV1075" s="3"/>
      <c r="AW1075" s="3"/>
      <c r="AX1075" s="3"/>
      <c r="AY1075" s="3"/>
      <c r="AZ1075" s="3"/>
      <c r="BA1075" s="3"/>
      <c r="BB1075" s="3"/>
      <c r="BC1075" s="3"/>
    </row>
    <row r="1076" spans="1:55">
      <c r="A1076" s="1" t="str">
        <f>'Population Definitions'!$A$12</f>
        <v>Prisoners_males</v>
      </c>
      <c r="C1076" t="s">
        <v>32</v>
      </c>
      <c r="D1076" s="3"/>
      <c r="E1076" s="3">
        <v>0</v>
      </c>
      <c r="F1076" s="3"/>
      <c r="G1076" s="3"/>
      <c r="H1076" s="3"/>
      <c r="I1076" s="3"/>
      <c r="J1076" s="3"/>
      <c r="K1076" s="3"/>
      <c r="L1076" s="3"/>
      <c r="M1076" s="3"/>
      <c r="N1076" s="3"/>
      <c r="O1076" s="3"/>
      <c r="P1076" s="3"/>
      <c r="Q1076" s="3"/>
      <c r="R1076" s="3"/>
      <c r="S1076" s="3"/>
      <c r="T1076" s="3"/>
      <c r="U1076" s="3"/>
      <c r="V1076" s="3"/>
      <c r="W1076" s="3"/>
      <c r="X1076" s="3"/>
      <c r="Y1076" s="3"/>
      <c r="Z1076" s="3"/>
      <c r="AA1076" s="3"/>
      <c r="AB1076" s="3"/>
      <c r="AC1076" s="3"/>
      <c r="AD1076" s="3"/>
      <c r="AE1076" s="3"/>
      <c r="AF1076" s="3"/>
      <c r="AG1076" s="3"/>
      <c r="AH1076" s="3"/>
      <c r="AI1076" s="3"/>
      <c r="AJ1076" s="3"/>
      <c r="AK1076" s="3"/>
      <c r="AL1076" s="3"/>
      <c r="AM1076" s="3"/>
      <c r="AN1076" s="3"/>
      <c r="AO1076" s="3"/>
      <c r="AP1076" s="3"/>
      <c r="AQ1076" s="3"/>
      <c r="AR1076" s="3"/>
      <c r="AS1076" s="3"/>
      <c r="AT1076" s="3"/>
      <c r="AU1076" s="3"/>
      <c r="AV1076" s="3"/>
      <c r="AW1076" s="3"/>
      <c r="AX1076" s="3"/>
      <c r="AY1076" s="3"/>
      <c r="AZ1076" s="3"/>
      <c r="BA1076" s="3"/>
      <c r="BB1076" s="3"/>
      <c r="BC1076" s="3"/>
    </row>
    <row r="1077" spans="1:55">
      <c r="A1077" s="1" t="str">
        <f>'Population Definitions'!$A$13</f>
        <v>Prisoners_females</v>
      </c>
      <c r="C1077" t="s">
        <v>32</v>
      </c>
      <c r="D1077" s="3"/>
      <c r="E1077" s="3">
        <v>0</v>
      </c>
      <c r="F1077" s="3"/>
      <c r="G1077" s="3"/>
      <c r="H1077" s="3"/>
      <c r="I1077" s="3"/>
      <c r="J1077" s="3"/>
      <c r="K1077" s="3"/>
      <c r="L1077" s="3"/>
      <c r="M1077" s="3"/>
      <c r="N1077" s="3"/>
      <c r="O1077" s="3"/>
      <c r="P1077" s="3"/>
      <c r="Q1077" s="3"/>
      <c r="R1077" s="3"/>
      <c r="S1077" s="3"/>
      <c r="T1077" s="3"/>
      <c r="U1077" s="3"/>
      <c r="V1077" s="3"/>
      <c r="W1077" s="3"/>
      <c r="X1077" s="3"/>
      <c r="Y1077" s="3"/>
      <c r="Z1077" s="3"/>
      <c r="AA1077" s="3"/>
      <c r="AB1077" s="3"/>
      <c r="AC1077" s="3"/>
      <c r="AD1077" s="3"/>
      <c r="AE1077" s="3"/>
      <c r="AF1077" s="3"/>
      <c r="AG1077" s="3"/>
      <c r="AH1077" s="3"/>
      <c r="AI1077" s="3"/>
      <c r="AJ1077" s="3"/>
      <c r="AK1077" s="3"/>
      <c r="AL1077" s="3"/>
      <c r="AM1077" s="3"/>
      <c r="AN1077" s="3"/>
      <c r="AO1077" s="3"/>
      <c r="AP1077" s="3"/>
      <c r="AQ1077" s="3"/>
      <c r="AR1077" s="3"/>
      <c r="AS1077" s="3"/>
      <c r="AT1077" s="3"/>
      <c r="AU1077" s="3"/>
      <c r="AV1077" s="3"/>
      <c r="AW1077" s="3"/>
      <c r="AX1077" s="3"/>
      <c r="AY1077" s="3"/>
      <c r="AZ1077" s="3"/>
      <c r="BA1077" s="3"/>
      <c r="BB1077" s="3"/>
      <c r="BC1077" s="3"/>
    </row>
    <row r="1079" spans="1:55">
      <c r="A1079" s="1" t="s">
        <v>203</v>
      </c>
      <c r="B1079" s="1" t="s">
        <v>29</v>
      </c>
      <c r="C1079" s="1" t="s">
        <v>30</v>
      </c>
      <c r="D1079" s="1" t="s">
        <v>31</v>
      </c>
      <c r="E1079" s="1">
        <v>2000</v>
      </c>
      <c r="F1079" s="1">
        <v>2001</v>
      </c>
      <c r="G1079" s="1">
        <v>2002</v>
      </c>
      <c r="H1079" s="1">
        <v>2003</v>
      </c>
      <c r="I1079" s="1">
        <v>2004</v>
      </c>
      <c r="J1079" s="1">
        <v>2005</v>
      </c>
      <c r="K1079" s="1">
        <v>2006</v>
      </c>
      <c r="L1079" s="1">
        <v>2007</v>
      </c>
      <c r="M1079" s="1">
        <v>2008</v>
      </c>
      <c r="N1079" s="1">
        <v>2009</v>
      </c>
      <c r="O1079" s="1">
        <v>2010</v>
      </c>
      <c r="P1079" s="1">
        <v>2011</v>
      </c>
      <c r="Q1079" s="1">
        <v>2012</v>
      </c>
      <c r="R1079" s="1">
        <v>2013</v>
      </c>
      <c r="S1079" s="1">
        <v>2014</v>
      </c>
      <c r="T1079" s="1">
        <v>2015</v>
      </c>
      <c r="U1079" s="1">
        <v>2016</v>
      </c>
      <c r="V1079" s="1">
        <v>2017</v>
      </c>
      <c r="W1079" s="1">
        <v>2018</v>
      </c>
      <c r="X1079" s="1">
        <v>2019</v>
      </c>
      <c r="Y1079" s="1">
        <v>2020</v>
      </c>
      <c r="Z1079" s="1">
        <v>2021</v>
      </c>
      <c r="AA1079" s="1">
        <v>2022</v>
      </c>
      <c r="AB1079" s="1">
        <v>2023</v>
      </c>
      <c r="AC1079" s="1">
        <v>2024</v>
      </c>
      <c r="AD1079" s="1">
        <v>2025</v>
      </c>
      <c r="AE1079" s="1">
        <v>2026</v>
      </c>
      <c r="AF1079" s="1">
        <v>2027</v>
      </c>
      <c r="AG1079" s="1">
        <v>2028</v>
      </c>
      <c r="AH1079" s="1">
        <v>2029</v>
      </c>
      <c r="AI1079" s="1">
        <v>2030</v>
      </c>
      <c r="AJ1079" s="1">
        <v>2031</v>
      </c>
      <c r="AK1079" s="1">
        <v>2032</v>
      </c>
      <c r="AL1079" s="1">
        <v>2033</v>
      </c>
      <c r="AM1079" s="1">
        <v>2034</v>
      </c>
      <c r="AN1079" s="1">
        <v>2035</v>
      </c>
      <c r="AO1079" s="1">
        <v>2036</v>
      </c>
      <c r="AP1079" s="1">
        <v>2037</v>
      </c>
      <c r="AQ1079" s="1">
        <v>2038</v>
      </c>
      <c r="AR1079" s="1">
        <v>2039</v>
      </c>
      <c r="AS1079" s="1">
        <v>2040</v>
      </c>
      <c r="AT1079" s="1">
        <v>2041</v>
      </c>
      <c r="AU1079" s="1">
        <v>2042</v>
      </c>
      <c r="AV1079" s="1">
        <v>2043</v>
      </c>
      <c r="AW1079" s="1">
        <v>2044</v>
      </c>
      <c r="AX1079" s="1">
        <v>2045</v>
      </c>
      <c r="AY1079" s="1">
        <v>2046</v>
      </c>
      <c r="AZ1079" s="1">
        <v>2047</v>
      </c>
      <c r="BA1079" s="1">
        <v>2048</v>
      </c>
      <c r="BB1079" s="1">
        <v>2049</v>
      </c>
      <c r="BC1079" s="1">
        <v>2050</v>
      </c>
    </row>
    <row r="1080" spans="1:55">
      <c r="A1080" s="1" t="str">
        <f>'Population Definitions'!$A$2</f>
        <v>PWID_males</v>
      </c>
      <c r="C1080" t="s">
        <v>32</v>
      </c>
      <c r="D1080" s="3"/>
      <c r="E1080" s="3">
        <v>0</v>
      </c>
      <c r="F1080" s="3"/>
      <c r="G1080" s="3"/>
      <c r="H1080" s="3"/>
      <c r="I1080" s="3"/>
      <c r="J1080" s="3"/>
      <c r="K1080" s="3"/>
      <c r="L1080" s="3"/>
      <c r="M1080" s="3"/>
      <c r="N1080" s="3"/>
      <c r="O1080" s="3"/>
      <c r="P1080" s="3"/>
      <c r="Q1080" s="3"/>
      <c r="R1080" s="3"/>
      <c r="S1080" s="3"/>
      <c r="T1080" s="3"/>
      <c r="U1080" s="3"/>
      <c r="V1080" s="3"/>
      <c r="W1080" s="3"/>
      <c r="X1080" s="3"/>
      <c r="Y1080" s="3"/>
      <c r="Z1080" s="3"/>
      <c r="AA1080" s="3"/>
      <c r="AB1080" s="3"/>
      <c r="AC1080" s="3"/>
      <c r="AD1080" s="3"/>
      <c r="AE1080" s="3"/>
      <c r="AF1080" s="3"/>
      <c r="AG1080" s="3"/>
      <c r="AH1080" s="3"/>
      <c r="AI1080" s="3"/>
      <c r="AJ1080" s="3"/>
      <c r="AK1080" s="3"/>
      <c r="AL1080" s="3"/>
      <c r="AM1080" s="3"/>
      <c r="AN1080" s="3"/>
      <c r="AO1080" s="3"/>
      <c r="AP1080" s="3"/>
      <c r="AQ1080" s="3"/>
      <c r="AR1080" s="3"/>
      <c r="AS1080" s="3"/>
      <c r="AT1080" s="3"/>
      <c r="AU1080" s="3"/>
      <c r="AV1080" s="3"/>
      <c r="AW1080" s="3"/>
      <c r="AX1080" s="3"/>
      <c r="AY1080" s="3"/>
      <c r="AZ1080" s="3"/>
      <c r="BA1080" s="3"/>
      <c r="BB1080" s="3"/>
      <c r="BC1080" s="3"/>
    </row>
    <row r="1081" spans="1:55">
      <c r="A1081" s="1" t="str">
        <f>'Population Definitions'!$A$3</f>
        <v>PWID_females</v>
      </c>
      <c r="C1081" t="s">
        <v>32</v>
      </c>
      <c r="D1081" s="3"/>
      <c r="E1081" s="3">
        <v>0</v>
      </c>
      <c r="F1081" s="3"/>
      <c r="G1081" s="3"/>
      <c r="H1081" s="3"/>
      <c r="I1081" s="3"/>
      <c r="J1081" s="3"/>
      <c r="K1081" s="3"/>
      <c r="L1081" s="3"/>
      <c r="M1081" s="3"/>
      <c r="N1081" s="3"/>
      <c r="O1081" s="3"/>
      <c r="P1081" s="3"/>
      <c r="Q1081" s="3"/>
      <c r="R1081" s="3"/>
      <c r="S1081" s="3"/>
      <c r="T1081" s="3"/>
      <c r="U1081" s="3"/>
      <c r="V1081" s="3"/>
      <c r="W1081" s="3"/>
      <c r="X1081" s="3"/>
      <c r="Y1081" s="3"/>
      <c r="Z1081" s="3"/>
      <c r="AA1081" s="3"/>
      <c r="AB1081" s="3"/>
      <c r="AC1081" s="3"/>
      <c r="AD1081" s="3"/>
      <c r="AE1081" s="3"/>
      <c r="AF1081" s="3"/>
      <c r="AG1081" s="3"/>
      <c r="AH1081" s="3"/>
      <c r="AI1081" s="3"/>
      <c r="AJ1081" s="3"/>
      <c r="AK1081" s="3"/>
      <c r="AL1081" s="3"/>
      <c r="AM1081" s="3"/>
      <c r="AN1081" s="3"/>
      <c r="AO1081" s="3"/>
      <c r="AP1081" s="3"/>
      <c r="AQ1081" s="3"/>
      <c r="AR1081" s="3"/>
      <c r="AS1081" s="3"/>
      <c r="AT1081" s="3"/>
      <c r="AU1081" s="3"/>
      <c r="AV1081" s="3"/>
      <c r="AW1081" s="3"/>
      <c r="AX1081" s="3"/>
      <c r="AY1081" s="3"/>
      <c r="AZ1081" s="3"/>
      <c r="BA1081" s="3"/>
      <c r="BB1081" s="3"/>
      <c r="BC1081" s="3"/>
    </row>
    <row r="1082" spans="1:55">
      <c r="A1082" s="1" t="str">
        <f>'Population Definitions'!$A$4</f>
        <v>0-9_males</v>
      </c>
      <c r="C1082" t="s">
        <v>32</v>
      </c>
      <c r="D1082" s="3"/>
      <c r="E1082" s="3">
        <v>0</v>
      </c>
      <c r="F1082" s="3"/>
      <c r="G1082" s="3"/>
      <c r="H1082" s="3"/>
      <c r="I1082" s="3"/>
      <c r="J1082" s="3"/>
      <c r="K1082" s="3"/>
      <c r="L1082" s="3"/>
      <c r="M1082" s="3"/>
      <c r="N1082" s="3"/>
      <c r="O1082" s="3"/>
      <c r="P1082" s="3"/>
      <c r="Q1082" s="3"/>
      <c r="R1082" s="3"/>
      <c r="S1082" s="3"/>
      <c r="T1082" s="3"/>
      <c r="U1082" s="3"/>
      <c r="V1082" s="3"/>
      <c r="W1082" s="3"/>
      <c r="X1082" s="3"/>
      <c r="Y1082" s="3"/>
      <c r="Z1082" s="3"/>
      <c r="AA1082" s="3"/>
      <c r="AB1082" s="3"/>
      <c r="AC1082" s="3"/>
      <c r="AD1082" s="3"/>
      <c r="AE1082" s="3"/>
      <c r="AF1082" s="3"/>
      <c r="AG1082" s="3"/>
      <c r="AH1082" s="3"/>
      <c r="AI1082" s="3"/>
      <c r="AJ1082" s="3"/>
      <c r="AK1082" s="3"/>
      <c r="AL1082" s="3"/>
      <c r="AM1082" s="3"/>
      <c r="AN1082" s="3"/>
      <c r="AO1082" s="3"/>
      <c r="AP1082" s="3"/>
      <c r="AQ1082" s="3"/>
      <c r="AR1082" s="3"/>
      <c r="AS1082" s="3"/>
      <c r="AT1082" s="3"/>
      <c r="AU1082" s="3"/>
      <c r="AV1082" s="3"/>
      <c r="AW1082" s="3"/>
      <c r="AX1082" s="3"/>
      <c r="AY1082" s="3"/>
      <c r="AZ1082" s="3"/>
      <c r="BA1082" s="3"/>
      <c r="BB1082" s="3"/>
      <c r="BC1082" s="3"/>
    </row>
    <row r="1083" spans="1:55">
      <c r="A1083" s="1" t="str">
        <f>'Population Definitions'!$A$5</f>
        <v>0-9_females</v>
      </c>
      <c r="C1083" t="s">
        <v>32</v>
      </c>
      <c r="D1083" s="3"/>
      <c r="E1083" s="3">
        <v>0</v>
      </c>
      <c r="F1083" s="3"/>
      <c r="G1083" s="3"/>
      <c r="H1083" s="3"/>
      <c r="I1083" s="3"/>
      <c r="J1083" s="3"/>
      <c r="K1083" s="3"/>
      <c r="L1083" s="3"/>
      <c r="M1083" s="3"/>
      <c r="N1083" s="3"/>
      <c r="O1083" s="3"/>
      <c r="P1083" s="3"/>
      <c r="Q1083" s="3"/>
      <c r="R1083" s="3"/>
      <c r="S1083" s="3"/>
      <c r="T1083" s="3"/>
      <c r="U1083" s="3"/>
      <c r="V1083" s="3"/>
      <c r="W1083" s="3"/>
      <c r="X1083" s="3"/>
      <c r="Y1083" s="3"/>
      <c r="Z1083" s="3"/>
      <c r="AA1083" s="3"/>
      <c r="AB1083" s="3"/>
      <c r="AC1083" s="3"/>
      <c r="AD1083" s="3"/>
      <c r="AE1083" s="3"/>
      <c r="AF1083" s="3"/>
      <c r="AG1083" s="3"/>
      <c r="AH1083" s="3"/>
      <c r="AI1083" s="3"/>
      <c r="AJ1083" s="3"/>
      <c r="AK1083" s="3"/>
      <c r="AL1083" s="3"/>
      <c r="AM1083" s="3"/>
      <c r="AN1083" s="3"/>
      <c r="AO1083" s="3"/>
      <c r="AP1083" s="3"/>
      <c r="AQ1083" s="3"/>
      <c r="AR1083" s="3"/>
      <c r="AS1083" s="3"/>
      <c r="AT1083" s="3"/>
      <c r="AU1083" s="3"/>
      <c r="AV1083" s="3"/>
      <c r="AW1083" s="3"/>
      <c r="AX1083" s="3"/>
      <c r="AY1083" s="3"/>
      <c r="AZ1083" s="3"/>
      <c r="BA1083" s="3"/>
      <c r="BB1083" s="3"/>
      <c r="BC1083" s="3"/>
    </row>
    <row r="1084" spans="1:55">
      <c r="A1084" s="1" t="str">
        <f>'Population Definitions'!$A$6</f>
        <v>10-17_males</v>
      </c>
      <c r="C1084" t="s">
        <v>32</v>
      </c>
      <c r="D1084" s="3"/>
      <c r="E1084" s="3">
        <v>0</v>
      </c>
      <c r="F1084" s="3"/>
      <c r="G1084" s="3"/>
      <c r="H1084" s="3"/>
      <c r="I1084" s="3"/>
      <c r="J1084" s="3"/>
      <c r="K1084" s="3"/>
      <c r="L1084" s="3"/>
      <c r="M1084" s="3"/>
      <c r="N1084" s="3"/>
      <c r="O1084" s="3"/>
      <c r="P1084" s="3"/>
      <c r="Q1084" s="3"/>
      <c r="R1084" s="3"/>
      <c r="S1084" s="3"/>
      <c r="T1084" s="3"/>
      <c r="U1084" s="3"/>
      <c r="V1084" s="3"/>
      <c r="W1084" s="3"/>
      <c r="X1084" s="3"/>
      <c r="Y1084" s="3"/>
      <c r="Z1084" s="3"/>
      <c r="AA1084" s="3"/>
      <c r="AB1084" s="3"/>
      <c r="AC1084" s="3"/>
      <c r="AD1084" s="3"/>
      <c r="AE1084" s="3"/>
      <c r="AF1084" s="3"/>
      <c r="AG1084" s="3"/>
      <c r="AH1084" s="3"/>
      <c r="AI1084" s="3"/>
      <c r="AJ1084" s="3"/>
      <c r="AK1084" s="3"/>
      <c r="AL1084" s="3"/>
      <c r="AM1084" s="3"/>
      <c r="AN1084" s="3"/>
      <c r="AO1084" s="3"/>
      <c r="AP1084" s="3"/>
      <c r="AQ1084" s="3"/>
      <c r="AR1084" s="3"/>
      <c r="AS1084" s="3"/>
      <c r="AT1084" s="3"/>
      <c r="AU1084" s="3"/>
      <c r="AV1084" s="3"/>
      <c r="AW1084" s="3"/>
      <c r="AX1084" s="3"/>
      <c r="AY1084" s="3"/>
      <c r="AZ1084" s="3"/>
      <c r="BA1084" s="3"/>
      <c r="BB1084" s="3"/>
      <c r="BC1084" s="3"/>
    </row>
    <row r="1085" spans="1:55">
      <c r="A1085" s="1" t="str">
        <f>'Population Definitions'!$A$7</f>
        <v>10-17_females</v>
      </c>
      <c r="C1085" t="s">
        <v>32</v>
      </c>
      <c r="D1085" s="3"/>
      <c r="E1085" s="3">
        <v>0</v>
      </c>
      <c r="F1085" s="3"/>
      <c r="G1085" s="3"/>
      <c r="H1085" s="3"/>
      <c r="I1085" s="3"/>
      <c r="J1085" s="3"/>
      <c r="K1085" s="3"/>
      <c r="L1085" s="3"/>
      <c r="M1085" s="3"/>
      <c r="N1085" s="3"/>
      <c r="O1085" s="3"/>
      <c r="P1085" s="3"/>
      <c r="Q1085" s="3"/>
      <c r="R1085" s="3"/>
      <c r="S1085" s="3"/>
      <c r="T1085" s="3"/>
      <c r="U1085" s="3"/>
      <c r="V1085" s="3"/>
      <c r="W1085" s="3"/>
      <c r="X1085" s="3"/>
      <c r="Y1085" s="3"/>
      <c r="Z1085" s="3"/>
      <c r="AA1085" s="3"/>
      <c r="AB1085" s="3"/>
      <c r="AC1085" s="3"/>
      <c r="AD1085" s="3"/>
      <c r="AE1085" s="3"/>
      <c r="AF1085" s="3"/>
      <c r="AG1085" s="3"/>
      <c r="AH1085" s="3"/>
      <c r="AI1085" s="3"/>
      <c r="AJ1085" s="3"/>
      <c r="AK1085" s="3"/>
      <c r="AL1085" s="3"/>
      <c r="AM1085" s="3"/>
      <c r="AN1085" s="3"/>
      <c r="AO1085" s="3"/>
      <c r="AP1085" s="3"/>
      <c r="AQ1085" s="3"/>
      <c r="AR1085" s="3"/>
      <c r="AS1085" s="3"/>
      <c r="AT1085" s="3"/>
      <c r="AU1085" s="3"/>
      <c r="AV1085" s="3"/>
      <c r="AW1085" s="3"/>
      <c r="AX1085" s="3"/>
      <c r="AY1085" s="3"/>
      <c r="AZ1085" s="3"/>
      <c r="BA1085" s="3"/>
      <c r="BB1085" s="3"/>
      <c r="BC1085" s="3"/>
    </row>
    <row r="1086" spans="1:55">
      <c r="A1086" s="1" t="str">
        <f>'Population Definitions'!$A$8</f>
        <v>18-64_males</v>
      </c>
      <c r="C1086" t="s">
        <v>32</v>
      </c>
      <c r="D1086" s="3"/>
      <c r="E1086" s="3">
        <v>0</v>
      </c>
      <c r="F1086" s="3"/>
      <c r="G1086" s="3"/>
      <c r="H1086" s="3"/>
      <c r="I1086" s="3"/>
      <c r="J1086" s="3"/>
      <c r="K1086" s="3"/>
      <c r="L1086" s="3"/>
      <c r="M1086" s="3"/>
      <c r="N1086" s="3"/>
      <c r="O1086" s="3"/>
      <c r="P1086" s="3"/>
      <c r="Q1086" s="3"/>
      <c r="R1086" s="3"/>
      <c r="S1086" s="3"/>
      <c r="T1086" s="3"/>
      <c r="U1086" s="3"/>
      <c r="V1086" s="3"/>
      <c r="W1086" s="3"/>
      <c r="X1086" s="3"/>
      <c r="Y1086" s="3"/>
      <c r="Z1086" s="3"/>
      <c r="AA1086" s="3"/>
      <c r="AB1086" s="3"/>
      <c r="AC1086" s="3"/>
      <c r="AD1086" s="3"/>
      <c r="AE1086" s="3"/>
      <c r="AF1086" s="3"/>
      <c r="AG1086" s="3"/>
      <c r="AH1086" s="3"/>
      <c r="AI1086" s="3"/>
      <c r="AJ1086" s="3"/>
      <c r="AK1086" s="3"/>
      <c r="AL1086" s="3"/>
      <c r="AM1086" s="3"/>
      <c r="AN1086" s="3"/>
      <c r="AO1086" s="3"/>
      <c r="AP1086" s="3"/>
      <c r="AQ1086" s="3"/>
      <c r="AR1086" s="3"/>
      <c r="AS1086" s="3"/>
      <c r="AT1086" s="3"/>
      <c r="AU1086" s="3"/>
      <c r="AV1086" s="3"/>
      <c r="AW1086" s="3"/>
      <c r="AX1086" s="3"/>
      <c r="AY1086" s="3"/>
      <c r="AZ1086" s="3"/>
      <c r="BA1086" s="3"/>
      <c r="BB1086" s="3"/>
      <c r="BC1086" s="3"/>
    </row>
    <row r="1087" spans="1:55">
      <c r="A1087" s="1" t="str">
        <f>'Population Definitions'!$A$9</f>
        <v>18-64_females</v>
      </c>
      <c r="C1087" t="s">
        <v>32</v>
      </c>
      <c r="D1087" s="3"/>
      <c r="E1087" s="3">
        <v>0</v>
      </c>
      <c r="F1087" s="3"/>
      <c r="G1087" s="3"/>
      <c r="H1087" s="3"/>
      <c r="I1087" s="3"/>
      <c r="J1087" s="3"/>
      <c r="K1087" s="3"/>
      <c r="L1087" s="3"/>
      <c r="M1087" s="3"/>
      <c r="N1087" s="3"/>
      <c r="O1087" s="3"/>
      <c r="P1087" s="3"/>
      <c r="Q1087" s="3"/>
      <c r="R1087" s="3"/>
      <c r="S1087" s="3"/>
      <c r="T1087" s="3"/>
      <c r="U1087" s="3"/>
      <c r="V1087" s="3"/>
      <c r="W1087" s="3"/>
      <c r="X1087" s="3"/>
      <c r="Y1087" s="3"/>
      <c r="Z1087" s="3"/>
      <c r="AA1087" s="3"/>
      <c r="AB1087" s="3"/>
      <c r="AC1087" s="3"/>
      <c r="AD1087" s="3"/>
      <c r="AE1087" s="3"/>
      <c r="AF1087" s="3"/>
      <c r="AG1087" s="3"/>
      <c r="AH1087" s="3"/>
      <c r="AI1087" s="3"/>
      <c r="AJ1087" s="3"/>
      <c r="AK1087" s="3"/>
      <c r="AL1087" s="3"/>
      <c r="AM1087" s="3"/>
      <c r="AN1087" s="3"/>
      <c r="AO1087" s="3"/>
      <c r="AP1087" s="3"/>
      <c r="AQ1087" s="3"/>
      <c r="AR1087" s="3"/>
      <c r="AS1087" s="3"/>
      <c r="AT1087" s="3"/>
      <c r="AU1087" s="3"/>
      <c r="AV1087" s="3"/>
      <c r="AW1087" s="3"/>
      <c r="AX1087" s="3"/>
      <c r="AY1087" s="3"/>
      <c r="AZ1087" s="3"/>
      <c r="BA1087" s="3"/>
      <c r="BB1087" s="3"/>
      <c r="BC1087" s="3"/>
    </row>
    <row r="1088" spans="1:55">
      <c r="A1088" s="1" t="str">
        <f>'Population Definitions'!$A$10</f>
        <v>65+_males</v>
      </c>
      <c r="C1088" t="s">
        <v>32</v>
      </c>
      <c r="D1088" s="3"/>
      <c r="E1088" s="3">
        <v>0</v>
      </c>
      <c r="F1088" s="3"/>
      <c r="G1088" s="3"/>
      <c r="H1088" s="3"/>
      <c r="I1088" s="3"/>
      <c r="J1088" s="3"/>
      <c r="K1088" s="3"/>
      <c r="L1088" s="3"/>
      <c r="M1088" s="3"/>
      <c r="N1088" s="3"/>
      <c r="O1088" s="3"/>
      <c r="P1088" s="3"/>
      <c r="Q1088" s="3"/>
      <c r="R1088" s="3"/>
      <c r="S1088" s="3"/>
      <c r="T1088" s="3"/>
      <c r="U1088" s="3"/>
      <c r="V1088" s="3"/>
      <c r="W1088" s="3"/>
      <c r="X1088" s="3"/>
      <c r="Y1088" s="3"/>
      <c r="Z1088" s="3"/>
      <c r="AA1088" s="3"/>
      <c r="AB1088" s="3"/>
      <c r="AC1088" s="3"/>
      <c r="AD1088" s="3"/>
      <c r="AE1088" s="3"/>
      <c r="AF1088" s="3"/>
      <c r="AG1088" s="3"/>
      <c r="AH1088" s="3"/>
      <c r="AI1088" s="3"/>
      <c r="AJ1088" s="3"/>
      <c r="AK1088" s="3"/>
      <c r="AL1088" s="3"/>
      <c r="AM1088" s="3"/>
      <c r="AN1088" s="3"/>
      <c r="AO1088" s="3"/>
      <c r="AP1088" s="3"/>
      <c r="AQ1088" s="3"/>
      <c r="AR1088" s="3"/>
      <c r="AS1088" s="3"/>
      <c r="AT1088" s="3"/>
      <c r="AU1088" s="3"/>
      <c r="AV1088" s="3"/>
      <c r="AW1088" s="3"/>
      <c r="AX1088" s="3"/>
      <c r="AY1088" s="3"/>
      <c r="AZ1088" s="3"/>
      <c r="BA1088" s="3"/>
      <c r="BB1088" s="3"/>
      <c r="BC1088" s="3"/>
    </row>
    <row r="1089" spans="1:55">
      <c r="A1089" s="1" t="str">
        <f>'Population Definitions'!$A$11</f>
        <v>65+_females</v>
      </c>
      <c r="C1089" t="s">
        <v>32</v>
      </c>
      <c r="D1089" s="3"/>
      <c r="E1089" s="3">
        <v>0</v>
      </c>
      <c r="F1089" s="3"/>
      <c r="G1089" s="3"/>
      <c r="H1089" s="3"/>
      <c r="I1089" s="3"/>
      <c r="J1089" s="3"/>
      <c r="K1089" s="3"/>
      <c r="L1089" s="3"/>
      <c r="M1089" s="3"/>
      <c r="N1089" s="3"/>
      <c r="O1089" s="3"/>
      <c r="P1089" s="3"/>
      <c r="Q1089" s="3"/>
      <c r="R1089" s="3"/>
      <c r="S1089" s="3"/>
      <c r="T1089" s="3"/>
      <c r="U1089" s="3"/>
      <c r="V1089" s="3"/>
      <c r="W1089" s="3"/>
      <c r="X1089" s="3"/>
      <c r="Y1089" s="3"/>
      <c r="Z1089" s="3"/>
      <c r="AA1089" s="3"/>
      <c r="AB1089" s="3"/>
      <c r="AC1089" s="3"/>
      <c r="AD1089" s="3"/>
      <c r="AE1089" s="3"/>
      <c r="AF1089" s="3"/>
      <c r="AG1089" s="3"/>
      <c r="AH1089" s="3"/>
      <c r="AI1089" s="3"/>
      <c r="AJ1089" s="3"/>
      <c r="AK1089" s="3"/>
      <c r="AL1089" s="3"/>
      <c r="AM1089" s="3"/>
      <c r="AN1089" s="3"/>
      <c r="AO1089" s="3"/>
      <c r="AP1089" s="3"/>
      <c r="AQ1089" s="3"/>
      <c r="AR1089" s="3"/>
      <c r="AS1089" s="3"/>
      <c r="AT1089" s="3"/>
      <c r="AU1089" s="3"/>
      <c r="AV1089" s="3"/>
      <c r="AW1089" s="3"/>
      <c r="AX1089" s="3"/>
      <c r="AY1089" s="3"/>
      <c r="AZ1089" s="3"/>
      <c r="BA1089" s="3"/>
      <c r="BB1089" s="3"/>
      <c r="BC1089" s="3"/>
    </row>
    <row r="1090" spans="1:55">
      <c r="A1090" s="1" t="str">
        <f>'Population Definitions'!$A$12</f>
        <v>Prisoners_males</v>
      </c>
      <c r="C1090" t="s">
        <v>32</v>
      </c>
      <c r="D1090" s="3"/>
      <c r="E1090" s="3">
        <v>0</v>
      </c>
      <c r="F1090" s="3"/>
      <c r="G1090" s="3"/>
      <c r="H1090" s="3"/>
      <c r="I1090" s="3"/>
      <c r="J1090" s="3"/>
      <c r="K1090" s="3"/>
      <c r="L1090" s="3"/>
      <c r="M1090" s="3"/>
      <c r="N1090" s="3"/>
      <c r="O1090" s="3"/>
      <c r="P1090" s="3"/>
      <c r="Q1090" s="3"/>
      <c r="R1090" s="3"/>
      <c r="S1090" s="3"/>
      <c r="T1090" s="3"/>
      <c r="U1090" s="3"/>
      <c r="V1090" s="3"/>
      <c r="W1090" s="3"/>
      <c r="X1090" s="3"/>
      <c r="Y1090" s="3"/>
      <c r="Z1090" s="3"/>
      <c r="AA1090" s="3"/>
      <c r="AB1090" s="3"/>
      <c r="AC1090" s="3"/>
      <c r="AD1090" s="3"/>
      <c r="AE1090" s="3"/>
      <c r="AF1090" s="3"/>
      <c r="AG1090" s="3"/>
      <c r="AH1090" s="3"/>
      <c r="AI1090" s="3"/>
      <c r="AJ1090" s="3"/>
      <c r="AK1090" s="3"/>
      <c r="AL1090" s="3"/>
      <c r="AM1090" s="3"/>
      <c r="AN1090" s="3"/>
      <c r="AO1090" s="3"/>
      <c r="AP1090" s="3"/>
      <c r="AQ1090" s="3"/>
      <c r="AR1090" s="3"/>
      <c r="AS1090" s="3"/>
      <c r="AT1090" s="3"/>
      <c r="AU1090" s="3"/>
      <c r="AV1090" s="3"/>
      <c r="AW1090" s="3"/>
      <c r="AX1090" s="3"/>
      <c r="AY1090" s="3"/>
      <c r="AZ1090" s="3"/>
      <c r="BA1090" s="3"/>
      <c r="BB1090" s="3"/>
      <c r="BC1090" s="3"/>
    </row>
    <row r="1091" spans="1:55">
      <c r="A1091" s="1" t="str">
        <f>'Population Definitions'!$A$13</f>
        <v>Prisoners_females</v>
      </c>
      <c r="C1091" t="s">
        <v>32</v>
      </c>
      <c r="D1091" s="3"/>
      <c r="E1091" s="3">
        <v>0</v>
      </c>
      <c r="F1091" s="3"/>
      <c r="G1091" s="3"/>
      <c r="H1091" s="3"/>
      <c r="I1091" s="3"/>
      <c r="J1091" s="3"/>
      <c r="K1091" s="3"/>
      <c r="L1091" s="3"/>
      <c r="M1091" s="3"/>
      <c r="N1091" s="3"/>
      <c r="O1091" s="3"/>
      <c r="P1091" s="3"/>
      <c r="Q1091" s="3"/>
      <c r="R1091" s="3"/>
      <c r="S1091" s="3"/>
      <c r="T1091" s="3"/>
      <c r="U1091" s="3"/>
      <c r="V1091" s="3"/>
      <c r="W1091" s="3"/>
      <c r="X1091" s="3"/>
      <c r="Y1091" s="3"/>
      <c r="Z1091" s="3"/>
      <c r="AA1091" s="3"/>
      <c r="AB1091" s="3"/>
      <c r="AC1091" s="3"/>
      <c r="AD1091" s="3"/>
      <c r="AE1091" s="3"/>
      <c r="AF1091" s="3"/>
      <c r="AG1091" s="3"/>
      <c r="AH1091" s="3"/>
      <c r="AI1091" s="3"/>
      <c r="AJ1091" s="3"/>
      <c r="AK1091" s="3"/>
      <c r="AL1091" s="3"/>
      <c r="AM1091" s="3"/>
      <c r="AN1091" s="3"/>
      <c r="AO1091" s="3"/>
      <c r="AP1091" s="3"/>
      <c r="AQ1091" s="3"/>
      <c r="AR1091" s="3"/>
      <c r="AS1091" s="3"/>
      <c r="AT1091" s="3"/>
      <c r="AU1091" s="3"/>
      <c r="AV1091" s="3"/>
      <c r="AW1091" s="3"/>
      <c r="AX1091" s="3"/>
      <c r="AY1091" s="3"/>
      <c r="AZ1091" s="3"/>
      <c r="BA1091" s="3"/>
      <c r="BB1091" s="3"/>
      <c r="BC1091" s="3"/>
    </row>
    <row r="1093" spans="1:55">
      <c r="A1093" s="1" t="s">
        <v>204</v>
      </c>
      <c r="B1093" s="1" t="s">
        <v>29</v>
      </c>
      <c r="C1093" s="1" t="s">
        <v>30</v>
      </c>
      <c r="D1093" s="1" t="s">
        <v>31</v>
      </c>
      <c r="E1093" s="1">
        <v>2000</v>
      </c>
      <c r="F1093" s="1">
        <v>2001</v>
      </c>
      <c r="G1093" s="1">
        <v>2002</v>
      </c>
      <c r="H1093" s="1">
        <v>2003</v>
      </c>
      <c r="I1093" s="1">
        <v>2004</v>
      </c>
      <c r="J1093" s="1">
        <v>2005</v>
      </c>
      <c r="K1093" s="1">
        <v>2006</v>
      </c>
      <c r="L1093" s="1">
        <v>2007</v>
      </c>
      <c r="M1093" s="1">
        <v>2008</v>
      </c>
      <c r="N1093" s="1">
        <v>2009</v>
      </c>
      <c r="O1093" s="1">
        <v>2010</v>
      </c>
      <c r="P1093" s="1">
        <v>2011</v>
      </c>
      <c r="Q1093" s="1">
        <v>2012</v>
      </c>
      <c r="R1093" s="1">
        <v>2013</v>
      </c>
      <c r="S1093" s="1">
        <v>2014</v>
      </c>
      <c r="T1093" s="1">
        <v>2015</v>
      </c>
      <c r="U1093" s="1">
        <v>2016</v>
      </c>
      <c r="V1093" s="1">
        <v>2017</v>
      </c>
      <c r="W1093" s="1">
        <v>2018</v>
      </c>
      <c r="X1093" s="1">
        <v>2019</v>
      </c>
      <c r="Y1093" s="1">
        <v>2020</v>
      </c>
      <c r="Z1093" s="1">
        <v>2021</v>
      </c>
      <c r="AA1093" s="1">
        <v>2022</v>
      </c>
      <c r="AB1093" s="1">
        <v>2023</v>
      </c>
      <c r="AC1093" s="1">
        <v>2024</v>
      </c>
      <c r="AD1093" s="1">
        <v>2025</v>
      </c>
      <c r="AE1093" s="1">
        <v>2026</v>
      </c>
      <c r="AF1093" s="1">
        <v>2027</v>
      </c>
      <c r="AG1093" s="1">
        <v>2028</v>
      </c>
      <c r="AH1093" s="1">
        <v>2029</v>
      </c>
      <c r="AI1093" s="1">
        <v>2030</v>
      </c>
      <c r="AJ1093" s="1">
        <v>2031</v>
      </c>
      <c r="AK1093" s="1">
        <v>2032</v>
      </c>
      <c r="AL1093" s="1">
        <v>2033</v>
      </c>
      <c r="AM1093" s="1">
        <v>2034</v>
      </c>
      <c r="AN1093" s="1">
        <v>2035</v>
      </c>
      <c r="AO1093" s="1">
        <v>2036</v>
      </c>
      <c r="AP1093" s="1">
        <v>2037</v>
      </c>
      <c r="AQ1093" s="1">
        <v>2038</v>
      </c>
      <c r="AR1093" s="1">
        <v>2039</v>
      </c>
      <c r="AS1093" s="1">
        <v>2040</v>
      </c>
      <c r="AT1093" s="1">
        <v>2041</v>
      </c>
      <c r="AU1093" s="1">
        <v>2042</v>
      </c>
      <c r="AV1093" s="1">
        <v>2043</v>
      </c>
      <c r="AW1093" s="1">
        <v>2044</v>
      </c>
      <c r="AX1093" s="1">
        <v>2045</v>
      </c>
      <c r="AY1093" s="1">
        <v>2046</v>
      </c>
      <c r="AZ1093" s="1">
        <v>2047</v>
      </c>
      <c r="BA1093" s="1">
        <v>2048</v>
      </c>
      <c r="BB1093" s="1">
        <v>2049</v>
      </c>
      <c r="BC1093" s="1">
        <v>2050</v>
      </c>
    </row>
    <row r="1094" spans="1:55">
      <c r="A1094" s="1" t="str">
        <f>'Population Definitions'!$A$2</f>
        <v>PWID_males</v>
      </c>
      <c r="C1094" t="s">
        <v>32</v>
      </c>
      <c r="D1094" s="3"/>
      <c r="E1094" s="3">
        <v>0</v>
      </c>
      <c r="F1094" s="3"/>
      <c r="G1094" s="3"/>
      <c r="H1094" s="3"/>
      <c r="I1094" s="3"/>
      <c r="J1094" s="3"/>
      <c r="K1094" s="3"/>
      <c r="L1094" s="3"/>
      <c r="M1094" s="3"/>
      <c r="N1094" s="3"/>
      <c r="O1094" s="3"/>
      <c r="P1094" s="3"/>
      <c r="Q1094" s="3"/>
      <c r="R1094" s="3"/>
      <c r="S1094" s="3"/>
      <c r="T1094" s="3"/>
      <c r="U1094" s="3"/>
      <c r="V1094" s="3"/>
      <c r="W1094" s="3"/>
      <c r="X1094" s="3"/>
      <c r="Y1094" s="3"/>
      <c r="Z1094" s="3"/>
      <c r="AA1094" s="3"/>
      <c r="AB1094" s="3"/>
      <c r="AC1094" s="3"/>
      <c r="AD1094" s="3"/>
      <c r="AE1094" s="3"/>
      <c r="AF1094" s="3"/>
      <c r="AG1094" s="3"/>
      <c r="AH1094" s="3"/>
      <c r="AI1094" s="3"/>
      <c r="AJ1094" s="3"/>
      <c r="AK1094" s="3"/>
      <c r="AL1094" s="3"/>
      <c r="AM1094" s="3"/>
      <c r="AN1094" s="3"/>
      <c r="AO1094" s="3"/>
      <c r="AP1094" s="3"/>
      <c r="AQ1094" s="3"/>
      <c r="AR1094" s="3"/>
      <c r="AS1094" s="3"/>
      <c r="AT1094" s="3"/>
      <c r="AU1094" s="3"/>
      <c r="AV1094" s="3"/>
      <c r="AW1094" s="3"/>
      <c r="AX1094" s="3"/>
      <c r="AY1094" s="3"/>
      <c r="AZ1094" s="3"/>
      <c r="BA1094" s="3"/>
      <c r="BB1094" s="3"/>
      <c r="BC1094" s="3"/>
    </row>
    <row r="1095" spans="1:55">
      <c r="A1095" s="1" t="str">
        <f>'Population Definitions'!$A$3</f>
        <v>PWID_females</v>
      </c>
      <c r="C1095" t="s">
        <v>32</v>
      </c>
      <c r="D1095" s="3"/>
      <c r="E1095" s="3">
        <v>0</v>
      </c>
      <c r="F1095" s="3"/>
      <c r="G1095" s="3"/>
      <c r="H1095" s="3"/>
      <c r="I1095" s="3"/>
      <c r="J1095" s="3"/>
      <c r="K1095" s="3"/>
      <c r="L1095" s="3"/>
      <c r="M1095" s="3"/>
      <c r="N1095" s="3"/>
      <c r="O1095" s="3"/>
      <c r="P1095" s="3"/>
      <c r="Q1095" s="3"/>
      <c r="R1095" s="3"/>
      <c r="S1095" s="3"/>
      <c r="T1095" s="3"/>
      <c r="U1095" s="3"/>
      <c r="V1095" s="3"/>
      <c r="W1095" s="3"/>
      <c r="X1095" s="3"/>
      <c r="Y1095" s="3"/>
      <c r="Z1095" s="3"/>
      <c r="AA1095" s="3"/>
      <c r="AB1095" s="3"/>
      <c r="AC1095" s="3"/>
      <c r="AD1095" s="3"/>
      <c r="AE1095" s="3"/>
      <c r="AF1095" s="3"/>
      <c r="AG1095" s="3"/>
      <c r="AH1095" s="3"/>
      <c r="AI1095" s="3"/>
      <c r="AJ1095" s="3"/>
      <c r="AK1095" s="3"/>
      <c r="AL1095" s="3"/>
      <c r="AM1095" s="3"/>
      <c r="AN1095" s="3"/>
      <c r="AO1095" s="3"/>
      <c r="AP1095" s="3"/>
      <c r="AQ1095" s="3"/>
      <c r="AR1095" s="3"/>
      <c r="AS1095" s="3"/>
      <c r="AT1095" s="3"/>
      <c r="AU1095" s="3"/>
      <c r="AV1095" s="3"/>
      <c r="AW1095" s="3"/>
      <c r="AX1095" s="3"/>
      <c r="AY1095" s="3"/>
      <c r="AZ1095" s="3"/>
      <c r="BA1095" s="3"/>
      <c r="BB1095" s="3"/>
      <c r="BC1095" s="3"/>
    </row>
    <row r="1096" spans="1:55">
      <c r="A1096" s="1" t="str">
        <f>'Population Definitions'!$A$4</f>
        <v>0-9_males</v>
      </c>
      <c r="C1096" t="s">
        <v>32</v>
      </c>
      <c r="D1096" s="3"/>
      <c r="E1096" s="3">
        <v>0</v>
      </c>
      <c r="F1096" s="3"/>
      <c r="G1096" s="3"/>
      <c r="H1096" s="3"/>
      <c r="I1096" s="3"/>
      <c r="J1096" s="3"/>
      <c r="K1096" s="3"/>
      <c r="L1096" s="3"/>
      <c r="M1096" s="3"/>
      <c r="N1096" s="3"/>
      <c r="O1096" s="3"/>
      <c r="P1096" s="3"/>
      <c r="Q1096" s="3"/>
      <c r="R1096" s="3"/>
      <c r="S1096" s="3"/>
      <c r="T1096" s="3"/>
      <c r="U1096" s="3"/>
      <c r="V1096" s="3"/>
      <c r="W1096" s="3"/>
      <c r="X1096" s="3"/>
      <c r="Y1096" s="3"/>
      <c r="Z1096" s="3"/>
      <c r="AA1096" s="3"/>
      <c r="AB1096" s="3"/>
      <c r="AC1096" s="3"/>
      <c r="AD1096" s="3"/>
      <c r="AE1096" s="3"/>
      <c r="AF1096" s="3"/>
      <c r="AG1096" s="3"/>
      <c r="AH1096" s="3"/>
      <c r="AI1096" s="3"/>
      <c r="AJ1096" s="3"/>
      <c r="AK1096" s="3"/>
      <c r="AL1096" s="3"/>
      <c r="AM1096" s="3"/>
      <c r="AN1096" s="3"/>
      <c r="AO1096" s="3"/>
      <c r="AP1096" s="3"/>
      <c r="AQ1096" s="3"/>
      <c r="AR1096" s="3"/>
      <c r="AS1096" s="3"/>
      <c r="AT1096" s="3"/>
      <c r="AU1096" s="3"/>
      <c r="AV1096" s="3"/>
      <c r="AW1096" s="3"/>
      <c r="AX1096" s="3"/>
      <c r="AY1096" s="3"/>
      <c r="AZ1096" s="3"/>
      <c r="BA1096" s="3"/>
      <c r="BB1096" s="3"/>
      <c r="BC1096" s="3"/>
    </row>
    <row r="1097" spans="1:55">
      <c r="A1097" s="1" t="str">
        <f>'Population Definitions'!$A$5</f>
        <v>0-9_females</v>
      </c>
      <c r="C1097" t="s">
        <v>32</v>
      </c>
      <c r="D1097" s="3"/>
      <c r="E1097" s="3">
        <v>0</v>
      </c>
      <c r="F1097" s="3"/>
      <c r="G1097" s="3"/>
      <c r="H1097" s="3"/>
      <c r="I1097" s="3"/>
      <c r="J1097" s="3"/>
      <c r="K1097" s="3"/>
      <c r="L1097" s="3"/>
      <c r="M1097" s="3"/>
      <c r="N1097" s="3"/>
      <c r="O1097" s="3"/>
      <c r="P1097" s="3"/>
      <c r="Q1097" s="3"/>
      <c r="R1097" s="3"/>
      <c r="S1097" s="3"/>
      <c r="T1097" s="3"/>
      <c r="U1097" s="3"/>
      <c r="V1097" s="3"/>
      <c r="W1097" s="3"/>
      <c r="X1097" s="3"/>
      <c r="Y1097" s="3"/>
      <c r="Z1097" s="3"/>
      <c r="AA1097" s="3"/>
      <c r="AB1097" s="3"/>
      <c r="AC1097" s="3"/>
      <c r="AD1097" s="3"/>
      <c r="AE1097" s="3"/>
      <c r="AF1097" s="3"/>
      <c r="AG1097" s="3"/>
      <c r="AH1097" s="3"/>
      <c r="AI1097" s="3"/>
      <c r="AJ1097" s="3"/>
      <c r="AK1097" s="3"/>
      <c r="AL1097" s="3"/>
      <c r="AM1097" s="3"/>
      <c r="AN1097" s="3"/>
      <c r="AO1097" s="3"/>
      <c r="AP1097" s="3"/>
      <c r="AQ1097" s="3"/>
      <c r="AR1097" s="3"/>
      <c r="AS1097" s="3"/>
      <c r="AT1097" s="3"/>
      <c r="AU1097" s="3"/>
      <c r="AV1097" s="3"/>
      <c r="AW1097" s="3"/>
      <c r="AX1097" s="3"/>
      <c r="AY1097" s="3"/>
      <c r="AZ1097" s="3"/>
      <c r="BA1097" s="3"/>
      <c r="BB1097" s="3"/>
      <c r="BC1097" s="3"/>
    </row>
    <row r="1098" spans="1:55">
      <c r="A1098" s="1" t="str">
        <f>'Population Definitions'!$A$6</f>
        <v>10-17_males</v>
      </c>
      <c r="C1098" t="s">
        <v>32</v>
      </c>
      <c r="D1098" s="3"/>
      <c r="E1098" s="3">
        <v>0</v>
      </c>
      <c r="F1098" s="3"/>
      <c r="G1098" s="3"/>
      <c r="H1098" s="3"/>
      <c r="I1098" s="3"/>
      <c r="J1098" s="3"/>
      <c r="K1098" s="3"/>
      <c r="L1098" s="3"/>
      <c r="M1098" s="3"/>
      <c r="N1098" s="3"/>
      <c r="O1098" s="3"/>
      <c r="P1098" s="3"/>
      <c r="Q1098" s="3"/>
      <c r="R1098" s="3"/>
      <c r="S1098" s="3"/>
      <c r="T1098" s="3"/>
      <c r="U1098" s="3"/>
      <c r="V1098" s="3"/>
      <c r="W1098" s="3"/>
      <c r="X1098" s="3"/>
      <c r="Y1098" s="3"/>
      <c r="Z1098" s="3"/>
      <c r="AA1098" s="3"/>
      <c r="AB1098" s="3"/>
      <c r="AC1098" s="3"/>
      <c r="AD1098" s="3"/>
      <c r="AE1098" s="3"/>
      <c r="AF1098" s="3"/>
      <c r="AG1098" s="3"/>
      <c r="AH1098" s="3"/>
      <c r="AI1098" s="3"/>
      <c r="AJ1098" s="3"/>
      <c r="AK1098" s="3"/>
      <c r="AL1098" s="3"/>
      <c r="AM1098" s="3"/>
      <c r="AN1098" s="3"/>
      <c r="AO1098" s="3"/>
      <c r="AP1098" s="3"/>
      <c r="AQ1098" s="3"/>
      <c r="AR1098" s="3"/>
      <c r="AS1098" s="3"/>
      <c r="AT1098" s="3"/>
      <c r="AU1098" s="3"/>
      <c r="AV1098" s="3"/>
      <c r="AW1098" s="3"/>
      <c r="AX1098" s="3"/>
      <c r="AY1098" s="3"/>
      <c r="AZ1098" s="3"/>
      <c r="BA1098" s="3"/>
      <c r="BB1098" s="3"/>
      <c r="BC1098" s="3"/>
    </row>
    <row r="1099" spans="1:55">
      <c r="A1099" s="1" t="str">
        <f>'Population Definitions'!$A$7</f>
        <v>10-17_females</v>
      </c>
      <c r="C1099" t="s">
        <v>32</v>
      </c>
      <c r="D1099" s="3"/>
      <c r="E1099" s="3">
        <v>0</v>
      </c>
      <c r="F1099" s="3"/>
      <c r="G1099" s="3"/>
      <c r="H1099" s="3"/>
      <c r="I1099" s="3"/>
      <c r="J1099" s="3"/>
      <c r="K1099" s="3"/>
      <c r="L1099" s="3"/>
      <c r="M1099" s="3"/>
      <c r="N1099" s="3"/>
      <c r="O1099" s="3"/>
      <c r="P1099" s="3"/>
      <c r="Q1099" s="3"/>
      <c r="R1099" s="3"/>
      <c r="S1099" s="3"/>
      <c r="T1099" s="3"/>
      <c r="U1099" s="3"/>
      <c r="V1099" s="3"/>
      <c r="W1099" s="3"/>
      <c r="X1099" s="3"/>
      <c r="Y1099" s="3"/>
      <c r="Z1099" s="3"/>
      <c r="AA1099" s="3"/>
      <c r="AB1099" s="3"/>
      <c r="AC1099" s="3"/>
      <c r="AD1099" s="3"/>
      <c r="AE1099" s="3"/>
      <c r="AF1099" s="3"/>
      <c r="AG1099" s="3"/>
      <c r="AH1099" s="3"/>
      <c r="AI1099" s="3"/>
      <c r="AJ1099" s="3"/>
      <c r="AK1099" s="3"/>
      <c r="AL1099" s="3"/>
      <c r="AM1099" s="3"/>
      <c r="AN1099" s="3"/>
      <c r="AO1099" s="3"/>
      <c r="AP1099" s="3"/>
      <c r="AQ1099" s="3"/>
      <c r="AR1099" s="3"/>
      <c r="AS1099" s="3"/>
      <c r="AT1099" s="3"/>
      <c r="AU1099" s="3"/>
      <c r="AV1099" s="3"/>
      <c r="AW1099" s="3"/>
      <c r="AX1099" s="3"/>
      <c r="AY1099" s="3"/>
      <c r="AZ1099" s="3"/>
      <c r="BA1099" s="3"/>
      <c r="BB1099" s="3"/>
      <c r="BC1099" s="3"/>
    </row>
    <row r="1100" spans="1:55">
      <c r="A1100" s="1" t="str">
        <f>'Population Definitions'!$A$8</f>
        <v>18-64_males</v>
      </c>
      <c r="C1100" t="s">
        <v>32</v>
      </c>
      <c r="D1100" s="3"/>
      <c r="E1100" s="3">
        <v>0</v>
      </c>
      <c r="F1100" s="3"/>
      <c r="G1100" s="3"/>
      <c r="H1100" s="3"/>
      <c r="I1100" s="3"/>
      <c r="J1100" s="3"/>
      <c r="K1100" s="3"/>
      <c r="L1100" s="3"/>
      <c r="M1100" s="3"/>
      <c r="N1100" s="3"/>
      <c r="O1100" s="3"/>
      <c r="P1100" s="3"/>
      <c r="Q1100" s="3"/>
      <c r="R1100" s="3"/>
      <c r="S1100" s="3"/>
      <c r="T1100" s="3"/>
      <c r="U1100" s="3"/>
      <c r="V1100" s="3"/>
      <c r="W1100" s="3"/>
      <c r="X1100" s="3"/>
      <c r="Y1100" s="3"/>
      <c r="Z1100" s="3"/>
      <c r="AA1100" s="3"/>
      <c r="AB1100" s="3"/>
      <c r="AC1100" s="3"/>
      <c r="AD1100" s="3"/>
      <c r="AE1100" s="3"/>
      <c r="AF1100" s="3"/>
      <c r="AG1100" s="3"/>
      <c r="AH1100" s="3"/>
      <c r="AI1100" s="3"/>
      <c r="AJ1100" s="3"/>
      <c r="AK1100" s="3"/>
      <c r="AL1100" s="3"/>
      <c r="AM1100" s="3"/>
      <c r="AN1100" s="3"/>
      <c r="AO1100" s="3"/>
      <c r="AP1100" s="3"/>
      <c r="AQ1100" s="3"/>
      <c r="AR1100" s="3"/>
      <c r="AS1100" s="3"/>
      <c r="AT1100" s="3"/>
      <c r="AU1100" s="3"/>
      <c r="AV1100" s="3"/>
      <c r="AW1100" s="3"/>
      <c r="AX1100" s="3"/>
      <c r="AY1100" s="3"/>
      <c r="AZ1100" s="3"/>
      <c r="BA1100" s="3"/>
      <c r="BB1100" s="3"/>
      <c r="BC1100" s="3"/>
    </row>
    <row r="1101" spans="1:55">
      <c r="A1101" s="1" t="str">
        <f>'Population Definitions'!$A$9</f>
        <v>18-64_females</v>
      </c>
      <c r="C1101" t="s">
        <v>32</v>
      </c>
      <c r="D1101" s="3"/>
      <c r="E1101" s="3">
        <v>0</v>
      </c>
      <c r="F1101" s="3"/>
      <c r="G1101" s="3"/>
      <c r="H1101" s="3"/>
      <c r="I1101" s="3"/>
      <c r="J1101" s="3"/>
      <c r="K1101" s="3"/>
      <c r="L1101" s="3"/>
      <c r="M1101" s="3"/>
      <c r="N1101" s="3"/>
      <c r="O1101" s="3"/>
      <c r="P1101" s="3"/>
      <c r="Q1101" s="3"/>
      <c r="R1101" s="3"/>
      <c r="S1101" s="3"/>
      <c r="T1101" s="3"/>
      <c r="U1101" s="3"/>
      <c r="V1101" s="3"/>
      <c r="W1101" s="3"/>
      <c r="X1101" s="3"/>
      <c r="Y1101" s="3"/>
      <c r="Z1101" s="3"/>
      <c r="AA1101" s="3"/>
      <c r="AB1101" s="3"/>
      <c r="AC1101" s="3"/>
      <c r="AD1101" s="3"/>
      <c r="AE1101" s="3"/>
      <c r="AF1101" s="3"/>
      <c r="AG1101" s="3"/>
      <c r="AH1101" s="3"/>
      <c r="AI1101" s="3"/>
      <c r="AJ1101" s="3"/>
      <c r="AK1101" s="3"/>
      <c r="AL1101" s="3"/>
      <c r="AM1101" s="3"/>
      <c r="AN1101" s="3"/>
      <c r="AO1101" s="3"/>
      <c r="AP1101" s="3"/>
      <c r="AQ1101" s="3"/>
      <c r="AR1101" s="3"/>
      <c r="AS1101" s="3"/>
      <c r="AT1101" s="3"/>
      <c r="AU1101" s="3"/>
      <c r="AV1101" s="3"/>
      <c r="AW1101" s="3"/>
      <c r="AX1101" s="3"/>
      <c r="AY1101" s="3"/>
      <c r="AZ1101" s="3"/>
      <c r="BA1101" s="3"/>
      <c r="BB1101" s="3"/>
      <c r="BC1101" s="3"/>
    </row>
    <row r="1102" spans="1:55">
      <c r="A1102" s="1" t="str">
        <f>'Population Definitions'!$A$10</f>
        <v>65+_males</v>
      </c>
      <c r="C1102" t="s">
        <v>32</v>
      </c>
      <c r="D1102" s="3"/>
      <c r="E1102" s="3">
        <v>0</v>
      </c>
      <c r="F1102" s="3"/>
      <c r="G1102" s="3"/>
      <c r="H1102" s="3"/>
      <c r="I1102" s="3"/>
      <c r="J1102" s="3"/>
      <c r="K1102" s="3"/>
      <c r="L1102" s="3"/>
      <c r="M1102" s="3"/>
      <c r="N1102" s="3"/>
      <c r="O1102" s="3"/>
      <c r="P1102" s="3"/>
      <c r="Q1102" s="3"/>
      <c r="R1102" s="3"/>
      <c r="S1102" s="3"/>
      <c r="T1102" s="3"/>
      <c r="U1102" s="3"/>
      <c r="V1102" s="3"/>
      <c r="W1102" s="3"/>
      <c r="X1102" s="3"/>
      <c r="Y1102" s="3"/>
      <c r="Z1102" s="3"/>
      <c r="AA1102" s="3"/>
      <c r="AB1102" s="3"/>
      <c r="AC1102" s="3"/>
      <c r="AD1102" s="3"/>
      <c r="AE1102" s="3"/>
      <c r="AF1102" s="3"/>
      <c r="AG1102" s="3"/>
      <c r="AH1102" s="3"/>
      <c r="AI1102" s="3"/>
      <c r="AJ1102" s="3"/>
      <c r="AK1102" s="3"/>
      <c r="AL1102" s="3"/>
      <c r="AM1102" s="3"/>
      <c r="AN1102" s="3"/>
      <c r="AO1102" s="3"/>
      <c r="AP1102" s="3"/>
      <c r="AQ1102" s="3"/>
      <c r="AR1102" s="3"/>
      <c r="AS1102" s="3"/>
      <c r="AT1102" s="3"/>
      <c r="AU1102" s="3"/>
      <c r="AV1102" s="3"/>
      <c r="AW1102" s="3"/>
      <c r="AX1102" s="3"/>
      <c r="AY1102" s="3"/>
      <c r="AZ1102" s="3"/>
      <c r="BA1102" s="3"/>
      <c r="BB1102" s="3"/>
      <c r="BC1102" s="3"/>
    </row>
    <row r="1103" spans="1:55">
      <c r="A1103" s="1" t="str">
        <f>'Population Definitions'!$A$11</f>
        <v>65+_females</v>
      </c>
      <c r="C1103" t="s">
        <v>32</v>
      </c>
      <c r="D1103" s="3"/>
      <c r="E1103" s="3">
        <v>0</v>
      </c>
      <c r="F1103" s="3"/>
      <c r="G1103" s="3"/>
      <c r="H1103" s="3"/>
      <c r="I1103" s="3"/>
      <c r="J1103" s="3"/>
      <c r="K1103" s="3"/>
      <c r="L1103" s="3"/>
      <c r="M1103" s="3"/>
      <c r="N1103" s="3"/>
      <c r="O1103" s="3"/>
      <c r="P1103" s="3"/>
      <c r="Q1103" s="3"/>
      <c r="R1103" s="3"/>
      <c r="S1103" s="3"/>
      <c r="T1103" s="3"/>
      <c r="U1103" s="3"/>
      <c r="V1103" s="3"/>
      <c r="W1103" s="3"/>
      <c r="X1103" s="3"/>
      <c r="Y1103" s="3"/>
      <c r="Z1103" s="3"/>
      <c r="AA1103" s="3"/>
      <c r="AB1103" s="3"/>
      <c r="AC1103" s="3"/>
      <c r="AD1103" s="3"/>
      <c r="AE1103" s="3"/>
      <c r="AF1103" s="3"/>
      <c r="AG1103" s="3"/>
      <c r="AH1103" s="3"/>
      <c r="AI1103" s="3"/>
      <c r="AJ1103" s="3"/>
      <c r="AK1103" s="3"/>
      <c r="AL1103" s="3"/>
      <c r="AM1103" s="3"/>
      <c r="AN1103" s="3"/>
      <c r="AO1103" s="3"/>
      <c r="AP1103" s="3"/>
      <c r="AQ1103" s="3"/>
      <c r="AR1103" s="3"/>
      <c r="AS1103" s="3"/>
      <c r="AT1103" s="3"/>
      <c r="AU1103" s="3"/>
      <c r="AV1103" s="3"/>
      <c r="AW1103" s="3"/>
      <c r="AX1103" s="3"/>
      <c r="AY1103" s="3"/>
      <c r="AZ1103" s="3"/>
      <c r="BA1103" s="3"/>
      <c r="BB1103" s="3"/>
      <c r="BC1103" s="3"/>
    </row>
    <row r="1104" spans="1:55">
      <c r="A1104" s="1" t="str">
        <f>'Population Definitions'!$A$12</f>
        <v>Prisoners_males</v>
      </c>
      <c r="C1104" t="s">
        <v>32</v>
      </c>
      <c r="D1104" s="3"/>
      <c r="E1104" s="3">
        <v>0</v>
      </c>
      <c r="F1104" s="3"/>
      <c r="G1104" s="3"/>
      <c r="H1104" s="3"/>
      <c r="I1104" s="3"/>
      <c r="J1104" s="3"/>
      <c r="K1104" s="3"/>
      <c r="L1104" s="3"/>
      <c r="M1104" s="3"/>
      <c r="N1104" s="3"/>
      <c r="O1104" s="3"/>
      <c r="P1104" s="3"/>
      <c r="Q1104" s="3"/>
      <c r="R1104" s="3"/>
      <c r="S1104" s="3"/>
      <c r="T1104" s="3"/>
      <c r="U1104" s="3"/>
      <c r="V1104" s="3"/>
      <c r="W1104" s="3"/>
      <c r="X1104" s="3"/>
      <c r="Y1104" s="3"/>
      <c r="Z1104" s="3"/>
      <c r="AA1104" s="3"/>
      <c r="AB1104" s="3"/>
      <c r="AC1104" s="3"/>
      <c r="AD1104" s="3"/>
      <c r="AE1104" s="3"/>
      <c r="AF1104" s="3"/>
      <c r="AG1104" s="3"/>
      <c r="AH1104" s="3"/>
      <c r="AI1104" s="3"/>
      <c r="AJ1104" s="3"/>
      <c r="AK1104" s="3"/>
      <c r="AL1104" s="3"/>
      <c r="AM1104" s="3"/>
      <c r="AN1104" s="3"/>
      <c r="AO1104" s="3"/>
      <c r="AP1104" s="3"/>
      <c r="AQ1104" s="3"/>
      <c r="AR1104" s="3"/>
      <c r="AS1104" s="3"/>
      <c r="AT1104" s="3"/>
      <c r="AU1104" s="3"/>
      <c r="AV1104" s="3"/>
      <c r="AW1104" s="3"/>
      <c r="AX1104" s="3"/>
      <c r="AY1104" s="3"/>
      <c r="AZ1104" s="3"/>
      <c r="BA1104" s="3"/>
      <c r="BB1104" s="3"/>
      <c r="BC1104" s="3"/>
    </row>
    <row r="1105" spans="1:55">
      <c r="A1105" s="1" t="str">
        <f>'Population Definitions'!$A$13</f>
        <v>Prisoners_females</v>
      </c>
      <c r="C1105" t="s">
        <v>32</v>
      </c>
      <c r="D1105" s="3"/>
      <c r="E1105" s="3">
        <v>0</v>
      </c>
      <c r="F1105" s="3"/>
      <c r="G1105" s="3"/>
      <c r="H1105" s="3"/>
      <c r="I1105" s="3"/>
      <c r="J1105" s="3"/>
      <c r="K1105" s="3"/>
      <c r="L1105" s="3"/>
      <c r="M1105" s="3"/>
      <c r="N1105" s="3"/>
      <c r="O1105" s="3"/>
      <c r="P1105" s="3"/>
      <c r="Q1105" s="3"/>
      <c r="R1105" s="3"/>
      <c r="S1105" s="3"/>
      <c r="T1105" s="3"/>
      <c r="U1105" s="3"/>
      <c r="V1105" s="3"/>
      <c r="W1105" s="3"/>
      <c r="X1105" s="3"/>
      <c r="Y1105" s="3"/>
      <c r="Z1105" s="3"/>
      <c r="AA1105" s="3"/>
      <c r="AB1105" s="3"/>
      <c r="AC1105" s="3"/>
      <c r="AD1105" s="3"/>
      <c r="AE1105" s="3"/>
      <c r="AF1105" s="3"/>
      <c r="AG1105" s="3"/>
      <c r="AH1105" s="3"/>
      <c r="AI1105" s="3"/>
      <c r="AJ1105" s="3"/>
      <c r="AK1105" s="3"/>
      <c r="AL1105" s="3"/>
      <c r="AM1105" s="3"/>
      <c r="AN1105" s="3"/>
      <c r="AO1105" s="3"/>
      <c r="AP1105" s="3"/>
      <c r="AQ1105" s="3"/>
      <c r="AR1105" s="3"/>
      <c r="AS1105" s="3"/>
      <c r="AT1105" s="3"/>
      <c r="AU1105" s="3"/>
      <c r="AV1105" s="3"/>
      <c r="AW1105" s="3"/>
      <c r="AX1105" s="3"/>
      <c r="AY1105" s="3"/>
      <c r="AZ1105" s="3"/>
      <c r="BA1105" s="3"/>
      <c r="BB1105" s="3"/>
      <c r="BC1105" s="3"/>
    </row>
    <row r="1107" spans="1:55">
      <c r="A1107" s="1" t="s">
        <v>205</v>
      </c>
      <c r="B1107" s="1" t="s">
        <v>29</v>
      </c>
      <c r="C1107" s="1" t="s">
        <v>30</v>
      </c>
      <c r="D1107" s="1" t="s">
        <v>31</v>
      </c>
      <c r="E1107" s="1">
        <v>2000</v>
      </c>
      <c r="F1107" s="1">
        <v>2001</v>
      </c>
      <c r="G1107" s="1">
        <v>2002</v>
      </c>
      <c r="H1107" s="1">
        <v>2003</v>
      </c>
      <c r="I1107" s="1">
        <v>2004</v>
      </c>
      <c r="J1107" s="1">
        <v>2005</v>
      </c>
      <c r="K1107" s="1">
        <v>2006</v>
      </c>
      <c r="L1107" s="1">
        <v>2007</v>
      </c>
      <c r="M1107" s="1">
        <v>2008</v>
      </c>
      <c r="N1107" s="1">
        <v>2009</v>
      </c>
      <c r="O1107" s="1">
        <v>2010</v>
      </c>
      <c r="P1107" s="1">
        <v>2011</v>
      </c>
      <c r="Q1107" s="1">
        <v>2012</v>
      </c>
      <c r="R1107" s="1">
        <v>2013</v>
      </c>
      <c r="S1107" s="1">
        <v>2014</v>
      </c>
      <c r="T1107" s="1">
        <v>2015</v>
      </c>
      <c r="U1107" s="1">
        <v>2016</v>
      </c>
      <c r="V1107" s="1">
        <v>2017</v>
      </c>
      <c r="W1107" s="1">
        <v>2018</v>
      </c>
      <c r="X1107" s="1">
        <v>2019</v>
      </c>
      <c r="Y1107" s="1">
        <v>2020</v>
      </c>
      <c r="Z1107" s="1">
        <v>2021</v>
      </c>
      <c r="AA1107" s="1">
        <v>2022</v>
      </c>
      <c r="AB1107" s="1">
        <v>2023</v>
      </c>
      <c r="AC1107" s="1">
        <v>2024</v>
      </c>
      <c r="AD1107" s="1">
        <v>2025</v>
      </c>
      <c r="AE1107" s="1">
        <v>2026</v>
      </c>
      <c r="AF1107" s="1">
        <v>2027</v>
      </c>
      <c r="AG1107" s="1">
        <v>2028</v>
      </c>
      <c r="AH1107" s="1">
        <v>2029</v>
      </c>
      <c r="AI1107" s="1">
        <v>2030</v>
      </c>
      <c r="AJ1107" s="1">
        <v>2031</v>
      </c>
      <c r="AK1107" s="1">
        <v>2032</v>
      </c>
      <c r="AL1107" s="1">
        <v>2033</v>
      </c>
      <c r="AM1107" s="1">
        <v>2034</v>
      </c>
      <c r="AN1107" s="1">
        <v>2035</v>
      </c>
      <c r="AO1107" s="1">
        <v>2036</v>
      </c>
      <c r="AP1107" s="1">
        <v>2037</v>
      </c>
      <c r="AQ1107" s="1">
        <v>2038</v>
      </c>
      <c r="AR1107" s="1">
        <v>2039</v>
      </c>
      <c r="AS1107" s="1">
        <v>2040</v>
      </c>
      <c r="AT1107" s="1">
        <v>2041</v>
      </c>
      <c r="AU1107" s="1">
        <v>2042</v>
      </c>
      <c r="AV1107" s="1">
        <v>2043</v>
      </c>
      <c r="AW1107" s="1">
        <v>2044</v>
      </c>
      <c r="AX1107" s="1">
        <v>2045</v>
      </c>
      <c r="AY1107" s="1">
        <v>2046</v>
      </c>
      <c r="AZ1107" s="1">
        <v>2047</v>
      </c>
      <c r="BA1107" s="1">
        <v>2048</v>
      </c>
      <c r="BB1107" s="1">
        <v>2049</v>
      </c>
      <c r="BC1107" s="1">
        <v>2050</v>
      </c>
    </row>
    <row r="1108" spans="1:55">
      <c r="A1108" s="1" t="str">
        <f>'Population Definitions'!$A$2</f>
        <v>PWID_males</v>
      </c>
      <c r="C1108" t="s">
        <v>32</v>
      </c>
      <c r="D1108" s="3"/>
      <c r="E1108" s="3">
        <v>0</v>
      </c>
      <c r="F1108" s="3"/>
      <c r="G1108" s="3"/>
      <c r="H1108" s="3"/>
      <c r="I1108" s="3"/>
      <c r="J1108" s="3"/>
      <c r="K1108" s="3"/>
      <c r="L1108" s="3"/>
      <c r="M1108" s="3"/>
      <c r="N1108" s="3"/>
      <c r="O1108" s="3"/>
      <c r="P1108" s="3"/>
      <c r="Q1108" s="3"/>
      <c r="R1108" s="3"/>
      <c r="S1108" s="3"/>
      <c r="T1108" s="3"/>
      <c r="U1108" s="3"/>
      <c r="V1108" s="3"/>
      <c r="W1108" s="3"/>
      <c r="X1108" s="3"/>
      <c r="Y1108" s="3"/>
      <c r="Z1108" s="3"/>
      <c r="AA1108" s="3"/>
      <c r="AB1108" s="3"/>
      <c r="AC1108" s="3"/>
      <c r="AD1108" s="3"/>
      <c r="AE1108" s="3"/>
      <c r="AF1108" s="3"/>
      <c r="AG1108" s="3"/>
      <c r="AH1108" s="3"/>
      <c r="AI1108" s="3"/>
      <c r="AJ1108" s="3"/>
      <c r="AK1108" s="3"/>
      <c r="AL1108" s="3"/>
      <c r="AM1108" s="3"/>
      <c r="AN1108" s="3"/>
      <c r="AO1108" s="3"/>
      <c r="AP1108" s="3"/>
      <c r="AQ1108" s="3"/>
      <c r="AR1108" s="3"/>
      <c r="AS1108" s="3"/>
      <c r="AT1108" s="3"/>
      <c r="AU1108" s="3"/>
      <c r="AV1108" s="3"/>
      <c r="AW1108" s="3"/>
      <c r="AX1108" s="3"/>
      <c r="AY1108" s="3"/>
      <c r="AZ1108" s="3"/>
      <c r="BA1108" s="3"/>
      <c r="BB1108" s="3"/>
      <c r="BC1108" s="3"/>
    </row>
    <row r="1109" spans="1:55">
      <c r="A1109" s="1" t="str">
        <f>'Population Definitions'!$A$3</f>
        <v>PWID_females</v>
      </c>
      <c r="C1109" t="s">
        <v>32</v>
      </c>
      <c r="D1109" s="3"/>
      <c r="E1109" s="3">
        <v>0</v>
      </c>
      <c r="F1109" s="3"/>
      <c r="G1109" s="3"/>
      <c r="H1109" s="3"/>
      <c r="I1109" s="3"/>
      <c r="J1109" s="3"/>
      <c r="K1109" s="3"/>
      <c r="L1109" s="3"/>
      <c r="M1109" s="3"/>
      <c r="N1109" s="3"/>
      <c r="O1109" s="3"/>
      <c r="P1109" s="3"/>
      <c r="Q1109" s="3"/>
      <c r="R1109" s="3"/>
      <c r="S1109" s="3"/>
      <c r="T1109" s="3"/>
      <c r="U1109" s="3"/>
      <c r="V1109" s="3"/>
      <c r="W1109" s="3"/>
      <c r="X1109" s="3"/>
      <c r="Y1109" s="3"/>
      <c r="Z1109" s="3"/>
      <c r="AA1109" s="3"/>
      <c r="AB1109" s="3"/>
      <c r="AC1109" s="3"/>
      <c r="AD1109" s="3"/>
      <c r="AE1109" s="3"/>
      <c r="AF1109" s="3"/>
      <c r="AG1109" s="3"/>
      <c r="AH1109" s="3"/>
      <c r="AI1109" s="3"/>
      <c r="AJ1109" s="3"/>
      <c r="AK1109" s="3"/>
      <c r="AL1109" s="3"/>
      <c r="AM1109" s="3"/>
      <c r="AN1109" s="3"/>
      <c r="AO1109" s="3"/>
      <c r="AP1109" s="3"/>
      <c r="AQ1109" s="3"/>
      <c r="AR1109" s="3"/>
      <c r="AS1109" s="3"/>
      <c r="AT1109" s="3"/>
      <c r="AU1109" s="3"/>
      <c r="AV1109" s="3"/>
      <c r="AW1109" s="3"/>
      <c r="AX1109" s="3"/>
      <c r="AY1109" s="3"/>
      <c r="AZ1109" s="3"/>
      <c r="BA1109" s="3"/>
      <c r="BB1109" s="3"/>
      <c r="BC1109" s="3"/>
    </row>
    <row r="1110" spans="1:55">
      <c r="A1110" s="1" t="str">
        <f>'Population Definitions'!$A$4</f>
        <v>0-9_males</v>
      </c>
      <c r="C1110" t="s">
        <v>32</v>
      </c>
      <c r="D1110" s="3"/>
      <c r="E1110" s="3">
        <v>0</v>
      </c>
      <c r="F1110" s="3"/>
      <c r="G1110" s="3"/>
      <c r="H1110" s="3"/>
      <c r="I1110" s="3"/>
      <c r="J1110" s="3"/>
      <c r="K1110" s="3"/>
      <c r="L1110" s="3"/>
      <c r="M1110" s="3"/>
      <c r="N1110" s="3"/>
      <c r="O1110" s="3"/>
      <c r="P1110" s="3"/>
      <c r="Q1110" s="3"/>
      <c r="R1110" s="3"/>
      <c r="S1110" s="3"/>
      <c r="T1110" s="3"/>
      <c r="U1110" s="3"/>
      <c r="V1110" s="3"/>
      <c r="W1110" s="3"/>
      <c r="X1110" s="3"/>
      <c r="Y1110" s="3"/>
      <c r="Z1110" s="3"/>
      <c r="AA1110" s="3"/>
      <c r="AB1110" s="3"/>
      <c r="AC1110" s="3"/>
      <c r="AD1110" s="3"/>
      <c r="AE1110" s="3"/>
      <c r="AF1110" s="3"/>
      <c r="AG1110" s="3"/>
      <c r="AH1110" s="3"/>
      <c r="AI1110" s="3"/>
      <c r="AJ1110" s="3"/>
      <c r="AK1110" s="3"/>
      <c r="AL1110" s="3"/>
      <c r="AM1110" s="3"/>
      <c r="AN1110" s="3"/>
      <c r="AO1110" s="3"/>
      <c r="AP1110" s="3"/>
      <c r="AQ1110" s="3"/>
      <c r="AR1110" s="3"/>
      <c r="AS1110" s="3"/>
      <c r="AT1110" s="3"/>
      <c r="AU1110" s="3"/>
      <c r="AV1110" s="3"/>
      <c r="AW1110" s="3"/>
      <c r="AX1110" s="3"/>
      <c r="AY1110" s="3"/>
      <c r="AZ1110" s="3"/>
      <c r="BA1110" s="3"/>
      <c r="BB1110" s="3"/>
      <c r="BC1110" s="3"/>
    </row>
    <row r="1111" spans="1:55">
      <c r="A1111" s="1" t="str">
        <f>'Population Definitions'!$A$5</f>
        <v>0-9_females</v>
      </c>
      <c r="C1111" t="s">
        <v>32</v>
      </c>
      <c r="D1111" s="3"/>
      <c r="E1111" s="3">
        <v>0</v>
      </c>
      <c r="F1111" s="3"/>
      <c r="G1111" s="3"/>
      <c r="H1111" s="3"/>
      <c r="I1111" s="3"/>
      <c r="J1111" s="3"/>
      <c r="K1111" s="3"/>
      <c r="L1111" s="3"/>
      <c r="M1111" s="3"/>
      <c r="N1111" s="3"/>
      <c r="O1111" s="3"/>
      <c r="P1111" s="3"/>
      <c r="Q1111" s="3"/>
      <c r="R1111" s="3"/>
      <c r="S1111" s="3"/>
      <c r="T1111" s="3"/>
      <c r="U1111" s="3"/>
      <c r="V1111" s="3"/>
      <c r="W1111" s="3"/>
      <c r="X1111" s="3"/>
      <c r="Y1111" s="3"/>
      <c r="Z1111" s="3"/>
      <c r="AA1111" s="3"/>
      <c r="AB1111" s="3"/>
      <c r="AC1111" s="3"/>
      <c r="AD1111" s="3"/>
      <c r="AE1111" s="3"/>
      <c r="AF1111" s="3"/>
      <c r="AG1111" s="3"/>
      <c r="AH1111" s="3"/>
      <c r="AI1111" s="3"/>
      <c r="AJ1111" s="3"/>
      <c r="AK1111" s="3"/>
      <c r="AL1111" s="3"/>
      <c r="AM1111" s="3"/>
      <c r="AN1111" s="3"/>
      <c r="AO1111" s="3"/>
      <c r="AP1111" s="3"/>
      <c r="AQ1111" s="3"/>
      <c r="AR1111" s="3"/>
      <c r="AS1111" s="3"/>
      <c r="AT1111" s="3"/>
      <c r="AU1111" s="3"/>
      <c r="AV1111" s="3"/>
      <c r="AW1111" s="3"/>
      <c r="AX1111" s="3"/>
      <c r="AY1111" s="3"/>
      <c r="AZ1111" s="3"/>
      <c r="BA1111" s="3"/>
      <c r="BB1111" s="3"/>
      <c r="BC1111" s="3"/>
    </row>
    <row r="1112" spans="1:55">
      <c r="A1112" s="1" t="str">
        <f>'Population Definitions'!$A$6</f>
        <v>10-17_males</v>
      </c>
      <c r="C1112" t="s">
        <v>32</v>
      </c>
      <c r="D1112" s="3"/>
      <c r="E1112" s="3">
        <v>0</v>
      </c>
      <c r="F1112" s="3"/>
      <c r="G1112" s="3"/>
      <c r="H1112" s="3"/>
      <c r="I1112" s="3"/>
      <c r="J1112" s="3"/>
      <c r="K1112" s="3"/>
      <c r="L1112" s="3"/>
      <c r="M1112" s="3"/>
      <c r="N1112" s="3"/>
      <c r="O1112" s="3"/>
      <c r="P1112" s="3"/>
      <c r="Q1112" s="3"/>
      <c r="R1112" s="3"/>
      <c r="S1112" s="3"/>
      <c r="T1112" s="3"/>
      <c r="U1112" s="3"/>
      <c r="V1112" s="3"/>
      <c r="W1112" s="3"/>
      <c r="X1112" s="3"/>
      <c r="Y1112" s="3"/>
      <c r="Z1112" s="3"/>
      <c r="AA1112" s="3"/>
      <c r="AB1112" s="3"/>
      <c r="AC1112" s="3"/>
      <c r="AD1112" s="3"/>
      <c r="AE1112" s="3"/>
      <c r="AF1112" s="3"/>
      <c r="AG1112" s="3"/>
      <c r="AH1112" s="3"/>
      <c r="AI1112" s="3"/>
      <c r="AJ1112" s="3"/>
      <c r="AK1112" s="3"/>
      <c r="AL1112" s="3"/>
      <c r="AM1112" s="3"/>
      <c r="AN1112" s="3"/>
      <c r="AO1112" s="3"/>
      <c r="AP1112" s="3"/>
      <c r="AQ1112" s="3"/>
      <c r="AR1112" s="3"/>
      <c r="AS1112" s="3"/>
      <c r="AT1112" s="3"/>
      <c r="AU1112" s="3"/>
      <c r="AV1112" s="3"/>
      <c r="AW1112" s="3"/>
      <c r="AX1112" s="3"/>
      <c r="AY1112" s="3"/>
      <c r="AZ1112" s="3"/>
      <c r="BA1112" s="3"/>
      <c r="BB1112" s="3"/>
      <c r="BC1112" s="3"/>
    </row>
    <row r="1113" spans="1:55">
      <c r="A1113" s="1" t="str">
        <f>'Population Definitions'!$A$7</f>
        <v>10-17_females</v>
      </c>
      <c r="C1113" t="s">
        <v>32</v>
      </c>
      <c r="D1113" s="3"/>
      <c r="E1113" s="3">
        <v>0</v>
      </c>
      <c r="F1113" s="3"/>
      <c r="G1113" s="3"/>
      <c r="H1113" s="3"/>
      <c r="I1113" s="3"/>
      <c r="J1113" s="3"/>
      <c r="K1113" s="3"/>
      <c r="L1113" s="3"/>
      <c r="M1113" s="3"/>
      <c r="N1113" s="3"/>
      <c r="O1113" s="3"/>
      <c r="P1113" s="3"/>
      <c r="Q1113" s="3"/>
      <c r="R1113" s="3"/>
      <c r="S1113" s="3"/>
      <c r="T1113" s="3"/>
      <c r="U1113" s="3"/>
      <c r="V1113" s="3"/>
      <c r="W1113" s="3"/>
      <c r="X1113" s="3"/>
      <c r="Y1113" s="3"/>
      <c r="Z1113" s="3"/>
      <c r="AA1113" s="3"/>
      <c r="AB1113" s="3"/>
      <c r="AC1113" s="3"/>
      <c r="AD1113" s="3"/>
      <c r="AE1113" s="3"/>
      <c r="AF1113" s="3"/>
      <c r="AG1113" s="3"/>
      <c r="AH1113" s="3"/>
      <c r="AI1113" s="3"/>
      <c r="AJ1113" s="3"/>
      <c r="AK1113" s="3"/>
      <c r="AL1113" s="3"/>
      <c r="AM1113" s="3"/>
      <c r="AN1113" s="3"/>
      <c r="AO1113" s="3"/>
      <c r="AP1113" s="3"/>
      <c r="AQ1113" s="3"/>
      <c r="AR1113" s="3"/>
      <c r="AS1113" s="3"/>
      <c r="AT1113" s="3"/>
      <c r="AU1113" s="3"/>
      <c r="AV1113" s="3"/>
      <c r="AW1113" s="3"/>
      <c r="AX1113" s="3"/>
      <c r="AY1113" s="3"/>
      <c r="AZ1113" s="3"/>
      <c r="BA1113" s="3"/>
      <c r="BB1113" s="3"/>
      <c r="BC1113" s="3"/>
    </row>
    <row r="1114" spans="1:55">
      <c r="A1114" s="1" t="str">
        <f>'Population Definitions'!$A$8</f>
        <v>18-64_males</v>
      </c>
      <c r="C1114" t="s">
        <v>32</v>
      </c>
      <c r="D1114" s="3"/>
      <c r="E1114" s="3">
        <v>0</v>
      </c>
      <c r="F1114" s="3"/>
      <c r="G1114" s="3"/>
      <c r="H1114" s="3"/>
      <c r="I1114" s="3"/>
      <c r="J1114" s="3"/>
      <c r="K1114" s="3"/>
      <c r="L1114" s="3"/>
      <c r="M1114" s="3"/>
      <c r="N1114" s="3"/>
      <c r="O1114" s="3"/>
      <c r="P1114" s="3"/>
      <c r="Q1114" s="3"/>
      <c r="R1114" s="3"/>
      <c r="S1114" s="3"/>
      <c r="T1114" s="3"/>
      <c r="U1114" s="3"/>
      <c r="V1114" s="3"/>
      <c r="W1114" s="3"/>
      <c r="X1114" s="3"/>
      <c r="Y1114" s="3"/>
      <c r="Z1114" s="3"/>
      <c r="AA1114" s="3"/>
      <c r="AB1114" s="3"/>
      <c r="AC1114" s="3"/>
      <c r="AD1114" s="3"/>
      <c r="AE1114" s="3"/>
      <c r="AF1114" s="3"/>
      <c r="AG1114" s="3"/>
      <c r="AH1114" s="3"/>
      <c r="AI1114" s="3"/>
      <c r="AJ1114" s="3"/>
      <c r="AK1114" s="3"/>
      <c r="AL1114" s="3"/>
      <c r="AM1114" s="3"/>
      <c r="AN1114" s="3"/>
      <c r="AO1114" s="3"/>
      <c r="AP1114" s="3"/>
      <c r="AQ1114" s="3"/>
      <c r="AR1114" s="3"/>
      <c r="AS1114" s="3"/>
      <c r="AT1114" s="3"/>
      <c r="AU1114" s="3"/>
      <c r="AV1114" s="3"/>
      <c r="AW1114" s="3"/>
      <c r="AX1114" s="3"/>
      <c r="AY1114" s="3"/>
      <c r="AZ1114" s="3"/>
      <c r="BA1114" s="3"/>
      <c r="BB1114" s="3"/>
      <c r="BC1114" s="3"/>
    </row>
    <row r="1115" spans="1:55">
      <c r="A1115" s="1" t="str">
        <f>'Population Definitions'!$A$9</f>
        <v>18-64_females</v>
      </c>
      <c r="C1115" t="s">
        <v>32</v>
      </c>
      <c r="D1115" s="3"/>
      <c r="E1115" s="3">
        <v>0</v>
      </c>
      <c r="F1115" s="3"/>
      <c r="G1115" s="3"/>
      <c r="H1115" s="3"/>
      <c r="I1115" s="3"/>
      <c r="J1115" s="3"/>
      <c r="K1115" s="3"/>
      <c r="L1115" s="3"/>
      <c r="M1115" s="3"/>
      <c r="N1115" s="3"/>
      <c r="O1115" s="3"/>
      <c r="P1115" s="3"/>
      <c r="Q1115" s="3"/>
      <c r="R1115" s="3"/>
      <c r="S1115" s="3"/>
      <c r="T1115" s="3"/>
      <c r="U1115" s="3"/>
      <c r="V1115" s="3"/>
      <c r="W1115" s="3"/>
      <c r="X1115" s="3"/>
      <c r="Y1115" s="3"/>
      <c r="Z1115" s="3"/>
      <c r="AA1115" s="3"/>
      <c r="AB1115" s="3"/>
      <c r="AC1115" s="3"/>
      <c r="AD1115" s="3"/>
      <c r="AE1115" s="3"/>
      <c r="AF1115" s="3"/>
      <c r="AG1115" s="3"/>
      <c r="AH1115" s="3"/>
      <c r="AI1115" s="3"/>
      <c r="AJ1115" s="3"/>
      <c r="AK1115" s="3"/>
      <c r="AL1115" s="3"/>
      <c r="AM1115" s="3"/>
      <c r="AN1115" s="3"/>
      <c r="AO1115" s="3"/>
      <c r="AP1115" s="3"/>
      <c r="AQ1115" s="3"/>
      <c r="AR1115" s="3"/>
      <c r="AS1115" s="3"/>
      <c r="AT1115" s="3"/>
      <c r="AU1115" s="3"/>
      <c r="AV1115" s="3"/>
      <c r="AW1115" s="3"/>
      <c r="AX1115" s="3"/>
      <c r="AY1115" s="3"/>
      <c r="AZ1115" s="3"/>
      <c r="BA1115" s="3"/>
      <c r="BB1115" s="3"/>
      <c r="BC1115" s="3"/>
    </row>
    <row r="1116" spans="1:55">
      <c r="A1116" s="1" t="str">
        <f>'Population Definitions'!$A$10</f>
        <v>65+_males</v>
      </c>
      <c r="C1116" t="s">
        <v>32</v>
      </c>
      <c r="D1116" s="3"/>
      <c r="E1116" s="3">
        <v>0</v>
      </c>
      <c r="F1116" s="3"/>
      <c r="G1116" s="3"/>
      <c r="H1116" s="3"/>
      <c r="I1116" s="3"/>
      <c r="J1116" s="3"/>
      <c r="K1116" s="3"/>
      <c r="L1116" s="3"/>
      <c r="M1116" s="3"/>
      <c r="N1116" s="3"/>
      <c r="O1116" s="3"/>
      <c r="P1116" s="3"/>
      <c r="Q1116" s="3"/>
      <c r="R1116" s="3"/>
      <c r="S1116" s="3"/>
      <c r="T1116" s="3"/>
      <c r="U1116" s="3"/>
      <c r="V1116" s="3"/>
      <c r="W1116" s="3"/>
      <c r="X1116" s="3"/>
      <c r="Y1116" s="3"/>
      <c r="Z1116" s="3"/>
      <c r="AA1116" s="3"/>
      <c r="AB1116" s="3"/>
      <c r="AC1116" s="3"/>
      <c r="AD1116" s="3"/>
      <c r="AE1116" s="3"/>
      <c r="AF1116" s="3"/>
      <c r="AG1116" s="3"/>
      <c r="AH1116" s="3"/>
      <c r="AI1116" s="3"/>
      <c r="AJ1116" s="3"/>
      <c r="AK1116" s="3"/>
      <c r="AL1116" s="3"/>
      <c r="AM1116" s="3"/>
      <c r="AN1116" s="3"/>
      <c r="AO1116" s="3"/>
      <c r="AP1116" s="3"/>
      <c r="AQ1116" s="3"/>
      <c r="AR1116" s="3"/>
      <c r="AS1116" s="3"/>
      <c r="AT1116" s="3"/>
      <c r="AU1116" s="3"/>
      <c r="AV1116" s="3"/>
      <c r="AW1116" s="3"/>
      <c r="AX1116" s="3"/>
      <c r="AY1116" s="3"/>
      <c r="AZ1116" s="3"/>
      <c r="BA1116" s="3"/>
      <c r="BB1116" s="3"/>
      <c r="BC1116" s="3"/>
    </row>
    <row r="1117" spans="1:55">
      <c r="A1117" s="1" t="str">
        <f>'Population Definitions'!$A$11</f>
        <v>65+_females</v>
      </c>
      <c r="C1117" t="s">
        <v>32</v>
      </c>
      <c r="D1117" s="3"/>
      <c r="E1117" s="3">
        <v>0</v>
      </c>
      <c r="F1117" s="3"/>
      <c r="G1117" s="3"/>
      <c r="H1117" s="3"/>
      <c r="I1117" s="3"/>
      <c r="J1117" s="3"/>
      <c r="K1117" s="3"/>
      <c r="L1117" s="3"/>
      <c r="M1117" s="3"/>
      <c r="N1117" s="3"/>
      <c r="O1117" s="3"/>
      <c r="P1117" s="3"/>
      <c r="Q1117" s="3"/>
      <c r="R1117" s="3"/>
      <c r="S1117" s="3"/>
      <c r="T1117" s="3"/>
      <c r="U1117" s="3"/>
      <c r="V1117" s="3"/>
      <c r="W1117" s="3"/>
      <c r="X1117" s="3"/>
      <c r="Y1117" s="3"/>
      <c r="Z1117" s="3"/>
      <c r="AA1117" s="3"/>
      <c r="AB1117" s="3"/>
      <c r="AC1117" s="3"/>
      <c r="AD1117" s="3"/>
      <c r="AE1117" s="3"/>
      <c r="AF1117" s="3"/>
      <c r="AG1117" s="3"/>
      <c r="AH1117" s="3"/>
      <c r="AI1117" s="3"/>
      <c r="AJ1117" s="3"/>
      <c r="AK1117" s="3"/>
      <c r="AL1117" s="3"/>
      <c r="AM1117" s="3"/>
      <c r="AN1117" s="3"/>
      <c r="AO1117" s="3"/>
      <c r="AP1117" s="3"/>
      <c r="AQ1117" s="3"/>
      <c r="AR1117" s="3"/>
      <c r="AS1117" s="3"/>
      <c r="AT1117" s="3"/>
      <c r="AU1117" s="3"/>
      <c r="AV1117" s="3"/>
      <c r="AW1117" s="3"/>
      <c r="AX1117" s="3"/>
      <c r="AY1117" s="3"/>
      <c r="AZ1117" s="3"/>
      <c r="BA1117" s="3"/>
      <c r="BB1117" s="3"/>
      <c r="BC1117" s="3"/>
    </row>
    <row r="1118" spans="1:55">
      <c r="A1118" s="1" t="str">
        <f>'Population Definitions'!$A$12</f>
        <v>Prisoners_males</v>
      </c>
      <c r="C1118" t="s">
        <v>32</v>
      </c>
      <c r="D1118" s="3"/>
      <c r="E1118" s="3">
        <v>0</v>
      </c>
      <c r="F1118" s="3"/>
      <c r="G1118" s="3"/>
      <c r="H1118" s="3"/>
      <c r="I1118" s="3"/>
      <c r="J1118" s="3"/>
      <c r="K1118" s="3"/>
      <c r="L1118" s="3"/>
      <c r="M1118" s="3"/>
      <c r="N1118" s="3"/>
      <c r="O1118" s="3"/>
      <c r="P1118" s="3"/>
      <c r="Q1118" s="3"/>
      <c r="R1118" s="3"/>
      <c r="S1118" s="3"/>
      <c r="T1118" s="3"/>
      <c r="U1118" s="3"/>
      <c r="V1118" s="3"/>
      <c r="W1118" s="3"/>
      <c r="X1118" s="3"/>
      <c r="Y1118" s="3"/>
      <c r="Z1118" s="3"/>
      <c r="AA1118" s="3"/>
      <c r="AB1118" s="3"/>
      <c r="AC1118" s="3"/>
      <c r="AD1118" s="3"/>
      <c r="AE1118" s="3"/>
      <c r="AF1118" s="3"/>
      <c r="AG1118" s="3"/>
      <c r="AH1118" s="3"/>
      <c r="AI1118" s="3"/>
      <c r="AJ1118" s="3"/>
      <c r="AK1118" s="3"/>
      <c r="AL1118" s="3"/>
      <c r="AM1118" s="3"/>
      <c r="AN1118" s="3"/>
      <c r="AO1118" s="3"/>
      <c r="AP1118" s="3"/>
      <c r="AQ1118" s="3"/>
      <c r="AR1118" s="3"/>
      <c r="AS1118" s="3"/>
      <c r="AT1118" s="3"/>
      <c r="AU1118" s="3"/>
      <c r="AV1118" s="3"/>
      <c r="AW1118" s="3"/>
      <c r="AX1118" s="3"/>
      <c r="AY1118" s="3"/>
      <c r="AZ1118" s="3"/>
      <c r="BA1118" s="3"/>
      <c r="BB1118" s="3"/>
      <c r="BC1118" s="3"/>
    </row>
    <row r="1119" spans="1:55">
      <c r="A1119" s="1" t="str">
        <f>'Population Definitions'!$A$13</f>
        <v>Prisoners_females</v>
      </c>
      <c r="C1119" t="s">
        <v>32</v>
      </c>
      <c r="D1119" s="3"/>
      <c r="E1119" s="3">
        <v>0</v>
      </c>
      <c r="F1119" s="3"/>
      <c r="G1119" s="3"/>
      <c r="H1119" s="3"/>
      <c r="I1119" s="3"/>
      <c r="J1119" s="3"/>
      <c r="K1119" s="3"/>
      <c r="L1119" s="3"/>
      <c r="M1119" s="3"/>
      <c r="N1119" s="3"/>
      <c r="O1119" s="3"/>
      <c r="P1119" s="3"/>
      <c r="Q1119" s="3"/>
      <c r="R1119" s="3"/>
      <c r="S1119" s="3"/>
      <c r="T1119" s="3"/>
      <c r="U1119" s="3"/>
      <c r="V1119" s="3"/>
      <c r="W1119" s="3"/>
      <c r="X1119" s="3"/>
      <c r="Y1119" s="3"/>
      <c r="Z1119" s="3"/>
      <c r="AA1119" s="3"/>
      <c r="AB1119" s="3"/>
      <c r="AC1119" s="3"/>
      <c r="AD1119" s="3"/>
      <c r="AE1119" s="3"/>
      <c r="AF1119" s="3"/>
      <c r="AG1119" s="3"/>
      <c r="AH1119" s="3"/>
      <c r="AI1119" s="3"/>
      <c r="AJ1119" s="3"/>
      <c r="AK1119" s="3"/>
      <c r="AL1119" s="3"/>
      <c r="AM1119" s="3"/>
      <c r="AN1119" s="3"/>
      <c r="AO1119" s="3"/>
      <c r="AP1119" s="3"/>
      <c r="AQ1119" s="3"/>
      <c r="AR1119" s="3"/>
      <c r="AS1119" s="3"/>
      <c r="AT1119" s="3"/>
      <c r="AU1119" s="3"/>
      <c r="AV1119" s="3"/>
      <c r="AW1119" s="3"/>
      <c r="AX1119" s="3"/>
      <c r="AY1119" s="3"/>
      <c r="AZ1119" s="3"/>
      <c r="BA1119" s="3"/>
      <c r="BB1119" s="3"/>
      <c r="BC1119" s="3"/>
    </row>
    <row r="1121" spans="1:55">
      <c r="A1121" s="1" t="s">
        <v>206</v>
      </c>
      <c r="B1121" s="1" t="s">
        <v>29</v>
      </c>
      <c r="C1121" s="1" t="s">
        <v>30</v>
      </c>
      <c r="D1121" s="1" t="s">
        <v>31</v>
      </c>
      <c r="E1121" s="1">
        <v>2000</v>
      </c>
      <c r="F1121" s="1">
        <v>2001</v>
      </c>
      <c r="G1121" s="1">
        <v>2002</v>
      </c>
      <c r="H1121" s="1">
        <v>2003</v>
      </c>
      <c r="I1121" s="1">
        <v>2004</v>
      </c>
      <c r="J1121" s="1">
        <v>2005</v>
      </c>
      <c r="K1121" s="1">
        <v>2006</v>
      </c>
      <c r="L1121" s="1">
        <v>2007</v>
      </c>
      <c r="M1121" s="1">
        <v>2008</v>
      </c>
      <c r="N1121" s="1">
        <v>2009</v>
      </c>
      <c r="O1121" s="1">
        <v>2010</v>
      </c>
      <c r="P1121" s="1">
        <v>2011</v>
      </c>
      <c r="Q1121" s="1">
        <v>2012</v>
      </c>
      <c r="R1121" s="1">
        <v>2013</v>
      </c>
      <c r="S1121" s="1">
        <v>2014</v>
      </c>
      <c r="T1121" s="1">
        <v>2015</v>
      </c>
      <c r="U1121" s="1">
        <v>2016</v>
      </c>
      <c r="V1121" s="1">
        <v>2017</v>
      </c>
      <c r="W1121" s="1">
        <v>2018</v>
      </c>
      <c r="X1121" s="1">
        <v>2019</v>
      </c>
      <c r="Y1121" s="1">
        <v>2020</v>
      </c>
      <c r="Z1121" s="1">
        <v>2021</v>
      </c>
      <c r="AA1121" s="1">
        <v>2022</v>
      </c>
      <c r="AB1121" s="1">
        <v>2023</v>
      </c>
      <c r="AC1121" s="1">
        <v>2024</v>
      </c>
      <c r="AD1121" s="1">
        <v>2025</v>
      </c>
      <c r="AE1121" s="1">
        <v>2026</v>
      </c>
      <c r="AF1121" s="1">
        <v>2027</v>
      </c>
      <c r="AG1121" s="1">
        <v>2028</v>
      </c>
      <c r="AH1121" s="1">
        <v>2029</v>
      </c>
      <c r="AI1121" s="1">
        <v>2030</v>
      </c>
      <c r="AJ1121" s="1">
        <v>2031</v>
      </c>
      <c r="AK1121" s="1">
        <v>2032</v>
      </c>
      <c r="AL1121" s="1">
        <v>2033</v>
      </c>
      <c r="AM1121" s="1">
        <v>2034</v>
      </c>
      <c r="AN1121" s="1">
        <v>2035</v>
      </c>
      <c r="AO1121" s="1">
        <v>2036</v>
      </c>
      <c r="AP1121" s="1">
        <v>2037</v>
      </c>
      <c r="AQ1121" s="1">
        <v>2038</v>
      </c>
      <c r="AR1121" s="1">
        <v>2039</v>
      </c>
      <c r="AS1121" s="1">
        <v>2040</v>
      </c>
      <c r="AT1121" s="1">
        <v>2041</v>
      </c>
      <c r="AU1121" s="1">
        <v>2042</v>
      </c>
      <c r="AV1121" s="1">
        <v>2043</v>
      </c>
      <c r="AW1121" s="1">
        <v>2044</v>
      </c>
      <c r="AX1121" s="1">
        <v>2045</v>
      </c>
      <c r="AY1121" s="1">
        <v>2046</v>
      </c>
      <c r="AZ1121" s="1">
        <v>2047</v>
      </c>
      <c r="BA1121" s="1">
        <v>2048</v>
      </c>
      <c r="BB1121" s="1">
        <v>2049</v>
      </c>
      <c r="BC1121" s="1">
        <v>2050</v>
      </c>
    </row>
    <row r="1122" spans="1:55">
      <c r="A1122" s="1" t="str">
        <f>'Population Definitions'!$A$2</f>
        <v>PWID_males</v>
      </c>
      <c r="C1122" t="s">
        <v>32</v>
      </c>
      <c r="D1122" s="3"/>
      <c r="E1122" s="3">
        <v>0</v>
      </c>
      <c r="F1122" s="3"/>
      <c r="G1122" s="3"/>
      <c r="H1122" s="3"/>
      <c r="I1122" s="3"/>
      <c r="J1122" s="3"/>
      <c r="K1122" s="3"/>
      <c r="L1122" s="3"/>
      <c r="M1122" s="3"/>
      <c r="N1122" s="3"/>
      <c r="O1122" s="3"/>
      <c r="P1122" s="3"/>
      <c r="Q1122" s="3"/>
      <c r="R1122" s="3"/>
      <c r="S1122" s="3"/>
      <c r="T1122" s="3"/>
      <c r="U1122" s="3"/>
      <c r="V1122" s="3"/>
      <c r="W1122" s="3"/>
      <c r="X1122" s="3"/>
      <c r="Y1122" s="3"/>
      <c r="Z1122" s="3"/>
      <c r="AA1122" s="3"/>
      <c r="AB1122" s="3"/>
      <c r="AC1122" s="3"/>
      <c r="AD1122" s="3"/>
      <c r="AE1122" s="3"/>
      <c r="AF1122" s="3"/>
      <c r="AG1122" s="3"/>
      <c r="AH1122" s="3"/>
      <c r="AI1122" s="3"/>
      <c r="AJ1122" s="3"/>
      <c r="AK1122" s="3"/>
      <c r="AL1122" s="3"/>
      <c r="AM1122" s="3"/>
      <c r="AN1122" s="3"/>
      <c r="AO1122" s="3"/>
      <c r="AP1122" s="3"/>
      <c r="AQ1122" s="3"/>
      <c r="AR1122" s="3"/>
      <c r="AS1122" s="3"/>
      <c r="AT1122" s="3"/>
      <c r="AU1122" s="3"/>
      <c r="AV1122" s="3"/>
      <c r="AW1122" s="3"/>
      <c r="AX1122" s="3"/>
      <c r="AY1122" s="3"/>
      <c r="AZ1122" s="3"/>
      <c r="BA1122" s="3"/>
      <c r="BB1122" s="3"/>
      <c r="BC1122" s="3"/>
    </row>
    <row r="1123" spans="1:55">
      <c r="A1123" s="1" t="str">
        <f>'Population Definitions'!$A$3</f>
        <v>PWID_females</v>
      </c>
      <c r="C1123" t="s">
        <v>32</v>
      </c>
      <c r="D1123" s="3"/>
      <c r="E1123" s="3">
        <v>0</v>
      </c>
      <c r="F1123" s="3"/>
      <c r="G1123" s="3"/>
      <c r="H1123" s="3"/>
      <c r="I1123" s="3"/>
      <c r="J1123" s="3"/>
      <c r="K1123" s="3"/>
      <c r="L1123" s="3"/>
      <c r="M1123" s="3"/>
      <c r="N1123" s="3"/>
      <c r="O1123" s="3"/>
      <c r="P1123" s="3"/>
      <c r="Q1123" s="3"/>
      <c r="R1123" s="3"/>
      <c r="S1123" s="3"/>
      <c r="T1123" s="3"/>
      <c r="U1123" s="3"/>
      <c r="V1123" s="3"/>
      <c r="W1123" s="3"/>
      <c r="X1123" s="3"/>
      <c r="Y1123" s="3"/>
      <c r="Z1123" s="3"/>
      <c r="AA1123" s="3"/>
      <c r="AB1123" s="3"/>
      <c r="AC1123" s="3"/>
      <c r="AD1123" s="3"/>
      <c r="AE1123" s="3"/>
      <c r="AF1123" s="3"/>
      <c r="AG1123" s="3"/>
      <c r="AH1123" s="3"/>
      <c r="AI1123" s="3"/>
      <c r="AJ1123" s="3"/>
      <c r="AK1123" s="3"/>
      <c r="AL1123" s="3"/>
      <c r="AM1123" s="3"/>
      <c r="AN1123" s="3"/>
      <c r="AO1123" s="3"/>
      <c r="AP1123" s="3"/>
      <c r="AQ1123" s="3"/>
      <c r="AR1123" s="3"/>
      <c r="AS1123" s="3"/>
      <c r="AT1123" s="3"/>
      <c r="AU1123" s="3"/>
      <c r="AV1123" s="3"/>
      <c r="AW1123" s="3"/>
      <c r="AX1123" s="3"/>
      <c r="AY1123" s="3"/>
      <c r="AZ1123" s="3"/>
      <c r="BA1123" s="3"/>
      <c r="BB1123" s="3"/>
      <c r="BC1123" s="3"/>
    </row>
    <row r="1124" spans="1:55">
      <c r="A1124" s="1" t="str">
        <f>'Population Definitions'!$A$4</f>
        <v>0-9_males</v>
      </c>
      <c r="C1124" t="s">
        <v>32</v>
      </c>
      <c r="D1124" s="3"/>
      <c r="E1124" s="3">
        <v>0</v>
      </c>
      <c r="F1124" s="3"/>
      <c r="G1124" s="3"/>
      <c r="H1124" s="3"/>
      <c r="I1124" s="3"/>
      <c r="J1124" s="3"/>
      <c r="K1124" s="3"/>
      <c r="L1124" s="3"/>
      <c r="M1124" s="3"/>
      <c r="N1124" s="3"/>
      <c r="O1124" s="3"/>
      <c r="P1124" s="3"/>
      <c r="Q1124" s="3"/>
      <c r="R1124" s="3"/>
      <c r="S1124" s="3"/>
      <c r="T1124" s="3"/>
      <c r="U1124" s="3"/>
      <c r="V1124" s="3"/>
      <c r="W1124" s="3"/>
      <c r="X1124" s="3"/>
      <c r="Y1124" s="3"/>
      <c r="Z1124" s="3"/>
      <c r="AA1124" s="3"/>
      <c r="AB1124" s="3"/>
      <c r="AC1124" s="3"/>
      <c r="AD1124" s="3"/>
      <c r="AE1124" s="3"/>
      <c r="AF1124" s="3"/>
      <c r="AG1124" s="3"/>
      <c r="AH1124" s="3"/>
      <c r="AI1124" s="3"/>
      <c r="AJ1124" s="3"/>
      <c r="AK1124" s="3"/>
      <c r="AL1124" s="3"/>
      <c r="AM1124" s="3"/>
      <c r="AN1124" s="3"/>
      <c r="AO1124" s="3"/>
      <c r="AP1124" s="3"/>
      <c r="AQ1124" s="3"/>
      <c r="AR1124" s="3"/>
      <c r="AS1124" s="3"/>
      <c r="AT1124" s="3"/>
      <c r="AU1124" s="3"/>
      <c r="AV1124" s="3"/>
      <c r="AW1124" s="3"/>
      <c r="AX1124" s="3"/>
      <c r="AY1124" s="3"/>
      <c r="AZ1124" s="3"/>
      <c r="BA1124" s="3"/>
      <c r="BB1124" s="3"/>
      <c r="BC1124" s="3"/>
    </row>
    <row r="1125" spans="1:55">
      <c r="A1125" s="1" t="str">
        <f>'Population Definitions'!$A$5</f>
        <v>0-9_females</v>
      </c>
      <c r="C1125" t="s">
        <v>32</v>
      </c>
      <c r="D1125" s="3"/>
      <c r="E1125" s="3">
        <v>0</v>
      </c>
      <c r="F1125" s="3"/>
      <c r="G1125" s="3"/>
      <c r="H1125" s="3"/>
      <c r="I1125" s="3"/>
      <c r="J1125" s="3"/>
      <c r="K1125" s="3"/>
      <c r="L1125" s="3"/>
      <c r="M1125" s="3"/>
      <c r="N1125" s="3"/>
      <c r="O1125" s="3"/>
      <c r="P1125" s="3"/>
      <c r="Q1125" s="3"/>
      <c r="R1125" s="3"/>
      <c r="S1125" s="3"/>
      <c r="T1125" s="3"/>
      <c r="U1125" s="3"/>
      <c r="V1125" s="3"/>
      <c r="W1125" s="3"/>
      <c r="X1125" s="3"/>
      <c r="Y1125" s="3"/>
      <c r="Z1125" s="3"/>
      <c r="AA1125" s="3"/>
      <c r="AB1125" s="3"/>
      <c r="AC1125" s="3"/>
      <c r="AD1125" s="3"/>
      <c r="AE1125" s="3"/>
      <c r="AF1125" s="3"/>
      <c r="AG1125" s="3"/>
      <c r="AH1125" s="3"/>
      <c r="AI1125" s="3"/>
      <c r="AJ1125" s="3"/>
      <c r="AK1125" s="3"/>
      <c r="AL1125" s="3"/>
      <c r="AM1125" s="3"/>
      <c r="AN1125" s="3"/>
      <c r="AO1125" s="3"/>
      <c r="AP1125" s="3"/>
      <c r="AQ1125" s="3"/>
      <c r="AR1125" s="3"/>
      <c r="AS1125" s="3"/>
      <c r="AT1125" s="3"/>
      <c r="AU1125" s="3"/>
      <c r="AV1125" s="3"/>
      <c r="AW1125" s="3"/>
      <c r="AX1125" s="3"/>
      <c r="AY1125" s="3"/>
      <c r="AZ1125" s="3"/>
      <c r="BA1125" s="3"/>
      <c r="BB1125" s="3"/>
      <c r="BC1125" s="3"/>
    </row>
    <row r="1126" spans="1:55">
      <c r="A1126" s="1" t="str">
        <f>'Population Definitions'!$A$6</f>
        <v>10-17_males</v>
      </c>
      <c r="C1126" t="s">
        <v>32</v>
      </c>
      <c r="D1126" s="3"/>
      <c r="E1126" s="3">
        <v>0</v>
      </c>
      <c r="F1126" s="3"/>
      <c r="G1126" s="3"/>
      <c r="H1126" s="3"/>
      <c r="I1126" s="3"/>
      <c r="J1126" s="3"/>
      <c r="K1126" s="3"/>
      <c r="L1126" s="3"/>
      <c r="M1126" s="3"/>
      <c r="N1126" s="3"/>
      <c r="O1126" s="3"/>
      <c r="P1126" s="3"/>
      <c r="Q1126" s="3"/>
      <c r="R1126" s="3"/>
      <c r="S1126" s="3"/>
      <c r="T1126" s="3"/>
      <c r="U1126" s="3"/>
      <c r="V1126" s="3"/>
      <c r="W1126" s="3"/>
      <c r="X1126" s="3"/>
      <c r="Y1126" s="3"/>
      <c r="Z1126" s="3"/>
      <c r="AA1126" s="3"/>
      <c r="AB1126" s="3"/>
      <c r="AC1126" s="3"/>
      <c r="AD1126" s="3"/>
      <c r="AE1126" s="3"/>
      <c r="AF1126" s="3"/>
      <c r="AG1126" s="3"/>
      <c r="AH1126" s="3"/>
      <c r="AI1126" s="3"/>
      <c r="AJ1126" s="3"/>
      <c r="AK1126" s="3"/>
      <c r="AL1126" s="3"/>
      <c r="AM1126" s="3"/>
      <c r="AN1126" s="3"/>
      <c r="AO1126" s="3"/>
      <c r="AP1126" s="3"/>
      <c r="AQ1126" s="3"/>
      <c r="AR1126" s="3"/>
      <c r="AS1126" s="3"/>
      <c r="AT1126" s="3"/>
      <c r="AU1126" s="3"/>
      <c r="AV1126" s="3"/>
      <c r="AW1126" s="3"/>
      <c r="AX1126" s="3"/>
      <c r="AY1126" s="3"/>
      <c r="AZ1126" s="3"/>
      <c r="BA1126" s="3"/>
      <c r="BB1126" s="3"/>
      <c r="BC1126" s="3"/>
    </row>
    <row r="1127" spans="1:55">
      <c r="A1127" s="1" t="str">
        <f>'Population Definitions'!$A$7</f>
        <v>10-17_females</v>
      </c>
      <c r="C1127" t="s">
        <v>32</v>
      </c>
      <c r="D1127" s="3"/>
      <c r="E1127" s="3">
        <v>0</v>
      </c>
      <c r="F1127" s="3"/>
      <c r="G1127" s="3"/>
      <c r="H1127" s="3"/>
      <c r="I1127" s="3"/>
      <c r="J1127" s="3"/>
      <c r="K1127" s="3"/>
      <c r="L1127" s="3"/>
      <c r="M1127" s="3"/>
      <c r="N1127" s="3"/>
      <c r="O1127" s="3"/>
      <c r="P1127" s="3"/>
      <c r="Q1127" s="3"/>
      <c r="R1127" s="3"/>
      <c r="S1127" s="3"/>
      <c r="T1127" s="3"/>
      <c r="U1127" s="3"/>
      <c r="V1127" s="3"/>
      <c r="W1127" s="3"/>
      <c r="X1127" s="3"/>
      <c r="Y1127" s="3"/>
      <c r="Z1127" s="3"/>
      <c r="AA1127" s="3"/>
      <c r="AB1127" s="3"/>
      <c r="AC1127" s="3"/>
      <c r="AD1127" s="3"/>
      <c r="AE1127" s="3"/>
      <c r="AF1127" s="3"/>
      <c r="AG1127" s="3"/>
      <c r="AH1127" s="3"/>
      <c r="AI1127" s="3"/>
      <c r="AJ1127" s="3"/>
      <c r="AK1127" s="3"/>
      <c r="AL1127" s="3"/>
      <c r="AM1127" s="3"/>
      <c r="AN1127" s="3"/>
      <c r="AO1127" s="3"/>
      <c r="AP1127" s="3"/>
      <c r="AQ1127" s="3"/>
      <c r="AR1127" s="3"/>
      <c r="AS1127" s="3"/>
      <c r="AT1127" s="3"/>
      <c r="AU1127" s="3"/>
      <c r="AV1127" s="3"/>
      <c r="AW1127" s="3"/>
      <c r="AX1127" s="3"/>
      <c r="AY1127" s="3"/>
      <c r="AZ1127" s="3"/>
      <c r="BA1127" s="3"/>
      <c r="BB1127" s="3"/>
      <c r="BC1127" s="3"/>
    </row>
    <row r="1128" spans="1:55">
      <c r="A1128" s="1" t="str">
        <f>'Population Definitions'!$A$8</f>
        <v>18-64_males</v>
      </c>
      <c r="C1128" t="s">
        <v>32</v>
      </c>
      <c r="D1128" s="3"/>
      <c r="E1128" s="3">
        <v>0</v>
      </c>
      <c r="F1128" s="3"/>
      <c r="G1128" s="3"/>
      <c r="H1128" s="3"/>
      <c r="I1128" s="3"/>
      <c r="J1128" s="3"/>
      <c r="K1128" s="3"/>
      <c r="L1128" s="3"/>
      <c r="M1128" s="3"/>
      <c r="N1128" s="3"/>
      <c r="O1128" s="3"/>
      <c r="P1128" s="3"/>
      <c r="Q1128" s="3"/>
      <c r="R1128" s="3"/>
      <c r="S1128" s="3"/>
      <c r="T1128" s="3"/>
      <c r="U1128" s="3"/>
      <c r="V1128" s="3"/>
      <c r="W1128" s="3"/>
      <c r="X1128" s="3"/>
      <c r="Y1128" s="3"/>
      <c r="Z1128" s="3"/>
      <c r="AA1128" s="3"/>
      <c r="AB1128" s="3"/>
      <c r="AC1128" s="3"/>
      <c r="AD1128" s="3"/>
      <c r="AE1128" s="3"/>
      <c r="AF1128" s="3"/>
      <c r="AG1128" s="3"/>
      <c r="AH1128" s="3"/>
      <c r="AI1128" s="3"/>
      <c r="AJ1128" s="3"/>
      <c r="AK1128" s="3"/>
      <c r="AL1128" s="3"/>
      <c r="AM1128" s="3"/>
      <c r="AN1128" s="3"/>
      <c r="AO1128" s="3"/>
      <c r="AP1128" s="3"/>
      <c r="AQ1128" s="3"/>
      <c r="AR1128" s="3"/>
      <c r="AS1128" s="3"/>
      <c r="AT1128" s="3"/>
      <c r="AU1128" s="3"/>
      <c r="AV1128" s="3"/>
      <c r="AW1128" s="3"/>
      <c r="AX1128" s="3"/>
      <c r="AY1128" s="3"/>
      <c r="AZ1128" s="3"/>
      <c r="BA1128" s="3"/>
      <c r="BB1128" s="3"/>
      <c r="BC1128" s="3"/>
    </row>
    <row r="1129" spans="1:55">
      <c r="A1129" s="1" t="str">
        <f>'Population Definitions'!$A$9</f>
        <v>18-64_females</v>
      </c>
      <c r="C1129" t="s">
        <v>32</v>
      </c>
      <c r="D1129" s="3"/>
      <c r="E1129" s="3">
        <v>0</v>
      </c>
      <c r="F1129" s="3"/>
      <c r="G1129" s="3"/>
      <c r="H1129" s="3"/>
      <c r="I1129" s="3"/>
      <c r="J1129" s="3"/>
      <c r="K1129" s="3"/>
      <c r="L1129" s="3"/>
      <c r="M1129" s="3"/>
      <c r="N1129" s="3"/>
      <c r="O1129" s="3"/>
      <c r="P1129" s="3"/>
      <c r="Q1129" s="3"/>
      <c r="R1129" s="3"/>
      <c r="S1129" s="3"/>
      <c r="T1129" s="3"/>
      <c r="U1129" s="3"/>
      <c r="V1129" s="3"/>
      <c r="W1129" s="3"/>
      <c r="X1129" s="3"/>
      <c r="Y1129" s="3"/>
      <c r="Z1129" s="3"/>
      <c r="AA1129" s="3"/>
      <c r="AB1129" s="3"/>
      <c r="AC1129" s="3"/>
      <c r="AD1129" s="3"/>
      <c r="AE1129" s="3"/>
      <c r="AF1129" s="3"/>
      <c r="AG1129" s="3"/>
      <c r="AH1129" s="3"/>
      <c r="AI1129" s="3"/>
      <c r="AJ1129" s="3"/>
      <c r="AK1129" s="3"/>
      <c r="AL1129" s="3"/>
      <c r="AM1129" s="3"/>
      <c r="AN1129" s="3"/>
      <c r="AO1129" s="3"/>
      <c r="AP1129" s="3"/>
      <c r="AQ1129" s="3"/>
      <c r="AR1129" s="3"/>
      <c r="AS1129" s="3"/>
      <c r="AT1129" s="3"/>
      <c r="AU1129" s="3"/>
      <c r="AV1129" s="3"/>
      <c r="AW1129" s="3"/>
      <c r="AX1129" s="3"/>
      <c r="AY1129" s="3"/>
      <c r="AZ1129" s="3"/>
      <c r="BA1129" s="3"/>
      <c r="BB1129" s="3"/>
      <c r="BC1129" s="3"/>
    </row>
    <row r="1130" spans="1:55">
      <c r="A1130" s="1" t="str">
        <f>'Population Definitions'!$A$10</f>
        <v>65+_males</v>
      </c>
      <c r="C1130" t="s">
        <v>32</v>
      </c>
      <c r="D1130" s="3"/>
      <c r="E1130" s="3">
        <v>0</v>
      </c>
      <c r="F1130" s="3"/>
      <c r="G1130" s="3"/>
      <c r="H1130" s="3"/>
      <c r="I1130" s="3"/>
      <c r="J1130" s="3"/>
      <c r="K1130" s="3"/>
      <c r="L1130" s="3"/>
      <c r="M1130" s="3"/>
      <c r="N1130" s="3"/>
      <c r="O1130" s="3"/>
      <c r="P1130" s="3"/>
      <c r="Q1130" s="3"/>
      <c r="R1130" s="3"/>
      <c r="S1130" s="3"/>
      <c r="T1130" s="3"/>
      <c r="U1130" s="3"/>
      <c r="V1130" s="3"/>
      <c r="W1130" s="3"/>
      <c r="X1130" s="3"/>
      <c r="Y1130" s="3"/>
      <c r="Z1130" s="3"/>
      <c r="AA1130" s="3"/>
      <c r="AB1130" s="3"/>
      <c r="AC1130" s="3"/>
      <c r="AD1130" s="3"/>
      <c r="AE1130" s="3"/>
      <c r="AF1130" s="3"/>
      <c r="AG1130" s="3"/>
      <c r="AH1130" s="3"/>
      <c r="AI1130" s="3"/>
      <c r="AJ1130" s="3"/>
      <c r="AK1130" s="3"/>
      <c r="AL1130" s="3"/>
      <c r="AM1130" s="3"/>
      <c r="AN1130" s="3"/>
      <c r="AO1130" s="3"/>
      <c r="AP1130" s="3"/>
      <c r="AQ1130" s="3"/>
      <c r="AR1130" s="3"/>
      <c r="AS1130" s="3"/>
      <c r="AT1130" s="3"/>
      <c r="AU1130" s="3"/>
      <c r="AV1130" s="3"/>
      <c r="AW1130" s="3"/>
      <c r="AX1130" s="3"/>
      <c r="AY1130" s="3"/>
      <c r="AZ1130" s="3"/>
      <c r="BA1130" s="3"/>
      <c r="BB1130" s="3"/>
      <c r="BC1130" s="3"/>
    </row>
    <row r="1131" spans="1:55">
      <c r="A1131" s="1" t="str">
        <f>'Population Definitions'!$A$11</f>
        <v>65+_females</v>
      </c>
      <c r="C1131" t="s">
        <v>32</v>
      </c>
      <c r="D1131" s="3"/>
      <c r="E1131" s="3">
        <v>0</v>
      </c>
      <c r="F1131" s="3"/>
      <c r="G1131" s="3"/>
      <c r="H1131" s="3"/>
      <c r="I1131" s="3"/>
      <c r="J1131" s="3"/>
      <c r="K1131" s="3"/>
      <c r="L1131" s="3"/>
      <c r="M1131" s="3"/>
      <c r="N1131" s="3"/>
      <c r="O1131" s="3"/>
      <c r="P1131" s="3"/>
      <c r="Q1131" s="3"/>
      <c r="R1131" s="3"/>
      <c r="S1131" s="3"/>
      <c r="T1131" s="3"/>
      <c r="U1131" s="3"/>
      <c r="V1131" s="3"/>
      <c r="W1131" s="3"/>
      <c r="X1131" s="3"/>
      <c r="Y1131" s="3"/>
      <c r="Z1131" s="3"/>
      <c r="AA1131" s="3"/>
      <c r="AB1131" s="3"/>
      <c r="AC1131" s="3"/>
      <c r="AD1131" s="3"/>
      <c r="AE1131" s="3"/>
      <c r="AF1131" s="3"/>
      <c r="AG1131" s="3"/>
      <c r="AH1131" s="3"/>
      <c r="AI1131" s="3"/>
      <c r="AJ1131" s="3"/>
      <c r="AK1131" s="3"/>
      <c r="AL1131" s="3"/>
      <c r="AM1131" s="3"/>
      <c r="AN1131" s="3"/>
      <c r="AO1131" s="3"/>
      <c r="AP1131" s="3"/>
      <c r="AQ1131" s="3"/>
      <c r="AR1131" s="3"/>
      <c r="AS1131" s="3"/>
      <c r="AT1131" s="3"/>
      <c r="AU1131" s="3"/>
      <c r="AV1131" s="3"/>
      <c r="AW1131" s="3"/>
      <c r="AX1131" s="3"/>
      <c r="AY1131" s="3"/>
      <c r="AZ1131" s="3"/>
      <c r="BA1131" s="3"/>
      <c r="BB1131" s="3"/>
      <c r="BC1131" s="3"/>
    </row>
    <row r="1132" spans="1:55">
      <c r="A1132" s="1" t="str">
        <f>'Population Definitions'!$A$12</f>
        <v>Prisoners_males</v>
      </c>
      <c r="C1132" t="s">
        <v>32</v>
      </c>
      <c r="D1132" s="3"/>
      <c r="E1132" s="3">
        <v>0</v>
      </c>
      <c r="F1132" s="3"/>
      <c r="G1132" s="3"/>
      <c r="H1132" s="3"/>
      <c r="I1132" s="3"/>
      <c r="J1132" s="3"/>
      <c r="K1132" s="3"/>
      <c r="L1132" s="3"/>
      <c r="M1132" s="3"/>
      <c r="N1132" s="3"/>
      <c r="O1132" s="3"/>
      <c r="P1132" s="3"/>
      <c r="Q1132" s="3"/>
      <c r="R1132" s="3"/>
      <c r="S1132" s="3"/>
      <c r="T1132" s="3"/>
      <c r="U1132" s="3"/>
      <c r="V1132" s="3"/>
      <c r="W1132" s="3"/>
      <c r="X1132" s="3"/>
      <c r="Y1132" s="3"/>
      <c r="Z1132" s="3"/>
      <c r="AA1132" s="3"/>
      <c r="AB1132" s="3"/>
      <c r="AC1132" s="3"/>
      <c r="AD1132" s="3"/>
      <c r="AE1132" s="3"/>
      <c r="AF1132" s="3"/>
      <c r="AG1132" s="3"/>
      <c r="AH1132" s="3"/>
      <c r="AI1132" s="3"/>
      <c r="AJ1132" s="3"/>
      <c r="AK1132" s="3"/>
      <c r="AL1132" s="3"/>
      <c r="AM1132" s="3"/>
      <c r="AN1132" s="3"/>
      <c r="AO1132" s="3"/>
      <c r="AP1132" s="3"/>
      <c r="AQ1132" s="3"/>
      <c r="AR1132" s="3"/>
      <c r="AS1132" s="3"/>
      <c r="AT1132" s="3"/>
      <c r="AU1132" s="3"/>
      <c r="AV1132" s="3"/>
      <c r="AW1132" s="3"/>
      <c r="AX1132" s="3"/>
      <c r="AY1132" s="3"/>
      <c r="AZ1132" s="3"/>
      <c r="BA1132" s="3"/>
      <c r="BB1132" s="3"/>
      <c r="BC1132" s="3"/>
    </row>
    <row r="1133" spans="1:55">
      <c r="A1133" s="1" t="str">
        <f>'Population Definitions'!$A$13</f>
        <v>Prisoners_females</v>
      </c>
      <c r="C1133" t="s">
        <v>32</v>
      </c>
      <c r="D1133" s="3"/>
      <c r="E1133" s="3">
        <v>0</v>
      </c>
      <c r="F1133" s="3"/>
      <c r="G1133" s="3"/>
      <c r="H1133" s="3"/>
      <c r="I1133" s="3"/>
      <c r="J1133" s="3"/>
      <c r="K1133" s="3"/>
      <c r="L1133" s="3"/>
      <c r="M1133" s="3"/>
      <c r="N1133" s="3"/>
      <c r="O1133" s="3"/>
      <c r="P1133" s="3"/>
      <c r="Q1133" s="3"/>
      <c r="R1133" s="3"/>
      <c r="S1133" s="3"/>
      <c r="T1133" s="3"/>
      <c r="U1133" s="3"/>
      <c r="V1133" s="3"/>
      <c r="W1133" s="3"/>
      <c r="X1133" s="3"/>
      <c r="Y1133" s="3"/>
      <c r="Z1133" s="3"/>
      <c r="AA1133" s="3"/>
      <c r="AB1133" s="3"/>
      <c r="AC1133" s="3"/>
      <c r="AD1133" s="3"/>
      <c r="AE1133" s="3"/>
      <c r="AF1133" s="3"/>
      <c r="AG1133" s="3"/>
      <c r="AH1133" s="3"/>
      <c r="AI1133" s="3"/>
      <c r="AJ1133" s="3"/>
      <c r="AK1133" s="3"/>
      <c r="AL1133" s="3"/>
      <c r="AM1133" s="3"/>
      <c r="AN1133" s="3"/>
      <c r="AO1133" s="3"/>
      <c r="AP1133" s="3"/>
      <c r="AQ1133" s="3"/>
      <c r="AR1133" s="3"/>
      <c r="AS1133" s="3"/>
      <c r="AT1133" s="3"/>
      <c r="AU1133" s="3"/>
      <c r="AV1133" s="3"/>
      <c r="AW1133" s="3"/>
      <c r="AX1133" s="3"/>
      <c r="AY1133" s="3"/>
      <c r="AZ1133" s="3"/>
      <c r="BA1133" s="3"/>
      <c r="BB1133" s="3"/>
      <c r="BC1133" s="3"/>
    </row>
    <row r="1135" spans="1:55">
      <c r="A1135" s="1" t="s">
        <v>207</v>
      </c>
      <c r="B1135" s="1" t="s">
        <v>29</v>
      </c>
      <c r="C1135" s="1" t="s">
        <v>30</v>
      </c>
      <c r="D1135" s="1" t="s">
        <v>31</v>
      </c>
      <c r="E1135" s="1">
        <v>2000</v>
      </c>
      <c r="F1135" s="1">
        <v>2001</v>
      </c>
      <c r="G1135" s="1">
        <v>2002</v>
      </c>
      <c r="H1135" s="1">
        <v>2003</v>
      </c>
      <c r="I1135" s="1">
        <v>2004</v>
      </c>
      <c r="J1135" s="1">
        <v>2005</v>
      </c>
      <c r="K1135" s="1">
        <v>2006</v>
      </c>
      <c r="L1135" s="1">
        <v>2007</v>
      </c>
      <c r="M1135" s="1">
        <v>2008</v>
      </c>
      <c r="N1135" s="1">
        <v>2009</v>
      </c>
      <c r="O1135" s="1">
        <v>2010</v>
      </c>
      <c r="P1135" s="1">
        <v>2011</v>
      </c>
      <c r="Q1135" s="1">
        <v>2012</v>
      </c>
      <c r="R1135" s="1">
        <v>2013</v>
      </c>
      <c r="S1135" s="1">
        <v>2014</v>
      </c>
      <c r="T1135" s="1">
        <v>2015</v>
      </c>
      <c r="U1135" s="1">
        <v>2016</v>
      </c>
      <c r="V1135" s="1">
        <v>2017</v>
      </c>
      <c r="W1135" s="1">
        <v>2018</v>
      </c>
      <c r="X1135" s="1">
        <v>2019</v>
      </c>
      <c r="Y1135" s="1">
        <v>2020</v>
      </c>
      <c r="Z1135" s="1">
        <v>2021</v>
      </c>
      <c r="AA1135" s="1">
        <v>2022</v>
      </c>
      <c r="AB1135" s="1">
        <v>2023</v>
      </c>
      <c r="AC1135" s="1">
        <v>2024</v>
      </c>
      <c r="AD1135" s="1">
        <v>2025</v>
      </c>
      <c r="AE1135" s="1">
        <v>2026</v>
      </c>
      <c r="AF1135" s="1">
        <v>2027</v>
      </c>
      <c r="AG1135" s="1">
        <v>2028</v>
      </c>
      <c r="AH1135" s="1">
        <v>2029</v>
      </c>
      <c r="AI1135" s="1">
        <v>2030</v>
      </c>
      <c r="AJ1135" s="1">
        <v>2031</v>
      </c>
      <c r="AK1135" s="1">
        <v>2032</v>
      </c>
      <c r="AL1135" s="1">
        <v>2033</v>
      </c>
      <c r="AM1135" s="1">
        <v>2034</v>
      </c>
      <c r="AN1135" s="1">
        <v>2035</v>
      </c>
      <c r="AO1135" s="1">
        <v>2036</v>
      </c>
      <c r="AP1135" s="1">
        <v>2037</v>
      </c>
      <c r="AQ1135" s="1">
        <v>2038</v>
      </c>
      <c r="AR1135" s="1">
        <v>2039</v>
      </c>
      <c r="AS1135" s="1">
        <v>2040</v>
      </c>
      <c r="AT1135" s="1">
        <v>2041</v>
      </c>
      <c r="AU1135" s="1">
        <v>2042</v>
      </c>
      <c r="AV1135" s="1">
        <v>2043</v>
      </c>
      <c r="AW1135" s="1">
        <v>2044</v>
      </c>
      <c r="AX1135" s="1">
        <v>2045</v>
      </c>
      <c r="AY1135" s="1">
        <v>2046</v>
      </c>
      <c r="AZ1135" s="1">
        <v>2047</v>
      </c>
      <c r="BA1135" s="1">
        <v>2048</v>
      </c>
      <c r="BB1135" s="1">
        <v>2049</v>
      </c>
      <c r="BC1135" s="1">
        <v>2050</v>
      </c>
    </row>
    <row r="1136" spans="1:55">
      <c r="A1136" s="1" t="str">
        <f>'Population Definitions'!$A$2</f>
        <v>PWID_males</v>
      </c>
      <c r="C1136" t="s">
        <v>32</v>
      </c>
      <c r="D1136" s="3"/>
      <c r="E1136" s="3">
        <v>0</v>
      </c>
      <c r="F1136" s="3"/>
      <c r="G1136" s="3"/>
      <c r="H1136" s="3"/>
      <c r="I1136" s="3"/>
      <c r="J1136" s="3"/>
      <c r="K1136" s="3"/>
      <c r="L1136" s="3"/>
      <c r="M1136" s="3"/>
      <c r="N1136" s="3"/>
      <c r="O1136" s="3"/>
      <c r="P1136" s="3"/>
      <c r="Q1136" s="3"/>
      <c r="R1136" s="3"/>
      <c r="S1136" s="3"/>
      <c r="T1136" s="3"/>
      <c r="U1136" s="3"/>
      <c r="V1136" s="3"/>
      <c r="W1136" s="3"/>
      <c r="X1136" s="3"/>
      <c r="Y1136" s="3"/>
      <c r="Z1136" s="3"/>
      <c r="AA1136" s="3"/>
      <c r="AB1136" s="3"/>
      <c r="AC1136" s="3"/>
      <c r="AD1136" s="3"/>
      <c r="AE1136" s="3"/>
      <c r="AF1136" s="3"/>
      <c r="AG1136" s="3"/>
      <c r="AH1136" s="3"/>
      <c r="AI1136" s="3"/>
      <c r="AJ1136" s="3"/>
      <c r="AK1136" s="3"/>
      <c r="AL1136" s="3"/>
      <c r="AM1136" s="3"/>
      <c r="AN1136" s="3"/>
      <c r="AO1136" s="3"/>
      <c r="AP1136" s="3"/>
      <c r="AQ1136" s="3"/>
      <c r="AR1136" s="3"/>
      <c r="AS1136" s="3"/>
      <c r="AT1136" s="3"/>
      <c r="AU1136" s="3"/>
      <c r="AV1136" s="3"/>
      <c r="AW1136" s="3"/>
      <c r="AX1136" s="3"/>
      <c r="AY1136" s="3"/>
      <c r="AZ1136" s="3"/>
      <c r="BA1136" s="3"/>
      <c r="BB1136" s="3"/>
      <c r="BC1136" s="3"/>
    </row>
    <row r="1137" spans="1:55">
      <c r="A1137" s="1" t="str">
        <f>'Population Definitions'!$A$3</f>
        <v>PWID_females</v>
      </c>
      <c r="C1137" t="s">
        <v>32</v>
      </c>
      <c r="D1137" s="3"/>
      <c r="E1137" s="3">
        <v>0</v>
      </c>
      <c r="F1137" s="3"/>
      <c r="G1137" s="3"/>
      <c r="H1137" s="3"/>
      <c r="I1137" s="3"/>
      <c r="J1137" s="3"/>
      <c r="K1137" s="3"/>
      <c r="L1137" s="3"/>
      <c r="M1137" s="3"/>
      <c r="N1137" s="3"/>
      <c r="O1137" s="3"/>
      <c r="P1137" s="3"/>
      <c r="Q1137" s="3"/>
      <c r="R1137" s="3"/>
      <c r="S1137" s="3"/>
      <c r="T1137" s="3"/>
      <c r="U1137" s="3"/>
      <c r="V1137" s="3"/>
      <c r="W1137" s="3"/>
      <c r="X1137" s="3"/>
      <c r="Y1137" s="3"/>
      <c r="Z1137" s="3"/>
      <c r="AA1137" s="3"/>
      <c r="AB1137" s="3"/>
      <c r="AC1137" s="3"/>
      <c r="AD1137" s="3"/>
      <c r="AE1137" s="3"/>
      <c r="AF1137" s="3"/>
      <c r="AG1137" s="3"/>
      <c r="AH1137" s="3"/>
      <c r="AI1137" s="3"/>
      <c r="AJ1137" s="3"/>
      <c r="AK1137" s="3"/>
      <c r="AL1137" s="3"/>
      <c r="AM1137" s="3"/>
      <c r="AN1137" s="3"/>
      <c r="AO1137" s="3"/>
      <c r="AP1137" s="3"/>
      <c r="AQ1137" s="3"/>
      <c r="AR1137" s="3"/>
      <c r="AS1137" s="3"/>
      <c r="AT1137" s="3"/>
      <c r="AU1137" s="3"/>
      <c r="AV1137" s="3"/>
      <c r="AW1137" s="3"/>
      <c r="AX1137" s="3"/>
      <c r="AY1137" s="3"/>
      <c r="AZ1137" s="3"/>
      <c r="BA1137" s="3"/>
      <c r="BB1137" s="3"/>
      <c r="BC1137" s="3"/>
    </row>
    <row r="1138" spans="1:55">
      <c r="A1138" s="1" t="str">
        <f>'Population Definitions'!$A$4</f>
        <v>0-9_males</v>
      </c>
      <c r="C1138" t="s">
        <v>32</v>
      </c>
      <c r="D1138" s="3"/>
      <c r="E1138" s="3">
        <v>0</v>
      </c>
      <c r="F1138" s="3"/>
      <c r="G1138" s="3"/>
      <c r="H1138" s="3"/>
      <c r="I1138" s="3"/>
      <c r="J1138" s="3"/>
      <c r="K1138" s="3"/>
      <c r="L1138" s="3"/>
      <c r="M1138" s="3"/>
      <c r="N1138" s="3"/>
      <c r="O1138" s="3"/>
      <c r="P1138" s="3"/>
      <c r="Q1138" s="3"/>
      <c r="R1138" s="3"/>
      <c r="S1138" s="3"/>
      <c r="T1138" s="3"/>
      <c r="U1138" s="3"/>
      <c r="V1138" s="3"/>
      <c r="W1138" s="3"/>
      <c r="X1138" s="3"/>
      <c r="Y1138" s="3"/>
      <c r="Z1138" s="3"/>
      <c r="AA1138" s="3"/>
      <c r="AB1138" s="3"/>
      <c r="AC1138" s="3"/>
      <c r="AD1138" s="3"/>
      <c r="AE1138" s="3"/>
      <c r="AF1138" s="3"/>
      <c r="AG1138" s="3"/>
      <c r="AH1138" s="3"/>
      <c r="AI1138" s="3"/>
      <c r="AJ1138" s="3"/>
      <c r="AK1138" s="3"/>
      <c r="AL1138" s="3"/>
      <c r="AM1138" s="3"/>
      <c r="AN1138" s="3"/>
      <c r="AO1138" s="3"/>
      <c r="AP1138" s="3"/>
      <c r="AQ1138" s="3"/>
      <c r="AR1138" s="3"/>
      <c r="AS1138" s="3"/>
      <c r="AT1138" s="3"/>
      <c r="AU1138" s="3"/>
      <c r="AV1138" s="3"/>
      <c r="AW1138" s="3"/>
      <c r="AX1138" s="3"/>
      <c r="AY1138" s="3"/>
      <c r="AZ1138" s="3"/>
      <c r="BA1138" s="3"/>
      <c r="BB1138" s="3"/>
      <c r="BC1138" s="3"/>
    </row>
    <row r="1139" spans="1:55">
      <c r="A1139" s="1" t="str">
        <f>'Population Definitions'!$A$5</f>
        <v>0-9_females</v>
      </c>
      <c r="C1139" t="s">
        <v>32</v>
      </c>
      <c r="D1139" s="3"/>
      <c r="E1139" s="3">
        <v>0</v>
      </c>
      <c r="F1139" s="3"/>
      <c r="G1139" s="3"/>
      <c r="H1139" s="3"/>
      <c r="I1139" s="3"/>
      <c r="J1139" s="3"/>
      <c r="K1139" s="3"/>
      <c r="L1139" s="3"/>
      <c r="M1139" s="3"/>
      <c r="N1139" s="3"/>
      <c r="O1139" s="3"/>
      <c r="P1139" s="3"/>
      <c r="Q1139" s="3"/>
      <c r="R1139" s="3"/>
      <c r="S1139" s="3"/>
      <c r="T1139" s="3"/>
      <c r="U1139" s="3"/>
      <c r="V1139" s="3"/>
      <c r="W1139" s="3"/>
      <c r="X1139" s="3"/>
      <c r="Y1139" s="3"/>
      <c r="Z1139" s="3"/>
      <c r="AA1139" s="3"/>
      <c r="AB1139" s="3"/>
      <c r="AC1139" s="3"/>
      <c r="AD1139" s="3"/>
      <c r="AE1139" s="3"/>
      <c r="AF1139" s="3"/>
      <c r="AG1139" s="3"/>
      <c r="AH1139" s="3"/>
      <c r="AI1139" s="3"/>
      <c r="AJ1139" s="3"/>
      <c r="AK1139" s="3"/>
      <c r="AL1139" s="3"/>
      <c r="AM1139" s="3"/>
      <c r="AN1139" s="3"/>
      <c r="AO1139" s="3"/>
      <c r="AP1139" s="3"/>
      <c r="AQ1139" s="3"/>
      <c r="AR1139" s="3"/>
      <c r="AS1139" s="3"/>
      <c r="AT1139" s="3"/>
      <c r="AU1139" s="3"/>
      <c r="AV1139" s="3"/>
      <c r="AW1139" s="3"/>
      <c r="AX1139" s="3"/>
      <c r="AY1139" s="3"/>
      <c r="AZ1139" s="3"/>
      <c r="BA1139" s="3"/>
      <c r="BB1139" s="3"/>
      <c r="BC1139" s="3"/>
    </row>
    <row r="1140" spans="1:55">
      <c r="A1140" s="1" t="str">
        <f>'Population Definitions'!$A$6</f>
        <v>10-17_males</v>
      </c>
      <c r="C1140" t="s">
        <v>32</v>
      </c>
      <c r="D1140" s="3"/>
      <c r="E1140" s="3">
        <v>0</v>
      </c>
      <c r="F1140" s="3"/>
      <c r="G1140" s="3"/>
      <c r="H1140" s="3"/>
      <c r="I1140" s="3"/>
      <c r="J1140" s="3"/>
      <c r="K1140" s="3"/>
      <c r="L1140" s="3"/>
      <c r="M1140" s="3"/>
      <c r="N1140" s="3"/>
      <c r="O1140" s="3"/>
      <c r="P1140" s="3"/>
      <c r="Q1140" s="3"/>
      <c r="R1140" s="3"/>
      <c r="S1140" s="3"/>
      <c r="T1140" s="3"/>
      <c r="U1140" s="3"/>
      <c r="V1140" s="3"/>
      <c r="W1140" s="3"/>
      <c r="X1140" s="3"/>
      <c r="Y1140" s="3"/>
      <c r="Z1140" s="3"/>
      <c r="AA1140" s="3"/>
      <c r="AB1140" s="3"/>
      <c r="AC1140" s="3"/>
      <c r="AD1140" s="3"/>
      <c r="AE1140" s="3"/>
      <c r="AF1140" s="3"/>
      <c r="AG1140" s="3"/>
      <c r="AH1140" s="3"/>
      <c r="AI1140" s="3"/>
      <c r="AJ1140" s="3"/>
      <c r="AK1140" s="3"/>
      <c r="AL1140" s="3"/>
      <c r="AM1140" s="3"/>
      <c r="AN1140" s="3"/>
      <c r="AO1140" s="3"/>
      <c r="AP1140" s="3"/>
      <c r="AQ1140" s="3"/>
      <c r="AR1140" s="3"/>
      <c r="AS1140" s="3"/>
      <c r="AT1140" s="3"/>
      <c r="AU1140" s="3"/>
      <c r="AV1140" s="3"/>
      <c r="AW1140" s="3"/>
      <c r="AX1140" s="3"/>
      <c r="AY1140" s="3"/>
      <c r="AZ1140" s="3"/>
      <c r="BA1140" s="3"/>
      <c r="BB1140" s="3"/>
      <c r="BC1140" s="3"/>
    </row>
    <row r="1141" spans="1:55">
      <c r="A1141" s="1" t="str">
        <f>'Population Definitions'!$A$7</f>
        <v>10-17_females</v>
      </c>
      <c r="C1141" t="s">
        <v>32</v>
      </c>
      <c r="D1141" s="3"/>
      <c r="E1141" s="3">
        <v>0</v>
      </c>
      <c r="F1141" s="3"/>
      <c r="G1141" s="3"/>
      <c r="H1141" s="3"/>
      <c r="I1141" s="3"/>
      <c r="J1141" s="3"/>
      <c r="K1141" s="3"/>
      <c r="L1141" s="3"/>
      <c r="M1141" s="3"/>
      <c r="N1141" s="3"/>
      <c r="O1141" s="3"/>
      <c r="P1141" s="3"/>
      <c r="Q1141" s="3"/>
      <c r="R1141" s="3"/>
      <c r="S1141" s="3"/>
      <c r="T1141" s="3"/>
      <c r="U1141" s="3"/>
      <c r="V1141" s="3"/>
      <c r="W1141" s="3"/>
      <c r="X1141" s="3"/>
      <c r="Y1141" s="3"/>
      <c r="Z1141" s="3"/>
      <c r="AA1141" s="3"/>
      <c r="AB1141" s="3"/>
      <c r="AC1141" s="3"/>
      <c r="AD1141" s="3"/>
      <c r="AE1141" s="3"/>
      <c r="AF1141" s="3"/>
      <c r="AG1141" s="3"/>
      <c r="AH1141" s="3"/>
      <c r="AI1141" s="3"/>
      <c r="AJ1141" s="3"/>
      <c r="AK1141" s="3"/>
      <c r="AL1141" s="3"/>
      <c r="AM1141" s="3"/>
      <c r="AN1141" s="3"/>
      <c r="AO1141" s="3"/>
      <c r="AP1141" s="3"/>
      <c r="AQ1141" s="3"/>
      <c r="AR1141" s="3"/>
      <c r="AS1141" s="3"/>
      <c r="AT1141" s="3"/>
      <c r="AU1141" s="3"/>
      <c r="AV1141" s="3"/>
      <c r="AW1141" s="3"/>
      <c r="AX1141" s="3"/>
      <c r="AY1141" s="3"/>
      <c r="AZ1141" s="3"/>
      <c r="BA1141" s="3"/>
      <c r="BB1141" s="3"/>
      <c r="BC1141" s="3"/>
    </row>
    <row r="1142" spans="1:55">
      <c r="A1142" s="1" t="str">
        <f>'Population Definitions'!$A$8</f>
        <v>18-64_males</v>
      </c>
      <c r="C1142" t="s">
        <v>32</v>
      </c>
      <c r="D1142" s="3"/>
      <c r="E1142" s="3">
        <v>0</v>
      </c>
      <c r="F1142" s="3"/>
      <c r="G1142" s="3"/>
      <c r="H1142" s="3"/>
      <c r="I1142" s="3"/>
      <c r="J1142" s="3"/>
      <c r="K1142" s="3"/>
      <c r="L1142" s="3"/>
      <c r="M1142" s="3"/>
      <c r="N1142" s="3"/>
      <c r="O1142" s="3"/>
      <c r="P1142" s="3"/>
      <c r="Q1142" s="3"/>
      <c r="R1142" s="3"/>
      <c r="S1142" s="3"/>
      <c r="T1142" s="3"/>
      <c r="U1142" s="3"/>
      <c r="V1142" s="3"/>
      <c r="W1142" s="3"/>
      <c r="X1142" s="3"/>
      <c r="Y1142" s="3"/>
      <c r="Z1142" s="3"/>
      <c r="AA1142" s="3"/>
      <c r="AB1142" s="3"/>
      <c r="AC1142" s="3"/>
      <c r="AD1142" s="3"/>
      <c r="AE1142" s="3"/>
      <c r="AF1142" s="3"/>
      <c r="AG1142" s="3"/>
      <c r="AH1142" s="3"/>
      <c r="AI1142" s="3"/>
      <c r="AJ1142" s="3"/>
      <c r="AK1142" s="3"/>
      <c r="AL1142" s="3"/>
      <c r="AM1142" s="3"/>
      <c r="AN1142" s="3"/>
      <c r="AO1142" s="3"/>
      <c r="AP1142" s="3"/>
      <c r="AQ1142" s="3"/>
      <c r="AR1142" s="3"/>
      <c r="AS1142" s="3"/>
      <c r="AT1142" s="3"/>
      <c r="AU1142" s="3"/>
      <c r="AV1142" s="3"/>
      <c r="AW1142" s="3"/>
      <c r="AX1142" s="3"/>
      <c r="AY1142" s="3"/>
      <c r="AZ1142" s="3"/>
      <c r="BA1142" s="3"/>
      <c r="BB1142" s="3"/>
      <c r="BC1142" s="3"/>
    </row>
    <row r="1143" spans="1:55">
      <c r="A1143" s="1" t="str">
        <f>'Population Definitions'!$A$9</f>
        <v>18-64_females</v>
      </c>
      <c r="C1143" t="s">
        <v>32</v>
      </c>
      <c r="D1143" s="3"/>
      <c r="E1143" s="3">
        <v>0</v>
      </c>
      <c r="F1143" s="3"/>
      <c r="G1143" s="3"/>
      <c r="H1143" s="3"/>
      <c r="I1143" s="3"/>
      <c r="J1143" s="3"/>
      <c r="K1143" s="3"/>
      <c r="L1143" s="3"/>
      <c r="M1143" s="3"/>
      <c r="N1143" s="3"/>
      <c r="O1143" s="3"/>
      <c r="P1143" s="3"/>
      <c r="Q1143" s="3"/>
      <c r="R1143" s="3"/>
      <c r="S1143" s="3"/>
      <c r="T1143" s="3"/>
      <c r="U1143" s="3"/>
      <c r="V1143" s="3"/>
      <c r="W1143" s="3"/>
      <c r="X1143" s="3"/>
      <c r="Y1143" s="3"/>
      <c r="Z1143" s="3"/>
      <c r="AA1143" s="3"/>
      <c r="AB1143" s="3"/>
      <c r="AC1143" s="3"/>
      <c r="AD1143" s="3"/>
      <c r="AE1143" s="3"/>
      <c r="AF1143" s="3"/>
      <c r="AG1143" s="3"/>
      <c r="AH1143" s="3"/>
      <c r="AI1143" s="3"/>
      <c r="AJ1143" s="3"/>
      <c r="AK1143" s="3"/>
      <c r="AL1143" s="3"/>
      <c r="AM1143" s="3"/>
      <c r="AN1143" s="3"/>
      <c r="AO1143" s="3"/>
      <c r="AP1143" s="3"/>
      <c r="AQ1143" s="3"/>
      <c r="AR1143" s="3"/>
      <c r="AS1143" s="3"/>
      <c r="AT1143" s="3"/>
      <c r="AU1143" s="3"/>
      <c r="AV1143" s="3"/>
      <c r="AW1143" s="3"/>
      <c r="AX1143" s="3"/>
      <c r="AY1143" s="3"/>
      <c r="AZ1143" s="3"/>
      <c r="BA1143" s="3"/>
      <c r="BB1143" s="3"/>
      <c r="BC1143" s="3"/>
    </row>
    <row r="1144" spans="1:55">
      <c r="A1144" s="1" t="str">
        <f>'Population Definitions'!$A$10</f>
        <v>65+_males</v>
      </c>
      <c r="C1144" t="s">
        <v>32</v>
      </c>
      <c r="D1144" s="3"/>
      <c r="E1144" s="3">
        <v>0</v>
      </c>
      <c r="F1144" s="3"/>
      <c r="G1144" s="3"/>
      <c r="H1144" s="3"/>
      <c r="I1144" s="3"/>
      <c r="J1144" s="3"/>
      <c r="K1144" s="3"/>
      <c r="L1144" s="3"/>
      <c r="M1144" s="3"/>
      <c r="N1144" s="3"/>
      <c r="O1144" s="3"/>
      <c r="P1144" s="3"/>
      <c r="Q1144" s="3"/>
      <c r="R1144" s="3"/>
      <c r="S1144" s="3"/>
      <c r="T1144" s="3"/>
      <c r="U1144" s="3"/>
      <c r="V1144" s="3"/>
      <c r="W1144" s="3"/>
      <c r="X1144" s="3"/>
      <c r="Y1144" s="3"/>
      <c r="Z1144" s="3"/>
      <c r="AA1144" s="3"/>
      <c r="AB1144" s="3"/>
      <c r="AC1144" s="3"/>
      <c r="AD1144" s="3"/>
      <c r="AE1144" s="3"/>
      <c r="AF1144" s="3"/>
      <c r="AG1144" s="3"/>
      <c r="AH1144" s="3"/>
      <c r="AI1144" s="3"/>
      <c r="AJ1144" s="3"/>
      <c r="AK1144" s="3"/>
      <c r="AL1144" s="3"/>
      <c r="AM1144" s="3"/>
      <c r="AN1144" s="3"/>
      <c r="AO1144" s="3"/>
      <c r="AP1144" s="3"/>
      <c r="AQ1144" s="3"/>
      <c r="AR1144" s="3"/>
      <c r="AS1144" s="3"/>
      <c r="AT1144" s="3"/>
      <c r="AU1144" s="3"/>
      <c r="AV1144" s="3"/>
      <c r="AW1144" s="3"/>
      <c r="AX1144" s="3"/>
      <c r="AY1144" s="3"/>
      <c r="AZ1144" s="3"/>
      <c r="BA1144" s="3"/>
      <c r="BB1144" s="3"/>
      <c r="BC1144" s="3"/>
    </row>
    <row r="1145" spans="1:55">
      <c r="A1145" s="1" t="str">
        <f>'Population Definitions'!$A$11</f>
        <v>65+_females</v>
      </c>
      <c r="C1145" t="s">
        <v>32</v>
      </c>
      <c r="D1145" s="3"/>
      <c r="E1145" s="3">
        <v>0</v>
      </c>
      <c r="F1145" s="3"/>
      <c r="G1145" s="3"/>
      <c r="H1145" s="3"/>
      <c r="I1145" s="3"/>
      <c r="J1145" s="3"/>
      <c r="K1145" s="3"/>
      <c r="L1145" s="3"/>
      <c r="M1145" s="3"/>
      <c r="N1145" s="3"/>
      <c r="O1145" s="3"/>
      <c r="P1145" s="3"/>
      <c r="Q1145" s="3"/>
      <c r="R1145" s="3"/>
      <c r="S1145" s="3"/>
      <c r="T1145" s="3"/>
      <c r="U1145" s="3"/>
      <c r="V1145" s="3"/>
      <c r="W1145" s="3"/>
      <c r="X1145" s="3"/>
      <c r="Y1145" s="3"/>
      <c r="Z1145" s="3"/>
      <c r="AA1145" s="3"/>
      <c r="AB1145" s="3"/>
      <c r="AC1145" s="3"/>
      <c r="AD1145" s="3"/>
      <c r="AE1145" s="3"/>
      <c r="AF1145" s="3"/>
      <c r="AG1145" s="3"/>
      <c r="AH1145" s="3"/>
      <c r="AI1145" s="3"/>
      <c r="AJ1145" s="3"/>
      <c r="AK1145" s="3"/>
      <c r="AL1145" s="3"/>
      <c r="AM1145" s="3"/>
      <c r="AN1145" s="3"/>
      <c r="AO1145" s="3"/>
      <c r="AP1145" s="3"/>
      <c r="AQ1145" s="3"/>
      <c r="AR1145" s="3"/>
      <c r="AS1145" s="3"/>
      <c r="AT1145" s="3"/>
      <c r="AU1145" s="3"/>
      <c r="AV1145" s="3"/>
      <c r="AW1145" s="3"/>
      <c r="AX1145" s="3"/>
      <c r="AY1145" s="3"/>
      <c r="AZ1145" s="3"/>
      <c r="BA1145" s="3"/>
      <c r="BB1145" s="3"/>
      <c r="BC1145" s="3"/>
    </row>
    <row r="1146" spans="1:55">
      <c r="A1146" s="1" t="str">
        <f>'Population Definitions'!$A$12</f>
        <v>Prisoners_males</v>
      </c>
      <c r="C1146" t="s">
        <v>32</v>
      </c>
      <c r="D1146" s="3"/>
      <c r="E1146" s="3">
        <v>0</v>
      </c>
      <c r="F1146" s="3"/>
      <c r="G1146" s="3"/>
      <c r="H1146" s="3"/>
      <c r="I1146" s="3"/>
      <c r="J1146" s="3"/>
      <c r="K1146" s="3"/>
      <c r="L1146" s="3"/>
      <c r="M1146" s="3"/>
      <c r="N1146" s="3"/>
      <c r="O1146" s="3"/>
      <c r="P1146" s="3"/>
      <c r="Q1146" s="3"/>
      <c r="R1146" s="3"/>
      <c r="S1146" s="3"/>
      <c r="T1146" s="3"/>
      <c r="U1146" s="3"/>
      <c r="V1146" s="3"/>
      <c r="W1146" s="3"/>
      <c r="X1146" s="3"/>
      <c r="Y1146" s="3"/>
      <c r="Z1146" s="3"/>
      <c r="AA1146" s="3"/>
      <c r="AB1146" s="3"/>
      <c r="AC1146" s="3"/>
      <c r="AD1146" s="3"/>
      <c r="AE1146" s="3"/>
      <c r="AF1146" s="3"/>
      <c r="AG1146" s="3"/>
      <c r="AH1146" s="3"/>
      <c r="AI1146" s="3"/>
      <c r="AJ1146" s="3"/>
      <c r="AK1146" s="3"/>
      <c r="AL1146" s="3"/>
      <c r="AM1146" s="3"/>
      <c r="AN1146" s="3"/>
      <c r="AO1146" s="3"/>
      <c r="AP1146" s="3"/>
      <c r="AQ1146" s="3"/>
      <c r="AR1146" s="3"/>
      <c r="AS1146" s="3"/>
      <c r="AT1146" s="3"/>
      <c r="AU1146" s="3"/>
      <c r="AV1146" s="3"/>
      <c r="AW1146" s="3"/>
      <c r="AX1146" s="3"/>
      <c r="AY1146" s="3"/>
      <c r="AZ1146" s="3"/>
      <c r="BA1146" s="3"/>
      <c r="BB1146" s="3"/>
      <c r="BC1146" s="3"/>
    </row>
    <row r="1147" spans="1:55">
      <c r="A1147" s="1" t="str">
        <f>'Population Definitions'!$A$13</f>
        <v>Prisoners_females</v>
      </c>
      <c r="C1147" t="s">
        <v>32</v>
      </c>
      <c r="D1147" s="3"/>
      <c r="E1147" s="3">
        <v>0</v>
      </c>
      <c r="F1147" s="3"/>
      <c r="G1147" s="3"/>
      <c r="H1147" s="3"/>
      <c r="I1147" s="3"/>
      <c r="J1147" s="3"/>
      <c r="K1147" s="3"/>
      <c r="L1147" s="3"/>
      <c r="M1147" s="3"/>
      <c r="N1147" s="3"/>
      <c r="O1147" s="3"/>
      <c r="P1147" s="3"/>
      <c r="Q1147" s="3"/>
      <c r="R1147" s="3"/>
      <c r="S1147" s="3"/>
      <c r="T1147" s="3"/>
      <c r="U1147" s="3"/>
      <c r="V1147" s="3"/>
      <c r="W1147" s="3"/>
      <c r="X1147" s="3"/>
      <c r="Y1147" s="3"/>
      <c r="Z1147" s="3"/>
      <c r="AA1147" s="3"/>
      <c r="AB1147" s="3"/>
      <c r="AC1147" s="3"/>
      <c r="AD1147" s="3"/>
      <c r="AE1147" s="3"/>
      <c r="AF1147" s="3"/>
      <c r="AG1147" s="3"/>
      <c r="AH1147" s="3"/>
      <c r="AI1147" s="3"/>
      <c r="AJ1147" s="3"/>
      <c r="AK1147" s="3"/>
      <c r="AL1147" s="3"/>
      <c r="AM1147" s="3"/>
      <c r="AN1147" s="3"/>
      <c r="AO1147" s="3"/>
      <c r="AP1147" s="3"/>
      <c r="AQ1147" s="3"/>
      <c r="AR1147" s="3"/>
      <c r="AS1147" s="3"/>
      <c r="AT1147" s="3"/>
      <c r="AU1147" s="3"/>
      <c r="AV1147" s="3"/>
      <c r="AW1147" s="3"/>
      <c r="AX1147" s="3"/>
      <c r="AY1147" s="3"/>
      <c r="AZ1147" s="3"/>
      <c r="BA1147" s="3"/>
      <c r="BB1147" s="3"/>
      <c r="BC1147" s="3"/>
    </row>
    <row r="1149" spans="1:55">
      <c r="A1149" s="1" t="s">
        <v>208</v>
      </c>
      <c r="B1149" s="1" t="s">
        <v>29</v>
      </c>
      <c r="C1149" s="1" t="s">
        <v>30</v>
      </c>
      <c r="D1149" s="1" t="s">
        <v>31</v>
      </c>
      <c r="E1149" s="1">
        <v>2000</v>
      </c>
      <c r="F1149" s="1">
        <v>2001</v>
      </c>
      <c r="G1149" s="1">
        <v>2002</v>
      </c>
      <c r="H1149" s="1">
        <v>2003</v>
      </c>
      <c r="I1149" s="1">
        <v>2004</v>
      </c>
      <c r="J1149" s="1">
        <v>2005</v>
      </c>
      <c r="K1149" s="1">
        <v>2006</v>
      </c>
      <c r="L1149" s="1">
        <v>2007</v>
      </c>
      <c r="M1149" s="1">
        <v>2008</v>
      </c>
      <c r="N1149" s="1">
        <v>2009</v>
      </c>
      <c r="O1149" s="1">
        <v>2010</v>
      </c>
      <c r="P1149" s="1">
        <v>2011</v>
      </c>
      <c r="Q1149" s="1">
        <v>2012</v>
      </c>
      <c r="R1149" s="1">
        <v>2013</v>
      </c>
      <c r="S1149" s="1">
        <v>2014</v>
      </c>
      <c r="T1149" s="1">
        <v>2015</v>
      </c>
      <c r="U1149" s="1">
        <v>2016</v>
      </c>
      <c r="V1149" s="1">
        <v>2017</v>
      </c>
      <c r="W1149" s="1">
        <v>2018</v>
      </c>
      <c r="X1149" s="1">
        <v>2019</v>
      </c>
      <c r="Y1149" s="1">
        <v>2020</v>
      </c>
      <c r="Z1149" s="1">
        <v>2021</v>
      </c>
      <c r="AA1149" s="1">
        <v>2022</v>
      </c>
      <c r="AB1149" s="1">
        <v>2023</v>
      </c>
      <c r="AC1149" s="1">
        <v>2024</v>
      </c>
      <c r="AD1149" s="1">
        <v>2025</v>
      </c>
      <c r="AE1149" s="1">
        <v>2026</v>
      </c>
      <c r="AF1149" s="1">
        <v>2027</v>
      </c>
      <c r="AG1149" s="1">
        <v>2028</v>
      </c>
      <c r="AH1149" s="1">
        <v>2029</v>
      </c>
      <c r="AI1149" s="1">
        <v>2030</v>
      </c>
      <c r="AJ1149" s="1">
        <v>2031</v>
      </c>
      <c r="AK1149" s="1">
        <v>2032</v>
      </c>
      <c r="AL1149" s="1">
        <v>2033</v>
      </c>
      <c r="AM1149" s="1">
        <v>2034</v>
      </c>
      <c r="AN1149" s="1">
        <v>2035</v>
      </c>
      <c r="AO1149" s="1">
        <v>2036</v>
      </c>
      <c r="AP1149" s="1">
        <v>2037</v>
      </c>
      <c r="AQ1149" s="1">
        <v>2038</v>
      </c>
      <c r="AR1149" s="1">
        <v>2039</v>
      </c>
      <c r="AS1149" s="1">
        <v>2040</v>
      </c>
      <c r="AT1149" s="1">
        <v>2041</v>
      </c>
      <c r="AU1149" s="1">
        <v>2042</v>
      </c>
      <c r="AV1149" s="1">
        <v>2043</v>
      </c>
      <c r="AW1149" s="1">
        <v>2044</v>
      </c>
      <c r="AX1149" s="1">
        <v>2045</v>
      </c>
      <c r="AY1149" s="1">
        <v>2046</v>
      </c>
      <c r="AZ1149" s="1">
        <v>2047</v>
      </c>
      <c r="BA1149" s="1">
        <v>2048</v>
      </c>
      <c r="BB1149" s="1">
        <v>2049</v>
      </c>
      <c r="BC1149" s="1">
        <v>2050</v>
      </c>
    </row>
    <row r="1150" spans="1:55">
      <c r="A1150" s="1" t="str">
        <f>'Population Definitions'!$A$2</f>
        <v>PWID_males</v>
      </c>
      <c r="C1150" t="s">
        <v>32</v>
      </c>
      <c r="D1150" s="3"/>
      <c r="E1150" s="3">
        <v>0</v>
      </c>
      <c r="F1150" s="3"/>
      <c r="G1150" s="3"/>
      <c r="H1150" s="3"/>
      <c r="I1150" s="3"/>
      <c r="J1150" s="3"/>
      <c r="K1150" s="3"/>
      <c r="L1150" s="3"/>
      <c r="M1150" s="3"/>
      <c r="N1150" s="3"/>
      <c r="O1150" s="3"/>
      <c r="P1150" s="3"/>
      <c r="Q1150" s="3"/>
      <c r="R1150" s="3"/>
      <c r="S1150" s="3"/>
      <c r="T1150" s="3"/>
      <c r="U1150" s="3"/>
      <c r="V1150" s="3"/>
      <c r="W1150" s="3"/>
      <c r="X1150" s="3"/>
      <c r="Y1150" s="3"/>
      <c r="Z1150" s="3"/>
      <c r="AA1150" s="3"/>
      <c r="AB1150" s="3"/>
      <c r="AC1150" s="3"/>
      <c r="AD1150" s="3"/>
      <c r="AE1150" s="3"/>
      <c r="AF1150" s="3"/>
      <c r="AG1150" s="3"/>
      <c r="AH1150" s="3"/>
      <c r="AI1150" s="3"/>
      <c r="AJ1150" s="3"/>
      <c r="AK1150" s="3"/>
      <c r="AL1150" s="3"/>
      <c r="AM1150" s="3"/>
      <c r="AN1150" s="3"/>
      <c r="AO1150" s="3"/>
      <c r="AP1150" s="3"/>
      <c r="AQ1150" s="3"/>
      <c r="AR1150" s="3"/>
      <c r="AS1150" s="3"/>
      <c r="AT1150" s="3"/>
      <c r="AU1150" s="3"/>
      <c r="AV1150" s="3"/>
      <c r="AW1150" s="3"/>
      <c r="AX1150" s="3"/>
      <c r="AY1150" s="3"/>
      <c r="AZ1150" s="3"/>
      <c r="BA1150" s="3"/>
      <c r="BB1150" s="3"/>
      <c r="BC1150" s="3"/>
    </row>
    <row r="1151" spans="1:55">
      <c r="A1151" s="1" t="str">
        <f>'Population Definitions'!$A$3</f>
        <v>PWID_females</v>
      </c>
      <c r="C1151" t="s">
        <v>32</v>
      </c>
      <c r="D1151" s="3"/>
      <c r="E1151" s="3">
        <v>0</v>
      </c>
      <c r="F1151" s="3"/>
      <c r="G1151" s="3"/>
      <c r="H1151" s="3"/>
      <c r="I1151" s="3"/>
      <c r="J1151" s="3"/>
      <c r="K1151" s="3"/>
      <c r="L1151" s="3"/>
      <c r="M1151" s="3"/>
      <c r="N1151" s="3"/>
      <c r="O1151" s="3"/>
      <c r="P1151" s="3"/>
      <c r="Q1151" s="3"/>
      <c r="R1151" s="3"/>
      <c r="S1151" s="3"/>
      <c r="T1151" s="3"/>
      <c r="U1151" s="3"/>
      <c r="V1151" s="3"/>
      <c r="W1151" s="3"/>
      <c r="X1151" s="3"/>
      <c r="Y1151" s="3"/>
      <c r="Z1151" s="3"/>
      <c r="AA1151" s="3"/>
      <c r="AB1151" s="3"/>
      <c r="AC1151" s="3"/>
      <c r="AD1151" s="3"/>
      <c r="AE1151" s="3"/>
      <c r="AF1151" s="3"/>
      <c r="AG1151" s="3"/>
      <c r="AH1151" s="3"/>
      <c r="AI1151" s="3"/>
      <c r="AJ1151" s="3"/>
      <c r="AK1151" s="3"/>
      <c r="AL1151" s="3"/>
      <c r="AM1151" s="3"/>
      <c r="AN1151" s="3"/>
      <c r="AO1151" s="3"/>
      <c r="AP1151" s="3"/>
      <c r="AQ1151" s="3"/>
      <c r="AR1151" s="3"/>
      <c r="AS1151" s="3"/>
      <c r="AT1151" s="3"/>
      <c r="AU1151" s="3"/>
      <c r="AV1151" s="3"/>
      <c r="AW1151" s="3"/>
      <c r="AX1151" s="3"/>
      <c r="AY1151" s="3"/>
      <c r="AZ1151" s="3"/>
      <c r="BA1151" s="3"/>
      <c r="BB1151" s="3"/>
      <c r="BC1151" s="3"/>
    </row>
    <row r="1152" spans="1:55">
      <c r="A1152" s="1" t="str">
        <f>'Population Definitions'!$A$4</f>
        <v>0-9_males</v>
      </c>
      <c r="C1152" t="s">
        <v>32</v>
      </c>
      <c r="D1152" s="3"/>
      <c r="E1152" s="3">
        <v>0</v>
      </c>
      <c r="F1152" s="3"/>
      <c r="G1152" s="3"/>
      <c r="H1152" s="3"/>
      <c r="I1152" s="3"/>
      <c r="J1152" s="3"/>
      <c r="K1152" s="3"/>
      <c r="L1152" s="3"/>
      <c r="M1152" s="3"/>
      <c r="N1152" s="3"/>
      <c r="O1152" s="3"/>
      <c r="P1152" s="3"/>
      <c r="Q1152" s="3"/>
      <c r="R1152" s="3"/>
      <c r="S1152" s="3"/>
      <c r="T1152" s="3"/>
      <c r="U1152" s="3"/>
      <c r="V1152" s="3"/>
      <c r="W1152" s="3"/>
      <c r="X1152" s="3"/>
      <c r="Y1152" s="3"/>
      <c r="Z1152" s="3"/>
      <c r="AA1152" s="3"/>
      <c r="AB1152" s="3"/>
      <c r="AC1152" s="3"/>
      <c r="AD1152" s="3"/>
      <c r="AE1152" s="3"/>
      <c r="AF1152" s="3"/>
      <c r="AG1152" s="3"/>
      <c r="AH1152" s="3"/>
      <c r="AI1152" s="3"/>
      <c r="AJ1152" s="3"/>
      <c r="AK1152" s="3"/>
      <c r="AL1152" s="3"/>
      <c r="AM1152" s="3"/>
      <c r="AN1152" s="3"/>
      <c r="AO1152" s="3"/>
      <c r="AP1152" s="3"/>
      <c r="AQ1152" s="3"/>
      <c r="AR1152" s="3"/>
      <c r="AS1152" s="3"/>
      <c r="AT1152" s="3"/>
      <c r="AU1152" s="3"/>
      <c r="AV1152" s="3"/>
      <c r="AW1152" s="3"/>
      <c r="AX1152" s="3"/>
      <c r="AY1152" s="3"/>
      <c r="AZ1152" s="3"/>
      <c r="BA1152" s="3"/>
      <c r="BB1152" s="3"/>
      <c r="BC1152" s="3"/>
    </row>
    <row r="1153" spans="1:55">
      <c r="A1153" s="1" t="str">
        <f>'Population Definitions'!$A$5</f>
        <v>0-9_females</v>
      </c>
      <c r="C1153" t="s">
        <v>32</v>
      </c>
      <c r="D1153" s="3"/>
      <c r="E1153" s="3">
        <v>0</v>
      </c>
      <c r="F1153" s="3"/>
      <c r="G1153" s="3"/>
      <c r="H1153" s="3"/>
      <c r="I1153" s="3"/>
      <c r="J1153" s="3"/>
      <c r="K1153" s="3"/>
      <c r="L1153" s="3"/>
      <c r="M1153" s="3"/>
      <c r="N1153" s="3"/>
      <c r="O1153" s="3"/>
      <c r="P1153" s="3"/>
      <c r="Q1153" s="3"/>
      <c r="R1153" s="3"/>
      <c r="S1153" s="3"/>
      <c r="T1153" s="3"/>
      <c r="U1153" s="3"/>
      <c r="V1153" s="3"/>
      <c r="W1153" s="3"/>
      <c r="X1153" s="3"/>
      <c r="Y1153" s="3"/>
      <c r="Z1153" s="3"/>
      <c r="AA1153" s="3"/>
      <c r="AB1153" s="3"/>
      <c r="AC1153" s="3"/>
      <c r="AD1153" s="3"/>
      <c r="AE1153" s="3"/>
      <c r="AF1153" s="3"/>
      <c r="AG1153" s="3"/>
      <c r="AH1153" s="3"/>
      <c r="AI1153" s="3"/>
      <c r="AJ1153" s="3"/>
      <c r="AK1153" s="3"/>
      <c r="AL1153" s="3"/>
      <c r="AM1153" s="3"/>
      <c r="AN1153" s="3"/>
      <c r="AO1153" s="3"/>
      <c r="AP1153" s="3"/>
      <c r="AQ1153" s="3"/>
      <c r="AR1153" s="3"/>
      <c r="AS1153" s="3"/>
      <c r="AT1153" s="3"/>
      <c r="AU1153" s="3"/>
      <c r="AV1153" s="3"/>
      <c r="AW1153" s="3"/>
      <c r="AX1153" s="3"/>
      <c r="AY1153" s="3"/>
      <c r="AZ1153" s="3"/>
      <c r="BA1153" s="3"/>
      <c r="BB1153" s="3"/>
      <c r="BC1153" s="3"/>
    </row>
    <row r="1154" spans="1:55">
      <c r="A1154" s="1" t="str">
        <f>'Population Definitions'!$A$6</f>
        <v>10-17_males</v>
      </c>
      <c r="C1154" t="s">
        <v>32</v>
      </c>
      <c r="D1154" s="3"/>
      <c r="E1154" s="3">
        <v>0</v>
      </c>
      <c r="F1154" s="3"/>
      <c r="G1154" s="3"/>
      <c r="H1154" s="3"/>
      <c r="I1154" s="3"/>
      <c r="J1154" s="3"/>
      <c r="K1154" s="3"/>
      <c r="L1154" s="3"/>
      <c r="M1154" s="3"/>
      <c r="N1154" s="3"/>
      <c r="O1154" s="3"/>
      <c r="P1154" s="3"/>
      <c r="Q1154" s="3"/>
      <c r="R1154" s="3"/>
      <c r="S1154" s="3"/>
      <c r="T1154" s="3"/>
      <c r="U1154" s="3"/>
      <c r="V1154" s="3"/>
      <c r="W1154" s="3"/>
      <c r="X1154" s="3"/>
      <c r="Y1154" s="3"/>
      <c r="Z1154" s="3"/>
      <c r="AA1154" s="3"/>
      <c r="AB1154" s="3"/>
      <c r="AC1154" s="3"/>
      <c r="AD1154" s="3"/>
      <c r="AE1154" s="3"/>
      <c r="AF1154" s="3"/>
      <c r="AG1154" s="3"/>
      <c r="AH1154" s="3"/>
      <c r="AI1154" s="3"/>
      <c r="AJ1154" s="3"/>
      <c r="AK1154" s="3"/>
      <c r="AL1154" s="3"/>
      <c r="AM1154" s="3"/>
      <c r="AN1154" s="3"/>
      <c r="AO1154" s="3"/>
      <c r="AP1154" s="3"/>
      <c r="AQ1154" s="3"/>
      <c r="AR1154" s="3"/>
      <c r="AS1154" s="3"/>
      <c r="AT1154" s="3"/>
      <c r="AU1154" s="3"/>
      <c r="AV1154" s="3"/>
      <c r="AW1154" s="3"/>
      <c r="AX1154" s="3"/>
      <c r="AY1154" s="3"/>
      <c r="AZ1154" s="3"/>
      <c r="BA1154" s="3"/>
      <c r="BB1154" s="3"/>
      <c r="BC1154" s="3"/>
    </row>
    <row r="1155" spans="1:55">
      <c r="A1155" s="1" t="str">
        <f>'Population Definitions'!$A$7</f>
        <v>10-17_females</v>
      </c>
      <c r="C1155" t="s">
        <v>32</v>
      </c>
      <c r="D1155" s="3"/>
      <c r="E1155" s="3">
        <v>0</v>
      </c>
      <c r="F1155" s="3"/>
      <c r="G1155" s="3"/>
      <c r="H1155" s="3"/>
      <c r="I1155" s="3"/>
      <c r="J1155" s="3"/>
      <c r="K1155" s="3"/>
      <c r="L1155" s="3"/>
      <c r="M1155" s="3"/>
      <c r="N1155" s="3"/>
      <c r="O1155" s="3"/>
      <c r="P1155" s="3"/>
      <c r="Q1155" s="3"/>
      <c r="R1155" s="3"/>
      <c r="S1155" s="3"/>
      <c r="T1155" s="3"/>
      <c r="U1155" s="3"/>
      <c r="V1155" s="3"/>
      <c r="W1155" s="3"/>
      <c r="X1155" s="3"/>
      <c r="Y1155" s="3"/>
      <c r="Z1155" s="3"/>
      <c r="AA1155" s="3"/>
      <c r="AB1155" s="3"/>
      <c r="AC1155" s="3"/>
      <c r="AD1155" s="3"/>
      <c r="AE1155" s="3"/>
      <c r="AF1155" s="3"/>
      <c r="AG1155" s="3"/>
      <c r="AH1155" s="3"/>
      <c r="AI1155" s="3"/>
      <c r="AJ1155" s="3"/>
      <c r="AK1155" s="3"/>
      <c r="AL1155" s="3"/>
      <c r="AM1155" s="3"/>
      <c r="AN1155" s="3"/>
      <c r="AO1155" s="3"/>
      <c r="AP1155" s="3"/>
      <c r="AQ1155" s="3"/>
      <c r="AR1155" s="3"/>
      <c r="AS1155" s="3"/>
      <c r="AT1155" s="3"/>
      <c r="AU1155" s="3"/>
      <c r="AV1155" s="3"/>
      <c r="AW1155" s="3"/>
      <c r="AX1155" s="3"/>
      <c r="AY1155" s="3"/>
      <c r="AZ1155" s="3"/>
      <c r="BA1155" s="3"/>
      <c r="BB1155" s="3"/>
      <c r="BC1155" s="3"/>
    </row>
    <row r="1156" spans="1:55">
      <c r="A1156" s="1" t="str">
        <f>'Population Definitions'!$A$8</f>
        <v>18-64_males</v>
      </c>
      <c r="C1156" t="s">
        <v>32</v>
      </c>
      <c r="D1156" s="3"/>
      <c r="E1156" s="3">
        <v>0</v>
      </c>
      <c r="F1156" s="3"/>
      <c r="G1156" s="3"/>
      <c r="H1156" s="3"/>
      <c r="I1156" s="3"/>
      <c r="J1156" s="3"/>
      <c r="K1156" s="3"/>
      <c r="L1156" s="3"/>
      <c r="M1156" s="3"/>
      <c r="N1156" s="3"/>
      <c r="O1156" s="3"/>
      <c r="P1156" s="3"/>
      <c r="Q1156" s="3"/>
      <c r="R1156" s="3"/>
      <c r="S1156" s="3"/>
      <c r="T1156" s="3"/>
      <c r="U1156" s="3"/>
      <c r="V1156" s="3"/>
      <c r="W1156" s="3"/>
      <c r="X1156" s="3"/>
      <c r="Y1156" s="3"/>
      <c r="Z1156" s="3"/>
      <c r="AA1156" s="3"/>
      <c r="AB1156" s="3"/>
      <c r="AC1156" s="3"/>
      <c r="AD1156" s="3"/>
      <c r="AE1156" s="3"/>
      <c r="AF1156" s="3"/>
      <c r="AG1156" s="3"/>
      <c r="AH1156" s="3"/>
      <c r="AI1156" s="3"/>
      <c r="AJ1156" s="3"/>
      <c r="AK1156" s="3"/>
      <c r="AL1156" s="3"/>
      <c r="AM1156" s="3"/>
      <c r="AN1156" s="3"/>
      <c r="AO1156" s="3"/>
      <c r="AP1156" s="3"/>
      <c r="AQ1156" s="3"/>
      <c r="AR1156" s="3"/>
      <c r="AS1156" s="3"/>
      <c r="AT1156" s="3"/>
      <c r="AU1156" s="3"/>
      <c r="AV1156" s="3"/>
      <c r="AW1156" s="3"/>
      <c r="AX1156" s="3"/>
      <c r="AY1156" s="3"/>
      <c r="AZ1156" s="3"/>
      <c r="BA1156" s="3"/>
      <c r="BB1156" s="3"/>
      <c r="BC1156" s="3"/>
    </row>
    <row r="1157" spans="1:55">
      <c r="A1157" s="1" t="str">
        <f>'Population Definitions'!$A$9</f>
        <v>18-64_females</v>
      </c>
      <c r="C1157" t="s">
        <v>32</v>
      </c>
      <c r="D1157" s="3"/>
      <c r="E1157" s="3">
        <v>0</v>
      </c>
      <c r="F1157" s="3"/>
      <c r="G1157" s="3"/>
      <c r="H1157" s="3"/>
      <c r="I1157" s="3"/>
      <c r="J1157" s="3"/>
      <c r="K1157" s="3"/>
      <c r="L1157" s="3"/>
      <c r="M1157" s="3"/>
      <c r="N1157" s="3"/>
      <c r="O1157" s="3"/>
      <c r="P1157" s="3"/>
      <c r="Q1157" s="3"/>
      <c r="R1157" s="3"/>
      <c r="S1157" s="3"/>
      <c r="T1157" s="3"/>
      <c r="U1157" s="3"/>
      <c r="V1157" s="3"/>
      <c r="W1157" s="3"/>
      <c r="X1157" s="3"/>
      <c r="Y1157" s="3"/>
      <c r="Z1157" s="3"/>
      <c r="AA1157" s="3"/>
      <c r="AB1157" s="3"/>
      <c r="AC1157" s="3"/>
      <c r="AD1157" s="3"/>
      <c r="AE1157" s="3"/>
      <c r="AF1157" s="3"/>
      <c r="AG1157" s="3"/>
      <c r="AH1157" s="3"/>
      <c r="AI1157" s="3"/>
      <c r="AJ1157" s="3"/>
      <c r="AK1157" s="3"/>
      <c r="AL1157" s="3"/>
      <c r="AM1157" s="3"/>
      <c r="AN1157" s="3"/>
      <c r="AO1157" s="3"/>
      <c r="AP1157" s="3"/>
      <c r="AQ1157" s="3"/>
      <c r="AR1157" s="3"/>
      <c r="AS1157" s="3"/>
      <c r="AT1157" s="3"/>
      <c r="AU1157" s="3"/>
      <c r="AV1157" s="3"/>
      <c r="AW1157" s="3"/>
      <c r="AX1157" s="3"/>
      <c r="AY1157" s="3"/>
      <c r="AZ1157" s="3"/>
      <c r="BA1157" s="3"/>
      <c r="BB1157" s="3"/>
      <c r="BC1157" s="3"/>
    </row>
    <row r="1158" spans="1:55">
      <c r="A1158" s="1" t="str">
        <f>'Population Definitions'!$A$10</f>
        <v>65+_males</v>
      </c>
      <c r="C1158" t="s">
        <v>32</v>
      </c>
      <c r="D1158" s="3"/>
      <c r="E1158" s="3">
        <v>0</v>
      </c>
      <c r="F1158" s="3"/>
      <c r="G1158" s="3"/>
      <c r="H1158" s="3"/>
      <c r="I1158" s="3"/>
      <c r="J1158" s="3"/>
      <c r="K1158" s="3"/>
      <c r="L1158" s="3"/>
      <c r="M1158" s="3"/>
      <c r="N1158" s="3"/>
      <c r="O1158" s="3"/>
      <c r="P1158" s="3"/>
      <c r="Q1158" s="3"/>
      <c r="R1158" s="3"/>
      <c r="S1158" s="3"/>
      <c r="T1158" s="3"/>
      <c r="U1158" s="3"/>
      <c r="V1158" s="3"/>
      <c r="W1158" s="3"/>
      <c r="X1158" s="3"/>
      <c r="Y1158" s="3"/>
      <c r="Z1158" s="3"/>
      <c r="AA1158" s="3"/>
      <c r="AB1158" s="3"/>
      <c r="AC1158" s="3"/>
      <c r="AD1158" s="3"/>
      <c r="AE1158" s="3"/>
      <c r="AF1158" s="3"/>
      <c r="AG1158" s="3"/>
      <c r="AH1158" s="3"/>
      <c r="AI1158" s="3"/>
      <c r="AJ1158" s="3"/>
      <c r="AK1158" s="3"/>
      <c r="AL1158" s="3"/>
      <c r="AM1158" s="3"/>
      <c r="AN1158" s="3"/>
      <c r="AO1158" s="3"/>
      <c r="AP1158" s="3"/>
      <c r="AQ1158" s="3"/>
      <c r="AR1158" s="3"/>
      <c r="AS1158" s="3"/>
      <c r="AT1158" s="3"/>
      <c r="AU1158" s="3"/>
      <c r="AV1158" s="3"/>
      <c r="AW1158" s="3"/>
      <c r="AX1158" s="3"/>
      <c r="AY1158" s="3"/>
      <c r="AZ1158" s="3"/>
      <c r="BA1158" s="3"/>
      <c r="BB1158" s="3"/>
      <c r="BC1158" s="3"/>
    </row>
    <row r="1159" spans="1:55">
      <c r="A1159" s="1" t="str">
        <f>'Population Definitions'!$A$11</f>
        <v>65+_females</v>
      </c>
      <c r="C1159" t="s">
        <v>32</v>
      </c>
      <c r="D1159" s="3"/>
      <c r="E1159" s="3">
        <v>0</v>
      </c>
      <c r="F1159" s="3"/>
      <c r="G1159" s="3"/>
      <c r="H1159" s="3"/>
      <c r="I1159" s="3"/>
      <c r="J1159" s="3"/>
      <c r="K1159" s="3"/>
      <c r="L1159" s="3"/>
      <c r="M1159" s="3"/>
      <c r="N1159" s="3"/>
      <c r="O1159" s="3"/>
      <c r="P1159" s="3"/>
      <c r="Q1159" s="3"/>
      <c r="R1159" s="3"/>
      <c r="S1159" s="3"/>
      <c r="T1159" s="3"/>
      <c r="U1159" s="3"/>
      <c r="V1159" s="3"/>
      <c r="W1159" s="3"/>
      <c r="X1159" s="3"/>
      <c r="Y1159" s="3"/>
      <c r="Z1159" s="3"/>
      <c r="AA1159" s="3"/>
      <c r="AB1159" s="3"/>
      <c r="AC1159" s="3"/>
      <c r="AD1159" s="3"/>
      <c r="AE1159" s="3"/>
      <c r="AF1159" s="3"/>
      <c r="AG1159" s="3"/>
      <c r="AH1159" s="3"/>
      <c r="AI1159" s="3"/>
      <c r="AJ1159" s="3"/>
      <c r="AK1159" s="3"/>
      <c r="AL1159" s="3"/>
      <c r="AM1159" s="3"/>
      <c r="AN1159" s="3"/>
      <c r="AO1159" s="3"/>
      <c r="AP1159" s="3"/>
      <c r="AQ1159" s="3"/>
      <c r="AR1159" s="3"/>
      <c r="AS1159" s="3"/>
      <c r="AT1159" s="3"/>
      <c r="AU1159" s="3"/>
      <c r="AV1159" s="3"/>
      <c r="AW1159" s="3"/>
      <c r="AX1159" s="3"/>
      <c r="AY1159" s="3"/>
      <c r="AZ1159" s="3"/>
      <c r="BA1159" s="3"/>
      <c r="BB1159" s="3"/>
      <c r="BC1159" s="3"/>
    </row>
    <row r="1160" spans="1:55">
      <c r="A1160" s="1" t="str">
        <f>'Population Definitions'!$A$12</f>
        <v>Prisoners_males</v>
      </c>
      <c r="C1160" t="s">
        <v>32</v>
      </c>
      <c r="D1160" s="3"/>
      <c r="E1160" s="3">
        <v>0</v>
      </c>
      <c r="F1160" s="3"/>
      <c r="G1160" s="3"/>
      <c r="H1160" s="3"/>
      <c r="I1160" s="3"/>
      <c r="J1160" s="3"/>
      <c r="K1160" s="3"/>
      <c r="L1160" s="3"/>
      <c r="M1160" s="3"/>
      <c r="N1160" s="3"/>
      <c r="O1160" s="3"/>
      <c r="P1160" s="3"/>
      <c r="Q1160" s="3"/>
      <c r="R1160" s="3"/>
      <c r="S1160" s="3"/>
      <c r="T1160" s="3"/>
      <c r="U1160" s="3"/>
      <c r="V1160" s="3"/>
      <c r="W1160" s="3"/>
      <c r="X1160" s="3"/>
      <c r="Y1160" s="3"/>
      <c r="Z1160" s="3"/>
      <c r="AA1160" s="3"/>
      <c r="AB1160" s="3"/>
      <c r="AC1160" s="3"/>
      <c r="AD1160" s="3"/>
      <c r="AE1160" s="3"/>
      <c r="AF1160" s="3"/>
      <c r="AG1160" s="3"/>
      <c r="AH1160" s="3"/>
      <c r="AI1160" s="3"/>
      <c r="AJ1160" s="3"/>
      <c r="AK1160" s="3"/>
      <c r="AL1160" s="3"/>
      <c r="AM1160" s="3"/>
      <c r="AN1160" s="3"/>
      <c r="AO1160" s="3"/>
      <c r="AP1160" s="3"/>
      <c r="AQ1160" s="3"/>
      <c r="AR1160" s="3"/>
      <c r="AS1160" s="3"/>
      <c r="AT1160" s="3"/>
      <c r="AU1160" s="3"/>
      <c r="AV1160" s="3"/>
      <c r="AW1160" s="3"/>
      <c r="AX1160" s="3"/>
      <c r="AY1160" s="3"/>
      <c r="AZ1160" s="3"/>
      <c r="BA1160" s="3"/>
      <c r="BB1160" s="3"/>
      <c r="BC1160" s="3"/>
    </row>
    <row r="1161" spans="1:55">
      <c r="A1161" s="1" t="str">
        <f>'Population Definitions'!$A$13</f>
        <v>Prisoners_females</v>
      </c>
      <c r="C1161" t="s">
        <v>32</v>
      </c>
      <c r="D1161" s="3"/>
      <c r="E1161" s="3">
        <v>0</v>
      </c>
      <c r="F1161" s="3"/>
      <c r="G1161" s="3"/>
      <c r="H1161" s="3"/>
      <c r="I1161" s="3"/>
      <c r="J1161" s="3"/>
      <c r="K1161" s="3"/>
      <c r="L1161" s="3"/>
      <c r="M1161" s="3"/>
      <c r="N1161" s="3"/>
      <c r="O1161" s="3"/>
      <c r="P1161" s="3"/>
      <c r="Q1161" s="3"/>
      <c r="R1161" s="3"/>
      <c r="S1161" s="3"/>
      <c r="T1161" s="3"/>
      <c r="U1161" s="3"/>
      <c r="V1161" s="3"/>
      <c r="W1161" s="3"/>
      <c r="X1161" s="3"/>
      <c r="Y1161" s="3"/>
      <c r="Z1161" s="3"/>
      <c r="AA1161" s="3"/>
      <c r="AB1161" s="3"/>
      <c r="AC1161" s="3"/>
      <c r="AD1161" s="3"/>
      <c r="AE1161" s="3"/>
      <c r="AF1161" s="3"/>
      <c r="AG1161" s="3"/>
      <c r="AH1161" s="3"/>
      <c r="AI1161" s="3"/>
      <c r="AJ1161" s="3"/>
      <c r="AK1161" s="3"/>
      <c r="AL1161" s="3"/>
      <c r="AM1161" s="3"/>
      <c r="AN1161" s="3"/>
      <c r="AO1161" s="3"/>
      <c r="AP1161" s="3"/>
      <c r="AQ1161" s="3"/>
      <c r="AR1161" s="3"/>
      <c r="AS1161" s="3"/>
      <c r="AT1161" s="3"/>
      <c r="AU1161" s="3"/>
      <c r="AV1161" s="3"/>
      <c r="AW1161" s="3"/>
      <c r="AX1161" s="3"/>
      <c r="AY1161" s="3"/>
      <c r="AZ1161" s="3"/>
      <c r="BA1161" s="3"/>
      <c r="BB1161" s="3"/>
      <c r="BC1161" s="3"/>
    </row>
  </sheetData>
  <conditionalFormatting sqref="E100">
    <cfRule type="expression" dxfId="0" priority="145">
      <formula>COUNTIF(G100:BE100,"&lt;&gt;" &amp; "")&gt;0</formula>
    </cfRule>
    <cfRule type="expression" dxfId="1" priority="146">
      <formula>AND(COUNTIF(G100:BE100,"&lt;&gt;" &amp; "")&gt;0,NOT(ISBLANK(E100)))</formula>
    </cfRule>
  </conditionalFormatting>
  <conditionalFormatting sqref="E101">
    <cfRule type="expression" dxfId="0" priority="147">
      <formula>COUNTIF(G101:BE101,"&lt;&gt;" &amp; "")&gt;0</formula>
    </cfRule>
    <cfRule type="expression" dxfId="1" priority="148">
      <formula>AND(COUNTIF(G101:BE101,"&lt;&gt;" &amp; "")&gt;0,NOT(ISBLANK(E101)))</formula>
    </cfRule>
  </conditionalFormatting>
  <conditionalFormatting sqref="E102">
    <cfRule type="expression" dxfId="0" priority="149">
      <formula>COUNTIF(G102:BE102,"&lt;&gt;" &amp; "")&gt;0</formula>
    </cfRule>
    <cfRule type="expression" dxfId="1" priority="150">
      <formula>AND(COUNTIF(G102:BE102,"&lt;&gt;" &amp; "")&gt;0,NOT(ISBLANK(E102)))</formula>
    </cfRule>
  </conditionalFormatting>
  <conditionalFormatting sqref="E103">
    <cfRule type="expression" dxfId="0" priority="151">
      <formula>COUNTIF(G103:BE103,"&lt;&gt;" &amp; "")&gt;0</formula>
    </cfRule>
    <cfRule type="expression" dxfId="1" priority="152">
      <formula>AND(COUNTIF(G103:BE103,"&lt;&gt;" &amp; "")&gt;0,NOT(ISBLANK(E103)))</formula>
    </cfRule>
  </conditionalFormatting>
  <conditionalFormatting sqref="E104">
    <cfRule type="expression" dxfId="0" priority="153">
      <formula>COUNTIF(G104:BE104,"&lt;&gt;" &amp; "")&gt;0</formula>
    </cfRule>
    <cfRule type="expression" dxfId="1" priority="154">
      <formula>AND(COUNTIF(G104:BE104,"&lt;&gt;" &amp; "")&gt;0,NOT(ISBLANK(E104)))</formula>
    </cfRule>
  </conditionalFormatting>
  <conditionalFormatting sqref="E105">
    <cfRule type="expression" dxfId="0" priority="155">
      <formula>COUNTIF(G105:BE105,"&lt;&gt;" &amp; "")&gt;0</formula>
    </cfRule>
    <cfRule type="expression" dxfId="1" priority="156">
      <formula>AND(COUNTIF(G105:BE105,"&lt;&gt;" &amp; "")&gt;0,NOT(ISBLANK(E105)))</formula>
    </cfRule>
  </conditionalFormatting>
  <conditionalFormatting sqref="E106">
    <cfRule type="expression" dxfId="0" priority="157">
      <formula>COUNTIF(G106:BE106,"&lt;&gt;" &amp; "")&gt;0</formula>
    </cfRule>
    <cfRule type="expression" dxfId="1" priority="158">
      <formula>AND(COUNTIF(G106:BE106,"&lt;&gt;" &amp; "")&gt;0,NOT(ISBLANK(E106)))</formula>
    </cfRule>
  </conditionalFormatting>
  <conditionalFormatting sqref="E107">
    <cfRule type="expression" dxfId="0" priority="159">
      <formula>COUNTIF(G107:BE107,"&lt;&gt;" &amp; "")&gt;0</formula>
    </cfRule>
    <cfRule type="expression" dxfId="1" priority="160">
      <formula>AND(COUNTIF(G107:BE107,"&lt;&gt;" &amp; "")&gt;0,NOT(ISBLANK(E107)))</formula>
    </cfRule>
  </conditionalFormatting>
  <conditionalFormatting sqref="E108">
    <cfRule type="expression" dxfId="0" priority="161">
      <formula>COUNTIF(G108:BE108,"&lt;&gt;" &amp; "")&gt;0</formula>
    </cfRule>
    <cfRule type="expression" dxfId="1" priority="162">
      <formula>AND(COUNTIF(G108:BE108,"&lt;&gt;" &amp; "")&gt;0,NOT(ISBLANK(E108)))</formula>
    </cfRule>
  </conditionalFormatting>
  <conditionalFormatting sqref="E109">
    <cfRule type="expression" dxfId="0" priority="163">
      <formula>COUNTIF(G109:BE109,"&lt;&gt;" &amp; "")&gt;0</formula>
    </cfRule>
    <cfRule type="expression" dxfId="1" priority="164">
      <formula>AND(COUNTIF(G109:BE109,"&lt;&gt;" &amp; "")&gt;0,NOT(ISBLANK(E109)))</formula>
    </cfRule>
  </conditionalFormatting>
  <conditionalFormatting sqref="E110">
    <cfRule type="expression" dxfId="0" priority="165">
      <formula>COUNTIF(G110:BE110,"&lt;&gt;" &amp; "")&gt;0</formula>
    </cfRule>
    <cfRule type="expression" dxfId="1" priority="166">
      <formula>AND(COUNTIF(G110:BE110,"&lt;&gt;" &amp; "")&gt;0,NOT(ISBLANK(E110)))</formula>
    </cfRule>
  </conditionalFormatting>
  <conditionalFormatting sqref="E111">
    <cfRule type="expression" dxfId="0" priority="167">
      <formula>COUNTIF(G111:BE111,"&lt;&gt;" &amp; "")&gt;0</formula>
    </cfRule>
    <cfRule type="expression" dxfId="1" priority="168">
      <formula>AND(COUNTIF(G111:BE111,"&lt;&gt;" &amp; "")&gt;0,NOT(ISBLANK(E111)))</formula>
    </cfRule>
  </conditionalFormatting>
  <conditionalFormatting sqref="E114">
    <cfRule type="expression" dxfId="0" priority="169">
      <formula>COUNTIF(G114:BE114,"&lt;&gt;" &amp; "")&gt;0</formula>
    </cfRule>
    <cfRule type="expression" dxfId="1" priority="170">
      <formula>AND(COUNTIF(G114:BE114,"&lt;&gt;" &amp; "")&gt;0,NOT(ISBLANK(E114)))</formula>
    </cfRule>
  </conditionalFormatting>
  <conditionalFormatting sqref="E115">
    <cfRule type="expression" dxfId="0" priority="171">
      <formula>COUNTIF(G115:BE115,"&lt;&gt;" &amp; "")&gt;0</formula>
    </cfRule>
    <cfRule type="expression" dxfId="1" priority="172">
      <formula>AND(COUNTIF(G115:BE115,"&lt;&gt;" &amp; "")&gt;0,NOT(ISBLANK(E115)))</formula>
    </cfRule>
  </conditionalFormatting>
  <conditionalFormatting sqref="E116">
    <cfRule type="expression" dxfId="0" priority="173">
      <formula>COUNTIF(G116:BE116,"&lt;&gt;" &amp; "")&gt;0</formula>
    </cfRule>
    <cfRule type="expression" dxfId="1" priority="174">
      <formula>AND(COUNTIF(G116:BE116,"&lt;&gt;" &amp; "")&gt;0,NOT(ISBLANK(E116)))</formula>
    </cfRule>
  </conditionalFormatting>
  <conditionalFormatting sqref="E117">
    <cfRule type="expression" dxfId="0" priority="175">
      <formula>COUNTIF(G117:BE117,"&lt;&gt;" &amp; "")&gt;0</formula>
    </cfRule>
    <cfRule type="expression" dxfId="1" priority="176">
      <formula>AND(COUNTIF(G117:BE117,"&lt;&gt;" &amp; "")&gt;0,NOT(ISBLANK(E117)))</formula>
    </cfRule>
  </conditionalFormatting>
  <conditionalFormatting sqref="E118">
    <cfRule type="expression" dxfId="0" priority="177">
      <formula>COUNTIF(G118:BE118,"&lt;&gt;" &amp; "")&gt;0</formula>
    </cfRule>
    <cfRule type="expression" dxfId="1" priority="178">
      <formula>AND(COUNTIF(G118:BE118,"&lt;&gt;" &amp; "")&gt;0,NOT(ISBLANK(E118)))</formula>
    </cfRule>
  </conditionalFormatting>
  <conditionalFormatting sqref="E119">
    <cfRule type="expression" dxfId="0" priority="179">
      <formula>COUNTIF(G119:BE119,"&lt;&gt;" &amp; "")&gt;0</formula>
    </cfRule>
    <cfRule type="expression" dxfId="1" priority="180">
      <formula>AND(COUNTIF(G119:BE119,"&lt;&gt;" &amp; "")&gt;0,NOT(ISBLANK(E119)))</formula>
    </cfRule>
  </conditionalFormatting>
  <conditionalFormatting sqref="E120">
    <cfRule type="expression" dxfId="0" priority="181">
      <formula>COUNTIF(G120:BE120,"&lt;&gt;" &amp; "")&gt;0</formula>
    </cfRule>
    <cfRule type="expression" dxfId="1" priority="182">
      <formula>AND(COUNTIF(G120:BE120,"&lt;&gt;" &amp; "")&gt;0,NOT(ISBLANK(E120)))</formula>
    </cfRule>
  </conditionalFormatting>
  <conditionalFormatting sqref="E121">
    <cfRule type="expression" dxfId="0" priority="183">
      <formula>COUNTIF(G121:BE121,"&lt;&gt;" &amp; "")&gt;0</formula>
    </cfRule>
    <cfRule type="expression" dxfId="1" priority="184">
      <formula>AND(COUNTIF(G121:BE121,"&lt;&gt;" &amp; "")&gt;0,NOT(ISBLANK(E121)))</formula>
    </cfRule>
  </conditionalFormatting>
  <conditionalFormatting sqref="E122">
    <cfRule type="expression" dxfId="0" priority="185">
      <formula>COUNTIF(G122:BE122,"&lt;&gt;" &amp; "")&gt;0</formula>
    </cfRule>
    <cfRule type="expression" dxfId="1" priority="186">
      <formula>AND(COUNTIF(G122:BE122,"&lt;&gt;" &amp; "")&gt;0,NOT(ISBLANK(E122)))</formula>
    </cfRule>
  </conditionalFormatting>
  <conditionalFormatting sqref="E123">
    <cfRule type="expression" dxfId="0" priority="187">
      <formula>COUNTIF(G123:BE123,"&lt;&gt;" &amp; "")&gt;0</formula>
    </cfRule>
    <cfRule type="expression" dxfId="1" priority="188">
      <formula>AND(COUNTIF(G123:BE123,"&lt;&gt;" &amp; "")&gt;0,NOT(ISBLANK(E123)))</formula>
    </cfRule>
  </conditionalFormatting>
  <conditionalFormatting sqref="E124">
    <cfRule type="expression" dxfId="0" priority="189">
      <formula>COUNTIF(G124:BE124,"&lt;&gt;" &amp; "")&gt;0</formula>
    </cfRule>
    <cfRule type="expression" dxfId="1" priority="190">
      <formula>AND(COUNTIF(G124:BE124,"&lt;&gt;" &amp; "")&gt;0,NOT(ISBLANK(E124)))</formula>
    </cfRule>
  </conditionalFormatting>
  <conditionalFormatting sqref="E125">
    <cfRule type="expression" dxfId="0" priority="191">
      <formula>COUNTIF(G125:BE125,"&lt;&gt;" &amp; "")&gt;0</formula>
    </cfRule>
    <cfRule type="expression" dxfId="1" priority="192">
      <formula>AND(COUNTIF(G125:BE125,"&lt;&gt;" &amp; "")&gt;0,NOT(ISBLANK(E125)))</formula>
    </cfRule>
  </conditionalFormatting>
  <conditionalFormatting sqref="E128">
    <cfRule type="expression" dxfId="0" priority="193">
      <formula>COUNTIF(G128:BE128,"&lt;&gt;" &amp; "")&gt;0</formula>
    </cfRule>
    <cfRule type="expression" dxfId="1" priority="194">
      <formula>AND(COUNTIF(G128:BE128,"&lt;&gt;" &amp; "")&gt;0,NOT(ISBLANK(E128)))</formula>
    </cfRule>
  </conditionalFormatting>
  <conditionalFormatting sqref="E129">
    <cfRule type="expression" dxfId="0" priority="195">
      <formula>COUNTIF(G129:BE129,"&lt;&gt;" &amp; "")&gt;0</formula>
    </cfRule>
    <cfRule type="expression" dxfId="1" priority="196">
      <formula>AND(COUNTIF(G129:BE129,"&lt;&gt;" &amp; "")&gt;0,NOT(ISBLANK(E129)))</formula>
    </cfRule>
  </conditionalFormatting>
  <conditionalFormatting sqref="E130">
    <cfRule type="expression" dxfId="0" priority="197">
      <formula>COUNTIF(G130:BE130,"&lt;&gt;" &amp; "")&gt;0</formula>
    </cfRule>
    <cfRule type="expression" dxfId="1" priority="198">
      <formula>AND(COUNTIF(G130:BE130,"&lt;&gt;" &amp; "")&gt;0,NOT(ISBLANK(E130)))</formula>
    </cfRule>
  </conditionalFormatting>
  <conditionalFormatting sqref="E131">
    <cfRule type="expression" dxfId="0" priority="199">
      <formula>COUNTIF(G131:BE131,"&lt;&gt;" &amp; "")&gt;0</formula>
    </cfRule>
    <cfRule type="expression" dxfId="1" priority="200">
      <formula>AND(COUNTIF(G131:BE131,"&lt;&gt;" &amp; "")&gt;0,NOT(ISBLANK(E131)))</formula>
    </cfRule>
  </conditionalFormatting>
  <conditionalFormatting sqref="E132">
    <cfRule type="expression" dxfId="0" priority="201">
      <formula>COUNTIF(G132:BE132,"&lt;&gt;" &amp; "")&gt;0</formula>
    </cfRule>
    <cfRule type="expression" dxfId="1" priority="202">
      <formula>AND(COUNTIF(G132:BE132,"&lt;&gt;" &amp; "")&gt;0,NOT(ISBLANK(E132)))</formula>
    </cfRule>
  </conditionalFormatting>
  <conditionalFormatting sqref="E133">
    <cfRule type="expression" dxfId="0" priority="203">
      <formula>COUNTIF(G133:BE133,"&lt;&gt;" &amp; "")&gt;0</formula>
    </cfRule>
    <cfRule type="expression" dxfId="1" priority="204">
      <formula>AND(COUNTIF(G133:BE133,"&lt;&gt;" &amp; "")&gt;0,NOT(ISBLANK(E133)))</formula>
    </cfRule>
  </conditionalFormatting>
  <conditionalFormatting sqref="E134">
    <cfRule type="expression" dxfId="0" priority="205">
      <formula>COUNTIF(G134:BE134,"&lt;&gt;" &amp; "")&gt;0</formula>
    </cfRule>
    <cfRule type="expression" dxfId="1" priority="206">
      <formula>AND(COUNTIF(G134:BE134,"&lt;&gt;" &amp; "")&gt;0,NOT(ISBLANK(E134)))</formula>
    </cfRule>
  </conditionalFormatting>
  <conditionalFormatting sqref="E135">
    <cfRule type="expression" dxfId="0" priority="207">
      <formula>COUNTIF(G135:BE135,"&lt;&gt;" &amp; "")&gt;0</formula>
    </cfRule>
    <cfRule type="expression" dxfId="1" priority="208">
      <formula>AND(COUNTIF(G135:BE135,"&lt;&gt;" &amp; "")&gt;0,NOT(ISBLANK(E135)))</formula>
    </cfRule>
  </conditionalFormatting>
  <conditionalFormatting sqref="E136">
    <cfRule type="expression" dxfId="0" priority="209">
      <formula>COUNTIF(G136:BE136,"&lt;&gt;" &amp; "")&gt;0</formula>
    </cfRule>
    <cfRule type="expression" dxfId="1" priority="210">
      <formula>AND(COUNTIF(G136:BE136,"&lt;&gt;" &amp; "")&gt;0,NOT(ISBLANK(E136)))</formula>
    </cfRule>
  </conditionalFormatting>
  <conditionalFormatting sqref="E137">
    <cfRule type="expression" dxfId="0" priority="211">
      <formula>COUNTIF(G137:BE137,"&lt;&gt;" &amp; "")&gt;0</formula>
    </cfRule>
    <cfRule type="expression" dxfId="1" priority="212">
      <formula>AND(COUNTIF(G137:BE137,"&lt;&gt;" &amp; "")&gt;0,NOT(ISBLANK(E137)))</formula>
    </cfRule>
  </conditionalFormatting>
  <conditionalFormatting sqref="E138">
    <cfRule type="expression" dxfId="0" priority="213">
      <formula>COUNTIF(G138:BE138,"&lt;&gt;" &amp; "")&gt;0</formula>
    </cfRule>
    <cfRule type="expression" dxfId="1" priority="214">
      <formula>AND(COUNTIF(G138:BE138,"&lt;&gt;" &amp; "")&gt;0,NOT(ISBLANK(E138)))</formula>
    </cfRule>
  </conditionalFormatting>
  <conditionalFormatting sqref="E139">
    <cfRule type="expression" dxfId="0" priority="215">
      <formula>COUNTIF(G139:BE139,"&lt;&gt;" &amp; "")&gt;0</formula>
    </cfRule>
    <cfRule type="expression" dxfId="1" priority="216">
      <formula>AND(COUNTIF(G139:BE139,"&lt;&gt;" &amp; "")&gt;0,NOT(ISBLANK(E139)))</formula>
    </cfRule>
  </conditionalFormatting>
  <conditionalFormatting sqref="E142">
    <cfRule type="expression" dxfId="0" priority="217">
      <formula>COUNTIF(G142:BE142,"&lt;&gt;" &amp; "")&gt;0</formula>
    </cfRule>
    <cfRule type="expression" dxfId="1" priority="218">
      <formula>AND(COUNTIF(G142:BE142,"&lt;&gt;" &amp; "")&gt;0,NOT(ISBLANK(E142)))</formula>
    </cfRule>
  </conditionalFormatting>
  <conditionalFormatting sqref="E143">
    <cfRule type="expression" dxfId="0" priority="219">
      <formula>COUNTIF(G143:BE143,"&lt;&gt;" &amp; "")&gt;0</formula>
    </cfRule>
    <cfRule type="expression" dxfId="1" priority="220">
      <formula>AND(COUNTIF(G143:BE143,"&lt;&gt;" &amp; "")&gt;0,NOT(ISBLANK(E143)))</formula>
    </cfRule>
  </conditionalFormatting>
  <conditionalFormatting sqref="E144">
    <cfRule type="expression" dxfId="0" priority="221">
      <formula>COUNTIF(G144:BE144,"&lt;&gt;" &amp; "")&gt;0</formula>
    </cfRule>
    <cfRule type="expression" dxfId="1" priority="222">
      <formula>AND(COUNTIF(G144:BE144,"&lt;&gt;" &amp; "")&gt;0,NOT(ISBLANK(E144)))</formula>
    </cfRule>
  </conditionalFormatting>
  <conditionalFormatting sqref="E145">
    <cfRule type="expression" dxfId="0" priority="223">
      <formula>COUNTIF(G145:BE145,"&lt;&gt;" &amp; "")&gt;0</formula>
    </cfRule>
    <cfRule type="expression" dxfId="1" priority="224">
      <formula>AND(COUNTIF(G145:BE145,"&lt;&gt;" &amp; "")&gt;0,NOT(ISBLANK(E145)))</formula>
    </cfRule>
  </conditionalFormatting>
  <conditionalFormatting sqref="E146">
    <cfRule type="expression" dxfId="0" priority="225">
      <formula>COUNTIF(G146:BE146,"&lt;&gt;" &amp; "")&gt;0</formula>
    </cfRule>
    <cfRule type="expression" dxfId="1" priority="226">
      <formula>AND(COUNTIF(G146:BE146,"&lt;&gt;" &amp; "")&gt;0,NOT(ISBLANK(E146)))</formula>
    </cfRule>
  </conditionalFormatting>
  <conditionalFormatting sqref="E147">
    <cfRule type="expression" dxfId="0" priority="227">
      <formula>COUNTIF(G147:BE147,"&lt;&gt;" &amp; "")&gt;0</formula>
    </cfRule>
    <cfRule type="expression" dxfId="1" priority="228">
      <formula>AND(COUNTIF(G147:BE147,"&lt;&gt;" &amp; "")&gt;0,NOT(ISBLANK(E147)))</formula>
    </cfRule>
  </conditionalFormatting>
  <conditionalFormatting sqref="E148">
    <cfRule type="expression" dxfId="0" priority="229">
      <formula>COUNTIF(G148:BE148,"&lt;&gt;" &amp; "")&gt;0</formula>
    </cfRule>
    <cfRule type="expression" dxfId="1" priority="230">
      <formula>AND(COUNTIF(G148:BE148,"&lt;&gt;" &amp; "")&gt;0,NOT(ISBLANK(E148)))</formula>
    </cfRule>
  </conditionalFormatting>
  <conditionalFormatting sqref="E149">
    <cfRule type="expression" dxfId="0" priority="231">
      <formula>COUNTIF(G149:BE149,"&lt;&gt;" &amp; "")&gt;0</formula>
    </cfRule>
    <cfRule type="expression" dxfId="1" priority="232">
      <formula>AND(COUNTIF(G149:BE149,"&lt;&gt;" &amp; "")&gt;0,NOT(ISBLANK(E149)))</formula>
    </cfRule>
  </conditionalFormatting>
  <conditionalFormatting sqref="E150">
    <cfRule type="expression" dxfId="0" priority="233">
      <formula>COUNTIF(G150:BE150,"&lt;&gt;" &amp; "")&gt;0</formula>
    </cfRule>
    <cfRule type="expression" dxfId="1" priority="234">
      <formula>AND(COUNTIF(G150:BE150,"&lt;&gt;" &amp; "")&gt;0,NOT(ISBLANK(E150)))</formula>
    </cfRule>
  </conditionalFormatting>
  <conditionalFormatting sqref="E151">
    <cfRule type="expression" dxfId="0" priority="235">
      <formula>COUNTIF(G151:BE151,"&lt;&gt;" &amp; "")&gt;0</formula>
    </cfRule>
    <cfRule type="expression" dxfId="1" priority="236">
      <formula>AND(COUNTIF(G151:BE151,"&lt;&gt;" &amp; "")&gt;0,NOT(ISBLANK(E151)))</formula>
    </cfRule>
  </conditionalFormatting>
  <conditionalFormatting sqref="E152">
    <cfRule type="expression" dxfId="0" priority="237">
      <formula>COUNTIF(G152:BE152,"&lt;&gt;" &amp; "")&gt;0</formula>
    </cfRule>
    <cfRule type="expression" dxfId="1" priority="238">
      <formula>AND(COUNTIF(G152:BE152,"&lt;&gt;" &amp; "")&gt;0,NOT(ISBLANK(E152)))</formula>
    </cfRule>
  </conditionalFormatting>
  <conditionalFormatting sqref="E153">
    <cfRule type="expression" dxfId="0" priority="239">
      <formula>COUNTIF(G153:BE153,"&lt;&gt;" &amp; "")&gt;0</formula>
    </cfRule>
    <cfRule type="expression" dxfId="1" priority="240">
      <formula>AND(COUNTIF(G153:BE153,"&lt;&gt;" &amp; "")&gt;0,NOT(ISBLANK(E153)))</formula>
    </cfRule>
  </conditionalFormatting>
  <conditionalFormatting sqref="E156">
    <cfRule type="expression" dxfId="0" priority="241">
      <formula>COUNTIF(G156:BE156,"&lt;&gt;" &amp; "")&gt;0</formula>
    </cfRule>
    <cfRule type="expression" dxfId="1" priority="242">
      <formula>AND(COUNTIF(G156:BE156,"&lt;&gt;" &amp; "")&gt;0,NOT(ISBLANK(E156)))</formula>
    </cfRule>
  </conditionalFormatting>
  <conditionalFormatting sqref="E157">
    <cfRule type="expression" dxfId="0" priority="243">
      <formula>COUNTIF(G157:BE157,"&lt;&gt;" &amp; "")&gt;0</formula>
    </cfRule>
    <cfRule type="expression" dxfId="1" priority="244">
      <formula>AND(COUNTIF(G157:BE157,"&lt;&gt;" &amp; "")&gt;0,NOT(ISBLANK(E157)))</formula>
    </cfRule>
  </conditionalFormatting>
  <conditionalFormatting sqref="E158">
    <cfRule type="expression" dxfId="0" priority="245">
      <formula>COUNTIF(G158:BE158,"&lt;&gt;" &amp; "")&gt;0</formula>
    </cfRule>
    <cfRule type="expression" dxfId="1" priority="246">
      <formula>AND(COUNTIF(G158:BE158,"&lt;&gt;" &amp; "")&gt;0,NOT(ISBLANK(E158)))</formula>
    </cfRule>
  </conditionalFormatting>
  <conditionalFormatting sqref="E159">
    <cfRule type="expression" dxfId="0" priority="247">
      <formula>COUNTIF(G159:BE159,"&lt;&gt;" &amp; "")&gt;0</formula>
    </cfRule>
    <cfRule type="expression" dxfId="1" priority="248">
      <formula>AND(COUNTIF(G159:BE159,"&lt;&gt;" &amp; "")&gt;0,NOT(ISBLANK(E159)))</formula>
    </cfRule>
  </conditionalFormatting>
  <conditionalFormatting sqref="E16">
    <cfRule type="expression" dxfId="0" priority="1">
      <formula>COUNTIF(G16:BE16,"&lt;&gt;" &amp; "")&gt;0</formula>
    </cfRule>
    <cfRule type="expression" dxfId="1" priority="2">
      <formula>AND(COUNTIF(G16:BE16,"&lt;&gt;" &amp; "")&gt;0,NOT(ISBLANK(E16)))</formula>
    </cfRule>
  </conditionalFormatting>
  <conditionalFormatting sqref="E160">
    <cfRule type="expression" dxfId="0" priority="249">
      <formula>COUNTIF(G160:BE160,"&lt;&gt;" &amp; "")&gt;0</formula>
    </cfRule>
    <cfRule type="expression" dxfId="1" priority="250">
      <formula>AND(COUNTIF(G160:BE160,"&lt;&gt;" &amp; "")&gt;0,NOT(ISBLANK(E160)))</formula>
    </cfRule>
  </conditionalFormatting>
  <conditionalFormatting sqref="E161">
    <cfRule type="expression" dxfId="0" priority="251">
      <formula>COUNTIF(G161:BE161,"&lt;&gt;" &amp; "")&gt;0</formula>
    </cfRule>
    <cfRule type="expression" dxfId="1" priority="252">
      <formula>AND(COUNTIF(G161:BE161,"&lt;&gt;" &amp; "")&gt;0,NOT(ISBLANK(E161)))</formula>
    </cfRule>
  </conditionalFormatting>
  <conditionalFormatting sqref="E162">
    <cfRule type="expression" dxfId="0" priority="253">
      <formula>COUNTIF(G162:BE162,"&lt;&gt;" &amp; "")&gt;0</formula>
    </cfRule>
    <cfRule type="expression" dxfId="1" priority="254">
      <formula>AND(COUNTIF(G162:BE162,"&lt;&gt;" &amp; "")&gt;0,NOT(ISBLANK(E162)))</formula>
    </cfRule>
  </conditionalFormatting>
  <conditionalFormatting sqref="E163">
    <cfRule type="expression" dxfId="0" priority="255">
      <formula>COUNTIF(G163:BE163,"&lt;&gt;" &amp; "")&gt;0</formula>
    </cfRule>
    <cfRule type="expression" dxfId="1" priority="256">
      <formula>AND(COUNTIF(G163:BE163,"&lt;&gt;" &amp; "")&gt;0,NOT(ISBLANK(E163)))</formula>
    </cfRule>
  </conditionalFormatting>
  <conditionalFormatting sqref="E164">
    <cfRule type="expression" dxfId="0" priority="257">
      <formula>COUNTIF(G164:BE164,"&lt;&gt;" &amp; "")&gt;0</formula>
    </cfRule>
    <cfRule type="expression" dxfId="1" priority="258">
      <formula>AND(COUNTIF(G164:BE164,"&lt;&gt;" &amp; "")&gt;0,NOT(ISBLANK(E164)))</formula>
    </cfRule>
  </conditionalFormatting>
  <conditionalFormatting sqref="E165">
    <cfRule type="expression" dxfId="0" priority="259">
      <formula>COUNTIF(G165:BE165,"&lt;&gt;" &amp; "")&gt;0</formula>
    </cfRule>
    <cfRule type="expression" dxfId="1" priority="260">
      <formula>AND(COUNTIF(G165:BE165,"&lt;&gt;" &amp; "")&gt;0,NOT(ISBLANK(E165)))</formula>
    </cfRule>
  </conditionalFormatting>
  <conditionalFormatting sqref="E166">
    <cfRule type="expression" dxfId="0" priority="261">
      <formula>COUNTIF(G166:BE166,"&lt;&gt;" &amp; "")&gt;0</formula>
    </cfRule>
    <cfRule type="expression" dxfId="1" priority="262">
      <formula>AND(COUNTIF(G166:BE166,"&lt;&gt;" &amp; "")&gt;0,NOT(ISBLANK(E166)))</formula>
    </cfRule>
  </conditionalFormatting>
  <conditionalFormatting sqref="E167">
    <cfRule type="expression" dxfId="0" priority="263">
      <formula>COUNTIF(G167:BE167,"&lt;&gt;" &amp; "")&gt;0</formula>
    </cfRule>
    <cfRule type="expression" dxfId="1" priority="264">
      <formula>AND(COUNTIF(G167:BE167,"&lt;&gt;" &amp; "")&gt;0,NOT(ISBLANK(E167)))</formula>
    </cfRule>
  </conditionalFormatting>
  <conditionalFormatting sqref="E17">
    <cfRule type="expression" dxfId="0" priority="3">
      <formula>COUNTIF(G17:BE17,"&lt;&gt;" &amp; "")&gt;0</formula>
    </cfRule>
    <cfRule type="expression" dxfId="1" priority="4">
      <formula>AND(COUNTIF(G17:BE17,"&lt;&gt;" &amp; "")&gt;0,NOT(ISBLANK(E17)))</formula>
    </cfRule>
  </conditionalFormatting>
  <conditionalFormatting sqref="E170">
    <cfRule type="expression" dxfId="0" priority="265">
      <formula>COUNTIF(G170:BE170,"&lt;&gt;" &amp; "")&gt;0</formula>
    </cfRule>
    <cfRule type="expression" dxfId="1" priority="266">
      <formula>AND(COUNTIF(G170:BE170,"&lt;&gt;" &amp; "")&gt;0,NOT(ISBLANK(E170)))</formula>
    </cfRule>
  </conditionalFormatting>
  <conditionalFormatting sqref="E171">
    <cfRule type="expression" dxfId="0" priority="267">
      <formula>COUNTIF(G171:BE171,"&lt;&gt;" &amp; "")&gt;0</formula>
    </cfRule>
    <cfRule type="expression" dxfId="1" priority="268">
      <formula>AND(COUNTIF(G171:BE171,"&lt;&gt;" &amp; "")&gt;0,NOT(ISBLANK(E171)))</formula>
    </cfRule>
  </conditionalFormatting>
  <conditionalFormatting sqref="E172">
    <cfRule type="expression" dxfId="0" priority="269">
      <formula>COUNTIF(G172:BE172,"&lt;&gt;" &amp; "")&gt;0</formula>
    </cfRule>
    <cfRule type="expression" dxfId="1" priority="270">
      <formula>AND(COUNTIF(G172:BE172,"&lt;&gt;" &amp; "")&gt;0,NOT(ISBLANK(E172)))</formula>
    </cfRule>
  </conditionalFormatting>
  <conditionalFormatting sqref="E173">
    <cfRule type="expression" dxfId="0" priority="271">
      <formula>COUNTIF(G173:BE173,"&lt;&gt;" &amp; "")&gt;0</formula>
    </cfRule>
    <cfRule type="expression" dxfId="1" priority="272">
      <formula>AND(COUNTIF(G173:BE173,"&lt;&gt;" &amp; "")&gt;0,NOT(ISBLANK(E173)))</formula>
    </cfRule>
  </conditionalFormatting>
  <conditionalFormatting sqref="E174">
    <cfRule type="expression" dxfId="0" priority="273">
      <formula>COUNTIF(G174:BE174,"&lt;&gt;" &amp; "")&gt;0</formula>
    </cfRule>
    <cfRule type="expression" dxfId="1" priority="274">
      <formula>AND(COUNTIF(G174:BE174,"&lt;&gt;" &amp; "")&gt;0,NOT(ISBLANK(E174)))</formula>
    </cfRule>
  </conditionalFormatting>
  <conditionalFormatting sqref="E175">
    <cfRule type="expression" dxfId="0" priority="275">
      <formula>COUNTIF(G175:BE175,"&lt;&gt;" &amp; "")&gt;0</formula>
    </cfRule>
    <cfRule type="expression" dxfId="1" priority="276">
      <formula>AND(COUNTIF(G175:BE175,"&lt;&gt;" &amp; "")&gt;0,NOT(ISBLANK(E175)))</formula>
    </cfRule>
  </conditionalFormatting>
  <conditionalFormatting sqref="E176">
    <cfRule type="expression" dxfId="0" priority="277">
      <formula>COUNTIF(G176:BE176,"&lt;&gt;" &amp; "")&gt;0</formula>
    </cfRule>
    <cfRule type="expression" dxfId="1" priority="278">
      <formula>AND(COUNTIF(G176:BE176,"&lt;&gt;" &amp; "")&gt;0,NOT(ISBLANK(E176)))</formula>
    </cfRule>
  </conditionalFormatting>
  <conditionalFormatting sqref="E177">
    <cfRule type="expression" dxfId="0" priority="279">
      <formula>COUNTIF(G177:BE177,"&lt;&gt;" &amp; "")&gt;0</formula>
    </cfRule>
    <cfRule type="expression" dxfId="1" priority="280">
      <formula>AND(COUNTIF(G177:BE177,"&lt;&gt;" &amp; "")&gt;0,NOT(ISBLANK(E177)))</formula>
    </cfRule>
  </conditionalFormatting>
  <conditionalFormatting sqref="E178">
    <cfRule type="expression" dxfId="0" priority="281">
      <formula>COUNTIF(G178:BE178,"&lt;&gt;" &amp; "")&gt;0</formula>
    </cfRule>
    <cfRule type="expression" dxfId="1" priority="282">
      <formula>AND(COUNTIF(G178:BE178,"&lt;&gt;" &amp; "")&gt;0,NOT(ISBLANK(E178)))</formula>
    </cfRule>
  </conditionalFormatting>
  <conditionalFormatting sqref="E179">
    <cfRule type="expression" dxfId="0" priority="283">
      <formula>COUNTIF(G179:BE179,"&lt;&gt;" &amp; "")&gt;0</formula>
    </cfRule>
    <cfRule type="expression" dxfId="1" priority="284">
      <formula>AND(COUNTIF(G179:BE179,"&lt;&gt;" &amp; "")&gt;0,NOT(ISBLANK(E179)))</formula>
    </cfRule>
  </conditionalFormatting>
  <conditionalFormatting sqref="E18">
    <cfRule type="expression" dxfId="0" priority="5">
      <formula>COUNTIF(G18:BE18,"&lt;&gt;" &amp; "")&gt;0</formula>
    </cfRule>
    <cfRule type="expression" dxfId="1" priority="6">
      <formula>AND(COUNTIF(G18:BE18,"&lt;&gt;" &amp; "")&gt;0,NOT(ISBLANK(E18)))</formula>
    </cfRule>
  </conditionalFormatting>
  <conditionalFormatting sqref="E180">
    <cfRule type="expression" dxfId="0" priority="285">
      <formula>COUNTIF(G180:BE180,"&lt;&gt;" &amp; "")&gt;0</formula>
    </cfRule>
    <cfRule type="expression" dxfId="1" priority="286">
      <formula>AND(COUNTIF(G180:BE180,"&lt;&gt;" &amp; "")&gt;0,NOT(ISBLANK(E180)))</formula>
    </cfRule>
  </conditionalFormatting>
  <conditionalFormatting sqref="E181">
    <cfRule type="expression" dxfId="0" priority="287">
      <formula>COUNTIF(G181:BE181,"&lt;&gt;" &amp; "")&gt;0</formula>
    </cfRule>
    <cfRule type="expression" dxfId="1" priority="288">
      <formula>AND(COUNTIF(G181:BE181,"&lt;&gt;" &amp; "")&gt;0,NOT(ISBLANK(E181)))</formula>
    </cfRule>
  </conditionalFormatting>
  <conditionalFormatting sqref="E184">
    <cfRule type="expression" dxfId="0" priority="289">
      <formula>COUNTIF(G184:BE184,"&lt;&gt;" &amp; "")&gt;0</formula>
    </cfRule>
    <cfRule type="expression" dxfId="1" priority="290">
      <formula>AND(COUNTIF(G184:BE184,"&lt;&gt;" &amp; "")&gt;0,NOT(ISBLANK(E184)))</formula>
    </cfRule>
  </conditionalFormatting>
  <conditionalFormatting sqref="E185">
    <cfRule type="expression" dxfId="0" priority="291">
      <formula>COUNTIF(G185:BE185,"&lt;&gt;" &amp; "")&gt;0</formula>
    </cfRule>
    <cfRule type="expression" dxfId="1" priority="292">
      <formula>AND(COUNTIF(G185:BE185,"&lt;&gt;" &amp; "")&gt;0,NOT(ISBLANK(E185)))</formula>
    </cfRule>
  </conditionalFormatting>
  <conditionalFormatting sqref="E186">
    <cfRule type="expression" dxfId="0" priority="293">
      <formula>COUNTIF(G186:BE186,"&lt;&gt;" &amp; "")&gt;0</formula>
    </cfRule>
    <cfRule type="expression" dxfId="1" priority="294">
      <formula>AND(COUNTIF(G186:BE186,"&lt;&gt;" &amp; "")&gt;0,NOT(ISBLANK(E186)))</formula>
    </cfRule>
  </conditionalFormatting>
  <conditionalFormatting sqref="E187">
    <cfRule type="expression" dxfId="0" priority="295">
      <formula>COUNTIF(G187:BE187,"&lt;&gt;" &amp; "")&gt;0</formula>
    </cfRule>
    <cfRule type="expression" dxfId="1" priority="296">
      <formula>AND(COUNTIF(G187:BE187,"&lt;&gt;" &amp; "")&gt;0,NOT(ISBLANK(E187)))</formula>
    </cfRule>
  </conditionalFormatting>
  <conditionalFormatting sqref="E188">
    <cfRule type="expression" dxfId="0" priority="297">
      <formula>COUNTIF(G188:BE188,"&lt;&gt;" &amp; "")&gt;0</formula>
    </cfRule>
    <cfRule type="expression" dxfId="1" priority="298">
      <formula>AND(COUNTIF(G188:BE188,"&lt;&gt;" &amp; "")&gt;0,NOT(ISBLANK(E188)))</formula>
    </cfRule>
  </conditionalFormatting>
  <conditionalFormatting sqref="E189">
    <cfRule type="expression" dxfId="0" priority="299">
      <formula>COUNTIF(G189:BE189,"&lt;&gt;" &amp; "")&gt;0</formula>
    </cfRule>
    <cfRule type="expression" dxfId="1" priority="300">
      <formula>AND(COUNTIF(G189:BE189,"&lt;&gt;" &amp; "")&gt;0,NOT(ISBLANK(E189)))</formula>
    </cfRule>
  </conditionalFormatting>
  <conditionalFormatting sqref="E19">
    <cfRule type="expression" dxfId="0" priority="7">
      <formula>COUNTIF(G19:BE19,"&lt;&gt;" &amp; "")&gt;0</formula>
    </cfRule>
    <cfRule type="expression" dxfId="1" priority="8">
      <formula>AND(COUNTIF(G19:BE19,"&lt;&gt;" &amp; "")&gt;0,NOT(ISBLANK(E19)))</formula>
    </cfRule>
  </conditionalFormatting>
  <conditionalFormatting sqref="E190">
    <cfRule type="expression" dxfId="0" priority="301">
      <formula>COUNTIF(G190:BE190,"&lt;&gt;" &amp; "")&gt;0</formula>
    </cfRule>
    <cfRule type="expression" dxfId="1" priority="302">
      <formula>AND(COUNTIF(G190:BE190,"&lt;&gt;" &amp; "")&gt;0,NOT(ISBLANK(E190)))</formula>
    </cfRule>
  </conditionalFormatting>
  <conditionalFormatting sqref="E191">
    <cfRule type="expression" dxfId="0" priority="303">
      <formula>COUNTIF(G191:BE191,"&lt;&gt;" &amp; "")&gt;0</formula>
    </cfRule>
    <cfRule type="expression" dxfId="1" priority="304">
      <formula>AND(COUNTIF(G191:BE191,"&lt;&gt;" &amp; "")&gt;0,NOT(ISBLANK(E191)))</formula>
    </cfRule>
  </conditionalFormatting>
  <conditionalFormatting sqref="E192">
    <cfRule type="expression" dxfId="0" priority="305">
      <formula>COUNTIF(G192:BE192,"&lt;&gt;" &amp; "")&gt;0</formula>
    </cfRule>
    <cfRule type="expression" dxfId="1" priority="306">
      <formula>AND(COUNTIF(G192:BE192,"&lt;&gt;" &amp; "")&gt;0,NOT(ISBLANK(E192)))</formula>
    </cfRule>
  </conditionalFormatting>
  <conditionalFormatting sqref="E193">
    <cfRule type="expression" dxfId="0" priority="307">
      <formula>COUNTIF(G193:BE193,"&lt;&gt;" &amp; "")&gt;0</formula>
    </cfRule>
    <cfRule type="expression" dxfId="1" priority="308">
      <formula>AND(COUNTIF(G193:BE193,"&lt;&gt;" &amp; "")&gt;0,NOT(ISBLANK(E193)))</formula>
    </cfRule>
  </conditionalFormatting>
  <conditionalFormatting sqref="E194">
    <cfRule type="expression" dxfId="0" priority="309">
      <formula>COUNTIF(G194:BE194,"&lt;&gt;" &amp; "")&gt;0</formula>
    </cfRule>
    <cfRule type="expression" dxfId="1" priority="310">
      <formula>AND(COUNTIF(G194:BE194,"&lt;&gt;" &amp; "")&gt;0,NOT(ISBLANK(E194)))</formula>
    </cfRule>
  </conditionalFormatting>
  <conditionalFormatting sqref="E195">
    <cfRule type="expression" dxfId="0" priority="311">
      <formula>COUNTIF(G195:BE195,"&lt;&gt;" &amp; "")&gt;0</formula>
    </cfRule>
    <cfRule type="expression" dxfId="1" priority="312">
      <formula>AND(COUNTIF(G195:BE195,"&lt;&gt;" &amp; "")&gt;0,NOT(ISBLANK(E195)))</formula>
    </cfRule>
  </conditionalFormatting>
  <conditionalFormatting sqref="E198">
    <cfRule type="expression" dxfId="0" priority="313">
      <formula>COUNTIF(G198:BE198,"&lt;&gt;" &amp; "")&gt;0</formula>
    </cfRule>
    <cfRule type="expression" dxfId="1" priority="314">
      <formula>AND(COUNTIF(G198:BE198,"&lt;&gt;" &amp; "")&gt;0,NOT(ISBLANK(E198)))</formula>
    </cfRule>
  </conditionalFormatting>
  <conditionalFormatting sqref="E199">
    <cfRule type="expression" dxfId="0" priority="315">
      <formula>COUNTIF(G199:BE199,"&lt;&gt;" &amp; "")&gt;0</formula>
    </cfRule>
    <cfRule type="expression" dxfId="1" priority="316">
      <formula>AND(COUNTIF(G199:BE199,"&lt;&gt;" &amp; "")&gt;0,NOT(ISBLANK(E199)))</formula>
    </cfRule>
  </conditionalFormatting>
  <conditionalFormatting sqref="E20">
    <cfRule type="expression" dxfId="0" priority="9">
      <formula>COUNTIF(G20:BE20,"&lt;&gt;" &amp; "")&gt;0</formula>
    </cfRule>
    <cfRule type="expression" dxfId="1" priority="10">
      <formula>AND(COUNTIF(G20:BE20,"&lt;&gt;" &amp; "")&gt;0,NOT(ISBLANK(E20)))</formula>
    </cfRule>
  </conditionalFormatting>
  <conditionalFormatting sqref="E200">
    <cfRule type="expression" dxfId="0" priority="317">
      <formula>COUNTIF(G200:BE200,"&lt;&gt;" &amp; "")&gt;0</formula>
    </cfRule>
    <cfRule type="expression" dxfId="1" priority="318">
      <formula>AND(COUNTIF(G200:BE200,"&lt;&gt;" &amp; "")&gt;0,NOT(ISBLANK(E200)))</formula>
    </cfRule>
  </conditionalFormatting>
  <conditionalFormatting sqref="E201">
    <cfRule type="expression" dxfId="0" priority="319">
      <formula>COUNTIF(G201:BE201,"&lt;&gt;" &amp; "")&gt;0</formula>
    </cfRule>
    <cfRule type="expression" dxfId="1" priority="320">
      <formula>AND(COUNTIF(G201:BE201,"&lt;&gt;" &amp; "")&gt;0,NOT(ISBLANK(E201)))</formula>
    </cfRule>
  </conditionalFormatting>
  <conditionalFormatting sqref="E202">
    <cfRule type="expression" dxfId="0" priority="321">
      <formula>COUNTIF(G202:BE202,"&lt;&gt;" &amp; "")&gt;0</formula>
    </cfRule>
    <cfRule type="expression" dxfId="1" priority="322">
      <formula>AND(COUNTIF(G202:BE202,"&lt;&gt;" &amp; "")&gt;0,NOT(ISBLANK(E202)))</formula>
    </cfRule>
  </conditionalFormatting>
  <conditionalFormatting sqref="E203">
    <cfRule type="expression" dxfId="0" priority="323">
      <formula>COUNTIF(G203:BE203,"&lt;&gt;" &amp; "")&gt;0</formula>
    </cfRule>
    <cfRule type="expression" dxfId="1" priority="324">
      <formula>AND(COUNTIF(G203:BE203,"&lt;&gt;" &amp; "")&gt;0,NOT(ISBLANK(E203)))</formula>
    </cfRule>
  </conditionalFormatting>
  <conditionalFormatting sqref="E204">
    <cfRule type="expression" dxfId="0" priority="325">
      <formula>COUNTIF(G204:BE204,"&lt;&gt;" &amp; "")&gt;0</formula>
    </cfRule>
    <cfRule type="expression" dxfId="1" priority="326">
      <formula>AND(COUNTIF(G204:BE204,"&lt;&gt;" &amp; "")&gt;0,NOT(ISBLANK(E204)))</formula>
    </cfRule>
  </conditionalFormatting>
  <conditionalFormatting sqref="E205">
    <cfRule type="expression" dxfId="0" priority="327">
      <formula>COUNTIF(G205:BE205,"&lt;&gt;" &amp; "")&gt;0</formula>
    </cfRule>
    <cfRule type="expression" dxfId="1" priority="328">
      <formula>AND(COUNTIF(G205:BE205,"&lt;&gt;" &amp; "")&gt;0,NOT(ISBLANK(E205)))</formula>
    </cfRule>
  </conditionalFormatting>
  <conditionalFormatting sqref="E206">
    <cfRule type="expression" dxfId="0" priority="329">
      <formula>COUNTIF(G206:BE206,"&lt;&gt;" &amp; "")&gt;0</formula>
    </cfRule>
    <cfRule type="expression" dxfId="1" priority="330">
      <formula>AND(COUNTIF(G206:BE206,"&lt;&gt;" &amp; "")&gt;0,NOT(ISBLANK(E206)))</formula>
    </cfRule>
  </conditionalFormatting>
  <conditionalFormatting sqref="E207">
    <cfRule type="expression" dxfId="0" priority="331">
      <formula>COUNTIF(G207:BE207,"&lt;&gt;" &amp; "")&gt;0</formula>
    </cfRule>
    <cfRule type="expression" dxfId="1" priority="332">
      <formula>AND(COUNTIF(G207:BE207,"&lt;&gt;" &amp; "")&gt;0,NOT(ISBLANK(E207)))</formula>
    </cfRule>
  </conditionalFormatting>
  <conditionalFormatting sqref="E208">
    <cfRule type="expression" dxfId="0" priority="333">
      <formula>COUNTIF(G208:BE208,"&lt;&gt;" &amp; "")&gt;0</formula>
    </cfRule>
    <cfRule type="expression" dxfId="1" priority="334">
      <formula>AND(COUNTIF(G208:BE208,"&lt;&gt;" &amp; "")&gt;0,NOT(ISBLANK(E208)))</formula>
    </cfRule>
  </conditionalFormatting>
  <conditionalFormatting sqref="E209">
    <cfRule type="expression" dxfId="0" priority="335">
      <formula>COUNTIF(G209:BE209,"&lt;&gt;" &amp; "")&gt;0</formula>
    </cfRule>
    <cfRule type="expression" dxfId="1" priority="336">
      <formula>AND(COUNTIF(G209:BE209,"&lt;&gt;" &amp; "")&gt;0,NOT(ISBLANK(E209)))</formula>
    </cfRule>
  </conditionalFormatting>
  <conditionalFormatting sqref="E21">
    <cfRule type="expression" dxfId="0" priority="11">
      <formula>COUNTIF(G21:BE21,"&lt;&gt;" &amp; "")&gt;0</formula>
    </cfRule>
    <cfRule type="expression" dxfId="1" priority="12">
      <formula>AND(COUNTIF(G21:BE21,"&lt;&gt;" &amp; "")&gt;0,NOT(ISBLANK(E21)))</formula>
    </cfRule>
  </conditionalFormatting>
  <conditionalFormatting sqref="E212">
    <cfRule type="expression" dxfId="0" priority="337">
      <formula>COUNTIF(G212:BE212,"&lt;&gt;" &amp; "")&gt;0</formula>
    </cfRule>
    <cfRule type="expression" dxfId="1" priority="338">
      <formula>AND(COUNTIF(G212:BE212,"&lt;&gt;" &amp; "")&gt;0,NOT(ISBLANK(E212)))</formula>
    </cfRule>
  </conditionalFormatting>
  <conditionalFormatting sqref="E213">
    <cfRule type="expression" dxfId="0" priority="339">
      <formula>COUNTIF(G213:BE213,"&lt;&gt;" &amp; "")&gt;0</formula>
    </cfRule>
    <cfRule type="expression" dxfId="1" priority="340">
      <formula>AND(COUNTIF(G213:BE213,"&lt;&gt;" &amp; "")&gt;0,NOT(ISBLANK(E213)))</formula>
    </cfRule>
  </conditionalFormatting>
  <conditionalFormatting sqref="E214">
    <cfRule type="expression" dxfId="0" priority="341">
      <formula>COUNTIF(G214:BE214,"&lt;&gt;" &amp; "")&gt;0</formula>
    </cfRule>
    <cfRule type="expression" dxfId="1" priority="342">
      <formula>AND(COUNTIF(G214:BE214,"&lt;&gt;" &amp; "")&gt;0,NOT(ISBLANK(E214)))</formula>
    </cfRule>
  </conditionalFormatting>
  <conditionalFormatting sqref="E215">
    <cfRule type="expression" dxfId="0" priority="343">
      <formula>COUNTIF(G215:BE215,"&lt;&gt;" &amp; "")&gt;0</formula>
    </cfRule>
    <cfRule type="expression" dxfId="1" priority="344">
      <formula>AND(COUNTIF(G215:BE215,"&lt;&gt;" &amp; "")&gt;0,NOT(ISBLANK(E215)))</formula>
    </cfRule>
  </conditionalFormatting>
  <conditionalFormatting sqref="E216">
    <cfRule type="expression" dxfId="0" priority="345">
      <formula>COUNTIF(G216:BE216,"&lt;&gt;" &amp; "")&gt;0</formula>
    </cfRule>
    <cfRule type="expression" dxfId="1" priority="346">
      <formula>AND(COUNTIF(G216:BE216,"&lt;&gt;" &amp; "")&gt;0,NOT(ISBLANK(E216)))</formula>
    </cfRule>
  </conditionalFormatting>
  <conditionalFormatting sqref="E217">
    <cfRule type="expression" dxfId="0" priority="347">
      <formula>COUNTIF(G217:BE217,"&lt;&gt;" &amp; "")&gt;0</formula>
    </cfRule>
    <cfRule type="expression" dxfId="1" priority="348">
      <formula>AND(COUNTIF(G217:BE217,"&lt;&gt;" &amp; "")&gt;0,NOT(ISBLANK(E217)))</formula>
    </cfRule>
  </conditionalFormatting>
  <conditionalFormatting sqref="E218">
    <cfRule type="expression" dxfId="0" priority="349">
      <formula>COUNTIF(G218:BE218,"&lt;&gt;" &amp; "")&gt;0</formula>
    </cfRule>
    <cfRule type="expression" dxfId="1" priority="350">
      <formula>AND(COUNTIF(G218:BE218,"&lt;&gt;" &amp; "")&gt;0,NOT(ISBLANK(E218)))</formula>
    </cfRule>
  </conditionalFormatting>
  <conditionalFormatting sqref="E219">
    <cfRule type="expression" dxfId="0" priority="351">
      <formula>COUNTIF(G219:BE219,"&lt;&gt;" &amp; "")&gt;0</formula>
    </cfRule>
    <cfRule type="expression" dxfId="1" priority="352">
      <formula>AND(COUNTIF(G219:BE219,"&lt;&gt;" &amp; "")&gt;0,NOT(ISBLANK(E219)))</formula>
    </cfRule>
  </conditionalFormatting>
  <conditionalFormatting sqref="E22">
    <cfRule type="expression" dxfId="0" priority="13">
      <formula>COUNTIF(G22:BE22,"&lt;&gt;" &amp; "")&gt;0</formula>
    </cfRule>
    <cfRule type="expression" dxfId="1" priority="14">
      <formula>AND(COUNTIF(G22:BE22,"&lt;&gt;" &amp; "")&gt;0,NOT(ISBLANK(E22)))</formula>
    </cfRule>
  </conditionalFormatting>
  <conditionalFormatting sqref="E220">
    <cfRule type="expression" dxfId="0" priority="353">
      <formula>COUNTIF(G220:BE220,"&lt;&gt;" &amp; "")&gt;0</formula>
    </cfRule>
    <cfRule type="expression" dxfId="1" priority="354">
      <formula>AND(COUNTIF(G220:BE220,"&lt;&gt;" &amp; "")&gt;0,NOT(ISBLANK(E220)))</formula>
    </cfRule>
  </conditionalFormatting>
  <conditionalFormatting sqref="E221">
    <cfRule type="expression" dxfId="0" priority="355">
      <formula>COUNTIF(G221:BE221,"&lt;&gt;" &amp; "")&gt;0</formula>
    </cfRule>
    <cfRule type="expression" dxfId="1" priority="356">
      <formula>AND(COUNTIF(G221:BE221,"&lt;&gt;" &amp; "")&gt;0,NOT(ISBLANK(E221)))</formula>
    </cfRule>
  </conditionalFormatting>
  <conditionalFormatting sqref="E222">
    <cfRule type="expression" dxfId="0" priority="357">
      <formula>COUNTIF(G222:BE222,"&lt;&gt;" &amp; "")&gt;0</formula>
    </cfRule>
    <cfRule type="expression" dxfId="1" priority="358">
      <formula>AND(COUNTIF(G222:BE222,"&lt;&gt;" &amp; "")&gt;0,NOT(ISBLANK(E222)))</formula>
    </cfRule>
  </conditionalFormatting>
  <conditionalFormatting sqref="E223">
    <cfRule type="expression" dxfId="0" priority="359">
      <formula>COUNTIF(G223:BE223,"&lt;&gt;" &amp; "")&gt;0</formula>
    </cfRule>
    <cfRule type="expression" dxfId="1" priority="360">
      <formula>AND(COUNTIF(G223:BE223,"&lt;&gt;" &amp; "")&gt;0,NOT(ISBLANK(E223)))</formula>
    </cfRule>
  </conditionalFormatting>
  <conditionalFormatting sqref="E226">
    <cfRule type="expression" dxfId="0" priority="361">
      <formula>COUNTIF(G226:BE226,"&lt;&gt;" &amp; "")&gt;0</formula>
    </cfRule>
    <cfRule type="expression" dxfId="1" priority="362">
      <formula>AND(COUNTIF(G226:BE226,"&lt;&gt;" &amp; "")&gt;0,NOT(ISBLANK(E226)))</formula>
    </cfRule>
  </conditionalFormatting>
  <conditionalFormatting sqref="E227">
    <cfRule type="expression" dxfId="0" priority="363">
      <formula>COUNTIF(G227:BE227,"&lt;&gt;" &amp; "")&gt;0</formula>
    </cfRule>
    <cfRule type="expression" dxfId="1" priority="364">
      <formula>AND(COUNTIF(G227:BE227,"&lt;&gt;" &amp; "")&gt;0,NOT(ISBLANK(E227)))</formula>
    </cfRule>
  </conditionalFormatting>
  <conditionalFormatting sqref="E228">
    <cfRule type="expression" dxfId="0" priority="365">
      <formula>COUNTIF(G228:BE228,"&lt;&gt;" &amp; "")&gt;0</formula>
    </cfRule>
    <cfRule type="expression" dxfId="1" priority="366">
      <formula>AND(COUNTIF(G228:BE228,"&lt;&gt;" &amp; "")&gt;0,NOT(ISBLANK(E228)))</formula>
    </cfRule>
  </conditionalFormatting>
  <conditionalFormatting sqref="E229">
    <cfRule type="expression" dxfId="0" priority="367">
      <formula>COUNTIF(G229:BE229,"&lt;&gt;" &amp; "")&gt;0</formula>
    </cfRule>
    <cfRule type="expression" dxfId="1" priority="368">
      <formula>AND(COUNTIF(G229:BE229,"&lt;&gt;" &amp; "")&gt;0,NOT(ISBLANK(E229)))</formula>
    </cfRule>
  </conditionalFormatting>
  <conditionalFormatting sqref="E23">
    <cfRule type="expression" dxfId="0" priority="15">
      <formula>COUNTIF(G23:BE23,"&lt;&gt;" &amp; "")&gt;0</formula>
    </cfRule>
    <cfRule type="expression" dxfId="1" priority="16">
      <formula>AND(COUNTIF(G23:BE23,"&lt;&gt;" &amp; "")&gt;0,NOT(ISBLANK(E23)))</formula>
    </cfRule>
  </conditionalFormatting>
  <conditionalFormatting sqref="E230">
    <cfRule type="expression" dxfId="0" priority="369">
      <formula>COUNTIF(G230:BE230,"&lt;&gt;" &amp; "")&gt;0</formula>
    </cfRule>
    <cfRule type="expression" dxfId="1" priority="370">
      <formula>AND(COUNTIF(G230:BE230,"&lt;&gt;" &amp; "")&gt;0,NOT(ISBLANK(E230)))</formula>
    </cfRule>
  </conditionalFormatting>
  <conditionalFormatting sqref="E231">
    <cfRule type="expression" dxfId="0" priority="371">
      <formula>COUNTIF(G231:BE231,"&lt;&gt;" &amp; "")&gt;0</formula>
    </cfRule>
    <cfRule type="expression" dxfId="1" priority="372">
      <formula>AND(COUNTIF(G231:BE231,"&lt;&gt;" &amp; "")&gt;0,NOT(ISBLANK(E231)))</formula>
    </cfRule>
  </conditionalFormatting>
  <conditionalFormatting sqref="E232">
    <cfRule type="expression" dxfId="0" priority="373">
      <formula>COUNTIF(G232:BE232,"&lt;&gt;" &amp; "")&gt;0</formula>
    </cfRule>
    <cfRule type="expression" dxfId="1" priority="374">
      <formula>AND(COUNTIF(G232:BE232,"&lt;&gt;" &amp; "")&gt;0,NOT(ISBLANK(E232)))</formula>
    </cfRule>
  </conditionalFormatting>
  <conditionalFormatting sqref="E233">
    <cfRule type="expression" dxfId="0" priority="375">
      <formula>COUNTIF(G233:BE233,"&lt;&gt;" &amp; "")&gt;0</formula>
    </cfRule>
    <cfRule type="expression" dxfId="1" priority="376">
      <formula>AND(COUNTIF(G233:BE233,"&lt;&gt;" &amp; "")&gt;0,NOT(ISBLANK(E233)))</formula>
    </cfRule>
  </conditionalFormatting>
  <conditionalFormatting sqref="E234">
    <cfRule type="expression" dxfId="0" priority="377">
      <formula>COUNTIF(G234:BE234,"&lt;&gt;" &amp; "")&gt;0</formula>
    </cfRule>
    <cfRule type="expression" dxfId="1" priority="378">
      <formula>AND(COUNTIF(G234:BE234,"&lt;&gt;" &amp; "")&gt;0,NOT(ISBLANK(E234)))</formula>
    </cfRule>
  </conditionalFormatting>
  <conditionalFormatting sqref="E235">
    <cfRule type="expression" dxfId="0" priority="379">
      <formula>COUNTIF(G235:BE235,"&lt;&gt;" &amp; "")&gt;0</formula>
    </cfRule>
    <cfRule type="expression" dxfId="1" priority="380">
      <formula>AND(COUNTIF(G235:BE235,"&lt;&gt;" &amp; "")&gt;0,NOT(ISBLANK(E235)))</formula>
    </cfRule>
  </conditionalFormatting>
  <conditionalFormatting sqref="E236">
    <cfRule type="expression" dxfId="0" priority="381">
      <formula>COUNTIF(G236:BE236,"&lt;&gt;" &amp; "")&gt;0</formula>
    </cfRule>
    <cfRule type="expression" dxfId="1" priority="382">
      <formula>AND(COUNTIF(G236:BE236,"&lt;&gt;" &amp; "")&gt;0,NOT(ISBLANK(E236)))</formula>
    </cfRule>
  </conditionalFormatting>
  <conditionalFormatting sqref="E237">
    <cfRule type="expression" dxfId="0" priority="383">
      <formula>COUNTIF(G237:BE237,"&lt;&gt;" &amp; "")&gt;0</formula>
    </cfRule>
    <cfRule type="expression" dxfId="1" priority="384">
      <formula>AND(COUNTIF(G237:BE237,"&lt;&gt;" &amp; "")&gt;0,NOT(ISBLANK(E237)))</formula>
    </cfRule>
  </conditionalFormatting>
  <conditionalFormatting sqref="E24">
    <cfRule type="expression" dxfId="0" priority="17">
      <formula>COUNTIF(G24:BE24,"&lt;&gt;" &amp; "")&gt;0</formula>
    </cfRule>
    <cfRule type="expression" dxfId="1" priority="18">
      <formula>AND(COUNTIF(G24:BE24,"&lt;&gt;" &amp; "")&gt;0,NOT(ISBLANK(E24)))</formula>
    </cfRule>
  </conditionalFormatting>
  <conditionalFormatting sqref="E240">
    <cfRule type="expression" dxfId="0" priority="385">
      <formula>COUNTIF(G240:BE240,"&lt;&gt;" &amp; "")&gt;0</formula>
    </cfRule>
    <cfRule type="expression" dxfId="1" priority="386">
      <formula>AND(COUNTIF(G240:BE240,"&lt;&gt;" &amp; "")&gt;0,NOT(ISBLANK(E240)))</formula>
    </cfRule>
  </conditionalFormatting>
  <conditionalFormatting sqref="E241">
    <cfRule type="expression" dxfId="0" priority="387">
      <formula>COUNTIF(G241:BE241,"&lt;&gt;" &amp; "")&gt;0</formula>
    </cfRule>
    <cfRule type="expression" dxfId="1" priority="388">
      <formula>AND(COUNTIF(G241:BE241,"&lt;&gt;" &amp; "")&gt;0,NOT(ISBLANK(E241)))</formula>
    </cfRule>
  </conditionalFormatting>
  <conditionalFormatting sqref="E242">
    <cfRule type="expression" dxfId="0" priority="389">
      <formula>COUNTIF(G242:BE242,"&lt;&gt;" &amp; "")&gt;0</formula>
    </cfRule>
    <cfRule type="expression" dxfId="1" priority="390">
      <formula>AND(COUNTIF(G242:BE242,"&lt;&gt;" &amp; "")&gt;0,NOT(ISBLANK(E242)))</formula>
    </cfRule>
  </conditionalFormatting>
  <conditionalFormatting sqref="E243">
    <cfRule type="expression" dxfId="0" priority="391">
      <formula>COUNTIF(G243:BE243,"&lt;&gt;" &amp; "")&gt;0</formula>
    </cfRule>
    <cfRule type="expression" dxfId="1" priority="392">
      <formula>AND(COUNTIF(G243:BE243,"&lt;&gt;" &amp; "")&gt;0,NOT(ISBLANK(E243)))</formula>
    </cfRule>
  </conditionalFormatting>
  <conditionalFormatting sqref="E244">
    <cfRule type="expression" dxfId="0" priority="393">
      <formula>COUNTIF(G244:BE244,"&lt;&gt;" &amp; "")&gt;0</formula>
    </cfRule>
    <cfRule type="expression" dxfId="1" priority="394">
      <formula>AND(COUNTIF(G244:BE244,"&lt;&gt;" &amp; "")&gt;0,NOT(ISBLANK(E244)))</formula>
    </cfRule>
  </conditionalFormatting>
  <conditionalFormatting sqref="E245">
    <cfRule type="expression" dxfId="0" priority="395">
      <formula>COUNTIF(G245:BE245,"&lt;&gt;" &amp; "")&gt;0</formula>
    </cfRule>
    <cfRule type="expression" dxfId="1" priority="396">
      <formula>AND(COUNTIF(G245:BE245,"&lt;&gt;" &amp; "")&gt;0,NOT(ISBLANK(E245)))</formula>
    </cfRule>
  </conditionalFormatting>
  <conditionalFormatting sqref="E246">
    <cfRule type="expression" dxfId="0" priority="397">
      <formula>COUNTIF(G246:BE246,"&lt;&gt;" &amp; "")&gt;0</formula>
    </cfRule>
    <cfRule type="expression" dxfId="1" priority="398">
      <formula>AND(COUNTIF(G246:BE246,"&lt;&gt;" &amp; "")&gt;0,NOT(ISBLANK(E246)))</formula>
    </cfRule>
  </conditionalFormatting>
  <conditionalFormatting sqref="E247">
    <cfRule type="expression" dxfId="0" priority="399">
      <formula>COUNTIF(G247:BE247,"&lt;&gt;" &amp; "")&gt;0</formula>
    </cfRule>
    <cfRule type="expression" dxfId="1" priority="400">
      <formula>AND(COUNTIF(G247:BE247,"&lt;&gt;" &amp; "")&gt;0,NOT(ISBLANK(E247)))</formula>
    </cfRule>
  </conditionalFormatting>
  <conditionalFormatting sqref="E248">
    <cfRule type="expression" dxfId="0" priority="401">
      <formula>COUNTIF(G248:BE248,"&lt;&gt;" &amp; "")&gt;0</formula>
    </cfRule>
    <cfRule type="expression" dxfId="1" priority="402">
      <formula>AND(COUNTIF(G248:BE248,"&lt;&gt;" &amp; "")&gt;0,NOT(ISBLANK(E248)))</formula>
    </cfRule>
  </conditionalFormatting>
  <conditionalFormatting sqref="E249">
    <cfRule type="expression" dxfId="0" priority="403">
      <formula>COUNTIF(G249:BE249,"&lt;&gt;" &amp; "")&gt;0</formula>
    </cfRule>
    <cfRule type="expression" dxfId="1" priority="404">
      <formula>AND(COUNTIF(G249:BE249,"&lt;&gt;" &amp; "")&gt;0,NOT(ISBLANK(E249)))</formula>
    </cfRule>
  </conditionalFormatting>
  <conditionalFormatting sqref="E25">
    <cfRule type="expression" dxfId="0" priority="19">
      <formula>COUNTIF(G25:BE25,"&lt;&gt;" &amp; "")&gt;0</formula>
    </cfRule>
    <cfRule type="expression" dxfId="1" priority="20">
      <formula>AND(COUNTIF(G25:BE25,"&lt;&gt;" &amp; "")&gt;0,NOT(ISBLANK(E25)))</formula>
    </cfRule>
  </conditionalFormatting>
  <conditionalFormatting sqref="E250">
    <cfRule type="expression" dxfId="0" priority="405">
      <formula>COUNTIF(G250:BE250,"&lt;&gt;" &amp; "")&gt;0</formula>
    </cfRule>
    <cfRule type="expression" dxfId="1" priority="406">
      <formula>AND(COUNTIF(G250:BE250,"&lt;&gt;" &amp; "")&gt;0,NOT(ISBLANK(E250)))</formula>
    </cfRule>
  </conditionalFormatting>
  <conditionalFormatting sqref="E251">
    <cfRule type="expression" dxfId="0" priority="407">
      <formula>COUNTIF(G251:BE251,"&lt;&gt;" &amp; "")&gt;0</formula>
    </cfRule>
    <cfRule type="expression" dxfId="1" priority="408">
      <formula>AND(COUNTIF(G251:BE251,"&lt;&gt;" &amp; "")&gt;0,NOT(ISBLANK(E251)))</formula>
    </cfRule>
  </conditionalFormatting>
  <conditionalFormatting sqref="E26">
    <cfRule type="expression" dxfId="0" priority="21">
      <formula>COUNTIF(G26:BE26,"&lt;&gt;" &amp; "")&gt;0</formula>
    </cfRule>
    <cfRule type="expression" dxfId="1" priority="22">
      <formula>AND(COUNTIF(G26:BE26,"&lt;&gt;" &amp; "")&gt;0,NOT(ISBLANK(E26)))</formula>
    </cfRule>
  </conditionalFormatting>
  <conditionalFormatting sqref="E27">
    <cfRule type="expression" dxfId="0" priority="23">
      <formula>COUNTIF(G27:BE27,"&lt;&gt;" &amp; "")&gt;0</formula>
    </cfRule>
    <cfRule type="expression" dxfId="1" priority="24">
      <formula>AND(COUNTIF(G27:BE27,"&lt;&gt;" &amp; "")&gt;0,NOT(ISBLANK(E27)))</formula>
    </cfRule>
  </conditionalFormatting>
  <conditionalFormatting sqref="E30">
    <cfRule type="expression" dxfId="0" priority="25">
      <formula>COUNTIF(G30:BE30,"&lt;&gt;" &amp; "")&gt;0</formula>
    </cfRule>
    <cfRule type="expression" dxfId="1" priority="26">
      <formula>AND(COUNTIF(G30:BE30,"&lt;&gt;" &amp; "")&gt;0,NOT(ISBLANK(E30)))</formula>
    </cfRule>
  </conditionalFormatting>
  <conditionalFormatting sqref="E31">
    <cfRule type="expression" dxfId="0" priority="27">
      <formula>COUNTIF(G31:BE31,"&lt;&gt;" &amp; "")&gt;0</formula>
    </cfRule>
    <cfRule type="expression" dxfId="1" priority="28">
      <formula>AND(COUNTIF(G31:BE31,"&lt;&gt;" &amp; "")&gt;0,NOT(ISBLANK(E31)))</formula>
    </cfRule>
  </conditionalFormatting>
  <conditionalFormatting sqref="E32">
    <cfRule type="expression" dxfId="0" priority="29">
      <formula>COUNTIF(G32:BE32,"&lt;&gt;" &amp; "")&gt;0</formula>
    </cfRule>
    <cfRule type="expression" dxfId="1" priority="30">
      <formula>AND(COUNTIF(G32:BE32,"&lt;&gt;" &amp; "")&gt;0,NOT(ISBLANK(E32)))</formula>
    </cfRule>
  </conditionalFormatting>
  <conditionalFormatting sqref="E33">
    <cfRule type="expression" dxfId="0" priority="31">
      <formula>COUNTIF(G33:BE33,"&lt;&gt;" &amp; "")&gt;0</formula>
    </cfRule>
    <cfRule type="expression" dxfId="1" priority="32">
      <formula>AND(COUNTIF(G33:BE33,"&lt;&gt;" &amp; "")&gt;0,NOT(ISBLANK(E33)))</formula>
    </cfRule>
  </conditionalFormatting>
  <conditionalFormatting sqref="E34">
    <cfRule type="expression" dxfId="0" priority="33">
      <formula>COUNTIF(G34:BE34,"&lt;&gt;" &amp; "")&gt;0</formula>
    </cfRule>
    <cfRule type="expression" dxfId="1" priority="34">
      <formula>AND(COUNTIF(G34:BE34,"&lt;&gt;" &amp; "")&gt;0,NOT(ISBLANK(E34)))</formula>
    </cfRule>
  </conditionalFormatting>
  <conditionalFormatting sqref="E35">
    <cfRule type="expression" dxfId="0" priority="35">
      <formula>COUNTIF(G35:BE35,"&lt;&gt;" &amp; "")&gt;0</formula>
    </cfRule>
    <cfRule type="expression" dxfId="1" priority="36">
      <formula>AND(COUNTIF(G35:BE35,"&lt;&gt;" &amp; "")&gt;0,NOT(ISBLANK(E35)))</formula>
    </cfRule>
  </conditionalFormatting>
  <conditionalFormatting sqref="E36">
    <cfRule type="expression" dxfId="0" priority="37">
      <formula>COUNTIF(G36:BE36,"&lt;&gt;" &amp; "")&gt;0</formula>
    </cfRule>
    <cfRule type="expression" dxfId="1" priority="38">
      <formula>AND(COUNTIF(G36:BE36,"&lt;&gt;" &amp; "")&gt;0,NOT(ISBLANK(E36)))</formula>
    </cfRule>
  </conditionalFormatting>
  <conditionalFormatting sqref="E37">
    <cfRule type="expression" dxfId="0" priority="39">
      <formula>COUNTIF(G37:BE37,"&lt;&gt;" &amp; "")&gt;0</formula>
    </cfRule>
    <cfRule type="expression" dxfId="1" priority="40">
      <formula>AND(COUNTIF(G37:BE37,"&lt;&gt;" &amp; "")&gt;0,NOT(ISBLANK(E37)))</formula>
    </cfRule>
  </conditionalFormatting>
  <conditionalFormatting sqref="E38">
    <cfRule type="expression" dxfId="0" priority="41">
      <formula>COUNTIF(G38:BE38,"&lt;&gt;" &amp; "")&gt;0</formula>
    </cfRule>
    <cfRule type="expression" dxfId="1" priority="42">
      <formula>AND(COUNTIF(G38:BE38,"&lt;&gt;" &amp; "")&gt;0,NOT(ISBLANK(E38)))</formula>
    </cfRule>
  </conditionalFormatting>
  <conditionalFormatting sqref="E39">
    <cfRule type="expression" dxfId="0" priority="43">
      <formula>COUNTIF(G39:BE39,"&lt;&gt;" &amp; "")&gt;0</formula>
    </cfRule>
    <cfRule type="expression" dxfId="1" priority="44">
      <formula>AND(COUNTIF(G39:BE39,"&lt;&gt;" &amp; "")&gt;0,NOT(ISBLANK(E39)))</formula>
    </cfRule>
  </conditionalFormatting>
  <conditionalFormatting sqref="E40">
    <cfRule type="expression" dxfId="0" priority="45">
      <formula>COUNTIF(G40:BE40,"&lt;&gt;" &amp; "")&gt;0</formula>
    </cfRule>
    <cfRule type="expression" dxfId="1" priority="46">
      <formula>AND(COUNTIF(G40:BE40,"&lt;&gt;" &amp; "")&gt;0,NOT(ISBLANK(E40)))</formula>
    </cfRule>
  </conditionalFormatting>
  <conditionalFormatting sqref="E41">
    <cfRule type="expression" dxfId="0" priority="47">
      <formula>COUNTIF(G41:BE41,"&lt;&gt;" &amp; "")&gt;0</formula>
    </cfRule>
    <cfRule type="expression" dxfId="1" priority="48">
      <formula>AND(COUNTIF(G41:BE41,"&lt;&gt;" &amp; "")&gt;0,NOT(ISBLANK(E41)))</formula>
    </cfRule>
  </conditionalFormatting>
  <conditionalFormatting sqref="E44">
    <cfRule type="expression" dxfId="0" priority="49">
      <formula>COUNTIF(G44:BE44,"&lt;&gt;" &amp; "")&gt;0</formula>
    </cfRule>
    <cfRule type="expression" dxfId="1" priority="50">
      <formula>AND(COUNTIF(G44:BE44,"&lt;&gt;" &amp; "")&gt;0,NOT(ISBLANK(E44)))</formula>
    </cfRule>
  </conditionalFormatting>
  <conditionalFormatting sqref="E45">
    <cfRule type="expression" dxfId="0" priority="51">
      <formula>COUNTIF(G45:BE45,"&lt;&gt;" &amp; "")&gt;0</formula>
    </cfRule>
    <cfRule type="expression" dxfId="1" priority="52">
      <formula>AND(COUNTIF(G45:BE45,"&lt;&gt;" &amp; "")&gt;0,NOT(ISBLANK(E45)))</formula>
    </cfRule>
  </conditionalFormatting>
  <conditionalFormatting sqref="E46">
    <cfRule type="expression" dxfId="0" priority="53">
      <formula>COUNTIF(G46:BE46,"&lt;&gt;" &amp; "")&gt;0</formula>
    </cfRule>
    <cfRule type="expression" dxfId="1" priority="54">
      <formula>AND(COUNTIF(G46:BE46,"&lt;&gt;" &amp; "")&gt;0,NOT(ISBLANK(E46)))</formula>
    </cfRule>
  </conditionalFormatting>
  <conditionalFormatting sqref="E47">
    <cfRule type="expression" dxfId="0" priority="55">
      <formula>COUNTIF(G47:BE47,"&lt;&gt;" &amp; "")&gt;0</formula>
    </cfRule>
    <cfRule type="expression" dxfId="1" priority="56">
      <formula>AND(COUNTIF(G47:BE47,"&lt;&gt;" &amp; "")&gt;0,NOT(ISBLANK(E47)))</formula>
    </cfRule>
  </conditionalFormatting>
  <conditionalFormatting sqref="E48">
    <cfRule type="expression" dxfId="0" priority="57">
      <formula>COUNTIF(G48:BE48,"&lt;&gt;" &amp; "")&gt;0</formula>
    </cfRule>
    <cfRule type="expression" dxfId="1" priority="58">
      <formula>AND(COUNTIF(G48:BE48,"&lt;&gt;" &amp; "")&gt;0,NOT(ISBLANK(E48)))</formula>
    </cfRule>
  </conditionalFormatting>
  <conditionalFormatting sqref="E49">
    <cfRule type="expression" dxfId="0" priority="59">
      <formula>COUNTIF(G49:BE49,"&lt;&gt;" &amp; "")&gt;0</formula>
    </cfRule>
    <cfRule type="expression" dxfId="1" priority="60">
      <formula>AND(COUNTIF(G49:BE49,"&lt;&gt;" &amp; "")&gt;0,NOT(ISBLANK(E49)))</formula>
    </cfRule>
  </conditionalFormatting>
  <conditionalFormatting sqref="E50">
    <cfRule type="expression" dxfId="0" priority="61">
      <formula>COUNTIF(G50:BE50,"&lt;&gt;" &amp; "")&gt;0</formula>
    </cfRule>
    <cfRule type="expression" dxfId="1" priority="62">
      <formula>AND(COUNTIF(G50:BE50,"&lt;&gt;" &amp; "")&gt;0,NOT(ISBLANK(E50)))</formula>
    </cfRule>
  </conditionalFormatting>
  <conditionalFormatting sqref="E51">
    <cfRule type="expression" dxfId="0" priority="63">
      <formula>COUNTIF(G51:BE51,"&lt;&gt;" &amp; "")&gt;0</formula>
    </cfRule>
    <cfRule type="expression" dxfId="1" priority="64">
      <formula>AND(COUNTIF(G51:BE51,"&lt;&gt;" &amp; "")&gt;0,NOT(ISBLANK(E51)))</formula>
    </cfRule>
  </conditionalFormatting>
  <conditionalFormatting sqref="E52">
    <cfRule type="expression" dxfId="0" priority="65">
      <formula>COUNTIF(G52:BE52,"&lt;&gt;" &amp; "")&gt;0</formula>
    </cfRule>
    <cfRule type="expression" dxfId="1" priority="66">
      <formula>AND(COUNTIF(G52:BE52,"&lt;&gt;" &amp; "")&gt;0,NOT(ISBLANK(E52)))</formula>
    </cfRule>
  </conditionalFormatting>
  <conditionalFormatting sqref="E53">
    <cfRule type="expression" dxfId="0" priority="67">
      <formula>COUNTIF(G53:BE53,"&lt;&gt;" &amp; "")&gt;0</formula>
    </cfRule>
    <cfRule type="expression" dxfId="1" priority="68">
      <formula>AND(COUNTIF(G53:BE53,"&lt;&gt;" &amp; "")&gt;0,NOT(ISBLANK(E53)))</formula>
    </cfRule>
  </conditionalFormatting>
  <conditionalFormatting sqref="E54">
    <cfRule type="expression" dxfId="0" priority="69">
      <formula>COUNTIF(G54:BE54,"&lt;&gt;" &amp; "")&gt;0</formula>
    </cfRule>
    <cfRule type="expression" dxfId="1" priority="70">
      <formula>AND(COUNTIF(G54:BE54,"&lt;&gt;" &amp; "")&gt;0,NOT(ISBLANK(E54)))</formula>
    </cfRule>
  </conditionalFormatting>
  <conditionalFormatting sqref="E55">
    <cfRule type="expression" dxfId="0" priority="71">
      <formula>COUNTIF(G55:BE55,"&lt;&gt;" &amp; "")&gt;0</formula>
    </cfRule>
    <cfRule type="expression" dxfId="1" priority="72">
      <formula>AND(COUNTIF(G55:BE55,"&lt;&gt;" &amp; "")&gt;0,NOT(ISBLANK(E55)))</formula>
    </cfRule>
  </conditionalFormatting>
  <conditionalFormatting sqref="E562">
    <cfRule type="expression" dxfId="0" priority="409">
      <formula>COUNTIF(G562:BE562,"&lt;&gt;" &amp; "")&gt;0</formula>
    </cfRule>
    <cfRule type="expression" dxfId="1" priority="410">
      <formula>AND(COUNTIF(G562:BE562,"&lt;&gt;" &amp; "")&gt;0,NOT(ISBLANK(E562)))</formula>
    </cfRule>
  </conditionalFormatting>
  <conditionalFormatting sqref="E563">
    <cfRule type="expression" dxfId="0" priority="411">
      <formula>COUNTIF(G563:BE563,"&lt;&gt;" &amp; "")&gt;0</formula>
    </cfRule>
    <cfRule type="expression" dxfId="1" priority="412">
      <formula>AND(COUNTIF(G563:BE563,"&lt;&gt;" &amp; "")&gt;0,NOT(ISBLANK(E563)))</formula>
    </cfRule>
  </conditionalFormatting>
  <conditionalFormatting sqref="E564">
    <cfRule type="expression" dxfId="0" priority="413">
      <formula>COUNTIF(G564:BE564,"&lt;&gt;" &amp; "")&gt;0</formula>
    </cfRule>
    <cfRule type="expression" dxfId="1" priority="414">
      <formula>AND(COUNTIF(G564:BE564,"&lt;&gt;" &amp; "")&gt;0,NOT(ISBLANK(E564)))</formula>
    </cfRule>
  </conditionalFormatting>
  <conditionalFormatting sqref="E565">
    <cfRule type="expression" dxfId="0" priority="415">
      <formula>COUNTIF(G565:BE565,"&lt;&gt;" &amp; "")&gt;0</formula>
    </cfRule>
    <cfRule type="expression" dxfId="1" priority="416">
      <formula>AND(COUNTIF(G565:BE565,"&lt;&gt;" &amp; "")&gt;0,NOT(ISBLANK(E565)))</formula>
    </cfRule>
  </conditionalFormatting>
  <conditionalFormatting sqref="E566">
    <cfRule type="expression" dxfId="0" priority="417">
      <formula>COUNTIF(G566:BE566,"&lt;&gt;" &amp; "")&gt;0</formula>
    </cfRule>
    <cfRule type="expression" dxfId="1" priority="418">
      <formula>AND(COUNTIF(G566:BE566,"&lt;&gt;" &amp; "")&gt;0,NOT(ISBLANK(E566)))</formula>
    </cfRule>
  </conditionalFormatting>
  <conditionalFormatting sqref="E567">
    <cfRule type="expression" dxfId="0" priority="419">
      <formula>COUNTIF(G567:BE567,"&lt;&gt;" &amp; "")&gt;0</formula>
    </cfRule>
    <cfRule type="expression" dxfId="1" priority="420">
      <formula>AND(COUNTIF(G567:BE567,"&lt;&gt;" &amp; "")&gt;0,NOT(ISBLANK(E567)))</formula>
    </cfRule>
  </conditionalFormatting>
  <conditionalFormatting sqref="E568">
    <cfRule type="expression" dxfId="0" priority="421">
      <formula>COUNTIF(G568:BE568,"&lt;&gt;" &amp; "")&gt;0</formula>
    </cfRule>
    <cfRule type="expression" dxfId="1" priority="422">
      <formula>AND(COUNTIF(G568:BE568,"&lt;&gt;" &amp; "")&gt;0,NOT(ISBLANK(E568)))</formula>
    </cfRule>
  </conditionalFormatting>
  <conditionalFormatting sqref="E569">
    <cfRule type="expression" dxfId="0" priority="423">
      <formula>COUNTIF(G569:BE569,"&lt;&gt;" &amp; "")&gt;0</formula>
    </cfRule>
    <cfRule type="expression" dxfId="1" priority="424">
      <formula>AND(COUNTIF(G569:BE569,"&lt;&gt;" &amp; "")&gt;0,NOT(ISBLANK(E569)))</formula>
    </cfRule>
  </conditionalFormatting>
  <conditionalFormatting sqref="E570">
    <cfRule type="expression" dxfId="0" priority="425">
      <formula>COUNTIF(G570:BE570,"&lt;&gt;" &amp; "")&gt;0</formula>
    </cfRule>
    <cfRule type="expression" dxfId="1" priority="426">
      <formula>AND(COUNTIF(G570:BE570,"&lt;&gt;" &amp; "")&gt;0,NOT(ISBLANK(E570)))</formula>
    </cfRule>
  </conditionalFormatting>
  <conditionalFormatting sqref="E571">
    <cfRule type="expression" dxfId="0" priority="427">
      <formula>COUNTIF(G571:BE571,"&lt;&gt;" &amp; "")&gt;0</formula>
    </cfRule>
    <cfRule type="expression" dxfId="1" priority="428">
      <formula>AND(COUNTIF(G571:BE571,"&lt;&gt;" &amp; "")&gt;0,NOT(ISBLANK(E571)))</formula>
    </cfRule>
  </conditionalFormatting>
  <conditionalFormatting sqref="E572">
    <cfRule type="expression" dxfId="0" priority="429">
      <formula>COUNTIF(G572:BE572,"&lt;&gt;" &amp; "")&gt;0</formula>
    </cfRule>
    <cfRule type="expression" dxfId="1" priority="430">
      <formula>AND(COUNTIF(G572:BE572,"&lt;&gt;" &amp; "")&gt;0,NOT(ISBLANK(E572)))</formula>
    </cfRule>
  </conditionalFormatting>
  <conditionalFormatting sqref="E573">
    <cfRule type="expression" dxfId="0" priority="431">
      <formula>COUNTIF(G573:BE573,"&lt;&gt;" &amp; "")&gt;0</formula>
    </cfRule>
    <cfRule type="expression" dxfId="1" priority="432">
      <formula>AND(COUNTIF(G573:BE573,"&lt;&gt;" &amp; "")&gt;0,NOT(ISBLANK(E573)))</formula>
    </cfRule>
  </conditionalFormatting>
  <conditionalFormatting sqref="E58">
    <cfRule type="expression" dxfId="0" priority="73">
      <formula>COUNTIF(G58:BE58,"&lt;&gt;" &amp; "")&gt;0</formula>
    </cfRule>
    <cfRule type="expression" dxfId="1" priority="74">
      <formula>AND(COUNTIF(G58:BE58,"&lt;&gt;" &amp; "")&gt;0,NOT(ISBLANK(E58)))</formula>
    </cfRule>
  </conditionalFormatting>
  <conditionalFormatting sqref="E59">
    <cfRule type="expression" dxfId="0" priority="75">
      <formula>COUNTIF(G59:BE59,"&lt;&gt;" &amp; "")&gt;0</formula>
    </cfRule>
    <cfRule type="expression" dxfId="1" priority="76">
      <formula>AND(COUNTIF(G59:BE59,"&lt;&gt;" &amp; "")&gt;0,NOT(ISBLANK(E59)))</formula>
    </cfRule>
  </conditionalFormatting>
  <conditionalFormatting sqref="E60">
    <cfRule type="expression" dxfId="0" priority="77">
      <formula>COUNTIF(G60:BE60,"&lt;&gt;" &amp; "")&gt;0</formula>
    </cfRule>
    <cfRule type="expression" dxfId="1" priority="78">
      <formula>AND(COUNTIF(G60:BE60,"&lt;&gt;" &amp; "")&gt;0,NOT(ISBLANK(E60)))</formula>
    </cfRule>
  </conditionalFormatting>
  <conditionalFormatting sqref="E61">
    <cfRule type="expression" dxfId="0" priority="79">
      <formula>COUNTIF(G61:BE61,"&lt;&gt;" &amp; "")&gt;0</formula>
    </cfRule>
    <cfRule type="expression" dxfId="1" priority="80">
      <formula>AND(COUNTIF(G61:BE61,"&lt;&gt;" &amp; "")&gt;0,NOT(ISBLANK(E61)))</formula>
    </cfRule>
  </conditionalFormatting>
  <conditionalFormatting sqref="E62">
    <cfRule type="expression" dxfId="0" priority="81">
      <formula>COUNTIF(G62:BE62,"&lt;&gt;" &amp; "")&gt;0</formula>
    </cfRule>
    <cfRule type="expression" dxfId="1" priority="82">
      <formula>AND(COUNTIF(G62:BE62,"&lt;&gt;" &amp; "")&gt;0,NOT(ISBLANK(E62)))</formula>
    </cfRule>
  </conditionalFormatting>
  <conditionalFormatting sqref="E63">
    <cfRule type="expression" dxfId="0" priority="83">
      <formula>COUNTIF(G63:BE63,"&lt;&gt;" &amp; "")&gt;0</formula>
    </cfRule>
    <cfRule type="expression" dxfId="1" priority="84">
      <formula>AND(COUNTIF(G63:BE63,"&lt;&gt;" &amp; "")&gt;0,NOT(ISBLANK(E63)))</formula>
    </cfRule>
  </conditionalFormatting>
  <conditionalFormatting sqref="E64">
    <cfRule type="expression" dxfId="0" priority="85">
      <formula>COUNTIF(G64:BE64,"&lt;&gt;" &amp; "")&gt;0</formula>
    </cfRule>
    <cfRule type="expression" dxfId="1" priority="86">
      <formula>AND(COUNTIF(G64:BE64,"&lt;&gt;" &amp; "")&gt;0,NOT(ISBLANK(E64)))</formula>
    </cfRule>
  </conditionalFormatting>
  <conditionalFormatting sqref="E65">
    <cfRule type="expression" dxfId="0" priority="87">
      <formula>COUNTIF(G65:BE65,"&lt;&gt;" &amp; "")&gt;0</formula>
    </cfRule>
    <cfRule type="expression" dxfId="1" priority="88">
      <formula>AND(COUNTIF(G65:BE65,"&lt;&gt;" &amp; "")&gt;0,NOT(ISBLANK(E65)))</formula>
    </cfRule>
  </conditionalFormatting>
  <conditionalFormatting sqref="E66">
    <cfRule type="expression" dxfId="0" priority="89">
      <formula>COUNTIF(G66:BE66,"&lt;&gt;" &amp; "")&gt;0</formula>
    </cfRule>
    <cfRule type="expression" dxfId="1" priority="90">
      <formula>AND(COUNTIF(G66:BE66,"&lt;&gt;" &amp; "")&gt;0,NOT(ISBLANK(E66)))</formula>
    </cfRule>
  </conditionalFormatting>
  <conditionalFormatting sqref="E67">
    <cfRule type="expression" dxfId="0" priority="91">
      <formula>COUNTIF(G67:BE67,"&lt;&gt;" &amp; "")&gt;0</formula>
    </cfRule>
    <cfRule type="expression" dxfId="1" priority="92">
      <formula>AND(COUNTIF(G67:BE67,"&lt;&gt;" &amp; "")&gt;0,NOT(ISBLANK(E67)))</formula>
    </cfRule>
  </conditionalFormatting>
  <conditionalFormatting sqref="E68">
    <cfRule type="expression" dxfId="0" priority="93">
      <formula>COUNTIF(G68:BE68,"&lt;&gt;" &amp; "")&gt;0</formula>
    </cfRule>
    <cfRule type="expression" dxfId="1" priority="94">
      <formula>AND(COUNTIF(G68:BE68,"&lt;&gt;" &amp; "")&gt;0,NOT(ISBLANK(E68)))</formula>
    </cfRule>
  </conditionalFormatting>
  <conditionalFormatting sqref="E69">
    <cfRule type="expression" dxfId="0" priority="95">
      <formula>COUNTIF(G69:BE69,"&lt;&gt;" &amp; "")&gt;0</formula>
    </cfRule>
    <cfRule type="expression" dxfId="1" priority="96">
      <formula>AND(COUNTIF(G69:BE69,"&lt;&gt;" &amp; "")&gt;0,NOT(ISBLANK(E69)))</formula>
    </cfRule>
  </conditionalFormatting>
  <conditionalFormatting sqref="E72">
    <cfRule type="expression" dxfId="0" priority="97">
      <formula>COUNTIF(G72:BE72,"&lt;&gt;" &amp; "")&gt;0</formula>
    </cfRule>
    <cfRule type="expression" dxfId="1" priority="98">
      <formula>AND(COUNTIF(G72:BE72,"&lt;&gt;" &amp; "")&gt;0,NOT(ISBLANK(E72)))</formula>
    </cfRule>
  </conditionalFormatting>
  <conditionalFormatting sqref="E73">
    <cfRule type="expression" dxfId="0" priority="99">
      <formula>COUNTIF(G73:BE73,"&lt;&gt;" &amp; "")&gt;0</formula>
    </cfRule>
    <cfRule type="expression" dxfId="1" priority="100">
      <formula>AND(COUNTIF(G73:BE73,"&lt;&gt;" &amp; "")&gt;0,NOT(ISBLANK(E73)))</formula>
    </cfRule>
  </conditionalFormatting>
  <conditionalFormatting sqref="E74">
    <cfRule type="expression" dxfId="0" priority="101">
      <formula>COUNTIF(G74:BE74,"&lt;&gt;" &amp; "")&gt;0</formula>
    </cfRule>
    <cfRule type="expression" dxfId="1" priority="102">
      <formula>AND(COUNTIF(G74:BE74,"&lt;&gt;" &amp; "")&gt;0,NOT(ISBLANK(E74)))</formula>
    </cfRule>
  </conditionalFormatting>
  <conditionalFormatting sqref="E75">
    <cfRule type="expression" dxfId="0" priority="103">
      <formula>COUNTIF(G75:BE75,"&lt;&gt;" &amp; "")&gt;0</formula>
    </cfRule>
    <cfRule type="expression" dxfId="1" priority="104">
      <formula>AND(COUNTIF(G75:BE75,"&lt;&gt;" &amp; "")&gt;0,NOT(ISBLANK(E75)))</formula>
    </cfRule>
  </conditionalFormatting>
  <conditionalFormatting sqref="E76">
    <cfRule type="expression" dxfId="0" priority="105">
      <formula>COUNTIF(G76:BE76,"&lt;&gt;" &amp; "")&gt;0</formula>
    </cfRule>
    <cfRule type="expression" dxfId="1" priority="106">
      <formula>AND(COUNTIF(G76:BE76,"&lt;&gt;" &amp; "")&gt;0,NOT(ISBLANK(E76)))</formula>
    </cfRule>
  </conditionalFormatting>
  <conditionalFormatting sqref="E77">
    <cfRule type="expression" dxfId="0" priority="107">
      <formula>COUNTIF(G77:BE77,"&lt;&gt;" &amp; "")&gt;0</formula>
    </cfRule>
    <cfRule type="expression" dxfId="1" priority="108">
      <formula>AND(COUNTIF(G77:BE77,"&lt;&gt;" &amp; "")&gt;0,NOT(ISBLANK(E77)))</formula>
    </cfRule>
  </conditionalFormatting>
  <conditionalFormatting sqref="E78">
    <cfRule type="expression" dxfId="0" priority="109">
      <formula>COUNTIF(G78:BE78,"&lt;&gt;" &amp; "")&gt;0</formula>
    </cfRule>
    <cfRule type="expression" dxfId="1" priority="110">
      <formula>AND(COUNTIF(G78:BE78,"&lt;&gt;" &amp; "")&gt;0,NOT(ISBLANK(E78)))</formula>
    </cfRule>
  </conditionalFormatting>
  <conditionalFormatting sqref="E79">
    <cfRule type="expression" dxfId="0" priority="111">
      <formula>COUNTIF(G79:BE79,"&lt;&gt;" &amp; "")&gt;0</formula>
    </cfRule>
    <cfRule type="expression" dxfId="1" priority="112">
      <formula>AND(COUNTIF(G79:BE79,"&lt;&gt;" &amp; "")&gt;0,NOT(ISBLANK(E79)))</formula>
    </cfRule>
  </conditionalFormatting>
  <conditionalFormatting sqref="E80">
    <cfRule type="expression" dxfId="0" priority="113">
      <formula>COUNTIF(G80:BE80,"&lt;&gt;" &amp; "")&gt;0</formula>
    </cfRule>
    <cfRule type="expression" dxfId="1" priority="114">
      <formula>AND(COUNTIF(G80:BE80,"&lt;&gt;" &amp; "")&gt;0,NOT(ISBLANK(E80)))</formula>
    </cfRule>
  </conditionalFormatting>
  <conditionalFormatting sqref="E81">
    <cfRule type="expression" dxfId="0" priority="115">
      <formula>COUNTIF(G81:BE81,"&lt;&gt;" &amp; "")&gt;0</formula>
    </cfRule>
    <cfRule type="expression" dxfId="1" priority="116">
      <formula>AND(COUNTIF(G81:BE81,"&lt;&gt;" &amp; "")&gt;0,NOT(ISBLANK(E81)))</formula>
    </cfRule>
  </conditionalFormatting>
  <conditionalFormatting sqref="E82">
    <cfRule type="expression" dxfId="0" priority="117">
      <formula>COUNTIF(G82:BE82,"&lt;&gt;" &amp; "")&gt;0</formula>
    </cfRule>
    <cfRule type="expression" dxfId="1" priority="118">
      <formula>AND(COUNTIF(G82:BE82,"&lt;&gt;" &amp; "")&gt;0,NOT(ISBLANK(E82)))</formula>
    </cfRule>
  </conditionalFormatting>
  <conditionalFormatting sqref="E83">
    <cfRule type="expression" dxfId="0" priority="119">
      <formula>COUNTIF(G83:BE83,"&lt;&gt;" &amp; "")&gt;0</formula>
    </cfRule>
    <cfRule type="expression" dxfId="1" priority="120">
      <formula>AND(COUNTIF(G83:BE83,"&lt;&gt;" &amp; "")&gt;0,NOT(ISBLANK(E83)))</formula>
    </cfRule>
  </conditionalFormatting>
  <conditionalFormatting sqref="E86">
    <cfRule type="expression" dxfId="0" priority="121">
      <formula>COUNTIF(G86:BE86,"&lt;&gt;" &amp; "")&gt;0</formula>
    </cfRule>
    <cfRule type="expression" dxfId="1" priority="122">
      <formula>AND(COUNTIF(G86:BE86,"&lt;&gt;" &amp; "")&gt;0,NOT(ISBLANK(E86)))</formula>
    </cfRule>
  </conditionalFormatting>
  <conditionalFormatting sqref="E87">
    <cfRule type="expression" dxfId="0" priority="123">
      <formula>COUNTIF(G87:BE87,"&lt;&gt;" &amp; "")&gt;0</formula>
    </cfRule>
    <cfRule type="expression" dxfId="1" priority="124">
      <formula>AND(COUNTIF(G87:BE87,"&lt;&gt;" &amp; "")&gt;0,NOT(ISBLANK(E87)))</formula>
    </cfRule>
  </conditionalFormatting>
  <conditionalFormatting sqref="E88">
    <cfRule type="expression" dxfId="0" priority="125">
      <formula>COUNTIF(G88:BE88,"&lt;&gt;" &amp; "")&gt;0</formula>
    </cfRule>
    <cfRule type="expression" dxfId="1" priority="126">
      <formula>AND(COUNTIF(G88:BE88,"&lt;&gt;" &amp; "")&gt;0,NOT(ISBLANK(E88)))</formula>
    </cfRule>
  </conditionalFormatting>
  <conditionalFormatting sqref="E89">
    <cfRule type="expression" dxfId="0" priority="127">
      <formula>COUNTIF(G89:BE89,"&lt;&gt;" &amp; "")&gt;0</formula>
    </cfRule>
    <cfRule type="expression" dxfId="1" priority="128">
      <formula>AND(COUNTIF(G89:BE89,"&lt;&gt;" &amp; "")&gt;0,NOT(ISBLANK(E89)))</formula>
    </cfRule>
  </conditionalFormatting>
  <conditionalFormatting sqref="E90">
    <cfRule type="expression" dxfId="0" priority="129">
      <formula>COUNTIF(G90:BE90,"&lt;&gt;" &amp; "")&gt;0</formula>
    </cfRule>
    <cfRule type="expression" dxfId="1" priority="130">
      <formula>AND(COUNTIF(G90:BE90,"&lt;&gt;" &amp; "")&gt;0,NOT(ISBLANK(E90)))</formula>
    </cfRule>
  </conditionalFormatting>
  <conditionalFormatting sqref="E91">
    <cfRule type="expression" dxfId="0" priority="131">
      <formula>COUNTIF(G91:BE91,"&lt;&gt;" &amp; "")&gt;0</formula>
    </cfRule>
    <cfRule type="expression" dxfId="1" priority="132">
      <formula>AND(COUNTIF(G91:BE91,"&lt;&gt;" &amp; "")&gt;0,NOT(ISBLANK(E91)))</formula>
    </cfRule>
  </conditionalFormatting>
  <conditionalFormatting sqref="E92">
    <cfRule type="expression" dxfId="0" priority="133">
      <formula>COUNTIF(G92:BE92,"&lt;&gt;" &amp; "")&gt;0</formula>
    </cfRule>
    <cfRule type="expression" dxfId="1" priority="134">
      <formula>AND(COUNTIF(G92:BE92,"&lt;&gt;" &amp; "")&gt;0,NOT(ISBLANK(E92)))</formula>
    </cfRule>
  </conditionalFormatting>
  <conditionalFormatting sqref="E93">
    <cfRule type="expression" dxfId="0" priority="135">
      <formula>COUNTIF(G93:BE93,"&lt;&gt;" &amp; "")&gt;0</formula>
    </cfRule>
    <cfRule type="expression" dxfId="1" priority="136">
      <formula>AND(COUNTIF(G93:BE93,"&lt;&gt;" &amp; "")&gt;0,NOT(ISBLANK(E93)))</formula>
    </cfRule>
  </conditionalFormatting>
  <conditionalFormatting sqref="E94">
    <cfRule type="expression" dxfId="0" priority="137">
      <formula>COUNTIF(G94:BE94,"&lt;&gt;" &amp; "")&gt;0</formula>
    </cfRule>
    <cfRule type="expression" dxfId="1" priority="138">
      <formula>AND(COUNTIF(G94:BE94,"&lt;&gt;" &amp; "")&gt;0,NOT(ISBLANK(E94)))</formula>
    </cfRule>
  </conditionalFormatting>
  <conditionalFormatting sqref="E95">
    <cfRule type="expression" dxfId="0" priority="139">
      <formula>COUNTIF(G95:BE95,"&lt;&gt;" &amp; "")&gt;0</formula>
    </cfRule>
    <cfRule type="expression" dxfId="1" priority="140">
      <formula>AND(COUNTIF(G95:BE95,"&lt;&gt;" &amp; "")&gt;0,NOT(ISBLANK(E95)))</formula>
    </cfRule>
  </conditionalFormatting>
  <conditionalFormatting sqref="E96">
    <cfRule type="expression" dxfId="0" priority="141">
      <formula>COUNTIF(G96:BE96,"&lt;&gt;" &amp; "")&gt;0</formula>
    </cfRule>
    <cfRule type="expression" dxfId="1" priority="142">
      <formula>AND(COUNTIF(G96:BE96,"&lt;&gt;" &amp; "")&gt;0,NOT(ISBLANK(E96)))</formula>
    </cfRule>
  </conditionalFormatting>
  <conditionalFormatting sqref="E97">
    <cfRule type="expression" dxfId="0" priority="143">
      <formula>COUNTIF(G97:BE97,"&lt;&gt;" &amp; "")&gt;0</formula>
    </cfRule>
    <cfRule type="expression" dxfId="1" priority="144">
      <formula>AND(COUNTIF(G97:BE97,"&lt;&gt;" &amp; "")&gt;0,NOT(ISBLANK(E97)))</formula>
    </cfRule>
  </conditionalFormatting>
  <dataValidations count="996">
    <dataValidation type="list" allowBlank="1" showInputMessage="1" showErrorMessage="1" sqref="C2">
      <formula1>"Number"</formula1>
    </dataValidation>
    <dataValidation type="list" allowBlank="1" showInputMessage="1" showErrorMessage="1" sqref="C3">
      <formula1>"Number"</formula1>
    </dataValidation>
    <dataValidation type="list" allowBlank="1" showInputMessage="1" showErrorMessage="1" sqref="C4">
      <formula1>"Number"</formula1>
    </dataValidation>
    <dataValidation type="list" allowBlank="1" showInputMessage="1" showErrorMessage="1" sqref="C5">
      <formula1>"Number"</formula1>
    </dataValidation>
    <dataValidation type="list" allowBlank="1" showInputMessage="1" showErrorMessage="1" sqref="C6">
      <formula1>"Number"</formula1>
    </dataValidation>
    <dataValidation type="list" allowBlank="1" showInputMessage="1" showErrorMessage="1" sqref="C7">
      <formula1>"Number"</formula1>
    </dataValidation>
    <dataValidation type="list" allowBlank="1" showInputMessage="1" showErrorMessage="1" sqref="C8">
      <formula1>"Number"</formula1>
    </dataValidation>
    <dataValidation type="list" allowBlank="1" showInputMessage="1" showErrorMessage="1" sqref="C9">
      <formula1>"Number"</formula1>
    </dataValidation>
    <dataValidation type="list" allowBlank="1" showInputMessage="1" showErrorMessage="1" sqref="C10">
      <formula1>"Number"</formula1>
    </dataValidation>
    <dataValidation type="list" allowBlank="1" showInputMessage="1" showErrorMessage="1" sqref="C11">
      <formula1>"Number"</formula1>
    </dataValidation>
    <dataValidation type="list" allowBlank="1" showInputMessage="1" showErrorMessage="1" sqref="C12">
      <formula1>"Number"</formula1>
    </dataValidation>
    <dataValidation type="list" allowBlank="1" showInputMessage="1" showErrorMessage="1" sqref="C13">
      <formula1>"Number"</formula1>
    </dataValidation>
    <dataValidation type="list" allowBlank="1" showInputMessage="1" showErrorMessage="1" sqref="C16">
      <formula1>"Number"</formula1>
    </dataValidation>
    <dataValidation type="list" allowBlank="1" showInputMessage="1" showErrorMessage="1" sqref="C17">
      <formula1>"Number"</formula1>
    </dataValidation>
    <dataValidation type="list" allowBlank="1" showInputMessage="1" showErrorMessage="1" sqref="C18">
      <formula1>"Number"</formula1>
    </dataValidation>
    <dataValidation type="list" allowBlank="1" showInputMessage="1" showErrorMessage="1" sqref="C19">
      <formula1>"Number"</formula1>
    </dataValidation>
    <dataValidation type="list" allowBlank="1" showInputMessage="1" showErrorMessage="1" sqref="C20">
      <formula1>"Number"</formula1>
    </dataValidation>
    <dataValidation type="list" allowBlank="1" showInputMessage="1" showErrorMessage="1" sqref="C21">
      <formula1>"Number"</formula1>
    </dataValidation>
    <dataValidation type="list" allowBlank="1" showInputMessage="1" showErrorMessage="1" sqref="C22">
      <formula1>"Number"</formula1>
    </dataValidation>
    <dataValidation type="list" allowBlank="1" showInputMessage="1" showErrorMessage="1" sqref="C23">
      <formula1>"Number"</formula1>
    </dataValidation>
    <dataValidation type="list" allowBlank="1" showInputMessage="1" showErrorMessage="1" sqref="C24">
      <formula1>"Number"</formula1>
    </dataValidation>
    <dataValidation type="list" allowBlank="1" showInputMessage="1" showErrorMessage="1" sqref="C25">
      <formula1>"Number"</formula1>
    </dataValidation>
    <dataValidation type="list" allowBlank="1" showInputMessage="1" showErrorMessage="1" sqref="C26">
      <formula1>"Number"</formula1>
    </dataValidation>
    <dataValidation type="list" allowBlank="1" showInputMessage="1" showErrorMessage="1" sqref="C27">
      <formula1>"Number"</formula1>
    </dataValidation>
    <dataValidation type="list" allowBlank="1" showInputMessage="1" showErrorMessage="1" sqref="C30">
      <formula1>"Number"</formula1>
    </dataValidation>
    <dataValidation type="list" allowBlank="1" showInputMessage="1" showErrorMessage="1" sqref="C31">
      <formula1>"Number"</formula1>
    </dataValidation>
    <dataValidation type="list" allowBlank="1" showInputMessage="1" showErrorMessage="1" sqref="C32">
      <formula1>"Number"</formula1>
    </dataValidation>
    <dataValidation type="list" allowBlank="1" showInputMessage="1" showErrorMessage="1" sqref="C33">
      <formula1>"Number"</formula1>
    </dataValidation>
    <dataValidation type="list" allowBlank="1" showInputMessage="1" showErrorMessage="1" sqref="C34">
      <formula1>"Number"</formula1>
    </dataValidation>
    <dataValidation type="list" allowBlank="1" showInputMessage="1" showErrorMessage="1" sqref="C35">
      <formula1>"Number"</formula1>
    </dataValidation>
    <dataValidation type="list" allowBlank="1" showInputMessage="1" showErrorMessage="1" sqref="C36">
      <formula1>"Number"</formula1>
    </dataValidation>
    <dataValidation type="list" allowBlank="1" showInputMessage="1" showErrorMessage="1" sqref="C37">
      <formula1>"Number"</formula1>
    </dataValidation>
    <dataValidation type="list" allowBlank="1" showInputMessage="1" showErrorMessage="1" sqref="C38">
      <formula1>"Number"</formula1>
    </dataValidation>
    <dataValidation type="list" allowBlank="1" showInputMessage="1" showErrorMessage="1" sqref="C39">
      <formula1>"Number"</formula1>
    </dataValidation>
    <dataValidation type="list" allowBlank="1" showInputMessage="1" showErrorMessage="1" sqref="C40">
      <formula1>"Number"</formula1>
    </dataValidation>
    <dataValidation type="list" allowBlank="1" showInputMessage="1" showErrorMessage="1" sqref="C41">
      <formula1>"Number"</formula1>
    </dataValidation>
    <dataValidation type="list" allowBlank="1" showInputMessage="1" showErrorMessage="1" sqref="C44">
      <formula1>"Number"</formula1>
    </dataValidation>
    <dataValidation type="list" allowBlank="1" showInputMessage="1" showErrorMessage="1" sqref="C45">
      <formula1>"Number"</formula1>
    </dataValidation>
    <dataValidation type="list" allowBlank="1" showInputMessage="1" showErrorMessage="1" sqref="C46">
      <formula1>"Number"</formula1>
    </dataValidation>
    <dataValidation type="list" allowBlank="1" showInputMessage="1" showErrorMessage="1" sqref="C47">
      <formula1>"Number"</formula1>
    </dataValidation>
    <dataValidation type="list" allowBlank="1" showInputMessage="1" showErrorMessage="1" sqref="C48">
      <formula1>"Number"</formula1>
    </dataValidation>
    <dataValidation type="list" allowBlank="1" showInputMessage="1" showErrorMessage="1" sqref="C49">
      <formula1>"Number"</formula1>
    </dataValidation>
    <dataValidation type="list" allowBlank="1" showInputMessage="1" showErrorMessage="1" sqref="C50">
      <formula1>"Number"</formula1>
    </dataValidation>
    <dataValidation type="list" allowBlank="1" showInputMessage="1" showErrorMessage="1" sqref="C51">
      <formula1>"Number"</formula1>
    </dataValidation>
    <dataValidation type="list" allowBlank="1" showInputMessage="1" showErrorMessage="1" sqref="C52">
      <formula1>"Number"</formula1>
    </dataValidation>
    <dataValidation type="list" allowBlank="1" showInputMessage="1" showErrorMessage="1" sqref="C53">
      <formula1>"Number"</formula1>
    </dataValidation>
    <dataValidation type="list" allowBlank="1" showInputMessage="1" showErrorMessage="1" sqref="C54">
      <formula1>"Number"</formula1>
    </dataValidation>
    <dataValidation type="list" allowBlank="1" showInputMessage="1" showErrorMessage="1" sqref="C55">
      <formula1>"Number"</formula1>
    </dataValidation>
    <dataValidation type="list" allowBlank="1" showInputMessage="1" showErrorMessage="1" sqref="C58">
      <formula1>"Number"</formula1>
    </dataValidation>
    <dataValidation type="list" allowBlank="1" showInputMessage="1" showErrorMessage="1" sqref="C59">
      <formula1>"Number"</formula1>
    </dataValidation>
    <dataValidation type="list" allowBlank="1" showInputMessage="1" showErrorMessage="1" sqref="C60">
      <formula1>"Number"</formula1>
    </dataValidation>
    <dataValidation type="list" allowBlank="1" showInputMessage="1" showErrorMessage="1" sqref="C61">
      <formula1>"Number"</formula1>
    </dataValidation>
    <dataValidation type="list" allowBlank="1" showInputMessage="1" showErrorMessage="1" sqref="C62">
      <formula1>"Number"</formula1>
    </dataValidation>
    <dataValidation type="list" allowBlank="1" showInputMessage="1" showErrorMessage="1" sqref="C63">
      <formula1>"Number"</formula1>
    </dataValidation>
    <dataValidation type="list" allowBlank="1" showInputMessage="1" showErrorMessage="1" sqref="C64">
      <formula1>"Number"</formula1>
    </dataValidation>
    <dataValidation type="list" allowBlank="1" showInputMessage="1" showErrorMessage="1" sqref="C65">
      <formula1>"Number"</formula1>
    </dataValidation>
    <dataValidation type="list" allowBlank="1" showInputMessage="1" showErrorMessage="1" sqref="C66">
      <formula1>"Number"</formula1>
    </dataValidation>
    <dataValidation type="list" allowBlank="1" showInputMessage="1" showErrorMessage="1" sqref="C67">
      <formula1>"Number"</formula1>
    </dataValidation>
    <dataValidation type="list" allowBlank="1" showInputMessage="1" showErrorMessage="1" sqref="C68">
      <formula1>"Number"</formula1>
    </dataValidation>
    <dataValidation type="list" allowBlank="1" showInputMessage="1" showErrorMessage="1" sqref="C69">
      <formula1>"Number"</formula1>
    </dataValidation>
    <dataValidation type="list" allowBlank="1" showInputMessage="1" showErrorMessage="1" sqref="C72">
      <formula1>"Number"</formula1>
    </dataValidation>
    <dataValidation type="list" allowBlank="1" showInputMessage="1" showErrorMessage="1" sqref="C73">
      <formula1>"Number"</formula1>
    </dataValidation>
    <dataValidation type="list" allowBlank="1" showInputMessage="1" showErrorMessage="1" sqref="C74">
      <formula1>"Number"</formula1>
    </dataValidation>
    <dataValidation type="list" allowBlank="1" showInputMessage="1" showErrorMessage="1" sqref="C75">
      <formula1>"Number"</formula1>
    </dataValidation>
    <dataValidation type="list" allowBlank="1" showInputMessage="1" showErrorMessage="1" sqref="C76">
      <formula1>"Number"</formula1>
    </dataValidation>
    <dataValidation type="list" allowBlank="1" showInputMessage="1" showErrorMessage="1" sqref="C77">
      <formula1>"Number"</formula1>
    </dataValidation>
    <dataValidation type="list" allowBlank="1" showInputMessage="1" showErrorMessage="1" sqref="C78">
      <formula1>"Number"</formula1>
    </dataValidation>
    <dataValidation type="list" allowBlank="1" showInputMessage="1" showErrorMessage="1" sqref="C79">
      <formula1>"Number"</formula1>
    </dataValidation>
    <dataValidation type="list" allowBlank="1" showInputMessage="1" showErrorMessage="1" sqref="C80">
      <formula1>"Number"</formula1>
    </dataValidation>
    <dataValidation type="list" allowBlank="1" showInputMessage="1" showErrorMessage="1" sqref="C81">
      <formula1>"Number"</formula1>
    </dataValidation>
    <dataValidation type="list" allowBlank="1" showInputMessage="1" showErrorMessage="1" sqref="C82">
      <formula1>"Number"</formula1>
    </dataValidation>
    <dataValidation type="list" allowBlank="1" showInputMessage="1" showErrorMessage="1" sqref="C83">
      <formula1>"Number"</formula1>
    </dataValidation>
    <dataValidation type="list" allowBlank="1" showInputMessage="1" showErrorMessage="1" sqref="C86">
      <formula1>"Number"</formula1>
    </dataValidation>
    <dataValidation type="list" allowBlank="1" showInputMessage="1" showErrorMessage="1" sqref="C87">
      <formula1>"Number"</formula1>
    </dataValidation>
    <dataValidation type="list" allowBlank="1" showInputMessage="1" showErrorMessage="1" sqref="C88">
      <formula1>"Number"</formula1>
    </dataValidation>
    <dataValidation type="list" allowBlank="1" showInputMessage="1" showErrorMessage="1" sqref="C89">
      <formula1>"Number"</formula1>
    </dataValidation>
    <dataValidation type="list" allowBlank="1" showInputMessage="1" showErrorMessage="1" sqref="C90">
      <formula1>"Number"</formula1>
    </dataValidation>
    <dataValidation type="list" allowBlank="1" showInputMessage="1" showErrorMessage="1" sqref="C91">
      <formula1>"Number"</formula1>
    </dataValidation>
    <dataValidation type="list" allowBlank="1" showInputMessage="1" showErrorMessage="1" sqref="C92">
      <formula1>"Number"</formula1>
    </dataValidation>
    <dataValidation type="list" allowBlank="1" showInputMessage="1" showErrorMessage="1" sqref="C93">
      <formula1>"Number"</formula1>
    </dataValidation>
    <dataValidation type="list" allowBlank="1" showInputMessage="1" showErrorMessage="1" sqref="C94">
      <formula1>"Number"</formula1>
    </dataValidation>
    <dataValidation type="list" allowBlank="1" showInputMessage="1" showErrorMessage="1" sqref="C95">
      <formula1>"Number"</formula1>
    </dataValidation>
    <dataValidation type="list" allowBlank="1" showInputMessage="1" showErrorMessage="1" sqref="C96">
      <formula1>"Number"</formula1>
    </dataValidation>
    <dataValidation type="list" allowBlank="1" showInputMessage="1" showErrorMessage="1" sqref="C97">
      <formula1>"Number"</formula1>
    </dataValidation>
    <dataValidation type="list" allowBlank="1" showInputMessage="1" showErrorMessage="1" sqref="C100">
      <formula1>"Number"</formula1>
    </dataValidation>
    <dataValidation type="list" allowBlank="1" showInputMessage="1" showErrorMessage="1" sqref="C101">
      <formula1>"Number"</formula1>
    </dataValidation>
    <dataValidation type="list" allowBlank="1" showInputMessage="1" showErrorMessage="1" sqref="C102">
      <formula1>"Number"</formula1>
    </dataValidation>
    <dataValidation type="list" allowBlank="1" showInputMessage="1" showErrorMessage="1" sqref="C103">
      <formula1>"Number"</formula1>
    </dataValidation>
    <dataValidation type="list" allowBlank="1" showInputMessage="1" showErrorMessage="1" sqref="C104">
      <formula1>"Number"</formula1>
    </dataValidation>
    <dataValidation type="list" allowBlank="1" showInputMessage="1" showErrorMessage="1" sqref="C105">
      <formula1>"Number"</formula1>
    </dataValidation>
    <dataValidation type="list" allowBlank="1" showInputMessage="1" showErrorMessage="1" sqref="C106">
      <formula1>"Number"</formula1>
    </dataValidation>
    <dataValidation type="list" allowBlank="1" showInputMessage="1" showErrorMessage="1" sqref="C107">
      <formula1>"Number"</formula1>
    </dataValidation>
    <dataValidation type="list" allowBlank="1" showInputMessage="1" showErrorMessage="1" sqref="C108">
      <formula1>"Number"</formula1>
    </dataValidation>
    <dataValidation type="list" allowBlank="1" showInputMessage="1" showErrorMessage="1" sqref="C109">
      <formula1>"Number"</formula1>
    </dataValidation>
    <dataValidation type="list" allowBlank="1" showInputMessage="1" showErrorMessage="1" sqref="C110">
      <formula1>"Number"</formula1>
    </dataValidation>
    <dataValidation type="list" allowBlank="1" showInputMessage="1" showErrorMessage="1" sqref="C111">
      <formula1>"Number"</formula1>
    </dataValidation>
    <dataValidation type="list" allowBlank="1" showInputMessage="1" showErrorMessage="1" sqref="C114">
      <formula1>"Number"</formula1>
    </dataValidation>
    <dataValidation type="list" allowBlank="1" showInputMessage="1" showErrorMessage="1" sqref="C115">
      <formula1>"Number"</formula1>
    </dataValidation>
    <dataValidation type="list" allowBlank="1" showInputMessage="1" showErrorMessage="1" sqref="C116">
      <formula1>"Number"</formula1>
    </dataValidation>
    <dataValidation type="list" allowBlank="1" showInputMessage="1" showErrorMessage="1" sqref="C117">
      <formula1>"Number"</formula1>
    </dataValidation>
    <dataValidation type="list" allowBlank="1" showInputMessage="1" showErrorMessage="1" sqref="C118">
      <formula1>"Number"</formula1>
    </dataValidation>
    <dataValidation type="list" allowBlank="1" showInputMessage="1" showErrorMessage="1" sqref="C119">
      <formula1>"Number"</formula1>
    </dataValidation>
    <dataValidation type="list" allowBlank="1" showInputMessage="1" showErrorMessage="1" sqref="C120">
      <formula1>"Number"</formula1>
    </dataValidation>
    <dataValidation type="list" allowBlank="1" showInputMessage="1" showErrorMessage="1" sqref="C121">
      <formula1>"Number"</formula1>
    </dataValidation>
    <dataValidation type="list" allowBlank="1" showInputMessage="1" showErrorMessage="1" sqref="C122">
      <formula1>"Number"</formula1>
    </dataValidation>
    <dataValidation type="list" allowBlank="1" showInputMessage="1" showErrorMessage="1" sqref="C123">
      <formula1>"Number"</formula1>
    </dataValidation>
    <dataValidation type="list" allowBlank="1" showInputMessage="1" showErrorMessage="1" sqref="C124">
      <formula1>"Number"</formula1>
    </dataValidation>
    <dataValidation type="list" allowBlank="1" showInputMessage="1" showErrorMessage="1" sqref="C125">
      <formula1>"Number"</formula1>
    </dataValidation>
    <dataValidation type="list" allowBlank="1" showInputMessage="1" showErrorMessage="1" sqref="C128">
      <formula1>"Number"</formula1>
    </dataValidation>
    <dataValidation type="list" allowBlank="1" showInputMessage="1" showErrorMessage="1" sqref="C129">
      <formula1>"Number"</formula1>
    </dataValidation>
    <dataValidation type="list" allowBlank="1" showInputMessage="1" showErrorMessage="1" sqref="C130">
      <formula1>"Number"</formula1>
    </dataValidation>
    <dataValidation type="list" allowBlank="1" showInputMessage="1" showErrorMessage="1" sqref="C131">
      <formula1>"Number"</formula1>
    </dataValidation>
    <dataValidation type="list" allowBlank="1" showInputMessage="1" showErrorMessage="1" sqref="C132">
      <formula1>"Number"</formula1>
    </dataValidation>
    <dataValidation type="list" allowBlank="1" showInputMessage="1" showErrorMessage="1" sqref="C133">
      <formula1>"Number"</formula1>
    </dataValidation>
    <dataValidation type="list" allowBlank="1" showInputMessage="1" showErrorMessage="1" sqref="C134">
      <formula1>"Number"</formula1>
    </dataValidation>
    <dataValidation type="list" allowBlank="1" showInputMessage="1" showErrorMessage="1" sqref="C135">
      <formula1>"Number"</formula1>
    </dataValidation>
    <dataValidation type="list" allowBlank="1" showInputMessage="1" showErrorMessage="1" sqref="C136">
      <formula1>"Number"</formula1>
    </dataValidation>
    <dataValidation type="list" allowBlank="1" showInputMessage="1" showErrorMessage="1" sqref="C137">
      <formula1>"Number"</formula1>
    </dataValidation>
    <dataValidation type="list" allowBlank="1" showInputMessage="1" showErrorMessage="1" sqref="C138">
      <formula1>"Number"</formula1>
    </dataValidation>
    <dataValidation type="list" allowBlank="1" showInputMessage="1" showErrorMessage="1" sqref="C139">
      <formula1>"Number"</formula1>
    </dataValidation>
    <dataValidation type="list" allowBlank="1" showInputMessage="1" showErrorMessage="1" sqref="C142">
      <formula1>"Number"</formula1>
    </dataValidation>
    <dataValidation type="list" allowBlank="1" showInputMessage="1" showErrorMessage="1" sqref="C143">
      <formula1>"Number"</formula1>
    </dataValidation>
    <dataValidation type="list" allowBlank="1" showInputMessage="1" showErrorMessage="1" sqref="C144">
      <formula1>"Number"</formula1>
    </dataValidation>
    <dataValidation type="list" allowBlank="1" showInputMessage="1" showErrorMessage="1" sqref="C145">
      <formula1>"Number"</formula1>
    </dataValidation>
    <dataValidation type="list" allowBlank="1" showInputMessage="1" showErrorMessage="1" sqref="C146">
      <formula1>"Number"</formula1>
    </dataValidation>
    <dataValidation type="list" allowBlank="1" showInputMessage="1" showErrorMessage="1" sqref="C147">
      <formula1>"Number"</formula1>
    </dataValidation>
    <dataValidation type="list" allowBlank="1" showInputMessage="1" showErrorMessage="1" sqref="C148">
      <formula1>"Number"</formula1>
    </dataValidation>
    <dataValidation type="list" allowBlank="1" showInputMessage="1" showErrorMessage="1" sqref="C149">
      <formula1>"Number"</formula1>
    </dataValidation>
    <dataValidation type="list" allowBlank="1" showInputMessage="1" showErrorMessage="1" sqref="C150">
      <formula1>"Number"</formula1>
    </dataValidation>
    <dataValidation type="list" allowBlank="1" showInputMessage="1" showErrorMessage="1" sqref="C151">
      <formula1>"Number"</formula1>
    </dataValidation>
    <dataValidation type="list" allowBlank="1" showInputMessage="1" showErrorMessage="1" sqref="C152">
      <formula1>"Number"</formula1>
    </dataValidation>
    <dataValidation type="list" allowBlank="1" showInputMessage="1" showErrorMessage="1" sqref="C153">
      <formula1>"Number"</formula1>
    </dataValidation>
    <dataValidation type="list" allowBlank="1" showInputMessage="1" showErrorMessage="1" sqref="C156">
      <formula1>"Number"</formula1>
    </dataValidation>
    <dataValidation type="list" allowBlank="1" showInputMessage="1" showErrorMessage="1" sqref="C157">
      <formula1>"Number"</formula1>
    </dataValidation>
    <dataValidation type="list" allowBlank="1" showInputMessage="1" showErrorMessage="1" sqref="C158">
      <formula1>"Number"</formula1>
    </dataValidation>
    <dataValidation type="list" allowBlank="1" showInputMessage="1" showErrorMessage="1" sqref="C159">
      <formula1>"Number"</formula1>
    </dataValidation>
    <dataValidation type="list" allowBlank="1" showInputMessage="1" showErrorMessage="1" sqref="C160">
      <formula1>"Number"</formula1>
    </dataValidation>
    <dataValidation type="list" allowBlank="1" showInputMessage="1" showErrorMessage="1" sqref="C161">
      <formula1>"Number"</formula1>
    </dataValidation>
    <dataValidation type="list" allowBlank="1" showInputMessage="1" showErrorMessage="1" sqref="C162">
      <formula1>"Number"</formula1>
    </dataValidation>
    <dataValidation type="list" allowBlank="1" showInputMessage="1" showErrorMessage="1" sqref="C163">
      <formula1>"Number"</formula1>
    </dataValidation>
    <dataValidation type="list" allowBlank="1" showInputMessage="1" showErrorMessage="1" sqref="C164">
      <formula1>"Number"</formula1>
    </dataValidation>
    <dataValidation type="list" allowBlank="1" showInputMessage="1" showErrorMessage="1" sqref="C165">
      <formula1>"Number"</formula1>
    </dataValidation>
    <dataValidation type="list" allowBlank="1" showInputMessage="1" showErrorMessage="1" sqref="C166">
      <formula1>"Number"</formula1>
    </dataValidation>
    <dataValidation type="list" allowBlank="1" showInputMessage="1" showErrorMessage="1" sqref="C167">
      <formula1>"Number"</formula1>
    </dataValidation>
    <dataValidation type="list" allowBlank="1" showInputMessage="1" showErrorMessage="1" sqref="C170">
      <formula1>"Number"</formula1>
    </dataValidation>
    <dataValidation type="list" allowBlank="1" showInputMessage="1" showErrorMessage="1" sqref="C171">
      <formula1>"Number"</formula1>
    </dataValidation>
    <dataValidation type="list" allowBlank="1" showInputMessage="1" showErrorMessage="1" sqref="C172">
      <formula1>"Number"</formula1>
    </dataValidation>
    <dataValidation type="list" allowBlank="1" showInputMessage="1" showErrorMessage="1" sqref="C173">
      <formula1>"Number"</formula1>
    </dataValidation>
    <dataValidation type="list" allowBlank="1" showInputMessage="1" showErrorMessage="1" sqref="C174">
      <formula1>"Number"</formula1>
    </dataValidation>
    <dataValidation type="list" allowBlank="1" showInputMessage="1" showErrorMessage="1" sqref="C175">
      <formula1>"Number"</formula1>
    </dataValidation>
    <dataValidation type="list" allowBlank="1" showInputMessage="1" showErrorMessage="1" sqref="C176">
      <formula1>"Number"</formula1>
    </dataValidation>
    <dataValidation type="list" allowBlank="1" showInputMessage="1" showErrorMessage="1" sqref="C177">
      <formula1>"Number"</formula1>
    </dataValidation>
    <dataValidation type="list" allowBlank="1" showInputMessage="1" showErrorMessage="1" sqref="C178">
      <formula1>"Number"</formula1>
    </dataValidation>
    <dataValidation type="list" allowBlank="1" showInputMessage="1" showErrorMessage="1" sqref="C179">
      <formula1>"Number"</formula1>
    </dataValidation>
    <dataValidation type="list" allowBlank="1" showInputMessage="1" showErrorMessage="1" sqref="C180">
      <formula1>"Number"</formula1>
    </dataValidation>
    <dataValidation type="list" allowBlank="1" showInputMessage="1" showErrorMessage="1" sqref="C181">
      <formula1>"Number"</formula1>
    </dataValidation>
    <dataValidation type="list" allowBlank="1" showInputMessage="1" showErrorMessage="1" sqref="C184">
      <formula1>"Number"</formula1>
    </dataValidation>
    <dataValidation type="list" allowBlank="1" showInputMessage="1" showErrorMessage="1" sqref="C185">
      <formula1>"Number"</formula1>
    </dataValidation>
    <dataValidation type="list" allowBlank="1" showInputMessage="1" showErrorMessage="1" sqref="C186">
      <formula1>"Number"</formula1>
    </dataValidation>
    <dataValidation type="list" allowBlank="1" showInputMessage="1" showErrorMessage="1" sqref="C187">
      <formula1>"Number"</formula1>
    </dataValidation>
    <dataValidation type="list" allowBlank="1" showInputMessage="1" showErrorMessage="1" sqref="C188">
      <formula1>"Number"</formula1>
    </dataValidation>
    <dataValidation type="list" allowBlank="1" showInputMessage="1" showErrorMessage="1" sqref="C189">
      <formula1>"Number"</formula1>
    </dataValidation>
    <dataValidation type="list" allowBlank="1" showInputMessage="1" showErrorMessage="1" sqref="C190">
      <formula1>"Number"</formula1>
    </dataValidation>
    <dataValidation type="list" allowBlank="1" showInputMessage="1" showErrorMessage="1" sqref="C191">
      <formula1>"Number"</formula1>
    </dataValidation>
    <dataValidation type="list" allowBlank="1" showInputMessage="1" showErrorMessage="1" sqref="C192">
      <formula1>"Number"</formula1>
    </dataValidation>
    <dataValidation type="list" allowBlank="1" showInputMessage="1" showErrorMessage="1" sqref="C193">
      <formula1>"Number"</formula1>
    </dataValidation>
    <dataValidation type="list" allowBlank="1" showInputMessage="1" showErrorMessage="1" sqref="C194">
      <formula1>"Number"</formula1>
    </dataValidation>
    <dataValidation type="list" allowBlank="1" showInputMessage="1" showErrorMessage="1" sqref="C195">
      <formula1>"Number"</formula1>
    </dataValidation>
    <dataValidation type="list" allowBlank="1" showInputMessage="1" showErrorMessage="1" sqref="C198">
      <formula1>"Number"</formula1>
    </dataValidation>
    <dataValidation type="list" allowBlank="1" showInputMessage="1" showErrorMessage="1" sqref="C199">
      <formula1>"Number"</formula1>
    </dataValidation>
    <dataValidation type="list" allowBlank="1" showInputMessage="1" showErrorMessage="1" sqref="C200">
      <formula1>"Number"</formula1>
    </dataValidation>
    <dataValidation type="list" allowBlank="1" showInputMessage="1" showErrorMessage="1" sqref="C201">
      <formula1>"Number"</formula1>
    </dataValidation>
    <dataValidation type="list" allowBlank="1" showInputMessage="1" showErrorMessage="1" sqref="C202">
      <formula1>"Number"</formula1>
    </dataValidation>
    <dataValidation type="list" allowBlank="1" showInputMessage="1" showErrorMessage="1" sqref="C203">
      <formula1>"Number"</formula1>
    </dataValidation>
    <dataValidation type="list" allowBlank="1" showInputMessage="1" showErrorMessage="1" sqref="C204">
      <formula1>"Number"</formula1>
    </dataValidation>
    <dataValidation type="list" allowBlank="1" showInputMessage="1" showErrorMessage="1" sqref="C205">
      <formula1>"Number"</formula1>
    </dataValidation>
    <dataValidation type="list" allowBlank="1" showInputMessage="1" showErrorMessage="1" sqref="C206">
      <formula1>"Number"</formula1>
    </dataValidation>
    <dataValidation type="list" allowBlank="1" showInputMessage="1" showErrorMessage="1" sqref="C207">
      <formula1>"Number"</formula1>
    </dataValidation>
    <dataValidation type="list" allowBlank="1" showInputMessage="1" showErrorMessage="1" sqref="C208">
      <formula1>"Number"</formula1>
    </dataValidation>
    <dataValidation type="list" allowBlank="1" showInputMessage="1" showErrorMessage="1" sqref="C209">
      <formula1>"Number"</formula1>
    </dataValidation>
    <dataValidation type="list" allowBlank="1" showInputMessage="1" showErrorMessage="1" sqref="C212">
      <formula1>"Number"</formula1>
    </dataValidation>
    <dataValidation type="list" allowBlank="1" showInputMessage="1" showErrorMessage="1" sqref="C213">
      <formula1>"Number"</formula1>
    </dataValidation>
    <dataValidation type="list" allowBlank="1" showInputMessage="1" showErrorMessage="1" sqref="C214">
      <formula1>"Number"</formula1>
    </dataValidation>
    <dataValidation type="list" allowBlank="1" showInputMessage="1" showErrorMessage="1" sqref="C215">
      <formula1>"Number"</formula1>
    </dataValidation>
    <dataValidation type="list" allowBlank="1" showInputMessage="1" showErrorMessage="1" sqref="C216">
      <formula1>"Number"</formula1>
    </dataValidation>
    <dataValidation type="list" allowBlank="1" showInputMessage="1" showErrorMessage="1" sqref="C217">
      <formula1>"Number"</formula1>
    </dataValidation>
    <dataValidation type="list" allowBlank="1" showInputMessage="1" showErrorMessage="1" sqref="C218">
      <formula1>"Number"</formula1>
    </dataValidation>
    <dataValidation type="list" allowBlank="1" showInputMessage="1" showErrorMessage="1" sqref="C219">
      <formula1>"Number"</formula1>
    </dataValidation>
    <dataValidation type="list" allowBlank="1" showInputMessage="1" showErrorMessage="1" sqref="C220">
      <formula1>"Number"</formula1>
    </dataValidation>
    <dataValidation type="list" allowBlank="1" showInputMessage="1" showErrorMessage="1" sqref="C221">
      <formula1>"Number"</formula1>
    </dataValidation>
    <dataValidation type="list" allowBlank="1" showInputMessage="1" showErrorMessage="1" sqref="C222">
      <formula1>"Number"</formula1>
    </dataValidation>
    <dataValidation type="list" allowBlank="1" showInputMessage="1" showErrorMessage="1" sqref="C223">
      <formula1>"Number"</formula1>
    </dataValidation>
    <dataValidation type="list" allowBlank="1" showInputMessage="1" showErrorMessage="1" sqref="C226">
      <formula1>"Number"</formula1>
    </dataValidation>
    <dataValidation type="list" allowBlank="1" showInputMessage="1" showErrorMessage="1" sqref="C227">
      <formula1>"Number"</formula1>
    </dataValidation>
    <dataValidation type="list" allowBlank="1" showInputMessage="1" showErrorMessage="1" sqref="C228">
      <formula1>"Number"</formula1>
    </dataValidation>
    <dataValidation type="list" allowBlank="1" showInputMessage="1" showErrorMessage="1" sqref="C229">
      <formula1>"Number"</formula1>
    </dataValidation>
    <dataValidation type="list" allowBlank="1" showInputMessage="1" showErrorMessage="1" sqref="C230">
      <formula1>"Number"</formula1>
    </dataValidation>
    <dataValidation type="list" allowBlank="1" showInputMessage="1" showErrorMessage="1" sqref="C231">
      <formula1>"Number"</formula1>
    </dataValidation>
    <dataValidation type="list" allowBlank="1" showInputMessage="1" showErrorMessage="1" sqref="C232">
      <formula1>"Number"</formula1>
    </dataValidation>
    <dataValidation type="list" allowBlank="1" showInputMessage="1" showErrorMessage="1" sqref="C233">
      <formula1>"Number"</formula1>
    </dataValidation>
    <dataValidation type="list" allowBlank="1" showInputMessage="1" showErrorMessage="1" sqref="C234">
      <formula1>"Number"</formula1>
    </dataValidation>
    <dataValidation type="list" allowBlank="1" showInputMessage="1" showErrorMessage="1" sqref="C235">
      <formula1>"Number"</formula1>
    </dataValidation>
    <dataValidation type="list" allowBlank="1" showInputMessage="1" showErrorMessage="1" sqref="C236">
      <formula1>"Number"</formula1>
    </dataValidation>
    <dataValidation type="list" allowBlank="1" showInputMessage="1" showErrorMessage="1" sqref="C237">
      <formula1>"Number"</formula1>
    </dataValidation>
    <dataValidation type="list" allowBlank="1" showInputMessage="1" showErrorMessage="1" sqref="C240">
      <formula1>"Number"</formula1>
    </dataValidation>
    <dataValidation type="list" allowBlank="1" showInputMessage="1" showErrorMessage="1" sqref="C241">
      <formula1>"Number"</formula1>
    </dataValidation>
    <dataValidation type="list" allowBlank="1" showInputMessage="1" showErrorMessage="1" sqref="C242">
      <formula1>"Number"</formula1>
    </dataValidation>
    <dataValidation type="list" allowBlank="1" showInputMessage="1" showErrorMessage="1" sqref="C243">
      <formula1>"Number"</formula1>
    </dataValidation>
    <dataValidation type="list" allowBlank="1" showInputMessage="1" showErrorMessage="1" sqref="C244">
      <formula1>"Number"</formula1>
    </dataValidation>
    <dataValidation type="list" allowBlank="1" showInputMessage="1" showErrorMessage="1" sqref="C245">
      <formula1>"Number"</formula1>
    </dataValidation>
    <dataValidation type="list" allowBlank="1" showInputMessage="1" showErrorMessage="1" sqref="C246">
      <formula1>"Number"</formula1>
    </dataValidation>
    <dataValidation type="list" allowBlank="1" showInputMessage="1" showErrorMessage="1" sqref="C247">
      <formula1>"Number"</formula1>
    </dataValidation>
    <dataValidation type="list" allowBlank="1" showInputMessage="1" showErrorMessage="1" sqref="C248">
      <formula1>"Number"</formula1>
    </dataValidation>
    <dataValidation type="list" allowBlank="1" showInputMessage="1" showErrorMessage="1" sqref="C249">
      <formula1>"Number"</formula1>
    </dataValidation>
    <dataValidation type="list" allowBlank="1" showInputMessage="1" showErrorMessage="1" sqref="C250">
      <formula1>"Number"</formula1>
    </dataValidation>
    <dataValidation type="list" allowBlank="1" showInputMessage="1" showErrorMessage="1" sqref="C251">
      <formula1>"Number"</formula1>
    </dataValidation>
    <dataValidation type="list" allowBlank="1" showInputMessage="1" showErrorMessage="1" sqref="C254">
      <formula1>"Number"</formula1>
    </dataValidation>
    <dataValidation type="list" allowBlank="1" showInputMessage="1" showErrorMessage="1" sqref="C255">
      <formula1>"Number"</formula1>
    </dataValidation>
    <dataValidation type="list" allowBlank="1" showInputMessage="1" showErrorMessage="1" sqref="C256">
      <formula1>"Number"</formula1>
    </dataValidation>
    <dataValidation type="list" allowBlank="1" showInputMessage="1" showErrorMessage="1" sqref="C257">
      <formula1>"Number"</formula1>
    </dataValidation>
    <dataValidation type="list" allowBlank="1" showInputMessage="1" showErrorMessage="1" sqref="C258">
      <formula1>"Number"</formula1>
    </dataValidation>
    <dataValidation type="list" allowBlank="1" showInputMessage="1" showErrorMessage="1" sqref="C259">
      <formula1>"Number"</formula1>
    </dataValidation>
    <dataValidation type="list" allowBlank="1" showInputMessage="1" showErrorMessage="1" sqref="C260">
      <formula1>"Number"</formula1>
    </dataValidation>
    <dataValidation type="list" allowBlank="1" showInputMessage="1" showErrorMessage="1" sqref="C261">
      <formula1>"Number"</formula1>
    </dataValidation>
    <dataValidation type="list" allowBlank="1" showInputMessage="1" showErrorMessage="1" sqref="C262">
      <formula1>"Number"</formula1>
    </dataValidation>
    <dataValidation type="list" allowBlank="1" showInputMessage="1" showErrorMessage="1" sqref="C263">
      <formula1>"Number"</formula1>
    </dataValidation>
    <dataValidation type="list" allowBlank="1" showInputMessage="1" showErrorMessage="1" sqref="C264">
      <formula1>"Number"</formula1>
    </dataValidation>
    <dataValidation type="list" allowBlank="1" showInputMessage="1" showErrorMessage="1" sqref="C265">
      <formula1>"Number"</formula1>
    </dataValidation>
    <dataValidation type="list" allowBlank="1" showInputMessage="1" showErrorMessage="1" sqref="C268">
      <formula1>"Number"</formula1>
    </dataValidation>
    <dataValidation type="list" allowBlank="1" showInputMessage="1" showErrorMessage="1" sqref="C269">
      <formula1>"Number"</formula1>
    </dataValidation>
    <dataValidation type="list" allowBlank="1" showInputMessage="1" showErrorMessage="1" sqref="C270">
      <formula1>"Number"</formula1>
    </dataValidation>
    <dataValidation type="list" allowBlank="1" showInputMessage="1" showErrorMessage="1" sqref="C271">
      <formula1>"Number"</formula1>
    </dataValidation>
    <dataValidation type="list" allowBlank="1" showInputMessage="1" showErrorMessage="1" sqref="C272">
      <formula1>"Number"</formula1>
    </dataValidation>
    <dataValidation type="list" allowBlank="1" showInputMessage="1" showErrorMessage="1" sqref="C273">
      <formula1>"Number"</formula1>
    </dataValidation>
    <dataValidation type="list" allowBlank="1" showInputMessage="1" showErrorMessage="1" sqref="C274">
      <formula1>"Number"</formula1>
    </dataValidation>
    <dataValidation type="list" allowBlank="1" showInputMessage="1" showErrorMessage="1" sqref="C275">
      <formula1>"Number"</formula1>
    </dataValidation>
    <dataValidation type="list" allowBlank="1" showInputMessage="1" showErrorMessage="1" sqref="C276">
      <formula1>"Number"</formula1>
    </dataValidation>
    <dataValidation type="list" allowBlank="1" showInputMessage="1" showErrorMessage="1" sqref="C277">
      <formula1>"Number"</formula1>
    </dataValidation>
    <dataValidation type="list" allowBlank="1" showInputMessage="1" showErrorMessage="1" sqref="C278">
      <formula1>"Number"</formula1>
    </dataValidation>
    <dataValidation type="list" allowBlank="1" showInputMessage="1" showErrorMessage="1" sqref="C279">
      <formula1>"Number"</formula1>
    </dataValidation>
    <dataValidation type="list" allowBlank="1" showInputMessage="1" showErrorMessage="1" sqref="C282">
      <formula1>"Number"</formula1>
    </dataValidation>
    <dataValidation type="list" allowBlank="1" showInputMessage="1" showErrorMessage="1" sqref="C283">
      <formula1>"Number"</formula1>
    </dataValidation>
    <dataValidation type="list" allowBlank="1" showInputMessage="1" showErrorMessage="1" sqref="C284">
      <formula1>"Number"</formula1>
    </dataValidation>
    <dataValidation type="list" allowBlank="1" showInputMessage="1" showErrorMessage="1" sqref="C285">
      <formula1>"Number"</formula1>
    </dataValidation>
    <dataValidation type="list" allowBlank="1" showInputMessage="1" showErrorMessage="1" sqref="C286">
      <formula1>"Number"</formula1>
    </dataValidation>
    <dataValidation type="list" allowBlank="1" showInputMessage="1" showErrorMessage="1" sqref="C287">
      <formula1>"Number"</formula1>
    </dataValidation>
    <dataValidation type="list" allowBlank="1" showInputMessage="1" showErrorMessage="1" sqref="C288">
      <formula1>"Number"</formula1>
    </dataValidation>
    <dataValidation type="list" allowBlank="1" showInputMessage="1" showErrorMessage="1" sqref="C289">
      <formula1>"Number"</formula1>
    </dataValidation>
    <dataValidation type="list" allowBlank="1" showInputMessage="1" showErrorMessage="1" sqref="C290">
      <formula1>"Number"</formula1>
    </dataValidation>
    <dataValidation type="list" allowBlank="1" showInputMessage="1" showErrorMessage="1" sqref="C291">
      <formula1>"Number"</formula1>
    </dataValidation>
    <dataValidation type="list" allowBlank="1" showInputMessage="1" showErrorMessage="1" sqref="C292">
      <formula1>"Number"</formula1>
    </dataValidation>
    <dataValidation type="list" allowBlank="1" showInputMessage="1" showErrorMessage="1" sqref="C293">
      <formula1>"Number"</formula1>
    </dataValidation>
    <dataValidation type="list" allowBlank="1" showInputMessage="1" showErrorMessage="1" sqref="C296">
      <formula1>"Number"</formula1>
    </dataValidation>
    <dataValidation type="list" allowBlank="1" showInputMessage="1" showErrorMessage="1" sqref="C297">
      <formula1>"Number"</formula1>
    </dataValidation>
    <dataValidation type="list" allowBlank="1" showInputMessage="1" showErrorMessage="1" sqref="C298">
      <formula1>"Number"</formula1>
    </dataValidation>
    <dataValidation type="list" allowBlank="1" showInputMessage="1" showErrorMessage="1" sqref="C299">
      <formula1>"Number"</formula1>
    </dataValidation>
    <dataValidation type="list" allowBlank="1" showInputMessage="1" showErrorMessage="1" sqref="C300">
      <formula1>"Number"</formula1>
    </dataValidation>
    <dataValidation type="list" allowBlank="1" showInputMessage="1" showErrorMessage="1" sqref="C301">
      <formula1>"Number"</formula1>
    </dataValidation>
    <dataValidation type="list" allowBlank="1" showInputMessage="1" showErrorMessage="1" sqref="C302">
      <formula1>"Number"</formula1>
    </dataValidation>
    <dataValidation type="list" allowBlank="1" showInputMessage="1" showErrorMessage="1" sqref="C303">
      <formula1>"Number"</formula1>
    </dataValidation>
    <dataValidation type="list" allowBlank="1" showInputMessage="1" showErrorMessage="1" sqref="C304">
      <formula1>"Number"</formula1>
    </dataValidation>
    <dataValidation type="list" allowBlank="1" showInputMessage="1" showErrorMessage="1" sqref="C305">
      <formula1>"Number"</formula1>
    </dataValidation>
    <dataValidation type="list" allowBlank="1" showInputMessage="1" showErrorMessage="1" sqref="C306">
      <formula1>"Number"</formula1>
    </dataValidation>
    <dataValidation type="list" allowBlank="1" showInputMessage="1" showErrorMessage="1" sqref="C307">
      <formula1>"Number"</formula1>
    </dataValidation>
    <dataValidation type="list" allowBlank="1" showInputMessage="1" showErrorMessage="1" sqref="C310">
      <formula1>"Number"</formula1>
    </dataValidation>
    <dataValidation type="list" allowBlank="1" showInputMessage="1" showErrorMessage="1" sqref="C311">
      <formula1>"Number"</formula1>
    </dataValidation>
    <dataValidation type="list" allowBlank="1" showInputMessage="1" showErrorMessage="1" sqref="C312">
      <formula1>"Number"</formula1>
    </dataValidation>
    <dataValidation type="list" allowBlank="1" showInputMessage="1" showErrorMessage="1" sqref="C313">
      <formula1>"Number"</formula1>
    </dataValidation>
    <dataValidation type="list" allowBlank="1" showInputMessage="1" showErrorMessage="1" sqref="C314">
      <formula1>"Number"</formula1>
    </dataValidation>
    <dataValidation type="list" allowBlank="1" showInputMessage="1" showErrorMessage="1" sqref="C315">
      <formula1>"Number"</formula1>
    </dataValidation>
    <dataValidation type="list" allowBlank="1" showInputMessage="1" showErrorMessage="1" sqref="C316">
      <formula1>"Number"</formula1>
    </dataValidation>
    <dataValidation type="list" allowBlank="1" showInputMessage="1" showErrorMessage="1" sqref="C317">
      <formula1>"Number"</formula1>
    </dataValidation>
    <dataValidation type="list" allowBlank="1" showInputMessage="1" showErrorMessage="1" sqref="C318">
      <formula1>"Number"</formula1>
    </dataValidation>
    <dataValidation type="list" allowBlank="1" showInputMessage="1" showErrorMessage="1" sqref="C319">
      <formula1>"Number"</formula1>
    </dataValidation>
    <dataValidation type="list" allowBlank="1" showInputMessage="1" showErrorMessage="1" sqref="C320">
      <formula1>"Number"</formula1>
    </dataValidation>
    <dataValidation type="list" allowBlank="1" showInputMessage="1" showErrorMessage="1" sqref="C321">
      <formula1>"Number"</formula1>
    </dataValidation>
    <dataValidation type="list" allowBlank="1" showInputMessage="1" showErrorMessage="1" sqref="C324">
      <formula1>"Number"</formula1>
    </dataValidation>
    <dataValidation type="list" allowBlank="1" showInputMessage="1" showErrorMessage="1" sqref="C325">
      <formula1>"Number"</formula1>
    </dataValidation>
    <dataValidation type="list" allowBlank="1" showInputMessage="1" showErrorMessage="1" sqref="C326">
      <formula1>"Number"</formula1>
    </dataValidation>
    <dataValidation type="list" allowBlank="1" showInputMessage="1" showErrorMessage="1" sqref="C327">
      <formula1>"Number"</formula1>
    </dataValidation>
    <dataValidation type="list" allowBlank="1" showInputMessage="1" showErrorMessage="1" sqref="C328">
      <formula1>"Number"</formula1>
    </dataValidation>
    <dataValidation type="list" allowBlank="1" showInputMessage="1" showErrorMessage="1" sqref="C329">
      <formula1>"Number"</formula1>
    </dataValidation>
    <dataValidation type="list" allowBlank="1" showInputMessage="1" showErrorMessage="1" sqref="C330">
      <formula1>"Number"</formula1>
    </dataValidation>
    <dataValidation type="list" allowBlank="1" showInputMessage="1" showErrorMessage="1" sqref="C331">
      <formula1>"Number"</formula1>
    </dataValidation>
    <dataValidation type="list" allowBlank="1" showInputMessage="1" showErrorMessage="1" sqref="C332">
      <formula1>"Number"</formula1>
    </dataValidation>
    <dataValidation type="list" allowBlank="1" showInputMessage="1" showErrorMessage="1" sqref="C333">
      <formula1>"Number"</formula1>
    </dataValidation>
    <dataValidation type="list" allowBlank="1" showInputMessage="1" showErrorMessage="1" sqref="C334">
      <formula1>"Number"</formula1>
    </dataValidation>
    <dataValidation type="list" allowBlank="1" showInputMessage="1" showErrorMessage="1" sqref="C335">
      <formula1>"Number"</formula1>
    </dataValidation>
    <dataValidation type="list" allowBlank="1" showInputMessage="1" showErrorMessage="1" sqref="C338">
      <formula1>"Number"</formula1>
    </dataValidation>
    <dataValidation type="list" allowBlank="1" showInputMessage="1" showErrorMessage="1" sqref="C339">
      <formula1>"Number"</formula1>
    </dataValidation>
    <dataValidation type="list" allowBlank="1" showInputMessage="1" showErrorMessage="1" sqref="C340">
      <formula1>"Number"</formula1>
    </dataValidation>
    <dataValidation type="list" allowBlank="1" showInputMessage="1" showErrorMessage="1" sqref="C341">
      <formula1>"Number"</formula1>
    </dataValidation>
    <dataValidation type="list" allowBlank="1" showInputMessage="1" showErrorMessage="1" sqref="C342">
      <formula1>"Number"</formula1>
    </dataValidation>
    <dataValidation type="list" allowBlank="1" showInputMessage="1" showErrorMessage="1" sqref="C343">
      <formula1>"Number"</formula1>
    </dataValidation>
    <dataValidation type="list" allowBlank="1" showInputMessage="1" showErrorMessage="1" sqref="C344">
      <formula1>"Number"</formula1>
    </dataValidation>
    <dataValidation type="list" allowBlank="1" showInputMessage="1" showErrorMessage="1" sqref="C345">
      <formula1>"Number"</formula1>
    </dataValidation>
    <dataValidation type="list" allowBlank="1" showInputMessage="1" showErrorMessage="1" sqref="C346">
      <formula1>"Number"</formula1>
    </dataValidation>
    <dataValidation type="list" allowBlank="1" showInputMessage="1" showErrorMessage="1" sqref="C347">
      <formula1>"Number"</formula1>
    </dataValidation>
    <dataValidation type="list" allowBlank="1" showInputMessage="1" showErrorMessage="1" sqref="C348">
      <formula1>"Number"</formula1>
    </dataValidation>
    <dataValidation type="list" allowBlank="1" showInputMessage="1" showErrorMessage="1" sqref="C349">
      <formula1>"Number"</formula1>
    </dataValidation>
    <dataValidation type="list" allowBlank="1" showInputMessage="1" showErrorMessage="1" sqref="C352">
      <formula1>"Number"</formula1>
    </dataValidation>
    <dataValidation type="list" allowBlank="1" showInputMessage="1" showErrorMessage="1" sqref="C353">
      <formula1>"Number"</formula1>
    </dataValidation>
    <dataValidation type="list" allowBlank="1" showInputMessage="1" showErrorMessage="1" sqref="C354">
      <formula1>"Number"</formula1>
    </dataValidation>
    <dataValidation type="list" allowBlank="1" showInputMessage="1" showErrorMessage="1" sqref="C355">
      <formula1>"Number"</formula1>
    </dataValidation>
    <dataValidation type="list" allowBlank="1" showInputMessage="1" showErrorMessage="1" sqref="C356">
      <formula1>"Number"</formula1>
    </dataValidation>
    <dataValidation type="list" allowBlank="1" showInputMessage="1" showErrorMessage="1" sqref="C357">
      <formula1>"Number"</formula1>
    </dataValidation>
    <dataValidation type="list" allowBlank="1" showInputMessage="1" showErrorMessage="1" sqref="C358">
      <formula1>"Number"</formula1>
    </dataValidation>
    <dataValidation type="list" allowBlank="1" showInputMessage="1" showErrorMessage="1" sqref="C359">
      <formula1>"Number"</formula1>
    </dataValidation>
    <dataValidation type="list" allowBlank="1" showInputMessage="1" showErrorMessage="1" sqref="C360">
      <formula1>"Number"</formula1>
    </dataValidation>
    <dataValidation type="list" allowBlank="1" showInputMessage="1" showErrorMessage="1" sqref="C361">
      <formula1>"Number"</formula1>
    </dataValidation>
    <dataValidation type="list" allowBlank="1" showInputMessage="1" showErrorMessage="1" sqref="C362">
      <formula1>"Number"</formula1>
    </dataValidation>
    <dataValidation type="list" allowBlank="1" showInputMessage="1" showErrorMessage="1" sqref="C363">
      <formula1>"Number"</formula1>
    </dataValidation>
    <dataValidation type="list" allowBlank="1" showInputMessage="1" showErrorMessage="1" sqref="C366">
      <formula1>"Number"</formula1>
    </dataValidation>
    <dataValidation type="list" allowBlank="1" showInputMessage="1" showErrorMessage="1" sqref="C367">
      <formula1>"Number"</formula1>
    </dataValidation>
    <dataValidation type="list" allowBlank="1" showInputMessage="1" showErrorMessage="1" sqref="C368">
      <formula1>"Number"</formula1>
    </dataValidation>
    <dataValidation type="list" allowBlank="1" showInputMessage="1" showErrorMessage="1" sqref="C369">
      <formula1>"Number"</formula1>
    </dataValidation>
    <dataValidation type="list" allowBlank="1" showInputMessage="1" showErrorMessage="1" sqref="C370">
      <formula1>"Number"</formula1>
    </dataValidation>
    <dataValidation type="list" allowBlank="1" showInputMessage="1" showErrorMessage="1" sqref="C371">
      <formula1>"Number"</formula1>
    </dataValidation>
    <dataValidation type="list" allowBlank="1" showInputMessage="1" showErrorMessage="1" sqref="C372">
      <formula1>"Number"</formula1>
    </dataValidation>
    <dataValidation type="list" allowBlank="1" showInputMessage="1" showErrorMessage="1" sqref="C373">
      <formula1>"Number"</formula1>
    </dataValidation>
    <dataValidation type="list" allowBlank="1" showInputMessage="1" showErrorMessage="1" sqref="C374">
      <formula1>"Number"</formula1>
    </dataValidation>
    <dataValidation type="list" allowBlank="1" showInputMessage="1" showErrorMessage="1" sqref="C375">
      <formula1>"Number"</formula1>
    </dataValidation>
    <dataValidation type="list" allowBlank="1" showInputMessage="1" showErrorMessage="1" sqref="C376">
      <formula1>"Number"</formula1>
    </dataValidation>
    <dataValidation type="list" allowBlank="1" showInputMessage="1" showErrorMessage="1" sqref="C377">
      <formula1>"Number"</formula1>
    </dataValidation>
    <dataValidation type="list" allowBlank="1" showInputMessage="1" showErrorMessage="1" sqref="C380">
      <formula1>"Number"</formula1>
    </dataValidation>
    <dataValidation type="list" allowBlank="1" showInputMessage="1" showErrorMessage="1" sqref="C381">
      <formula1>"Number"</formula1>
    </dataValidation>
    <dataValidation type="list" allowBlank="1" showInputMessage="1" showErrorMessage="1" sqref="C382">
      <formula1>"Number"</formula1>
    </dataValidation>
    <dataValidation type="list" allowBlank="1" showInputMessage="1" showErrorMessage="1" sqref="C383">
      <formula1>"Number"</formula1>
    </dataValidation>
    <dataValidation type="list" allowBlank="1" showInputMessage="1" showErrorMessage="1" sqref="C384">
      <formula1>"Number"</formula1>
    </dataValidation>
    <dataValidation type="list" allowBlank="1" showInputMessage="1" showErrorMessage="1" sqref="C385">
      <formula1>"Number"</formula1>
    </dataValidation>
    <dataValidation type="list" allowBlank="1" showInputMessage="1" showErrorMessage="1" sqref="C386">
      <formula1>"Number"</formula1>
    </dataValidation>
    <dataValidation type="list" allowBlank="1" showInputMessage="1" showErrorMessage="1" sqref="C387">
      <formula1>"Number"</formula1>
    </dataValidation>
    <dataValidation type="list" allowBlank="1" showInputMessage="1" showErrorMessage="1" sqref="C388">
      <formula1>"Number"</formula1>
    </dataValidation>
    <dataValidation type="list" allowBlank="1" showInputMessage="1" showErrorMessage="1" sqref="C389">
      <formula1>"Number"</formula1>
    </dataValidation>
    <dataValidation type="list" allowBlank="1" showInputMessage="1" showErrorMessage="1" sqref="C390">
      <formula1>"Number"</formula1>
    </dataValidation>
    <dataValidation type="list" allowBlank="1" showInputMessage="1" showErrorMessage="1" sqref="C391">
      <formula1>"Number"</formula1>
    </dataValidation>
    <dataValidation type="list" allowBlank="1" showInputMessage="1" showErrorMessage="1" sqref="C394">
      <formula1>"Number"</formula1>
    </dataValidation>
    <dataValidation type="list" allowBlank="1" showInputMessage="1" showErrorMessage="1" sqref="C395">
      <formula1>"Number"</formula1>
    </dataValidation>
    <dataValidation type="list" allowBlank="1" showInputMessage="1" showErrorMessage="1" sqref="C396">
      <formula1>"Number"</formula1>
    </dataValidation>
    <dataValidation type="list" allowBlank="1" showInputMessage="1" showErrorMessage="1" sqref="C397">
      <formula1>"Number"</formula1>
    </dataValidation>
    <dataValidation type="list" allowBlank="1" showInputMessage="1" showErrorMessage="1" sqref="C398">
      <formula1>"Number"</formula1>
    </dataValidation>
    <dataValidation type="list" allowBlank="1" showInputMessage="1" showErrorMessage="1" sqref="C399">
      <formula1>"Number"</formula1>
    </dataValidation>
    <dataValidation type="list" allowBlank="1" showInputMessage="1" showErrorMessage="1" sqref="C400">
      <formula1>"Number"</formula1>
    </dataValidation>
    <dataValidation type="list" allowBlank="1" showInputMessage="1" showErrorMessage="1" sqref="C401">
      <formula1>"Number"</formula1>
    </dataValidation>
    <dataValidation type="list" allowBlank="1" showInputMessage="1" showErrorMessage="1" sqref="C402">
      <formula1>"Number"</formula1>
    </dataValidation>
    <dataValidation type="list" allowBlank="1" showInputMessage="1" showErrorMessage="1" sqref="C403">
      <formula1>"Number"</formula1>
    </dataValidation>
    <dataValidation type="list" allowBlank="1" showInputMessage="1" showErrorMessage="1" sqref="C404">
      <formula1>"Number"</formula1>
    </dataValidation>
    <dataValidation type="list" allowBlank="1" showInputMessage="1" showErrorMessage="1" sqref="C405">
      <formula1>"Number"</formula1>
    </dataValidation>
    <dataValidation type="list" allowBlank="1" showInputMessage="1" showErrorMessage="1" sqref="C408">
      <formula1>"Number"</formula1>
    </dataValidation>
    <dataValidation type="list" allowBlank="1" showInputMessage="1" showErrorMessage="1" sqref="C409">
      <formula1>"Number"</formula1>
    </dataValidation>
    <dataValidation type="list" allowBlank="1" showInputMessage="1" showErrorMessage="1" sqref="C410">
      <formula1>"Number"</formula1>
    </dataValidation>
    <dataValidation type="list" allowBlank="1" showInputMessage="1" showErrorMessage="1" sqref="C411">
      <formula1>"Number"</formula1>
    </dataValidation>
    <dataValidation type="list" allowBlank="1" showInputMessage="1" showErrorMessage="1" sqref="C412">
      <formula1>"Number"</formula1>
    </dataValidation>
    <dataValidation type="list" allowBlank="1" showInputMessage="1" showErrorMessage="1" sqref="C413">
      <formula1>"Number"</formula1>
    </dataValidation>
    <dataValidation type="list" allowBlank="1" showInputMessage="1" showErrorMessage="1" sqref="C414">
      <formula1>"Number"</formula1>
    </dataValidation>
    <dataValidation type="list" allowBlank="1" showInputMessage="1" showErrorMessage="1" sqref="C415">
      <formula1>"Number"</formula1>
    </dataValidation>
    <dataValidation type="list" allowBlank="1" showInputMessage="1" showErrorMessage="1" sqref="C416">
      <formula1>"Number"</formula1>
    </dataValidation>
    <dataValidation type="list" allowBlank="1" showInputMessage="1" showErrorMessage="1" sqref="C417">
      <formula1>"Number"</formula1>
    </dataValidation>
    <dataValidation type="list" allowBlank="1" showInputMessage="1" showErrorMessage="1" sqref="C418">
      <formula1>"Number"</formula1>
    </dataValidation>
    <dataValidation type="list" allowBlank="1" showInputMessage="1" showErrorMessage="1" sqref="C419">
      <formula1>"Number"</formula1>
    </dataValidation>
    <dataValidation type="list" allowBlank="1" showInputMessage="1" showErrorMessage="1" sqref="C422">
      <formula1>"Number"</formula1>
    </dataValidation>
    <dataValidation type="list" allowBlank="1" showInputMessage="1" showErrorMessage="1" sqref="C423">
      <formula1>"Number"</formula1>
    </dataValidation>
    <dataValidation type="list" allowBlank="1" showInputMessage="1" showErrorMessage="1" sqref="C424">
      <formula1>"Number"</formula1>
    </dataValidation>
    <dataValidation type="list" allowBlank="1" showInputMessage="1" showErrorMessage="1" sqref="C425">
      <formula1>"Number"</formula1>
    </dataValidation>
    <dataValidation type="list" allowBlank="1" showInputMessage="1" showErrorMessage="1" sqref="C426">
      <formula1>"Number"</formula1>
    </dataValidation>
    <dataValidation type="list" allowBlank="1" showInputMessage="1" showErrorMessage="1" sqref="C427">
      <formula1>"Number"</formula1>
    </dataValidation>
    <dataValidation type="list" allowBlank="1" showInputMessage="1" showErrorMessage="1" sqref="C428">
      <formula1>"Number"</formula1>
    </dataValidation>
    <dataValidation type="list" allowBlank="1" showInputMessage="1" showErrorMessage="1" sqref="C429">
      <formula1>"Number"</formula1>
    </dataValidation>
    <dataValidation type="list" allowBlank="1" showInputMessage="1" showErrorMessage="1" sqref="C430">
      <formula1>"Number"</formula1>
    </dataValidation>
    <dataValidation type="list" allowBlank="1" showInputMessage="1" showErrorMessage="1" sqref="C431">
      <formula1>"Number"</formula1>
    </dataValidation>
    <dataValidation type="list" allowBlank="1" showInputMessage="1" showErrorMessage="1" sqref="C432">
      <formula1>"Number"</formula1>
    </dataValidation>
    <dataValidation type="list" allowBlank="1" showInputMessage="1" showErrorMessage="1" sqref="C433">
      <formula1>"Number"</formula1>
    </dataValidation>
    <dataValidation type="list" allowBlank="1" showInputMessage="1" showErrorMessage="1" sqref="C436">
      <formula1>"Number"</formula1>
    </dataValidation>
    <dataValidation type="list" allowBlank="1" showInputMessage="1" showErrorMessage="1" sqref="C437">
      <formula1>"Number"</formula1>
    </dataValidation>
    <dataValidation type="list" allowBlank="1" showInputMessage="1" showErrorMessage="1" sqref="C438">
      <formula1>"Number"</formula1>
    </dataValidation>
    <dataValidation type="list" allowBlank="1" showInputMessage="1" showErrorMessage="1" sqref="C439">
      <formula1>"Number"</formula1>
    </dataValidation>
    <dataValidation type="list" allowBlank="1" showInputMessage="1" showErrorMessage="1" sqref="C440">
      <formula1>"Number"</formula1>
    </dataValidation>
    <dataValidation type="list" allowBlank="1" showInputMessage="1" showErrorMessage="1" sqref="C441">
      <formula1>"Number"</formula1>
    </dataValidation>
    <dataValidation type="list" allowBlank="1" showInputMessage="1" showErrorMessage="1" sqref="C442">
      <formula1>"Number"</formula1>
    </dataValidation>
    <dataValidation type="list" allowBlank="1" showInputMessage="1" showErrorMessage="1" sqref="C443">
      <formula1>"Number"</formula1>
    </dataValidation>
    <dataValidation type="list" allowBlank="1" showInputMessage="1" showErrorMessage="1" sqref="C444">
      <formula1>"Number"</formula1>
    </dataValidation>
    <dataValidation type="list" allowBlank="1" showInputMessage="1" showErrorMessage="1" sqref="C445">
      <formula1>"Number"</formula1>
    </dataValidation>
    <dataValidation type="list" allowBlank="1" showInputMessage="1" showErrorMessage="1" sqref="C446">
      <formula1>"Number"</formula1>
    </dataValidation>
    <dataValidation type="list" allowBlank="1" showInputMessage="1" showErrorMessage="1" sqref="C447">
      <formula1>"Number"</formula1>
    </dataValidation>
    <dataValidation type="list" allowBlank="1" showInputMessage="1" showErrorMessage="1" sqref="C450">
      <formula1>"Number"</formula1>
    </dataValidation>
    <dataValidation type="list" allowBlank="1" showInputMessage="1" showErrorMessage="1" sqref="C451">
      <formula1>"Number"</formula1>
    </dataValidation>
    <dataValidation type="list" allowBlank="1" showInputMessage="1" showErrorMessage="1" sqref="C452">
      <formula1>"Number"</formula1>
    </dataValidation>
    <dataValidation type="list" allowBlank="1" showInputMessage="1" showErrorMessage="1" sqref="C453">
      <formula1>"Number"</formula1>
    </dataValidation>
    <dataValidation type="list" allowBlank="1" showInputMessage="1" showErrorMessage="1" sqref="C454">
      <formula1>"Number"</formula1>
    </dataValidation>
    <dataValidation type="list" allowBlank="1" showInputMessage="1" showErrorMessage="1" sqref="C455">
      <formula1>"Number"</formula1>
    </dataValidation>
    <dataValidation type="list" allowBlank="1" showInputMessage="1" showErrorMessage="1" sqref="C456">
      <formula1>"Number"</formula1>
    </dataValidation>
    <dataValidation type="list" allowBlank="1" showInputMessage="1" showErrorMessage="1" sqref="C457">
      <formula1>"Number"</formula1>
    </dataValidation>
    <dataValidation type="list" allowBlank="1" showInputMessage="1" showErrorMessage="1" sqref="C458">
      <formula1>"Number"</formula1>
    </dataValidation>
    <dataValidation type="list" allowBlank="1" showInputMessage="1" showErrorMessage="1" sqref="C459">
      <formula1>"Number"</formula1>
    </dataValidation>
    <dataValidation type="list" allowBlank="1" showInputMessage="1" showErrorMessage="1" sqref="C460">
      <formula1>"Number"</formula1>
    </dataValidation>
    <dataValidation type="list" allowBlank="1" showInputMessage="1" showErrorMessage="1" sqref="C461">
      <formula1>"Number"</formula1>
    </dataValidation>
    <dataValidation type="list" allowBlank="1" showInputMessage="1" showErrorMessage="1" sqref="C464">
      <formula1>"Number"</formula1>
    </dataValidation>
    <dataValidation type="list" allowBlank="1" showInputMessage="1" showErrorMessage="1" sqref="C465">
      <formula1>"Number"</formula1>
    </dataValidation>
    <dataValidation type="list" allowBlank="1" showInputMessage="1" showErrorMessage="1" sqref="C466">
      <formula1>"Number"</formula1>
    </dataValidation>
    <dataValidation type="list" allowBlank="1" showInputMessage="1" showErrorMessage="1" sqref="C467">
      <formula1>"Number"</formula1>
    </dataValidation>
    <dataValidation type="list" allowBlank="1" showInputMessage="1" showErrorMessage="1" sqref="C468">
      <formula1>"Number"</formula1>
    </dataValidation>
    <dataValidation type="list" allowBlank="1" showInputMessage="1" showErrorMessage="1" sqref="C469">
      <formula1>"Number"</formula1>
    </dataValidation>
    <dataValidation type="list" allowBlank="1" showInputMessage="1" showErrorMessage="1" sqref="C470">
      <formula1>"Number"</formula1>
    </dataValidation>
    <dataValidation type="list" allowBlank="1" showInputMessage="1" showErrorMessage="1" sqref="C471">
      <formula1>"Number"</formula1>
    </dataValidation>
    <dataValidation type="list" allowBlank="1" showInputMessage="1" showErrorMessage="1" sqref="C472">
      <formula1>"Number"</formula1>
    </dataValidation>
    <dataValidation type="list" allowBlank="1" showInputMessage="1" showErrorMessage="1" sqref="C473">
      <formula1>"Number"</formula1>
    </dataValidation>
    <dataValidation type="list" allowBlank="1" showInputMessage="1" showErrorMessage="1" sqref="C474">
      <formula1>"Number"</formula1>
    </dataValidation>
    <dataValidation type="list" allowBlank="1" showInputMessage="1" showErrorMessage="1" sqref="C475">
      <formula1>"Number"</formula1>
    </dataValidation>
    <dataValidation type="list" allowBlank="1" showInputMessage="1" showErrorMessage="1" sqref="C478">
      <formula1>"Number"</formula1>
    </dataValidation>
    <dataValidation type="list" allowBlank="1" showInputMessage="1" showErrorMessage="1" sqref="C479">
      <formula1>"Number"</formula1>
    </dataValidation>
    <dataValidation type="list" allowBlank="1" showInputMessage="1" showErrorMessage="1" sqref="C480">
      <formula1>"Number"</formula1>
    </dataValidation>
    <dataValidation type="list" allowBlank="1" showInputMessage="1" showErrorMessage="1" sqref="C481">
      <formula1>"Number"</formula1>
    </dataValidation>
    <dataValidation type="list" allowBlank="1" showInputMessage="1" showErrorMessage="1" sqref="C482">
      <formula1>"Number"</formula1>
    </dataValidation>
    <dataValidation type="list" allowBlank="1" showInputMessage="1" showErrorMessage="1" sqref="C483">
      <formula1>"Number"</formula1>
    </dataValidation>
    <dataValidation type="list" allowBlank="1" showInputMessage="1" showErrorMessage="1" sqref="C484">
      <formula1>"Number"</formula1>
    </dataValidation>
    <dataValidation type="list" allowBlank="1" showInputMessage="1" showErrorMessage="1" sqref="C485">
      <formula1>"Number"</formula1>
    </dataValidation>
    <dataValidation type="list" allowBlank="1" showInputMessage="1" showErrorMessage="1" sqref="C486">
      <formula1>"Number"</formula1>
    </dataValidation>
    <dataValidation type="list" allowBlank="1" showInputMessage="1" showErrorMessage="1" sqref="C487">
      <formula1>"Number"</formula1>
    </dataValidation>
    <dataValidation type="list" allowBlank="1" showInputMessage="1" showErrorMessage="1" sqref="C488">
      <formula1>"Number"</formula1>
    </dataValidation>
    <dataValidation type="list" allowBlank="1" showInputMessage="1" showErrorMessage="1" sqref="C489">
      <formula1>"Number"</formula1>
    </dataValidation>
    <dataValidation type="list" allowBlank="1" showInputMessage="1" showErrorMessage="1" sqref="C492">
      <formula1>"Number"</formula1>
    </dataValidation>
    <dataValidation type="list" allowBlank="1" showInputMessage="1" showErrorMessage="1" sqref="C493">
      <formula1>"Number"</formula1>
    </dataValidation>
    <dataValidation type="list" allowBlank="1" showInputMessage="1" showErrorMessage="1" sqref="C494">
      <formula1>"Number"</formula1>
    </dataValidation>
    <dataValidation type="list" allowBlank="1" showInputMessage="1" showErrorMessage="1" sqref="C495">
      <formula1>"Number"</formula1>
    </dataValidation>
    <dataValidation type="list" allowBlank="1" showInputMessage="1" showErrorMessage="1" sqref="C496">
      <formula1>"Number"</formula1>
    </dataValidation>
    <dataValidation type="list" allowBlank="1" showInputMessage="1" showErrorMessage="1" sqref="C497">
      <formula1>"Number"</formula1>
    </dataValidation>
    <dataValidation type="list" allowBlank="1" showInputMessage="1" showErrorMessage="1" sqref="C498">
      <formula1>"Number"</formula1>
    </dataValidation>
    <dataValidation type="list" allowBlank="1" showInputMessage="1" showErrorMessage="1" sqref="C499">
      <formula1>"Number"</formula1>
    </dataValidation>
    <dataValidation type="list" allowBlank="1" showInputMessage="1" showErrorMessage="1" sqref="C500">
      <formula1>"Number"</formula1>
    </dataValidation>
    <dataValidation type="list" allowBlank="1" showInputMessage="1" showErrorMessage="1" sqref="C501">
      <formula1>"Number"</formula1>
    </dataValidation>
    <dataValidation type="list" allowBlank="1" showInputMessage="1" showErrorMessage="1" sqref="C502">
      <formula1>"Number"</formula1>
    </dataValidation>
    <dataValidation type="list" allowBlank="1" showInputMessage="1" showErrorMessage="1" sqref="C503">
      <formula1>"Number"</formula1>
    </dataValidation>
    <dataValidation type="list" allowBlank="1" showInputMessage="1" showErrorMessage="1" sqref="C506">
      <formula1>"Number"</formula1>
    </dataValidation>
    <dataValidation type="list" allowBlank="1" showInputMessage="1" showErrorMessage="1" sqref="C507">
      <formula1>"Number"</formula1>
    </dataValidation>
    <dataValidation type="list" allowBlank="1" showInputMessage="1" showErrorMessage="1" sqref="C508">
      <formula1>"Number"</formula1>
    </dataValidation>
    <dataValidation type="list" allowBlank="1" showInputMessage="1" showErrorMessage="1" sqref="C509">
      <formula1>"Number"</formula1>
    </dataValidation>
    <dataValidation type="list" allowBlank="1" showInputMessage="1" showErrorMessage="1" sqref="C510">
      <formula1>"Number"</formula1>
    </dataValidation>
    <dataValidation type="list" allowBlank="1" showInputMessage="1" showErrorMessage="1" sqref="C511">
      <formula1>"Number"</formula1>
    </dataValidation>
    <dataValidation type="list" allowBlank="1" showInputMessage="1" showErrorMessage="1" sqref="C512">
      <formula1>"Number"</formula1>
    </dataValidation>
    <dataValidation type="list" allowBlank="1" showInputMessage="1" showErrorMessage="1" sqref="C513">
      <formula1>"Number"</formula1>
    </dataValidation>
    <dataValidation type="list" allowBlank="1" showInputMessage="1" showErrorMessage="1" sqref="C514">
      <formula1>"Number"</formula1>
    </dataValidation>
    <dataValidation type="list" allowBlank="1" showInputMessage="1" showErrorMessage="1" sqref="C515">
      <formula1>"Number"</formula1>
    </dataValidation>
    <dataValidation type="list" allowBlank="1" showInputMessage="1" showErrorMessage="1" sqref="C516">
      <formula1>"Number"</formula1>
    </dataValidation>
    <dataValidation type="list" allowBlank="1" showInputMessage="1" showErrorMessage="1" sqref="C517">
      <formula1>"Number"</formula1>
    </dataValidation>
    <dataValidation type="list" allowBlank="1" showInputMessage="1" showErrorMessage="1" sqref="C520">
      <formula1>"Number"</formula1>
    </dataValidation>
    <dataValidation type="list" allowBlank="1" showInputMessage="1" showErrorMessage="1" sqref="C521">
      <formula1>"Number"</formula1>
    </dataValidation>
    <dataValidation type="list" allowBlank="1" showInputMessage="1" showErrorMessage="1" sqref="C522">
      <formula1>"Number"</formula1>
    </dataValidation>
    <dataValidation type="list" allowBlank="1" showInputMessage="1" showErrorMessage="1" sqref="C523">
      <formula1>"Number"</formula1>
    </dataValidation>
    <dataValidation type="list" allowBlank="1" showInputMessage="1" showErrorMessage="1" sqref="C524">
      <formula1>"Number"</formula1>
    </dataValidation>
    <dataValidation type="list" allowBlank="1" showInputMessage="1" showErrorMessage="1" sqref="C525">
      <formula1>"Number"</formula1>
    </dataValidation>
    <dataValidation type="list" allowBlank="1" showInputMessage="1" showErrorMessage="1" sqref="C526">
      <formula1>"Number"</formula1>
    </dataValidation>
    <dataValidation type="list" allowBlank="1" showInputMessage="1" showErrorMessage="1" sqref="C527">
      <formula1>"Number"</formula1>
    </dataValidation>
    <dataValidation type="list" allowBlank="1" showInputMessage="1" showErrorMessage="1" sqref="C528">
      <formula1>"Number"</formula1>
    </dataValidation>
    <dataValidation type="list" allowBlank="1" showInputMessage="1" showErrorMessage="1" sqref="C529">
      <formula1>"Number"</formula1>
    </dataValidation>
    <dataValidation type="list" allowBlank="1" showInputMessage="1" showErrorMessage="1" sqref="C530">
      <formula1>"Number"</formula1>
    </dataValidation>
    <dataValidation type="list" allowBlank="1" showInputMessage="1" showErrorMessage="1" sqref="C531">
      <formula1>"Number"</formula1>
    </dataValidation>
    <dataValidation type="list" allowBlank="1" showInputMessage="1" showErrorMessage="1" sqref="C534">
      <formula1>"Number"</formula1>
    </dataValidation>
    <dataValidation type="list" allowBlank="1" showInputMessage="1" showErrorMessage="1" sqref="C535">
      <formula1>"Number"</formula1>
    </dataValidation>
    <dataValidation type="list" allowBlank="1" showInputMessage="1" showErrorMessage="1" sqref="C536">
      <formula1>"Number"</formula1>
    </dataValidation>
    <dataValidation type="list" allowBlank="1" showInputMessage="1" showErrorMessage="1" sqref="C537">
      <formula1>"Number"</formula1>
    </dataValidation>
    <dataValidation type="list" allowBlank="1" showInputMessage="1" showErrorMessage="1" sqref="C538">
      <formula1>"Number"</formula1>
    </dataValidation>
    <dataValidation type="list" allowBlank="1" showInputMessage="1" showErrorMessage="1" sqref="C539">
      <formula1>"Number"</formula1>
    </dataValidation>
    <dataValidation type="list" allowBlank="1" showInputMessage="1" showErrorMessage="1" sqref="C540">
      <formula1>"Number"</formula1>
    </dataValidation>
    <dataValidation type="list" allowBlank="1" showInputMessage="1" showErrorMessage="1" sqref="C541">
      <formula1>"Number"</formula1>
    </dataValidation>
    <dataValidation type="list" allowBlank="1" showInputMessage="1" showErrorMessage="1" sqref="C542">
      <formula1>"Number"</formula1>
    </dataValidation>
    <dataValidation type="list" allowBlank="1" showInputMessage="1" showErrorMessage="1" sqref="C543">
      <formula1>"Number"</formula1>
    </dataValidation>
    <dataValidation type="list" allowBlank="1" showInputMessage="1" showErrorMessage="1" sqref="C544">
      <formula1>"Number"</formula1>
    </dataValidation>
    <dataValidation type="list" allowBlank="1" showInputMessage="1" showErrorMessage="1" sqref="C545">
      <formula1>"Number"</formula1>
    </dataValidation>
    <dataValidation type="list" allowBlank="1" showInputMessage="1" showErrorMessage="1" sqref="C548">
      <formula1>"Number"</formula1>
    </dataValidation>
    <dataValidation type="list" allowBlank="1" showInputMessage="1" showErrorMessage="1" sqref="C549">
      <formula1>"Number"</formula1>
    </dataValidation>
    <dataValidation type="list" allowBlank="1" showInputMessage="1" showErrorMessage="1" sqref="C550">
      <formula1>"Number"</formula1>
    </dataValidation>
    <dataValidation type="list" allowBlank="1" showInputMessage="1" showErrorMessage="1" sqref="C551">
      <formula1>"Number"</formula1>
    </dataValidation>
    <dataValidation type="list" allowBlank="1" showInputMessage="1" showErrorMessage="1" sqref="C552">
      <formula1>"Number"</formula1>
    </dataValidation>
    <dataValidation type="list" allowBlank="1" showInputMessage="1" showErrorMessage="1" sqref="C553">
      <formula1>"Number"</formula1>
    </dataValidation>
    <dataValidation type="list" allowBlank="1" showInputMessage="1" showErrorMessage="1" sqref="C554">
      <formula1>"Number"</formula1>
    </dataValidation>
    <dataValidation type="list" allowBlank="1" showInputMessage="1" showErrorMessage="1" sqref="C555">
      <formula1>"Number"</formula1>
    </dataValidation>
    <dataValidation type="list" allowBlank="1" showInputMessage="1" showErrorMessage="1" sqref="C556">
      <formula1>"Number"</formula1>
    </dataValidation>
    <dataValidation type="list" allowBlank="1" showInputMessage="1" showErrorMessage="1" sqref="C557">
      <formula1>"Number"</formula1>
    </dataValidation>
    <dataValidation type="list" allowBlank="1" showInputMessage="1" showErrorMessage="1" sqref="C558">
      <formula1>"Number"</formula1>
    </dataValidation>
    <dataValidation type="list" allowBlank="1" showInputMessage="1" showErrorMessage="1" sqref="C559">
      <formula1>"Number"</formula1>
    </dataValidation>
    <dataValidation type="list" allowBlank="1" showInputMessage="1" showErrorMessage="1" sqref="C562">
      <formula1>"Number"</formula1>
    </dataValidation>
    <dataValidation type="list" allowBlank="1" showInputMessage="1" showErrorMessage="1" sqref="C563">
      <formula1>"Number"</formula1>
    </dataValidation>
    <dataValidation type="list" allowBlank="1" showInputMessage="1" showErrorMessage="1" sqref="C564">
      <formula1>"Number"</formula1>
    </dataValidation>
    <dataValidation type="list" allowBlank="1" showInputMessage="1" showErrorMessage="1" sqref="C565">
      <formula1>"Number"</formula1>
    </dataValidation>
    <dataValidation type="list" allowBlank="1" showInputMessage="1" showErrorMessage="1" sqref="C566">
      <formula1>"Number"</formula1>
    </dataValidation>
    <dataValidation type="list" allowBlank="1" showInputMessage="1" showErrorMessage="1" sqref="C567">
      <formula1>"Number"</formula1>
    </dataValidation>
    <dataValidation type="list" allowBlank="1" showInputMessage="1" showErrorMessage="1" sqref="C568">
      <formula1>"Number"</formula1>
    </dataValidation>
    <dataValidation type="list" allowBlank="1" showInputMessage="1" showErrorMessage="1" sqref="C569">
      <formula1>"Number"</formula1>
    </dataValidation>
    <dataValidation type="list" allowBlank="1" showInputMessage="1" showErrorMessage="1" sqref="C570">
      <formula1>"Number"</formula1>
    </dataValidation>
    <dataValidation type="list" allowBlank="1" showInputMessage="1" showErrorMessage="1" sqref="C571">
      <formula1>"Number"</formula1>
    </dataValidation>
    <dataValidation type="list" allowBlank="1" showInputMessage="1" showErrorMessage="1" sqref="C572">
      <formula1>"Number"</formula1>
    </dataValidation>
    <dataValidation type="list" allowBlank="1" showInputMessage="1" showErrorMessage="1" sqref="C573">
      <formula1>"Number"</formula1>
    </dataValidation>
    <dataValidation type="list" allowBlank="1" showInputMessage="1" showErrorMessage="1" sqref="C576">
      <formula1>"Number"</formula1>
    </dataValidation>
    <dataValidation type="list" allowBlank="1" showInputMessage="1" showErrorMessage="1" sqref="C577">
      <formula1>"Number"</formula1>
    </dataValidation>
    <dataValidation type="list" allowBlank="1" showInputMessage="1" showErrorMessage="1" sqref="C578">
      <formula1>"Number"</formula1>
    </dataValidation>
    <dataValidation type="list" allowBlank="1" showInputMessage="1" showErrorMessage="1" sqref="C579">
      <formula1>"Number"</formula1>
    </dataValidation>
    <dataValidation type="list" allowBlank="1" showInputMessage="1" showErrorMessage="1" sqref="C580">
      <formula1>"Number"</formula1>
    </dataValidation>
    <dataValidation type="list" allowBlank="1" showInputMessage="1" showErrorMessage="1" sqref="C581">
      <formula1>"Number"</formula1>
    </dataValidation>
    <dataValidation type="list" allowBlank="1" showInputMessage="1" showErrorMessage="1" sqref="C582">
      <formula1>"Number"</formula1>
    </dataValidation>
    <dataValidation type="list" allowBlank="1" showInputMessage="1" showErrorMessage="1" sqref="C583">
      <formula1>"Number"</formula1>
    </dataValidation>
    <dataValidation type="list" allowBlank="1" showInputMessage="1" showErrorMessage="1" sqref="C584">
      <formula1>"Number"</formula1>
    </dataValidation>
    <dataValidation type="list" allowBlank="1" showInputMessage="1" showErrorMessage="1" sqref="C585">
      <formula1>"Number"</formula1>
    </dataValidation>
    <dataValidation type="list" allowBlank="1" showInputMessage="1" showErrorMessage="1" sqref="C586">
      <formula1>"Number"</formula1>
    </dataValidation>
    <dataValidation type="list" allowBlank="1" showInputMessage="1" showErrorMessage="1" sqref="C587">
      <formula1>"Number"</formula1>
    </dataValidation>
    <dataValidation type="list" allowBlank="1" showInputMessage="1" showErrorMessage="1" sqref="C590">
      <formula1>"Number"</formula1>
    </dataValidation>
    <dataValidation type="list" allowBlank="1" showInputMessage="1" showErrorMessage="1" sqref="C591">
      <formula1>"Number"</formula1>
    </dataValidation>
    <dataValidation type="list" allowBlank="1" showInputMessage="1" showErrorMessage="1" sqref="C592">
      <formula1>"Number"</formula1>
    </dataValidation>
    <dataValidation type="list" allowBlank="1" showInputMessage="1" showErrorMessage="1" sqref="C593">
      <formula1>"Number"</formula1>
    </dataValidation>
    <dataValidation type="list" allowBlank="1" showInputMessage="1" showErrorMessage="1" sqref="C594">
      <formula1>"Number"</formula1>
    </dataValidation>
    <dataValidation type="list" allowBlank="1" showInputMessage="1" showErrorMessage="1" sqref="C595">
      <formula1>"Number"</formula1>
    </dataValidation>
    <dataValidation type="list" allowBlank="1" showInputMessage="1" showErrorMessage="1" sqref="C596">
      <formula1>"Number"</formula1>
    </dataValidation>
    <dataValidation type="list" allowBlank="1" showInputMessage="1" showErrorMessage="1" sqref="C597">
      <formula1>"Number"</formula1>
    </dataValidation>
    <dataValidation type="list" allowBlank="1" showInputMessage="1" showErrorMessage="1" sqref="C598">
      <formula1>"Number"</formula1>
    </dataValidation>
    <dataValidation type="list" allowBlank="1" showInputMessage="1" showErrorMessage="1" sqref="C599">
      <formula1>"Number"</formula1>
    </dataValidation>
    <dataValidation type="list" allowBlank="1" showInputMessage="1" showErrorMessage="1" sqref="C600">
      <formula1>"Number"</formula1>
    </dataValidation>
    <dataValidation type="list" allowBlank="1" showInputMessage="1" showErrorMessage="1" sqref="C601">
      <formula1>"Number"</formula1>
    </dataValidation>
    <dataValidation type="list" allowBlank="1" showInputMessage="1" showErrorMessage="1" sqref="C604">
      <formula1>"Number"</formula1>
    </dataValidation>
    <dataValidation type="list" allowBlank="1" showInputMessage="1" showErrorMessage="1" sqref="C605">
      <formula1>"Number"</formula1>
    </dataValidation>
    <dataValidation type="list" allowBlank="1" showInputMessage="1" showErrorMessage="1" sqref="C606">
      <formula1>"Number"</formula1>
    </dataValidation>
    <dataValidation type="list" allowBlank="1" showInputMessage="1" showErrorMessage="1" sqref="C607">
      <formula1>"Number"</formula1>
    </dataValidation>
    <dataValidation type="list" allowBlank="1" showInputMessage="1" showErrorMessage="1" sqref="C608">
      <formula1>"Number"</formula1>
    </dataValidation>
    <dataValidation type="list" allowBlank="1" showInputMessage="1" showErrorMessage="1" sqref="C609">
      <formula1>"Number"</formula1>
    </dataValidation>
    <dataValidation type="list" allowBlank="1" showInputMessage="1" showErrorMessage="1" sqref="C610">
      <formula1>"Number"</formula1>
    </dataValidation>
    <dataValidation type="list" allowBlank="1" showInputMessage="1" showErrorMessage="1" sqref="C611">
      <formula1>"Number"</formula1>
    </dataValidation>
    <dataValidation type="list" allowBlank="1" showInputMessage="1" showErrorMessage="1" sqref="C612">
      <formula1>"Number"</formula1>
    </dataValidation>
    <dataValidation type="list" allowBlank="1" showInputMessage="1" showErrorMessage="1" sqref="C613">
      <formula1>"Number"</formula1>
    </dataValidation>
    <dataValidation type="list" allowBlank="1" showInputMessage="1" showErrorMessage="1" sqref="C614">
      <formula1>"Number"</formula1>
    </dataValidation>
    <dataValidation type="list" allowBlank="1" showInputMessage="1" showErrorMessage="1" sqref="C615">
      <formula1>"Number"</formula1>
    </dataValidation>
    <dataValidation type="list" allowBlank="1" showInputMessage="1" showErrorMessage="1" sqref="C618">
      <formula1>"Number"</formula1>
    </dataValidation>
    <dataValidation type="list" allowBlank="1" showInputMessage="1" showErrorMessage="1" sqref="C619">
      <formula1>"Number"</formula1>
    </dataValidation>
    <dataValidation type="list" allowBlank="1" showInputMessage="1" showErrorMessage="1" sqref="C620">
      <formula1>"Number"</formula1>
    </dataValidation>
    <dataValidation type="list" allowBlank="1" showInputMessage="1" showErrorMessage="1" sqref="C621">
      <formula1>"Number"</formula1>
    </dataValidation>
    <dataValidation type="list" allowBlank="1" showInputMessage="1" showErrorMessage="1" sqref="C622">
      <formula1>"Number"</formula1>
    </dataValidation>
    <dataValidation type="list" allowBlank="1" showInputMessage="1" showErrorMessage="1" sqref="C623">
      <formula1>"Number"</formula1>
    </dataValidation>
    <dataValidation type="list" allowBlank="1" showInputMessage="1" showErrorMessage="1" sqref="C624">
      <formula1>"Number"</formula1>
    </dataValidation>
    <dataValidation type="list" allowBlank="1" showInputMessage="1" showErrorMessage="1" sqref="C625">
      <formula1>"Number"</formula1>
    </dataValidation>
    <dataValidation type="list" allowBlank="1" showInputMessage="1" showErrorMessage="1" sqref="C626">
      <formula1>"Number"</formula1>
    </dataValidation>
    <dataValidation type="list" allowBlank="1" showInputMessage="1" showErrorMessage="1" sqref="C627">
      <formula1>"Number"</formula1>
    </dataValidation>
    <dataValidation type="list" allowBlank="1" showInputMessage="1" showErrorMessage="1" sqref="C628">
      <formula1>"Number"</formula1>
    </dataValidation>
    <dataValidation type="list" allowBlank="1" showInputMessage="1" showErrorMessage="1" sqref="C629">
      <formula1>"Number"</formula1>
    </dataValidation>
    <dataValidation type="list" allowBlank="1" showInputMessage="1" showErrorMessage="1" sqref="C632">
      <formula1>"Number"</formula1>
    </dataValidation>
    <dataValidation type="list" allowBlank="1" showInputMessage="1" showErrorMessage="1" sqref="C633">
      <formula1>"Number"</formula1>
    </dataValidation>
    <dataValidation type="list" allowBlank="1" showInputMessage="1" showErrorMessage="1" sqref="C634">
      <formula1>"Number"</formula1>
    </dataValidation>
    <dataValidation type="list" allowBlank="1" showInputMessage="1" showErrorMessage="1" sqref="C635">
      <formula1>"Number"</formula1>
    </dataValidation>
    <dataValidation type="list" allowBlank="1" showInputMessage="1" showErrorMessage="1" sqref="C636">
      <formula1>"Number"</formula1>
    </dataValidation>
    <dataValidation type="list" allowBlank="1" showInputMessage="1" showErrorMessage="1" sqref="C637">
      <formula1>"Number"</formula1>
    </dataValidation>
    <dataValidation type="list" allowBlank="1" showInputMessage="1" showErrorMessage="1" sqref="C638">
      <formula1>"Number"</formula1>
    </dataValidation>
    <dataValidation type="list" allowBlank="1" showInputMessage="1" showErrorMessage="1" sqref="C639">
      <formula1>"Number"</formula1>
    </dataValidation>
    <dataValidation type="list" allowBlank="1" showInputMessage="1" showErrorMessage="1" sqref="C640">
      <formula1>"Number"</formula1>
    </dataValidation>
    <dataValidation type="list" allowBlank="1" showInputMessage="1" showErrorMessage="1" sqref="C641">
      <formula1>"Number"</formula1>
    </dataValidation>
    <dataValidation type="list" allowBlank="1" showInputMessage="1" showErrorMessage="1" sqref="C642">
      <formula1>"Number"</formula1>
    </dataValidation>
    <dataValidation type="list" allowBlank="1" showInputMessage="1" showErrorMessage="1" sqref="C643">
      <formula1>"Number"</formula1>
    </dataValidation>
    <dataValidation type="list" allowBlank="1" showInputMessage="1" showErrorMessage="1" sqref="C646">
      <formula1>"Number"</formula1>
    </dataValidation>
    <dataValidation type="list" allowBlank="1" showInputMessage="1" showErrorMessage="1" sqref="C647">
      <formula1>"Number"</formula1>
    </dataValidation>
    <dataValidation type="list" allowBlank="1" showInputMessage="1" showErrorMessage="1" sqref="C648">
      <formula1>"Number"</formula1>
    </dataValidation>
    <dataValidation type="list" allowBlank="1" showInputMessage="1" showErrorMessage="1" sqref="C649">
      <formula1>"Number"</formula1>
    </dataValidation>
    <dataValidation type="list" allowBlank="1" showInputMessage="1" showErrorMessage="1" sqref="C650">
      <formula1>"Number"</formula1>
    </dataValidation>
    <dataValidation type="list" allowBlank="1" showInputMessage="1" showErrorMessage="1" sqref="C651">
      <formula1>"Number"</formula1>
    </dataValidation>
    <dataValidation type="list" allowBlank="1" showInputMessage="1" showErrorMessage="1" sqref="C652">
      <formula1>"Number"</formula1>
    </dataValidation>
    <dataValidation type="list" allowBlank="1" showInputMessage="1" showErrorMessage="1" sqref="C653">
      <formula1>"Number"</formula1>
    </dataValidation>
    <dataValidation type="list" allowBlank="1" showInputMessage="1" showErrorMessage="1" sqref="C654">
      <formula1>"Number"</formula1>
    </dataValidation>
    <dataValidation type="list" allowBlank="1" showInputMessage="1" showErrorMessage="1" sqref="C655">
      <formula1>"Number"</formula1>
    </dataValidation>
    <dataValidation type="list" allowBlank="1" showInputMessage="1" showErrorMessage="1" sqref="C656">
      <formula1>"Number"</formula1>
    </dataValidation>
    <dataValidation type="list" allowBlank="1" showInputMessage="1" showErrorMessage="1" sqref="C657">
      <formula1>"Number"</formula1>
    </dataValidation>
    <dataValidation type="list" allowBlank="1" showInputMessage="1" showErrorMessage="1" sqref="C660">
      <formula1>"Number"</formula1>
    </dataValidation>
    <dataValidation type="list" allowBlank="1" showInputMessage="1" showErrorMessage="1" sqref="C661">
      <formula1>"Number"</formula1>
    </dataValidation>
    <dataValidation type="list" allowBlank="1" showInputMessage="1" showErrorMessage="1" sqref="C662">
      <formula1>"Number"</formula1>
    </dataValidation>
    <dataValidation type="list" allowBlank="1" showInputMessage="1" showErrorMessage="1" sqref="C663">
      <formula1>"Number"</formula1>
    </dataValidation>
    <dataValidation type="list" allowBlank="1" showInputMessage="1" showErrorMessage="1" sqref="C664">
      <formula1>"Number"</formula1>
    </dataValidation>
    <dataValidation type="list" allowBlank="1" showInputMessage="1" showErrorMessage="1" sqref="C665">
      <formula1>"Number"</formula1>
    </dataValidation>
    <dataValidation type="list" allowBlank="1" showInputMessage="1" showErrorMessage="1" sqref="C666">
      <formula1>"Number"</formula1>
    </dataValidation>
    <dataValidation type="list" allowBlank="1" showInputMessage="1" showErrorMessage="1" sqref="C667">
      <formula1>"Number"</formula1>
    </dataValidation>
    <dataValidation type="list" allowBlank="1" showInputMessage="1" showErrorMessage="1" sqref="C668">
      <formula1>"Number"</formula1>
    </dataValidation>
    <dataValidation type="list" allowBlank="1" showInputMessage="1" showErrorMessage="1" sqref="C669">
      <formula1>"Number"</formula1>
    </dataValidation>
    <dataValidation type="list" allowBlank="1" showInputMessage="1" showErrorMessage="1" sqref="C670">
      <formula1>"Number"</formula1>
    </dataValidation>
    <dataValidation type="list" allowBlank="1" showInputMessage="1" showErrorMessage="1" sqref="C671">
      <formula1>"Number"</formula1>
    </dataValidation>
    <dataValidation type="list" allowBlank="1" showInputMessage="1" showErrorMessage="1" sqref="C674">
      <formula1>"Number"</formula1>
    </dataValidation>
    <dataValidation type="list" allowBlank="1" showInputMessage="1" showErrorMessage="1" sqref="C675">
      <formula1>"Number"</formula1>
    </dataValidation>
    <dataValidation type="list" allowBlank="1" showInputMessage="1" showErrorMessage="1" sqref="C676">
      <formula1>"Number"</formula1>
    </dataValidation>
    <dataValidation type="list" allowBlank="1" showInputMessage="1" showErrorMessage="1" sqref="C677">
      <formula1>"Number"</formula1>
    </dataValidation>
    <dataValidation type="list" allowBlank="1" showInputMessage="1" showErrorMessage="1" sqref="C678">
      <formula1>"Number"</formula1>
    </dataValidation>
    <dataValidation type="list" allowBlank="1" showInputMessage="1" showErrorMessage="1" sqref="C679">
      <formula1>"Number"</formula1>
    </dataValidation>
    <dataValidation type="list" allowBlank="1" showInputMessage="1" showErrorMessage="1" sqref="C680">
      <formula1>"Number"</formula1>
    </dataValidation>
    <dataValidation type="list" allowBlank="1" showInputMessage="1" showErrorMessage="1" sqref="C681">
      <formula1>"Number"</formula1>
    </dataValidation>
    <dataValidation type="list" allowBlank="1" showInputMessage="1" showErrorMessage="1" sqref="C682">
      <formula1>"Number"</formula1>
    </dataValidation>
    <dataValidation type="list" allowBlank="1" showInputMessage="1" showErrorMessage="1" sqref="C683">
      <formula1>"Number"</formula1>
    </dataValidation>
    <dataValidation type="list" allowBlank="1" showInputMessage="1" showErrorMessage="1" sqref="C684">
      <formula1>"Number"</formula1>
    </dataValidation>
    <dataValidation type="list" allowBlank="1" showInputMessage="1" showErrorMessage="1" sqref="C685">
      <formula1>"Number"</formula1>
    </dataValidation>
    <dataValidation type="list" allowBlank="1" showInputMessage="1" showErrorMessage="1" sqref="C688">
      <formula1>"Number"</formula1>
    </dataValidation>
    <dataValidation type="list" allowBlank="1" showInputMessage="1" showErrorMessage="1" sqref="C689">
      <formula1>"Number"</formula1>
    </dataValidation>
    <dataValidation type="list" allowBlank="1" showInputMessage="1" showErrorMessage="1" sqref="C690">
      <formula1>"Number"</formula1>
    </dataValidation>
    <dataValidation type="list" allowBlank="1" showInputMessage="1" showErrorMessage="1" sqref="C691">
      <formula1>"Number"</formula1>
    </dataValidation>
    <dataValidation type="list" allowBlank="1" showInputMessage="1" showErrorMessage="1" sqref="C692">
      <formula1>"Number"</formula1>
    </dataValidation>
    <dataValidation type="list" allowBlank="1" showInputMessage="1" showErrorMessage="1" sqref="C693">
      <formula1>"Number"</formula1>
    </dataValidation>
    <dataValidation type="list" allowBlank="1" showInputMessage="1" showErrorMessage="1" sqref="C694">
      <formula1>"Number"</formula1>
    </dataValidation>
    <dataValidation type="list" allowBlank="1" showInputMessage="1" showErrorMessage="1" sqref="C695">
      <formula1>"Number"</formula1>
    </dataValidation>
    <dataValidation type="list" allowBlank="1" showInputMessage="1" showErrorMessage="1" sqref="C696">
      <formula1>"Number"</formula1>
    </dataValidation>
    <dataValidation type="list" allowBlank="1" showInputMessage="1" showErrorMessage="1" sqref="C697">
      <formula1>"Number"</formula1>
    </dataValidation>
    <dataValidation type="list" allowBlank="1" showInputMessage="1" showErrorMessage="1" sqref="C698">
      <formula1>"Number"</formula1>
    </dataValidation>
    <dataValidation type="list" allowBlank="1" showInputMessage="1" showErrorMessage="1" sqref="C699">
      <formula1>"Number"</formula1>
    </dataValidation>
    <dataValidation type="list" allowBlank="1" showInputMessage="1" showErrorMessage="1" sqref="C702">
      <formula1>"Number"</formula1>
    </dataValidation>
    <dataValidation type="list" allowBlank="1" showInputMessage="1" showErrorMessage="1" sqref="C703">
      <formula1>"Number"</formula1>
    </dataValidation>
    <dataValidation type="list" allowBlank="1" showInputMessage="1" showErrorMessage="1" sqref="C704">
      <formula1>"Number"</formula1>
    </dataValidation>
    <dataValidation type="list" allowBlank="1" showInputMessage="1" showErrorMessage="1" sqref="C705">
      <formula1>"Number"</formula1>
    </dataValidation>
    <dataValidation type="list" allowBlank="1" showInputMessage="1" showErrorMessage="1" sqref="C706">
      <formula1>"Number"</formula1>
    </dataValidation>
    <dataValidation type="list" allowBlank="1" showInputMessage="1" showErrorMessage="1" sqref="C707">
      <formula1>"Number"</formula1>
    </dataValidation>
    <dataValidation type="list" allowBlank="1" showInputMessage="1" showErrorMessage="1" sqref="C708">
      <formula1>"Number"</formula1>
    </dataValidation>
    <dataValidation type="list" allowBlank="1" showInputMessage="1" showErrorMessage="1" sqref="C709">
      <formula1>"Number"</formula1>
    </dataValidation>
    <dataValidation type="list" allowBlank="1" showInputMessage="1" showErrorMessage="1" sqref="C710">
      <formula1>"Number"</formula1>
    </dataValidation>
    <dataValidation type="list" allowBlank="1" showInputMessage="1" showErrorMessage="1" sqref="C711">
      <formula1>"Number"</formula1>
    </dataValidation>
    <dataValidation type="list" allowBlank="1" showInputMessage="1" showErrorMessage="1" sqref="C712">
      <formula1>"Number"</formula1>
    </dataValidation>
    <dataValidation type="list" allowBlank="1" showInputMessage="1" showErrorMessage="1" sqref="C713">
      <formula1>"Number"</formula1>
    </dataValidation>
    <dataValidation type="list" allowBlank="1" showInputMessage="1" showErrorMessage="1" sqref="C716">
      <formula1>"Number"</formula1>
    </dataValidation>
    <dataValidation type="list" allowBlank="1" showInputMessage="1" showErrorMessage="1" sqref="C717">
      <formula1>"Number"</formula1>
    </dataValidation>
    <dataValidation type="list" allowBlank="1" showInputMessage="1" showErrorMessage="1" sqref="C718">
      <formula1>"Number"</formula1>
    </dataValidation>
    <dataValidation type="list" allowBlank="1" showInputMessage="1" showErrorMessage="1" sqref="C719">
      <formula1>"Number"</formula1>
    </dataValidation>
    <dataValidation type="list" allowBlank="1" showInputMessage="1" showErrorMessage="1" sqref="C720">
      <formula1>"Number"</formula1>
    </dataValidation>
    <dataValidation type="list" allowBlank="1" showInputMessage="1" showErrorMessage="1" sqref="C721">
      <formula1>"Number"</formula1>
    </dataValidation>
    <dataValidation type="list" allowBlank="1" showInputMessage="1" showErrorMessage="1" sqref="C722">
      <formula1>"Number"</formula1>
    </dataValidation>
    <dataValidation type="list" allowBlank="1" showInputMessage="1" showErrorMessage="1" sqref="C723">
      <formula1>"Number"</formula1>
    </dataValidation>
    <dataValidation type="list" allowBlank="1" showInputMessage="1" showErrorMessage="1" sqref="C724">
      <formula1>"Number"</formula1>
    </dataValidation>
    <dataValidation type="list" allowBlank="1" showInputMessage="1" showErrorMessage="1" sqref="C725">
      <formula1>"Number"</formula1>
    </dataValidation>
    <dataValidation type="list" allowBlank="1" showInputMessage="1" showErrorMessage="1" sqref="C726">
      <formula1>"Number"</formula1>
    </dataValidation>
    <dataValidation type="list" allowBlank="1" showInputMessage="1" showErrorMessage="1" sqref="C727">
      <formula1>"Number"</formula1>
    </dataValidation>
    <dataValidation type="list" allowBlank="1" showInputMessage="1" showErrorMessage="1" sqref="C730">
      <formula1>"Number"</formula1>
    </dataValidation>
    <dataValidation type="list" allowBlank="1" showInputMessage="1" showErrorMessage="1" sqref="C731">
      <formula1>"Number"</formula1>
    </dataValidation>
    <dataValidation type="list" allowBlank="1" showInputMessage="1" showErrorMessage="1" sqref="C732">
      <formula1>"Number"</formula1>
    </dataValidation>
    <dataValidation type="list" allowBlank="1" showInputMessage="1" showErrorMessage="1" sqref="C733">
      <formula1>"Number"</formula1>
    </dataValidation>
    <dataValidation type="list" allowBlank="1" showInputMessage="1" showErrorMessage="1" sqref="C734">
      <formula1>"Number"</formula1>
    </dataValidation>
    <dataValidation type="list" allowBlank="1" showInputMessage="1" showErrorMessage="1" sqref="C735">
      <formula1>"Number"</formula1>
    </dataValidation>
    <dataValidation type="list" allowBlank="1" showInputMessage="1" showErrorMessage="1" sqref="C736">
      <formula1>"Number"</formula1>
    </dataValidation>
    <dataValidation type="list" allowBlank="1" showInputMessage="1" showErrorMessage="1" sqref="C737">
      <formula1>"Number"</formula1>
    </dataValidation>
    <dataValidation type="list" allowBlank="1" showInputMessage="1" showErrorMessage="1" sqref="C738">
      <formula1>"Number"</formula1>
    </dataValidation>
    <dataValidation type="list" allowBlank="1" showInputMessage="1" showErrorMessage="1" sqref="C739">
      <formula1>"Number"</formula1>
    </dataValidation>
    <dataValidation type="list" allowBlank="1" showInputMessage="1" showErrorMessage="1" sqref="C740">
      <formula1>"Number"</formula1>
    </dataValidation>
    <dataValidation type="list" allowBlank="1" showInputMessage="1" showErrorMessage="1" sqref="C741">
      <formula1>"Number"</formula1>
    </dataValidation>
    <dataValidation type="list" allowBlank="1" showInputMessage="1" showErrorMessage="1" sqref="C744">
      <formula1>"Number"</formula1>
    </dataValidation>
    <dataValidation type="list" allowBlank="1" showInputMessage="1" showErrorMessage="1" sqref="C745">
      <formula1>"Number"</formula1>
    </dataValidation>
    <dataValidation type="list" allowBlank="1" showInputMessage="1" showErrorMessage="1" sqref="C746">
      <formula1>"Number"</formula1>
    </dataValidation>
    <dataValidation type="list" allowBlank="1" showInputMessage="1" showErrorMessage="1" sqref="C747">
      <formula1>"Number"</formula1>
    </dataValidation>
    <dataValidation type="list" allowBlank="1" showInputMessage="1" showErrorMessage="1" sqref="C748">
      <formula1>"Number"</formula1>
    </dataValidation>
    <dataValidation type="list" allowBlank="1" showInputMessage="1" showErrorMessage="1" sqref="C749">
      <formula1>"Number"</formula1>
    </dataValidation>
    <dataValidation type="list" allowBlank="1" showInputMessage="1" showErrorMessage="1" sqref="C750">
      <formula1>"Number"</formula1>
    </dataValidation>
    <dataValidation type="list" allowBlank="1" showInputMessage="1" showErrorMessage="1" sqref="C751">
      <formula1>"Number"</formula1>
    </dataValidation>
    <dataValidation type="list" allowBlank="1" showInputMessage="1" showErrorMessage="1" sqref="C752">
      <formula1>"Number"</formula1>
    </dataValidation>
    <dataValidation type="list" allowBlank="1" showInputMessage="1" showErrorMessage="1" sqref="C753">
      <formula1>"Number"</formula1>
    </dataValidation>
    <dataValidation type="list" allowBlank="1" showInputMessage="1" showErrorMessage="1" sqref="C754">
      <formula1>"Number"</formula1>
    </dataValidation>
    <dataValidation type="list" allowBlank="1" showInputMessage="1" showErrorMessage="1" sqref="C755">
      <formula1>"Number"</formula1>
    </dataValidation>
    <dataValidation type="list" allowBlank="1" showInputMessage="1" showErrorMessage="1" sqref="C758">
      <formula1>"Number"</formula1>
    </dataValidation>
    <dataValidation type="list" allowBlank="1" showInputMessage="1" showErrorMessage="1" sqref="C759">
      <formula1>"Number"</formula1>
    </dataValidation>
    <dataValidation type="list" allowBlank="1" showInputMessage="1" showErrorMessage="1" sqref="C760">
      <formula1>"Number"</formula1>
    </dataValidation>
    <dataValidation type="list" allowBlank="1" showInputMessage="1" showErrorMessage="1" sqref="C761">
      <formula1>"Number"</formula1>
    </dataValidation>
    <dataValidation type="list" allowBlank="1" showInputMessage="1" showErrorMessage="1" sqref="C762">
      <formula1>"Number"</formula1>
    </dataValidation>
    <dataValidation type="list" allowBlank="1" showInputMessage="1" showErrorMessage="1" sqref="C763">
      <formula1>"Number"</formula1>
    </dataValidation>
    <dataValidation type="list" allowBlank="1" showInputMessage="1" showErrorMessage="1" sqref="C764">
      <formula1>"Number"</formula1>
    </dataValidation>
    <dataValidation type="list" allowBlank="1" showInputMessage="1" showErrorMessage="1" sqref="C765">
      <formula1>"Number"</formula1>
    </dataValidation>
    <dataValidation type="list" allowBlank="1" showInputMessage="1" showErrorMessage="1" sqref="C766">
      <formula1>"Number"</formula1>
    </dataValidation>
    <dataValidation type="list" allowBlank="1" showInputMessage="1" showErrorMessage="1" sqref="C767">
      <formula1>"Number"</formula1>
    </dataValidation>
    <dataValidation type="list" allowBlank="1" showInputMessage="1" showErrorMessage="1" sqref="C768">
      <formula1>"Number"</formula1>
    </dataValidation>
    <dataValidation type="list" allowBlank="1" showInputMessage="1" showErrorMessage="1" sqref="C769">
      <formula1>"Number"</formula1>
    </dataValidation>
    <dataValidation type="list" allowBlank="1" showInputMessage="1" showErrorMessage="1" sqref="C772">
      <formula1>"Number"</formula1>
    </dataValidation>
    <dataValidation type="list" allowBlank="1" showInputMessage="1" showErrorMessage="1" sqref="C773">
      <formula1>"Number"</formula1>
    </dataValidation>
    <dataValidation type="list" allowBlank="1" showInputMessage="1" showErrorMessage="1" sqref="C774">
      <formula1>"Number"</formula1>
    </dataValidation>
    <dataValidation type="list" allowBlank="1" showInputMessage="1" showErrorMessage="1" sqref="C775">
      <formula1>"Number"</formula1>
    </dataValidation>
    <dataValidation type="list" allowBlank="1" showInputMessage="1" showErrorMessage="1" sqref="C776">
      <formula1>"Number"</formula1>
    </dataValidation>
    <dataValidation type="list" allowBlank="1" showInputMessage="1" showErrorMessage="1" sqref="C777">
      <formula1>"Number"</formula1>
    </dataValidation>
    <dataValidation type="list" allowBlank="1" showInputMessage="1" showErrorMessage="1" sqref="C778">
      <formula1>"Number"</formula1>
    </dataValidation>
    <dataValidation type="list" allowBlank="1" showInputMessage="1" showErrorMessage="1" sqref="C779">
      <formula1>"Number"</formula1>
    </dataValidation>
    <dataValidation type="list" allowBlank="1" showInputMessage="1" showErrorMessage="1" sqref="C780">
      <formula1>"Number"</formula1>
    </dataValidation>
    <dataValidation type="list" allowBlank="1" showInputMessage="1" showErrorMessage="1" sqref="C781">
      <formula1>"Number"</formula1>
    </dataValidation>
    <dataValidation type="list" allowBlank="1" showInputMessage="1" showErrorMessage="1" sqref="C782">
      <formula1>"Number"</formula1>
    </dataValidation>
    <dataValidation type="list" allowBlank="1" showInputMessage="1" showErrorMessage="1" sqref="C783">
      <formula1>"Number"</formula1>
    </dataValidation>
    <dataValidation type="list" allowBlank="1" showInputMessage="1" showErrorMessage="1" sqref="C786">
      <formula1>"Number"</formula1>
    </dataValidation>
    <dataValidation type="list" allowBlank="1" showInputMessage="1" showErrorMessage="1" sqref="C787">
      <formula1>"Number"</formula1>
    </dataValidation>
    <dataValidation type="list" allowBlank="1" showInputMessage="1" showErrorMessage="1" sqref="C788">
      <formula1>"Number"</formula1>
    </dataValidation>
    <dataValidation type="list" allowBlank="1" showInputMessage="1" showErrorMessage="1" sqref="C789">
      <formula1>"Number"</formula1>
    </dataValidation>
    <dataValidation type="list" allowBlank="1" showInputMessage="1" showErrorMessage="1" sqref="C790">
      <formula1>"Number"</formula1>
    </dataValidation>
    <dataValidation type="list" allowBlank="1" showInputMessage="1" showErrorMessage="1" sqref="C791">
      <formula1>"Number"</formula1>
    </dataValidation>
    <dataValidation type="list" allowBlank="1" showInputMessage="1" showErrorMessage="1" sqref="C792">
      <formula1>"Number"</formula1>
    </dataValidation>
    <dataValidation type="list" allowBlank="1" showInputMessage="1" showErrorMessage="1" sqref="C793">
      <formula1>"Number"</formula1>
    </dataValidation>
    <dataValidation type="list" allowBlank="1" showInputMessage="1" showErrorMessage="1" sqref="C794">
      <formula1>"Number"</formula1>
    </dataValidation>
    <dataValidation type="list" allowBlank="1" showInputMessage="1" showErrorMessage="1" sqref="C795">
      <formula1>"Number"</formula1>
    </dataValidation>
    <dataValidation type="list" allowBlank="1" showInputMessage="1" showErrorMessage="1" sqref="C796">
      <formula1>"Number"</formula1>
    </dataValidation>
    <dataValidation type="list" allowBlank="1" showInputMessage="1" showErrorMessage="1" sqref="C797">
      <formula1>"Number"</formula1>
    </dataValidation>
    <dataValidation type="list" allowBlank="1" showInputMessage="1" showErrorMessage="1" sqref="C800">
      <formula1>"Number"</formula1>
    </dataValidation>
    <dataValidation type="list" allowBlank="1" showInputMessage="1" showErrorMessage="1" sqref="C801">
      <formula1>"Number"</formula1>
    </dataValidation>
    <dataValidation type="list" allowBlank="1" showInputMessage="1" showErrorMessage="1" sqref="C802">
      <formula1>"Number"</formula1>
    </dataValidation>
    <dataValidation type="list" allowBlank="1" showInputMessage="1" showErrorMessage="1" sqref="C803">
      <formula1>"Number"</formula1>
    </dataValidation>
    <dataValidation type="list" allowBlank="1" showInputMessage="1" showErrorMessage="1" sqref="C804">
      <formula1>"Number"</formula1>
    </dataValidation>
    <dataValidation type="list" allowBlank="1" showInputMessage="1" showErrorMessage="1" sqref="C805">
      <formula1>"Number"</formula1>
    </dataValidation>
    <dataValidation type="list" allowBlank="1" showInputMessage="1" showErrorMessage="1" sqref="C806">
      <formula1>"Number"</formula1>
    </dataValidation>
    <dataValidation type="list" allowBlank="1" showInputMessage="1" showErrorMessage="1" sqref="C807">
      <formula1>"Number"</formula1>
    </dataValidation>
    <dataValidation type="list" allowBlank="1" showInputMessage="1" showErrorMessage="1" sqref="C808">
      <formula1>"Number"</formula1>
    </dataValidation>
    <dataValidation type="list" allowBlank="1" showInputMessage="1" showErrorMessage="1" sqref="C809">
      <formula1>"Number"</formula1>
    </dataValidation>
    <dataValidation type="list" allowBlank="1" showInputMessage="1" showErrorMessage="1" sqref="C810">
      <formula1>"Number"</formula1>
    </dataValidation>
    <dataValidation type="list" allowBlank="1" showInputMessage="1" showErrorMessage="1" sqref="C811">
      <formula1>"Number"</formula1>
    </dataValidation>
    <dataValidation type="list" allowBlank="1" showInputMessage="1" showErrorMessage="1" sqref="C814">
      <formula1>"Number"</formula1>
    </dataValidation>
    <dataValidation type="list" allowBlank="1" showInputMessage="1" showErrorMessage="1" sqref="C815">
      <formula1>"Number"</formula1>
    </dataValidation>
    <dataValidation type="list" allowBlank="1" showInputMessage="1" showErrorMessage="1" sqref="C816">
      <formula1>"Number"</formula1>
    </dataValidation>
    <dataValidation type="list" allowBlank="1" showInputMessage="1" showErrorMessage="1" sqref="C817">
      <formula1>"Number"</formula1>
    </dataValidation>
    <dataValidation type="list" allowBlank="1" showInputMessage="1" showErrorMessage="1" sqref="C818">
      <formula1>"Number"</formula1>
    </dataValidation>
    <dataValidation type="list" allowBlank="1" showInputMessage="1" showErrorMessage="1" sqref="C819">
      <formula1>"Number"</formula1>
    </dataValidation>
    <dataValidation type="list" allowBlank="1" showInputMessage="1" showErrorMessage="1" sqref="C820">
      <formula1>"Number"</formula1>
    </dataValidation>
    <dataValidation type="list" allowBlank="1" showInputMessage="1" showErrorMessage="1" sqref="C821">
      <formula1>"Number"</formula1>
    </dataValidation>
    <dataValidation type="list" allowBlank="1" showInputMessage="1" showErrorMessage="1" sqref="C822">
      <formula1>"Number"</formula1>
    </dataValidation>
    <dataValidation type="list" allowBlank="1" showInputMessage="1" showErrorMessage="1" sqref="C823">
      <formula1>"Number"</formula1>
    </dataValidation>
    <dataValidation type="list" allowBlank="1" showInputMessage="1" showErrorMessage="1" sqref="C824">
      <formula1>"Number"</formula1>
    </dataValidation>
    <dataValidation type="list" allowBlank="1" showInputMessage="1" showErrorMessage="1" sqref="C825">
      <formula1>"Number"</formula1>
    </dataValidation>
    <dataValidation type="list" allowBlank="1" showInputMessage="1" showErrorMessage="1" sqref="C828">
      <formula1>"Number"</formula1>
    </dataValidation>
    <dataValidation type="list" allowBlank="1" showInputMessage="1" showErrorMessage="1" sqref="C829">
      <formula1>"Number"</formula1>
    </dataValidation>
    <dataValidation type="list" allowBlank="1" showInputMessage="1" showErrorMessage="1" sqref="C830">
      <formula1>"Number"</formula1>
    </dataValidation>
    <dataValidation type="list" allowBlank="1" showInputMessage="1" showErrorMessage="1" sqref="C831">
      <formula1>"Number"</formula1>
    </dataValidation>
    <dataValidation type="list" allowBlank="1" showInputMessage="1" showErrorMessage="1" sqref="C832">
      <formula1>"Number"</formula1>
    </dataValidation>
    <dataValidation type="list" allowBlank="1" showInputMessage="1" showErrorMessage="1" sqref="C833">
      <formula1>"Number"</formula1>
    </dataValidation>
    <dataValidation type="list" allowBlank="1" showInputMessage="1" showErrorMessage="1" sqref="C834">
      <formula1>"Number"</formula1>
    </dataValidation>
    <dataValidation type="list" allowBlank="1" showInputMessage="1" showErrorMessage="1" sqref="C835">
      <formula1>"Number"</formula1>
    </dataValidation>
    <dataValidation type="list" allowBlank="1" showInputMessage="1" showErrorMessage="1" sqref="C836">
      <formula1>"Number"</formula1>
    </dataValidation>
    <dataValidation type="list" allowBlank="1" showInputMessage="1" showErrorMessage="1" sqref="C837">
      <formula1>"Number"</formula1>
    </dataValidation>
    <dataValidation type="list" allowBlank="1" showInputMessage="1" showErrorMessage="1" sqref="C838">
      <formula1>"Number"</formula1>
    </dataValidation>
    <dataValidation type="list" allowBlank="1" showInputMessage="1" showErrorMessage="1" sqref="C839">
      <formula1>"Number"</formula1>
    </dataValidation>
    <dataValidation type="list" allowBlank="1" showInputMessage="1" showErrorMessage="1" sqref="C842">
      <formula1>"Number"</formula1>
    </dataValidation>
    <dataValidation type="list" allowBlank="1" showInputMessage="1" showErrorMessage="1" sqref="C843">
      <formula1>"Number"</formula1>
    </dataValidation>
    <dataValidation type="list" allowBlank="1" showInputMessage="1" showErrorMessage="1" sqref="C844">
      <formula1>"Number"</formula1>
    </dataValidation>
    <dataValidation type="list" allowBlank="1" showInputMessage="1" showErrorMessage="1" sqref="C845">
      <formula1>"Number"</formula1>
    </dataValidation>
    <dataValidation type="list" allowBlank="1" showInputMessage="1" showErrorMessage="1" sqref="C846">
      <formula1>"Number"</formula1>
    </dataValidation>
    <dataValidation type="list" allowBlank="1" showInputMessage="1" showErrorMessage="1" sqref="C847">
      <formula1>"Number"</formula1>
    </dataValidation>
    <dataValidation type="list" allowBlank="1" showInputMessage="1" showErrorMessage="1" sqref="C848">
      <formula1>"Number"</formula1>
    </dataValidation>
    <dataValidation type="list" allowBlank="1" showInputMessage="1" showErrorMessage="1" sqref="C849">
      <formula1>"Number"</formula1>
    </dataValidation>
    <dataValidation type="list" allowBlank="1" showInputMessage="1" showErrorMessage="1" sqref="C850">
      <formula1>"Number"</formula1>
    </dataValidation>
    <dataValidation type="list" allowBlank="1" showInputMessage="1" showErrorMessage="1" sqref="C851">
      <formula1>"Number"</formula1>
    </dataValidation>
    <dataValidation type="list" allowBlank="1" showInputMessage="1" showErrorMessage="1" sqref="C852">
      <formula1>"Number"</formula1>
    </dataValidation>
    <dataValidation type="list" allowBlank="1" showInputMessage="1" showErrorMessage="1" sqref="C853">
      <formula1>"Number"</formula1>
    </dataValidation>
    <dataValidation type="list" allowBlank="1" showInputMessage="1" showErrorMessage="1" sqref="C856">
      <formula1>"Number"</formula1>
    </dataValidation>
    <dataValidation type="list" allowBlank="1" showInputMessage="1" showErrorMessage="1" sqref="C857">
      <formula1>"Number"</formula1>
    </dataValidation>
    <dataValidation type="list" allowBlank="1" showInputMessage="1" showErrorMessage="1" sqref="C858">
      <formula1>"Number"</formula1>
    </dataValidation>
    <dataValidation type="list" allowBlank="1" showInputMessage="1" showErrorMessage="1" sqref="C859">
      <formula1>"Number"</formula1>
    </dataValidation>
    <dataValidation type="list" allowBlank="1" showInputMessage="1" showErrorMessage="1" sqref="C860">
      <formula1>"Number"</formula1>
    </dataValidation>
    <dataValidation type="list" allowBlank="1" showInputMessage="1" showErrorMessage="1" sqref="C861">
      <formula1>"Number"</formula1>
    </dataValidation>
    <dataValidation type="list" allowBlank="1" showInputMessage="1" showErrorMessage="1" sqref="C862">
      <formula1>"Number"</formula1>
    </dataValidation>
    <dataValidation type="list" allowBlank="1" showInputMessage="1" showErrorMessage="1" sqref="C863">
      <formula1>"Number"</formula1>
    </dataValidation>
    <dataValidation type="list" allowBlank="1" showInputMessage="1" showErrorMessage="1" sqref="C864">
      <formula1>"Number"</formula1>
    </dataValidation>
    <dataValidation type="list" allowBlank="1" showInputMessage="1" showErrorMessage="1" sqref="C865">
      <formula1>"Number"</formula1>
    </dataValidation>
    <dataValidation type="list" allowBlank="1" showInputMessage="1" showErrorMessage="1" sqref="C866">
      <formula1>"Number"</formula1>
    </dataValidation>
    <dataValidation type="list" allowBlank="1" showInputMessage="1" showErrorMessage="1" sqref="C867">
      <formula1>"Number"</formula1>
    </dataValidation>
    <dataValidation type="list" allowBlank="1" showInputMessage="1" showErrorMessage="1" sqref="C870">
      <formula1>"Number"</formula1>
    </dataValidation>
    <dataValidation type="list" allowBlank="1" showInputMessage="1" showErrorMessage="1" sqref="C871">
      <formula1>"Number"</formula1>
    </dataValidation>
    <dataValidation type="list" allowBlank="1" showInputMessage="1" showErrorMessage="1" sqref="C872">
      <formula1>"Number"</formula1>
    </dataValidation>
    <dataValidation type="list" allowBlank="1" showInputMessage="1" showErrorMessage="1" sqref="C873">
      <formula1>"Number"</formula1>
    </dataValidation>
    <dataValidation type="list" allowBlank="1" showInputMessage="1" showErrorMessage="1" sqref="C874">
      <formula1>"Number"</formula1>
    </dataValidation>
    <dataValidation type="list" allowBlank="1" showInputMessage="1" showErrorMessage="1" sqref="C875">
      <formula1>"Number"</formula1>
    </dataValidation>
    <dataValidation type="list" allowBlank="1" showInputMessage="1" showErrorMessage="1" sqref="C876">
      <formula1>"Number"</formula1>
    </dataValidation>
    <dataValidation type="list" allowBlank="1" showInputMessage="1" showErrorMessage="1" sqref="C877">
      <formula1>"Number"</formula1>
    </dataValidation>
    <dataValidation type="list" allowBlank="1" showInputMessage="1" showErrorMessage="1" sqref="C878">
      <formula1>"Number"</formula1>
    </dataValidation>
    <dataValidation type="list" allowBlank="1" showInputMessage="1" showErrorMessage="1" sqref="C879">
      <formula1>"Number"</formula1>
    </dataValidation>
    <dataValidation type="list" allowBlank="1" showInputMessage="1" showErrorMessage="1" sqref="C880">
      <formula1>"Number"</formula1>
    </dataValidation>
    <dataValidation type="list" allowBlank="1" showInputMessage="1" showErrorMessage="1" sqref="C881">
      <formula1>"Number"</formula1>
    </dataValidation>
    <dataValidation type="list" allowBlank="1" showInputMessage="1" showErrorMessage="1" sqref="C884">
      <formula1>"Number"</formula1>
    </dataValidation>
    <dataValidation type="list" allowBlank="1" showInputMessage="1" showErrorMessage="1" sqref="C885">
      <formula1>"Number"</formula1>
    </dataValidation>
    <dataValidation type="list" allowBlank="1" showInputMessage="1" showErrorMessage="1" sqref="C886">
      <formula1>"Number"</formula1>
    </dataValidation>
    <dataValidation type="list" allowBlank="1" showInputMessage="1" showErrorMessage="1" sqref="C887">
      <formula1>"Number"</formula1>
    </dataValidation>
    <dataValidation type="list" allowBlank="1" showInputMessage="1" showErrorMessage="1" sqref="C888">
      <formula1>"Number"</formula1>
    </dataValidation>
    <dataValidation type="list" allowBlank="1" showInputMessage="1" showErrorMessage="1" sqref="C889">
      <formula1>"Number"</formula1>
    </dataValidation>
    <dataValidation type="list" allowBlank="1" showInputMessage="1" showErrorMessage="1" sqref="C890">
      <formula1>"Number"</formula1>
    </dataValidation>
    <dataValidation type="list" allowBlank="1" showInputMessage="1" showErrorMessage="1" sqref="C891">
      <formula1>"Number"</formula1>
    </dataValidation>
    <dataValidation type="list" allowBlank="1" showInputMessage="1" showErrorMessage="1" sqref="C892">
      <formula1>"Number"</formula1>
    </dataValidation>
    <dataValidation type="list" allowBlank="1" showInputMessage="1" showErrorMessage="1" sqref="C893">
      <formula1>"Number"</formula1>
    </dataValidation>
    <dataValidation type="list" allowBlank="1" showInputMessage="1" showErrorMessage="1" sqref="C894">
      <formula1>"Number"</formula1>
    </dataValidation>
    <dataValidation type="list" allowBlank="1" showInputMessage="1" showErrorMessage="1" sqref="C895">
      <formula1>"Number"</formula1>
    </dataValidation>
    <dataValidation type="list" allowBlank="1" showInputMessage="1" showErrorMessage="1" sqref="C898">
      <formula1>"Number"</formula1>
    </dataValidation>
    <dataValidation type="list" allowBlank="1" showInputMessage="1" showErrorMessage="1" sqref="C899">
      <formula1>"Number"</formula1>
    </dataValidation>
    <dataValidation type="list" allowBlank="1" showInputMessage="1" showErrorMessage="1" sqref="C900">
      <formula1>"Number"</formula1>
    </dataValidation>
    <dataValidation type="list" allowBlank="1" showInputMessage="1" showErrorMessage="1" sqref="C901">
      <formula1>"Number"</formula1>
    </dataValidation>
    <dataValidation type="list" allowBlank="1" showInputMessage="1" showErrorMessage="1" sqref="C902">
      <formula1>"Number"</formula1>
    </dataValidation>
    <dataValidation type="list" allowBlank="1" showInputMessage="1" showErrorMessage="1" sqref="C903">
      <formula1>"Number"</formula1>
    </dataValidation>
    <dataValidation type="list" allowBlank="1" showInputMessage="1" showErrorMessage="1" sqref="C904">
      <formula1>"Number"</formula1>
    </dataValidation>
    <dataValidation type="list" allowBlank="1" showInputMessage="1" showErrorMessage="1" sqref="C905">
      <formula1>"Number"</formula1>
    </dataValidation>
    <dataValidation type="list" allowBlank="1" showInputMessage="1" showErrorMessage="1" sqref="C906">
      <formula1>"Number"</formula1>
    </dataValidation>
    <dataValidation type="list" allowBlank="1" showInputMessage="1" showErrorMessage="1" sqref="C907">
      <formula1>"Number"</formula1>
    </dataValidation>
    <dataValidation type="list" allowBlank="1" showInputMessage="1" showErrorMessage="1" sqref="C908">
      <formula1>"Number"</formula1>
    </dataValidation>
    <dataValidation type="list" allowBlank="1" showInputMessage="1" showErrorMessage="1" sqref="C909">
      <formula1>"Number"</formula1>
    </dataValidation>
    <dataValidation type="list" allowBlank="1" showInputMessage="1" showErrorMessage="1" sqref="C912">
      <formula1>"Number"</formula1>
    </dataValidation>
    <dataValidation type="list" allowBlank="1" showInputMessage="1" showErrorMessage="1" sqref="C913">
      <formula1>"Number"</formula1>
    </dataValidation>
    <dataValidation type="list" allowBlank="1" showInputMessage="1" showErrorMessage="1" sqref="C914">
      <formula1>"Number"</formula1>
    </dataValidation>
    <dataValidation type="list" allowBlank="1" showInputMessage="1" showErrorMessage="1" sqref="C915">
      <formula1>"Number"</formula1>
    </dataValidation>
    <dataValidation type="list" allowBlank="1" showInputMessage="1" showErrorMessage="1" sqref="C916">
      <formula1>"Number"</formula1>
    </dataValidation>
    <dataValidation type="list" allowBlank="1" showInputMessage="1" showErrorMessage="1" sqref="C917">
      <formula1>"Number"</formula1>
    </dataValidation>
    <dataValidation type="list" allowBlank="1" showInputMessage="1" showErrorMessage="1" sqref="C918">
      <formula1>"Number"</formula1>
    </dataValidation>
    <dataValidation type="list" allowBlank="1" showInputMessage="1" showErrorMessage="1" sqref="C919">
      <formula1>"Number"</formula1>
    </dataValidation>
    <dataValidation type="list" allowBlank="1" showInputMessage="1" showErrorMessage="1" sqref="C920">
      <formula1>"Number"</formula1>
    </dataValidation>
    <dataValidation type="list" allowBlank="1" showInputMessage="1" showErrorMessage="1" sqref="C921">
      <formula1>"Number"</formula1>
    </dataValidation>
    <dataValidation type="list" allowBlank="1" showInputMessage="1" showErrorMessage="1" sqref="C922">
      <formula1>"Number"</formula1>
    </dataValidation>
    <dataValidation type="list" allowBlank="1" showInputMessage="1" showErrorMessage="1" sqref="C923">
      <formula1>"Number"</formula1>
    </dataValidation>
    <dataValidation type="list" allowBlank="1" showInputMessage="1" showErrorMessage="1" sqref="C926">
      <formula1>"Number"</formula1>
    </dataValidation>
    <dataValidation type="list" allowBlank="1" showInputMessage="1" showErrorMessage="1" sqref="C927">
      <formula1>"Number"</formula1>
    </dataValidation>
    <dataValidation type="list" allowBlank="1" showInputMessage="1" showErrorMessage="1" sqref="C928">
      <formula1>"Number"</formula1>
    </dataValidation>
    <dataValidation type="list" allowBlank="1" showInputMessage="1" showErrorMessage="1" sqref="C929">
      <formula1>"Number"</formula1>
    </dataValidation>
    <dataValidation type="list" allowBlank="1" showInputMessage="1" showErrorMessage="1" sqref="C930">
      <formula1>"Number"</formula1>
    </dataValidation>
    <dataValidation type="list" allowBlank="1" showInputMessage="1" showErrorMessage="1" sqref="C931">
      <formula1>"Number"</formula1>
    </dataValidation>
    <dataValidation type="list" allowBlank="1" showInputMessage="1" showErrorMessage="1" sqref="C932">
      <formula1>"Number"</formula1>
    </dataValidation>
    <dataValidation type="list" allowBlank="1" showInputMessage="1" showErrorMessage="1" sqref="C933">
      <formula1>"Number"</formula1>
    </dataValidation>
    <dataValidation type="list" allowBlank="1" showInputMessage="1" showErrorMessage="1" sqref="C934">
      <formula1>"Number"</formula1>
    </dataValidation>
    <dataValidation type="list" allowBlank="1" showInputMessage="1" showErrorMessage="1" sqref="C935">
      <formula1>"Number"</formula1>
    </dataValidation>
    <dataValidation type="list" allowBlank="1" showInputMessage="1" showErrorMessage="1" sqref="C936">
      <formula1>"Number"</formula1>
    </dataValidation>
    <dataValidation type="list" allowBlank="1" showInputMessage="1" showErrorMessage="1" sqref="C937">
      <formula1>"Number"</formula1>
    </dataValidation>
    <dataValidation type="list" allowBlank="1" showInputMessage="1" showErrorMessage="1" sqref="C940">
      <formula1>"Number"</formula1>
    </dataValidation>
    <dataValidation type="list" allowBlank="1" showInputMessage="1" showErrorMessage="1" sqref="C941">
      <formula1>"Number"</formula1>
    </dataValidation>
    <dataValidation type="list" allowBlank="1" showInputMessage="1" showErrorMessage="1" sqref="C942">
      <formula1>"Number"</formula1>
    </dataValidation>
    <dataValidation type="list" allowBlank="1" showInputMessage="1" showErrorMessage="1" sqref="C943">
      <formula1>"Number"</formula1>
    </dataValidation>
    <dataValidation type="list" allowBlank="1" showInputMessage="1" showErrorMessage="1" sqref="C944">
      <formula1>"Number"</formula1>
    </dataValidation>
    <dataValidation type="list" allowBlank="1" showInputMessage="1" showErrorMessage="1" sqref="C945">
      <formula1>"Number"</formula1>
    </dataValidation>
    <dataValidation type="list" allowBlank="1" showInputMessage="1" showErrorMessage="1" sqref="C946">
      <formula1>"Number"</formula1>
    </dataValidation>
    <dataValidation type="list" allowBlank="1" showInputMessage="1" showErrorMessage="1" sqref="C947">
      <formula1>"Number"</formula1>
    </dataValidation>
    <dataValidation type="list" allowBlank="1" showInputMessage="1" showErrorMessage="1" sqref="C948">
      <formula1>"Number"</formula1>
    </dataValidation>
    <dataValidation type="list" allowBlank="1" showInputMessage="1" showErrorMessage="1" sqref="C949">
      <formula1>"Number"</formula1>
    </dataValidation>
    <dataValidation type="list" allowBlank="1" showInputMessage="1" showErrorMessage="1" sqref="C950">
      <formula1>"Number"</formula1>
    </dataValidation>
    <dataValidation type="list" allowBlank="1" showInputMessage="1" showErrorMessage="1" sqref="C951">
      <formula1>"Number"</formula1>
    </dataValidation>
    <dataValidation type="list" allowBlank="1" showInputMessage="1" showErrorMessage="1" sqref="C954">
      <formula1>"Number"</formula1>
    </dataValidation>
    <dataValidation type="list" allowBlank="1" showInputMessage="1" showErrorMessage="1" sqref="C955">
      <formula1>"Number"</formula1>
    </dataValidation>
    <dataValidation type="list" allowBlank="1" showInputMessage="1" showErrorMessage="1" sqref="C956">
      <formula1>"Number"</formula1>
    </dataValidation>
    <dataValidation type="list" allowBlank="1" showInputMessage="1" showErrorMessage="1" sqref="C957">
      <formula1>"Number"</formula1>
    </dataValidation>
    <dataValidation type="list" allowBlank="1" showInputMessage="1" showErrorMessage="1" sqref="C958">
      <formula1>"Number"</formula1>
    </dataValidation>
    <dataValidation type="list" allowBlank="1" showInputMessage="1" showErrorMessage="1" sqref="C959">
      <formula1>"Number"</formula1>
    </dataValidation>
    <dataValidation type="list" allowBlank="1" showInputMessage="1" showErrorMessage="1" sqref="C960">
      <formula1>"Number"</formula1>
    </dataValidation>
    <dataValidation type="list" allowBlank="1" showInputMessage="1" showErrorMessage="1" sqref="C961">
      <formula1>"Number"</formula1>
    </dataValidation>
    <dataValidation type="list" allowBlank="1" showInputMessage="1" showErrorMessage="1" sqref="C962">
      <formula1>"Number"</formula1>
    </dataValidation>
    <dataValidation type="list" allowBlank="1" showInputMessage="1" showErrorMessage="1" sqref="C963">
      <formula1>"Number"</formula1>
    </dataValidation>
    <dataValidation type="list" allowBlank="1" showInputMessage="1" showErrorMessage="1" sqref="C964">
      <formula1>"Number"</formula1>
    </dataValidation>
    <dataValidation type="list" allowBlank="1" showInputMessage="1" showErrorMessage="1" sqref="C965">
      <formula1>"Number"</formula1>
    </dataValidation>
    <dataValidation type="list" allowBlank="1" showInputMessage="1" showErrorMessage="1" sqref="C968">
      <formula1>"Number"</formula1>
    </dataValidation>
    <dataValidation type="list" allowBlank="1" showInputMessage="1" showErrorMessage="1" sqref="C969">
      <formula1>"Number"</formula1>
    </dataValidation>
    <dataValidation type="list" allowBlank="1" showInputMessage="1" showErrorMessage="1" sqref="C970">
      <formula1>"Number"</formula1>
    </dataValidation>
    <dataValidation type="list" allowBlank="1" showInputMessage="1" showErrorMessage="1" sqref="C971">
      <formula1>"Number"</formula1>
    </dataValidation>
    <dataValidation type="list" allowBlank="1" showInputMessage="1" showErrorMessage="1" sqref="C972">
      <formula1>"Number"</formula1>
    </dataValidation>
    <dataValidation type="list" allowBlank="1" showInputMessage="1" showErrorMessage="1" sqref="C973">
      <formula1>"Number"</formula1>
    </dataValidation>
    <dataValidation type="list" allowBlank="1" showInputMessage="1" showErrorMessage="1" sqref="C974">
      <formula1>"Number"</formula1>
    </dataValidation>
    <dataValidation type="list" allowBlank="1" showInputMessage="1" showErrorMessage="1" sqref="C975">
      <formula1>"Number"</formula1>
    </dataValidation>
    <dataValidation type="list" allowBlank="1" showInputMessage="1" showErrorMessage="1" sqref="C976">
      <formula1>"Number"</formula1>
    </dataValidation>
    <dataValidation type="list" allowBlank="1" showInputMessage="1" showErrorMessage="1" sqref="C977">
      <formula1>"Number"</formula1>
    </dataValidation>
    <dataValidation type="list" allowBlank="1" showInputMessage="1" showErrorMessage="1" sqref="C978">
      <formula1>"Number"</formula1>
    </dataValidation>
    <dataValidation type="list" allowBlank="1" showInputMessage="1" showErrorMessage="1" sqref="C979">
      <formula1>"Number"</formula1>
    </dataValidation>
    <dataValidation type="list" allowBlank="1" showInputMessage="1" showErrorMessage="1" sqref="C982">
      <formula1>"Number"</formula1>
    </dataValidation>
    <dataValidation type="list" allowBlank="1" showInputMessage="1" showErrorMessage="1" sqref="C983">
      <formula1>"Number"</formula1>
    </dataValidation>
    <dataValidation type="list" allowBlank="1" showInputMessage="1" showErrorMessage="1" sqref="C984">
      <formula1>"Number"</formula1>
    </dataValidation>
    <dataValidation type="list" allowBlank="1" showInputMessage="1" showErrorMessage="1" sqref="C985">
      <formula1>"Number"</formula1>
    </dataValidation>
    <dataValidation type="list" allowBlank="1" showInputMessage="1" showErrorMessage="1" sqref="C986">
      <formula1>"Number"</formula1>
    </dataValidation>
    <dataValidation type="list" allowBlank="1" showInputMessage="1" showErrorMessage="1" sqref="C987">
      <formula1>"Number"</formula1>
    </dataValidation>
    <dataValidation type="list" allowBlank="1" showInputMessage="1" showErrorMessage="1" sqref="C988">
      <formula1>"Number"</formula1>
    </dataValidation>
    <dataValidation type="list" allowBlank="1" showInputMessage="1" showErrorMessage="1" sqref="C989">
      <formula1>"Number"</formula1>
    </dataValidation>
    <dataValidation type="list" allowBlank="1" showInputMessage="1" showErrorMessage="1" sqref="C990">
      <formula1>"Number"</formula1>
    </dataValidation>
    <dataValidation type="list" allowBlank="1" showInputMessage="1" showErrorMessage="1" sqref="C991">
      <formula1>"Number"</formula1>
    </dataValidation>
    <dataValidation type="list" allowBlank="1" showInputMessage="1" showErrorMessage="1" sqref="C992">
      <formula1>"Number"</formula1>
    </dataValidation>
    <dataValidation type="list" allowBlank="1" showInputMessage="1" showErrorMessage="1" sqref="C993">
      <formula1>"Number"</formula1>
    </dataValidation>
    <dataValidation type="list" allowBlank="1" showInputMessage="1" showErrorMessage="1" sqref="C996">
      <formula1>"Number"</formula1>
    </dataValidation>
    <dataValidation type="list" allowBlank="1" showInputMessage="1" showErrorMessage="1" sqref="C997">
      <formula1>"Number"</formula1>
    </dataValidation>
    <dataValidation type="list" allowBlank="1" showInputMessage="1" showErrorMessage="1" sqref="C998">
      <formula1>"Number"</formula1>
    </dataValidation>
    <dataValidation type="list" allowBlank="1" showInputMessage="1" showErrorMessage="1" sqref="C999">
      <formula1>"Number"</formula1>
    </dataValidation>
    <dataValidation type="list" allowBlank="1" showInputMessage="1" showErrorMessage="1" sqref="C1000">
      <formula1>"Number"</formula1>
    </dataValidation>
    <dataValidation type="list" allowBlank="1" showInputMessage="1" showErrorMessage="1" sqref="C1001">
      <formula1>"Number"</formula1>
    </dataValidation>
    <dataValidation type="list" allowBlank="1" showInputMessage="1" showErrorMessage="1" sqref="C1002">
      <formula1>"Number"</formula1>
    </dataValidation>
    <dataValidation type="list" allowBlank="1" showInputMessage="1" showErrorMessage="1" sqref="C1003">
      <formula1>"Number"</formula1>
    </dataValidation>
    <dataValidation type="list" allowBlank="1" showInputMessage="1" showErrorMessage="1" sqref="C1004">
      <formula1>"Number"</formula1>
    </dataValidation>
    <dataValidation type="list" allowBlank="1" showInputMessage="1" showErrorMessage="1" sqref="C1005">
      <formula1>"Number"</formula1>
    </dataValidation>
    <dataValidation type="list" allowBlank="1" showInputMessage="1" showErrorMessage="1" sqref="C1006">
      <formula1>"Number"</formula1>
    </dataValidation>
    <dataValidation type="list" allowBlank="1" showInputMessage="1" showErrorMessage="1" sqref="C1007">
      <formula1>"Number"</formula1>
    </dataValidation>
    <dataValidation type="list" allowBlank="1" showInputMessage="1" showErrorMessage="1" sqref="C1010">
      <formula1>"Number"</formula1>
    </dataValidation>
    <dataValidation type="list" allowBlank="1" showInputMessage="1" showErrorMessage="1" sqref="C1011">
      <formula1>"Number"</formula1>
    </dataValidation>
    <dataValidation type="list" allowBlank="1" showInputMessage="1" showErrorMessage="1" sqref="C1012">
      <formula1>"Number"</formula1>
    </dataValidation>
    <dataValidation type="list" allowBlank="1" showInputMessage="1" showErrorMessage="1" sqref="C1013">
      <formula1>"Number"</formula1>
    </dataValidation>
    <dataValidation type="list" allowBlank="1" showInputMessage="1" showErrorMessage="1" sqref="C1014">
      <formula1>"Number"</formula1>
    </dataValidation>
    <dataValidation type="list" allowBlank="1" showInputMessage="1" showErrorMessage="1" sqref="C1015">
      <formula1>"Number"</formula1>
    </dataValidation>
    <dataValidation type="list" allowBlank="1" showInputMessage="1" showErrorMessage="1" sqref="C1016">
      <formula1>"Number"</formula1>
    </dataValidation>
    <dataValidation type="list" allowBlank="1" showInputMessage="1" showErrorMessage="1" sqref="C1017">
      <formula1>"Number"</formula1>
    </dataValidation>
    <dataValidation type="list" allowBlank="1" showInputMessage="1" showErrorMessage="1" sqref="C1018">
      <formula1>"Number"</formula1>
    </dataValidation>
    <dataValidation type="list" allowBlank="1" showInputMessage="1" showErrorMessage="1" sqref="C1019">
      <formula1>"Number"</formula1>
    </dataValidation>
    <dataValidation type="list" allowBlank="1" showInputMessage="1" showErrorMessage="1" sqref="C1020">
      <formula1>"Number"</formula1>
    </dataValidation>
    <dataValidation type="list" allowBlank="1" showInputMessage="1" showErrorMessage="1" sqref="C1021">
      <formula1>"Number"</formula1>
    </dataValidation>
    <dataValidation type="list" allowBlank="1" showInputMessage="1" showErrorMessage="1" sqref="C1024">
      <formula1>"Number"</formula1>
    </dataValidation>
    <dataValidation type="list" allowBlank="1" showInputMessage="1" showErrorMessage="1" sqref="C1025">
      <formula1>"Number"</formula1>
    </dataValidation>
    <dataValidation type="list" allowBlank="1" showInputMessage="1" showErrorMessage="1" sqref="C1026">
      <formula1>"Number"</formula1>
    </dataValidation>
    <dataValidation type="list" allowBlank="1" showInputMessage="1" showErrorMessage="1" sqref="C1027">
      <formula1>"Number"</formula1>
    </dataValidation>
    <dataValidation type="list" allowBlank="1" showInputMessage="1" showErrorMessage="1" sqref="C1028">
      <formula1>"Number"</formula1>
    </dataValidation>
    <dataValidation type="list" allowBlank="1" showInputMessage="1" showErrorMessage="1" sqref="C1029">
      <formula1>"Number"</formula1>
    </dataValidation>
    <dataValidation type="list" allowBlank="1" showInputMessage="1" showErrorMessage="1" sqref="C1030">
      <formula1>"Number"</formula1>
    </dataValidation>
    <dataValidation type="list" allowBlank="1" showInputMessage="1" showErrorMessage="1" sqref="C1031">
      <formula1>"Number"</formula1>
    </dataValidation>
    <dataValidation type="list" allowBlank="1" showInputMessage="1" showErrorMessage="1" sqref="C1032">
      <formula1>"Number"</formula1>
    </dataValidation>
    <dataValidation type="list" allowBlank="1" showInputMessage="1" showErrorMessage="1" sqref="C1033">
      <formula1>"Number"</formula1>
    </dataValidation>
    <dataValidation type="list" allowBlank="1" showInputMessage="1" showErrorMessage="1" sqref="C1034">
      <formula1>"Number"</formula1>
    </dataValidation>
    <dataValidation type="list" allowBlank="1" showInputMessage="1" showErrorMessage="1" sqref="C1035">
      <formula1>"Number"</formula1>
    </dataValidation>
    <dataValidation type="list" allowBlank="1" showInputMessage="1" showErrorMessage="1" sqref="C1038">
      <formula1>"Number"</formula1>
    </dataValidation>
    <dataValidation type="list" allowBlank="1" showInputMessage="1" showErrorMessage="1" sqref="C1039">
      <formula1>"Number"</formula1>
    </dataValidation>
    <dataValidation type="list" allowBlank="1" showInputMessage="1" showErrorMessage="1" sqref="C1040">
      <formula1>"Number"</formula1>
    </dataValidation>
    <dataValidation type="list" allowBlank="1" showInputMessage="1" showErrorMessage="1" sqref="C1041">
      <formula1>"Number"</formula1>
    </dataValidation>
    <dataValidation type="list" allowBlank="1" showInputMessage="1" showErrorMessage="1" sqref="C1042">
      <formula1>"Number"</formula1>
    </dataValidation>
    <dataValidation type="list" allowBlank="1" showInputMessage="1" showErrorMessage="1" sqref="C1043">
      <formula1>"Number"</formula1>
    </dataValidation>
    <dataValidation type="list" allowBlank="1" showInputMessage="1" showErrorMessage="1" sqref="C1044">
      <formula1>"Number"</formula1>
    </dataValidation>
    <dataValidation type="list" allowBlank="1" showInputMessage="1" showErrorMessage="1" sqref="C1045">
      <formula1>"Number"</formula1>
    </dataValidation>
    <dataValidation type="list" allowBlank="1" showInputMessage="1" showErrorMessage="1" sqref="C1046">
      <formula1>"Number"</formula1>
    </dataValidation>
    <dataValidation type="list" allowBlank="1" showInputMessage="1" showErrorMessage="1" sqref="C1047">
      <formula1>"Number"</formula1>
    </dataValidation>
    <dataValidation type="list" allowBlank="1" showInputMessage="1" showErrorMessage="1" sqref="C1048">
      <formula1>"Number"</formula1>
    </dataValidation>
    <dataValidation type="list" allowBlank="1" showInputMessage="1" showErrorMessage="1" sqref="C1049">
      <formula1>"Number"</formula1>
    </dataValidation>
    <dataValidation type="list" allowBlank="1" showInputMessage="1" showErrorMessage="1" sqref="C1052">
      <formula1>"Number"</formula1>
    </dataValidation>
    <dataValidation type="list" allowBlank="1" showInputMessage="1" showErrorMessage="1" sqref="C1053">
      <formula1>"Number"</formula1>
    </dataValidation>
    <dataValidation type="list" allowBlank="1" showInputMessage="1" showErrorMessage="1" sqref="C1054">
      <formula1>"Number"</formula1>
    </dataValidation>
    <dataValidation type="list" allowBlank="1" showInputMessage="1" showErrorMessage="1" sqref="C1055">
      <formula1>"Number"</formula1>
    </dataValidation>
    <dataValidation type="list" allowBlank="1" showInputMessage="1" showErrorMessage="1" sqref="C1056">
      <formula1>"Number"</formula1>
    </dataValidation>
    <dataValidation type="list" allowBlank="1" showInputMessage="1" showErrorMessage="1" sqref="C1057">
      <formula1>"Number"</formula1>
    </dataValidation>
    <dataValidation type="list" allowBlank="1" showInputMessage="1" showErrorMessage="1" sqref="C1058">
      <formula1>"Number"</formula1>
    </dataValidation>
    <dataValidation type="list" allowBlank="1" showInputMessage="1" showErrorMessage="1" sqref="C1059">
      <formula1>"Number"</formula1>
    </dataValidation>
    <dataValidation type="list" allowBlank="1" showInputMessage="1" showErrorMessage="1" sqref="C1060">
      <formula1>"Number"</formula1>
    </dataValidation>
    <dataValidation type="list" allowBlank="1" showInputMessage="1" showErrorMessage="1" sqref="C1061">
      <formula1>"Number"</formula1>
    </dataValidation>
    <dataValidation type="list" allowBlank="1" showInputMessage="1" showErrorMessage="1" sqref="C1062">
      <formula1>"Number"</formula1>
    </dataValidation>
    <dataValidation type="list" allowBlank="1" showInputMessage="1" showErrorMessage="1" sqref="C1063">
      <formula1>"Number"</formula1>
    </dataValidation>
    <dataValidation type="list" allowBlank="1" showInputMessage="1" showErrorMessage="1" sqref="C1066">
      <formula1>"Number"</formula1>
    </dataValidation>
    <dataValidation type="list" allowBlank="1" showInputMessage="1" showErrorMessage="1" sqref="C1067">
      <formula1>"Number"</formula1>
    </dataValidation>
    <dataValidation type="list" allowBlank="1" showInputMessage="1" showErrorMessage="1" sqref="C1068">
      <formula1>"Number"</formula1>
    </dataValidation>
    <dataValidation type="list" allowBlank="1" showInputMessage="1" showErrorMessage="1" sqref="C1069">
      <formula1>"Number"</formula1>
    </dataValidation>
    <dataValidation type="list" allowBlank="1" showInputMessage="1" showErrorMessage="1" sqref="C1070">
      <formula1>"Number"</formula1>
    </dataValidation>
    <dataValidation type="list" allowBlank="1" showInputMessage="1" showErrorMessage="1" sqref="C1071">
      <formula1>"Number"</formula1>
    </dataValidation>
    <dataValidation type="list" allowBlank="1" showInputMessage="1" showErrorMessage="1" sqref="C1072">
      <formula1>"Number"</formula1>
    </dataValidation>
    <dataValidation type="list" allowBlank="1" showInputMessage="1" showErrorMessage="1" sqref="C1073">
      <formula1>"Number"</formula1>
    </dataValidation>
    <dataValidation type="list" allowBlank="1" showInputMessage="1" showErrorMessage="1" sqref="C1074">
      <formula1>"Number"</formula1>
    </dataValidation>
    <dataValidation type="list" allowBlank="1" showInputMessage="1" showErrorMessage="1" sqref="C1075">
      <formula1>"Number"</formula1>
    </dataValidation>
    <dataValidation type="list" allowBlank="1" showInputMessage="1" showErrorMessage="1" sqref="C1076">
      <formula1>"Number"</formula1>
    </dataValidation>
    <dataValidation type="list" allowBlank="1" showInputMessage="1" showErrorMessage="1" sqref="C1077">
      <formula1>"Number"</formula1>
    </dataValidation>
    <dataValidation type="list" allowBlank="1" showInputMessage="1" showErrorMessage="1" sqref="C1080">
      <formula1>"Number"</formula1>
    </dataValidation>
    <dataValidation type="list" allowBlank="1" showInputMessage="1" showErrorMessage="1" sqref="C1081">
      <formula1>"Number"</formula1>
    </dataValidation>
    <dataValidation type="list" allowBlank="1" showInputMessage="1" showErrorMessage="1" sqref="C1082">
      <formula1>"Number"</formula1>
    </dataValidation>
    <dataValidation type="list" allowBlank="1" showInputMessage="1" showErrorMessage="1" sqref="C1083">
      <formula1>"Number"</formula1>
    </dataValidation>
    <dataValidation type="list" allowBlank="1" showInputMessage="1" showErrorMessage="1" sqref="C1084">
      <formula1>"Number"</formula1>
    </dataValidation>
    <dataValidation type="list" allowBlank="1" showInputMessage="1" showErrorMessage="1" sqref="C1085">
      <formula1>"Number"</formula1>
    </dataValidation>
    <dataValidation type="list" allowBlank="1" showInputMessage="1" showErrorMessage="1" sqref="C1086">
      <formula1>"Number"</formula1>
    </dataValidation>
    <dataValidation type="list" allowBlank="1" showInputMessage="1" showErrorMessage="1" sqref="C1087">
      <formula1>"Number"</formula1>
    </dataValidation>
    <dataValidation type="list" allowBlank="1" showInputMessage="1" showErrorMessage="1" sqref="C1088">
      <formula1>"Number"</formula1>
    </dataValidation>
    <dataValidation type="list" allowBlank="1" showInputMessage="1" showErrorMessage="1" sqref="C1089">
      <formula1>"Number"</formula1>
    </dataValidation>
    <dataValidation type="list" allowBlank="1" showInputMessage="1" showErrorMessage="1" sqref="C1090">
      <formula1>"Number"</formula1>
    </dataValidation>
    <dataValidation type="list" allowBlank="1" showInputMessage="1" showErrorMessage="1" sqref="C1091">
      <formula1>"Number"</formula1>
    </dataValidation>
    <dataValidation type="list" allowBlank="1" showInputMessage="1" showErrorMessage="1" sqref="C1094">
      <formula1>"Number"</formula1>
    </dataValidation>
    <dataValidation type="list" allowBlank="1" showInputMessage="1" showErrorMessage="1" sqref="C1095">
      <formula1>"Number"</formula1>
    </dataValidation>
    <dataValidation type="list" allowBlank="1" showInputMessage="1" showErrorMessage="1" sqref="C1096">
      <formula1>"Number"</formula1>
    </dataValidation>
    <dataValidation type="list" allowBlank="1" showInputMessage="1" showErrorMessage="1" sqref="C1097">
      <formula1>"Number"</formula1>
    </dataValidation>
    <dataValidation type="list" allowBlank="1" showInputMessage="1" showErrorMessage="1" sqref="C1098">
      <formula1>"Number"</formula1>
    </dataValidation>
    <dataValidation type="list" allowBlank="1" showInputMessage="1" showErrorMessage="1" sqref="C1099">
      <formula1>"Number"</formula1>
    </dataValidation>
    <dataValidation type="list" allowBlank="1" showInputMessage="1" showErrorMessage="1" sqref="C1100">
      <formula1>"Number"</formula1>
    </dataValidation>
    <dataValidation type="list" allowBlank="1" showInputMessage="1" showErrorMessage="1" sqref="C1101">
      <formula1>"Number"</formula1>
    </dataValidation>
    <dataValidation type="list" allowBlank="1" showInputMessage="1" showErrorMessage="1" sqref="C1102">
      <formula1>"Number"</formula1>
    </dataValidation>
    <dataValidation type="list" allowBlank="1" showInputMessage="1" showErrorMessage="1" sqref="C1103">
      <formula1>"Number"</formula1>
    </dataValidation>
    <dataValidation type="list" allowBlank="1" showInputMessage="1" showErrorMessage="1" sqref="C1104">
      <formula1>"Number"</formula1>
    </dataValidation>
    <dataValidation type="list" allowBlank="1" showInputMessage="1" showErrorMessage="1" sqref="C1105">
      <formula1>"Number"</formula1>
    </dataValidation>
    <dataValidation type="list" allowBlank="1" showInputMessage="1" showErrorMessage="1" sqref="C1108">
      <formula1>"Number"</formula1>
    </dataValidation>
    <dataValidation type="list" allowBlank="1" showInputMessage="1" showErrorMessage="1" sqref="C1109">
      <formula1>"Number"</formula1>
    </dataValidation>
    <dataValidation type="list" allowBlank="1" showInputMessage="1" showErrorMessage="1" sqref="C1110">
      <formula1>"Number"</formula1>
    </dataValidation>
    <dataValidation type="list" allowBlank="1" showInputMessage="1" showErrorMessage="1" sqref="C1111">
      <formula1>"Number"</formula1>
    </dataValidation>
    <dataValidation type="list" allowBlank="1" showInputMessage="1" showErrorMessage="1" sqref="C1112">
      <formula1>"Number"</formula1>
    </dataValidation>
    <dataValidation type="list" allowBlank="1" showInputMessage="1" showErrorMessage="1" sqref="C1113">
      <formula1>"Number"</formula1>
    </dataValidation>
    <dataValidation type="list" allowBlank="1" showInputMessage="1" showErrorMessage="1" sqref="C1114">
      <formula1>"Number"</formula1>
    </dataValidation>
    <dataValidation type="list" allowBlank="1" showInputMessage="1" showErrorMessage="1" sqref="C1115">
      <formula1>"Number"</formula1>
    </dataValidation>
    <dataValidation type="list" allowBlank="1" showInputMessage="1" showErrorMessage="1" sqref="C1116">
      <formula1>"Number"</formula1>
    </dataValidation>
    <dataValidation type="list" allowBlank="1" showInputMessage="1" showErrorMessage="1" sqref="C1117">
      <formula1>"Number"</formula1>
    </dataValidation>
    <dataValidation type="list" allowBlank="1" showInputMessage="1" showErrorMessage="1" sqref="C1118">
      <formula1>"Number"</formula1>
    </dataValidation>
    <dataValidation type="list" allowBlank="1" showInputMessage="1" showErrorMessage="1" sqref="C1119">
      <formula1>"Number"</formula1>
    </dataValidation>
    <dataValidation type="list" allowBlank="1" showInputMessage="1" showErrorMessage="1" sqref="C1122">
      <formula1>"Number"</formula1>
    </dataValidation>
    <dataValidation type="list" allowBlank="1" showInputMessage="1" showErrorMessage="1" sqref="C1123">
      <formula1>"Number"</formula1>
    </dataValidation>
    <dataValidation type="list" allowBlank="1" showInputMessage="1" showErrorMessage="1" sqref="C1124">
      <formula1>"Number"</formula1>
    </dataValidation>
    <dataValidation type="list" allowBlank="1" showInputMessage="1" showErrorMessage="1" sqref="C1125">
      <formula1>"Number"</formula1>
    </dataValidation>
    <dataValidation type="list" allowBlank="1" showInputMessage="1" showErrorMessage="1" sqref="C1126">
      <formula1>"Number"</formula1>
    </dataValidation>
    <dataValidation type="list" allowBlank="1" showInputMessage="1" showErrorMessage="1" sqref="C1127">
      <formula1>"Number"</formula1>
    </dataValidation>
    <dataValidation type="list" allowBlank="1" showInputMessage="1" showErrorMessage="1" sqref="C1128">
      <formula1>"Number"</formula1>
    </dataValidation>
    <dataValidation type="list" allowBlank="1" showInputMessage="1" showErrorMessage="1" sqref="C1129">
      <formula1>"Number"</formula1>
    </dataValidation>
    <dataValidation type="list" allowBlank="1" showInputMessage="1" showErrorMessage="1" sqref="C1130">
      <formula1>"Number"</formula1>
    </dataValidation>
    <dataValidation type="list" allowBlank="1" showInputMessage="1" showErrorMessage="1" sqref="C1131">
      <formula1>"Number"</formula1>
    </dataValidation>
    <dataValidation type="list" allowBlank="1" showInputMessage="1" showErrorMessage="1" sqref="C1132">
      <formula1>"Number"</formula1>
    </dataValidation>
    <dataValidation type="list" allowBlank="1" showInputMessage="1" showErrorMessage="1" sqref="C1133">
      <formula1>"Number"</formula1>
    </dataValidation>
    <dataValidation type="list" allowBlank="1" showInputMessage="1" showErrorMessage="1" sqref="C1136">
      <formula1>"Number"</formula1>
    </dataValidation>
    <dataValidation type="list" allowBlank="1" showInputMessage="1" showErrorMessage="1" sqref="C1137">
      <formula1>"Number"</formula1>
    </dataValidation>
    <dataValidation type="list" allowBlank="1" showInputMessage="1" showErrorMessage="1" sqref="C1138">
      <formula1>"Number"</formula1>
    </dataValidation>
    <dataValidation type="list" allowBlank="1" showInputMessage="1" showErrorMessage="1" sqref="C1139">
      <formula1>"Number"</formula1>
    </dataValidation>
    <dataValidation type="list" allowBlank="1" showInputMessage="1" showErrorMessage="1" sqref="C1140">
      <formula1>"Number"</formula1>
    </dataValidation>
    <dataValidation type="list" allowBlank="1" showInputMessage="1" showErrorMessage="1" sqref="C1141">
      <formula1>"Number"</formula1>
    </dataValidation>
    <dataValidation type="list" allowBlank="1" showInputMessage="1" showErrorMessage="1" sqref="C1142">
      <formula1>"Number"</formula1>
    </dataValidation>
    <dataValidation type="list" allowBlank="1" showInputMessage="1" showErrorMessage="1" sqref="C1143">
      <formula1>"Number"</formula1>
    </dataValidation>
    <dataValidation type="list" allowBlank="1" showInputMessage="1" showErrorMessage="1" sqref="C1144">
      <formula1>"Number"</formula1>
    </dataValidation>
    <dataValidation type="list" allowBlank="1" showInputMessage="1" showErrorMessage="1" sqref="C1145">
      <formula1>"Number"</formula1>
    </dataValidation>
    <dataValidation type="list" allowBlank="1" showInputMessage="1" showErrorMessage="1" sqref="C1146">
      <formula1>"Number"</formula1>
    </dataValidation>
    <dataValidation type="list" allowBlank="1" showInputMessage="1" showErrorMessage="1" sqref="C1147">
      <formula1>"Number"</formula1>
    </dataValidation>
    <dataValidation type="list" allowBlank="1" showInputMessage="1" showErrorMessage="1" sqref="C1150">
      <formula1>"Number"</formula1>
    </dataValidation>
    <dataValidation type="list" allowBlank="1" showInputMessage="1" showErrorMessage="1" sqref="C1151">
      <formula1>"Number"</formula1>
    </dataValidation>
    <dataValidation type="list" allowBlank="1" showInputMessage="1" showErrorMessage="1" sqref="C1152">
      <formula1>"Number"</formula1>
    </dataValidation>
    <dataValidation type="list" allowBlank="1" showInputMessage="1" showErrorMessage="1" sqref="C1153">
      <formula1>"Number"</formula1>
    </dataValidation>
    <dataValidation type="list" allowBlank="1" showInputMessage="1" showErrorMessage="1" sqref="C1154">
      <formula1>"Number"</formula1>
    </dataValidation>
    <dataValidation type="list" allowBlank="1" showInputMessage="1" showErrorMessage="1" sqref="C1155">
      <formula1>"Number"</formula1>
    </dataValidation>
    <dataValidation type="list" allowBlank="1" showInputMessage="1" showErrorMessage="1" sqref="C1156">
      <formula1>"Number"</formula1>
    </dataValidation>
    <dataValidation type="list" allowBlank="1" showInputMessage="1" showErrorMessage="1" sqref="C1157">
      <formula1>"Number"</formula1>
    </dataValidation>
    <dataValidation type="list" allowBlank="1" showInputMessage="1" showErrorMessage="1" sqref="C1158">
      <formula1>"Number"</formula1>
    </dataValidation>
    <dataValidation type="list" allowBlank="1" showInputMessage="1" showErrorMessage="1" sqref="C1159">
      <formula1>"Number"</formula1>
    </dataValidation>
    <dataValidation type="list" allowBlank="1" showInputMessage="1" showErrorMessage="1" sqref="C1160">
      <formula1>"Number"</formula1>
    </dataValidation>
    <dataValidation type="list" allowBlank="1" showInputMessage="1" showErrorMessage="1" sqref="C1161">
      <formula1>"Number"</formula1>
    </dataValidation>
  </dataValidation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sheetPr>
    <tabColor rgb="FF808080"/>
  </sheetPr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85.28515625" customWidth="1"/>
    <col min="2" max="2" width="30.28515625" customWidth="1"/>
    <col min="3" max="3" width="20.4257812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209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56</v>
      </c>
      <c r="D2" s="3"/>
      <c r="E2" s="3">
        <v>1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56</v>
      </c>
      <c r="D3" s="3"/>
      <c r="E3" s="3">
        <v>1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56</v>
      </c>
      <c r="D4" s="3"/>
      <c r="E4" s="3">
        <v>1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56</v>
      </c>
      <c r="D5" s="3"/>
      <c r="E5" s="3">
        <v>1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56</v>
      </c>
      <c r="D6" s="3"/>
      <c r="E6" s="3">
        <v>1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56</v>
      </c>
      <c r="D7" s="3"/>
      <c r="E7" s="3">
        <v>1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56</v>
      </c>
      <c r="D8" s="3"/>
      <c r="E8" s="3">
        <v>1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56</v>
      </c>
      <c r="D9" s="3"/>
      <c r="E9" s="3">
        <v>1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56</v>
      </c>
      <c r="D10" s="3"/>
      <c r="E10" s="3">
        <v>1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56</v>
      </c>
      <c r="D11" s="3"/>
      <c r="E11" s="3">
        <v>1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56</v>
      </c>
      <c r="D12" s="3"/>
      <c r="E12" s="3">
        <v>1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56</v>
      </c>
      <c r="D13" s="3"/>
      <c r="E13" s="3">
        <v>1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210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56</v>
      </c>
      <c r="D16" s="3"/>
      <c r="E16" s="3">
        <v>1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56</v>
      </c>
      <c r="D17" s="3"/>
      <c r="E17" s="3">
        <v>1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56</v>
      </c>
      <c r="D18" s="3"/>
      <c r="E18" s="3">
        <v>1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56</v>
      </c>
      <c r="D19" s="3"/>
      <c r="E19" s="3">
        <v>1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56</v>
      </c>
      <c r="D20" s="3"/>
      <c r="E20" s="3">
        <v>1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56</v>
      </c>
      <c r="D21" s="3"/>
      <c r="E21" s="3">
        <v>1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56</v>
      </c>
      <c r="D22" s="3"/>
      <c r="E22" s="3">
        <v>1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56</v>
      </c>
      <c r="D23" s="3"/>
      <c r="E23" s="3">
        <v>1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56</v>
      </c>
      <c r="D24" s="3"/>
      <c r="E24" s="3">
        <v>1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56</v>
      </c>
      <c r="D25" s="3"/>
      <c r="E25" s="3">
        <v>1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56</v>
      </c>
      <c r="D26" s="3"/>
      <c r="E26" s="3">
        <v>1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56</v>
      </c>
      <c r="D27" s="3"/>
      <c r="E27" s="3">
        <v>1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211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C30" t="s">
        <v>56</v>
      </c>
      <c r="D30" s="3"/>
      <c r="E30" s="3">
        <v>0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C31" t="s">
        <v>56</v>
      </c>
      <c r="D31" s="3"/>
      <c r="E31" s="3">
        <v>0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C32" t="s">
        <v>56</v>
      </c>
      <c r="D32" s="3"/>
      <c r="E32" s="3">
        <v>1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C33" t="s">
        <v>56</v>
      </c>
      <c r="D33" s="3"/>
      <c r="E33" s="3">
        <v>1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C34" t="s">
        <v>56</v>
      </c>
      <c r="D34" s="3"/>
      <c r="E34" s="3">
        <v>1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C35" t="s">
        <v>56</v>
      </c>
      <c r="D35" s="3"/>
      <c r="E35" s="3">
        <v>1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C36" t="s">
        <v>56</v>
      </c>
      <c r="D36" s="3"/>
      <c r="E36" s="3">
        <v>1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C37" t="s">
        <v>56</v>
      </c>
      <c r="D37" s="3"/>
      <c r="E37" s="3">
        <v>1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C38" t="s">
        <v>56</v>
      </c>
      <c r="D38" s="3"/>
      <c r="E38" s="3">
        <v>1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C39" t="s">
        <v>56</v>
      </c>
      <c r="D39" s="3"/>
      <c r="E39" s="3">
        <v>1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C40" t="s">
        <v>56</v>
      </c>
      <c r="D40" s="3"/>
      <c r="E40" s="3">
        <v>0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C41" t="s">
        <v>56</v>
      </c>
      <c r="D41" s="3"/>
      <c r="E41" s="3">
        <v>0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212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C44" t="s">
        <v>56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C45" t="s">
        <v>56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C46" t="s">
        <v>56</v>
      </c>
      <c r="D46" s="3"/>
      <c r="E46" s="3">
        <v>0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C47" t="s">
        <v>56</v>
      </c>
      <c r="D47" s="3"/>
      <c r="E47" s="3">
        <v>0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C48" t="s">
        <v>56</v>
      </c>
      <c r="D48" s="3"/>
      <c r="E48" s="3">
        <v>0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C49" t="s">
        <v>56</v>
      </c>
      <c r="D49" s="3"/>
      <c r="E49" s="3">
        <v>0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C50" t="s">
        <v>56</v>
      </c>
      <c r="D50" s="3"/>
      <c r="E50" s="3">
        <v>0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C51" t="s">
        <v>56</v>
      </c>
      <c r="D51" s="3"/>
      <c r="E51" s="3">
        <v>0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C52" t="s">
        <v>56</v>
      </c>
      <c r="D52" s="3"/>
      <c r="E52" s="3">
        <v>0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C53" t="s">
        <v>56</v>
      </c>
      <c r="D53" s="3"/>
      <c r="E53" s="3">
        <v>0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C54" t="s">
        <v>56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C55" t="s">
        <v>56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213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C58" t="s">
        <v>51</v>
      </c>
      <c r="D58" s="3">
        <v>0.6930617155259505</v>
      </c>
      <c r="E58" s="3"/>
      <c r="F58" s="4" t="s">
        <v>37</v>
      </c>
      <c r="G58" s="3">
        <v>44.147</v>
      </c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>
        <v>44.147</v>
      </c>
      <c r="V58" s="3">
        <v>132.441</v>
      </c>
      <c r="W58" s="3">
        <v>10</v>
      </c>
      <c r="X58" s="3">
        <v>432.71</v>
      </c>
      <c r="Y58" s="3">
        <v>833.5</v>
      </c>
      <c r="Z58" s="3">
        <v>833.5</v>
      </c>
      <c r="AA58" s="3">
        <v>2552</v>
      </c>
      <c r="AB58" s="3">
        <v>3253</v>
      </c>
      <c r="AC58" s="3">
        <v>2829</v>
      </c>
      <c r="AD58" s="3">
        <v>2829</v>
      </c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C59" t="s">
        <v>51</v>
      </c>
      <c r="D59" s="3">
        <v>0.09891459637728003</v>
      </c>
      <c r="E59" s="3"/>
      <c r="F59" s="4" t="s">
        <v>37</v>
      </c>
      <c r="G59" s="3">
        <v>44.147</v>
      </c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>
        <v>44.147</v>
      </c>
      <c r="V59" s="3">
        <v>132.441</v>
      </c>
      <c r="W59" s="3">
        <v>10</v>
      </c>
      <c r="X59" s="3">
        <v>432.71</v>
      </c>
      <c r="Y59" s="3">
        <v>833.5</v>
      </c>
      <c r="Z59" s="3">
        <v>833.5</v>
      </c>
      <c r="AA59" s="3">
        <v>2552</v>
      </c>
      <c r="AB59" s="3">
        <v>3253</v>
      </c>
      <c r="AC59" s="3">
        <v>2829</v>
      </c>
      <c r="AD59" s="3">
        <v>2829</v>
      </c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C60" t="s">
        <v>51</v>
      </c>
      <c r="D60" s="3">
        <v>0</v>
      </c>
      <c r="E60" s="3"/>
      <c r="F60" s="4" t="s">
        <v>37</v>
      </c>
      <c r="G60" s="3">
        <v>44.147</v>
      </c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>
        <v>44.147</v>
      </c>
      <c r="V60" s="3">
        <v>132.441</v>
      </c>
      <c r="W60" s="3">
        <v>10</v>
      </c>
      <c r="X60" s="3">
        <v>432.71</v>
      </c>
      <c r="Y60" s="3">
        <v>833.5</v>
      </c>
      <c r="Z60" s="3">
        <v>833.5</v>
      </c>
      <c r="AA60" s="3">
        <v>2552</v>
      </c>
      <c r="AB60" s="3">
        <v>3253</v>
      </c>
      <c r="AC60" s="3">
        <v>2829</v>
      </c>
      <c r="AD60" s="3">
        <v>2829</v>
      </c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C61" t="s">
        <v>51</v>
      </c>
      <c r="D61" s="3">
        <v>0</v>
      </c>
      <c r="E61" s="3"/>
      <c r="F61" s="4" t="s">
        <v>37</v>
      </c>
      <c r="G61" s="3">
        <v>44.147</v>
      </c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>
        <v>44.147</v>
      </c>
      <c r="V61" s="3">
        <v>132.441</v>
      </c>
      <c r="W61" s="3">
        <v>10</v>
      </c>
      <c r="X61" s="3">
        <v>432.71</v>
      </c>
      <c r="Y61" s="3">
        <v>833.5</v>
      </c>
      <c r="Z61" s="3">
        <v>833.5</v>
      </c>
      <c r="AA61" s="3">
        <v>2552</v>
      </c>
      <c r="AB61" s="3">
        <v>3253</v>
      </c>
      <c r="AC61" s="3">
        <v>2829</v>
      </c>
      <c r="AD61" s="3">
        <v>2829</v>
      </c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C62" t="s">
        <v>51</v>
      </c>
      <c r="D62" s="3">
        <v>0</v>
      </c>
      <c r="E62" s="3"/>
      <c r="F62" s="4" t="s">
        <v>37</v>
      </c>
      <c r="G62" s="3">
        <v>44.147</v>
      </c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>
        <v>44.147</v>
      </c>
      <c r="V62" s="3">
        <v>132.441</v>
      </c>
      <c r="W62" s="3">
        <v>10</v>
      </c>
      <c r="X62" s="3">
        <v>432.71</v>
      </c>
      <c r="Y62" s="3">
        <v>833.5</v>
      </c>
      <c r="Z62" s="3">
        <v>833.5</v>
      </c>
      <c r="AA62" s="3">
        <v>2552</v>
      </c>
      <c r="AB62" s="3">
        <v>3253</v>
      </c>
      <c r="AC62" s="3">
        <v>2829</v>
      </c>
      <c r="AD62" s="3">
        <v>2829</v>
      </c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C63" t="s">
        <v>51</v>
      </c>
      <c r="D63" s="3">
        <v>0</v>
      </c>
      <c r="E63" s="3"/>
      <c r="F63" s="4" t="s">
        <v>37</v>
      </c>
      <c r="G63" s="3">
        <v>44.147</v>
      </c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>
        <v>44.147</v>
      </c>
      <c r="V63" s="3">
        <v>132.441</v>
      </c>
      <c r="W63" s="3">
        <v>10</v>
      </c>
      <c r="X63" s="3">
        <v>432.71</v>
      </c>
      <c r="Y63" s="3">
        <v>833.5</v>
      </c>
      <c r="Z63" s="3">
        <v>833.5</v>
      </c>
      <c r="AA63" s="3">
        <v>2552</v>
      </c>
      <c r="AB63" s="3">
        <v>3253</v>
      </c>
      <c r="AC63" s="3">
        <v>2829</v>
      </c>
      <c r="AD63" s="3">
        <v>2829</v>
      </c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C64" t="s">
        <v>51</v>
      </c>
      <c r="D64" s="3">
        <v>81.24999781354005</v>
      </c>
      <c r="E64" s="3"/>
      <c r="F64" s="4" t="s">
        <v>37</v>
      </c>
      <c r="G64" s="3">
        <v>44.147</v>
      </c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>
        <v>44.147</v>
      </c>
      <c r="V64" s="3">
        <v>132.441</v>
      </c>
      <c r="W64" s="3">
        <v>10</v>
      </c>
      <c r="X64" s="3">
        <v>432.71</v>
      </c>
      <c r="Y64" s="3">
        <v>833.5</v>
      </c>
      <c r="Z64" s="3">
        <v>833.5</v>
      </c>
      <c r="AA64" s="3">
        <v>2552</v>
      </c>
      <c r="AB64" s="3">
        <v>3253</v>
      </c>
      <c r="AC64" s="3">
        <v>2829</v>
      </c>
      <c r="AD64" s="3">
        <v>2829</v>
      </c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C65" t="s">
        <v>51</v>
      </c>
      <c r="D65" s="3">
        <v>88.41385232105328</v>
      </c>
      <c r="E65" s="3"/>
      <c r="F65" s="4" t="s">
        <v>37</v>
      </c>
      <c r="G65" s="3">
        <v>44.147</v>
      </c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>
        <v>44.147</v>
      </c>
      <c r="V65" s="3">
        <v>132.441</v>
      </c>
      <c r="W65" s="3">
        <v>10</v>
      </c>
      <c r="X65" s="3">
        <v>432.71</v>
      </c>
      <c r="Y65" s="3">
        <v>833.5</v>
      </c>
      <c r="Z65" s="3">
        <v>833.5</v>
      </c>
      <c r="AA65" s="3">
        <v>2552</v>
      </c>
      <c r="AB65" s="3">
        <v>3253</v>
      </c>
      <c r="AC65" s="3">
        <v>2829</v>
      </c>
      <c r="AD65" s="3">
        <v>2829</v>
      </c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C66" t="s">
        <v>51</v>
      </c>
      <c r="D66" s="3">
        <v>4.836031645162901</v>
      </c>
      <c r="E66" s="3"/>
      <c r="F66" s="4" t="s">
        <v>37</v>
      </c>
      <c r="G66" s="3">
        <v>44.147</v>
      </c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>
        <v>44.147</v>
      </c>
      <c r="V66" s="3">
        <v>132.441</v>
      </c>
      <c r="W66" s="3">
        <v>10</v>
      </c>
      <c r="X66" s="3">
        <v>432.71</v>
      </c>
      <c r="Y66" s="3">
        <v>833.5</v>
      </c>
      <c r="Z66" s="3">
        <v>833.5</v>
      </c>
      <c r="AA66" s="3">
        <v>2552</v>
      </c>
      <c r="AB66" s="3">
        <v>3253</v>
      </c>
      <c r="AC66" s="3">
        <v>2829</v>
      </c>
      <c r="AD66" s="3">
        <v>2829</v>
      </c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C67" t="s">
        <v>51</v>
      </c>
      <c r="D67" s="3">
        <v>6.673245330861507</v>
      </c>
      <c r="E67" s="3"/>
      <c r="F67" s="4" t="s">
        <v>37</v>
      </c>
      <c r="G67" s="3">
        <v>44.147</v>
      </c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>
        <v>44.147</v>
      </c>
      <c r="V67" s="3">
        <v>132.441</v>
      </c>
      <c r="W67" s="3">
        <v>10</v>
      </c>
      <c r="X67" s="3">
        <v>432.71</v>
      </c>
      <c r="Y67" s="3">
        <v>833.5</v>
      </c>
      <c r="Z67" s="3">
        <v>833.5</v>
      </c>
      <c r="AA67" s="3">
        <v>2552</v>
      </c>
      <c r="AB67" s="3">
        <v>3253</v>
      </c>
      <c r="AC67" s="3">
        <v>2829</v>
      </c>
      <c r="AD67" s="3">
        <v>2829</v>
      </c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C68" t="s">
        <v>51</v>
      </c>
      <c r="D68" s="3">
        <v>0</v>
      </c>
      <c r="E68" s="3"/>
      <c r="F68" s="4" t="s">
        <v>37</v>
      </c>
      <c r="G68" s="3">
        <v>44.147</v>
      </c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>
        <v>44.147</v>
      </c>
      <c r="V68" s="3">
        <v>132.441</v>
      </c>
      <c r="W68" s="3">
        <v>10</v>
      </c>
      <c r="X68" s="3">
        <v>432.71</v>
      </c>
      <c r="Y68" s="3">
        <v>833.5</v>
      </c>
      <c r="Z68" s="3">
        <v>833.5</v>
      </c>
      <c r="AA68" s="3">
        <v>2552</v>
      </c>
      <c r="AB68" s="3">
        <v>3253</v>
      </c>
      <c r="AC68" s="3">
        <v>2829</v>
      </c>
      <c r="AD68" s="3">
        <v>2829</v>
      </c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C69" t="s">
        <v>51</v>
      </c>
      <c r="D69" s="3">
        <v>0</v>
      </c>
      <c r="E69" s="3"/>
      <c r="F69" s="4" t="s">
        <v>37</v>
      </c>
      <c r="G69" s="3">
        <v>44.147</v>
      </c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>
        <v>44.147</v>
      </c>
      <c r="V69" s="3">
        <v>132.441</v>
      </c>
      <c r="W69" s="3">
        <v>10</v>
      </c>
      <c r="X69" s="3">
        <v>432.71</v>
      </c>
      <c r="Y69" s="3">
        <v>833.5</v>
      </c>
      <c r="Z69" s="3">
        <v>833.5</v>
      </c>
      <c r="AA69" s="3">
        <v>2552</v>
      </c>
      <c r="AB69" s="3">
        <v>3253</v>
      </c>
      <c r="AC69" s="3">
        <v>2829</v>
      </c>
      <c r="AD69" s="3">
        <v>2829</v>
      </c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214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C72" t="s">
        <v>51</v>
      </c>
      <c r="D72" s="3"/>
      <c r="E72" s="3"/>
      <c r="F72" s="4" t="s">
        <v>37</v>
      </c>
      <c r="G72" s="3">
        <v>0.153</v>
      </c>
      <c r="H72" s="3"/>
      <c r="I72" s="3"/>
      <c r="J72" s="3"/>
      <c r="K72" s="3"/>
      <c r="L72" s="3"/>
      <c r="M72" s="3"/>
      <c r="N72" s="3"/>
      <c r="O72" s="3"/>
      <c r="P72" s="3"/>
      <c r="Q72" s="3">
        <v>0.153</v>
      </c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C73" t="s">
        <v>51</v>
      </c>
      <c r="D73" s="3"/>
      <c r="E73" s="3"/>
      <c r="F73" s="4" t="s">
        <v>37</v>
      </c>
      <c r="G73" s="3">
        <v>0.153</v>
      </c>
      <c r="H73" s="3"/>
      <c r="I73" s="3"/>
      <c r="J73" s="3"/>
      <c r="K73" s="3"/>
      <c r="L73" s="3"/>
      <c r="M73" s="3"/>
      <c r="N73" s="3"/>
      <c r="O73" s="3"/>
      <c r="P73" s="3"/>
      <c r="Q73" s="3">
        <v>0.153</v>
      </c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C74" t="s">
        <v>51</v>
      </c>
      <c r="D74" s="3"/>
      <c r="E74" s="3"/>
      <c r="F74" s="4" t="s">
        <v>37</v>
      </c>
      <c r="G74" s="3">
        <v>0</v>
      </c>
      <c r="H74" s="3"/>
      <c r="I74" s="3"/>
      <c r="J74" s="3"/>
      <c r="K74" s="3"/>
      <c r="L74" s="3"/>
      <c r="M74" s="3"/>
      <c r="N74" s="3"/>
      <c r="O74" s="3"/>
      <c r="P74" s="3"/>
      <c r="Q74" s="3">
        <v>0</v>
      </c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C75" t="s">
        <v>51</v>
      </c>
      <c r="D75" s="3"/>
      <c r="E75" s="3"/>
      <c r="F75" s="4" t="s">
        <v>37</v>
      </c>
      <c r="G75" s="3">
        <v>0</v>
      </c>
      <c r="H75" s="3"/>
      <c r="I75" s="3"/>
      <c r="J75" s="3"/>
      <c r="K75" s="3"/>
      <c r="L75" s="3"/>
      <c r="M75" s="3"/>
      <c r="N75" s="3"/>
      <c r="O75" s="3"/>
      <c r="P75" s="3"/>
      <c r="Q75" s="3">
        <v>0</v>
      </c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C76" t="s">
        <v>51</v>
      </c>
      <c r="D76" s="3"/>
      <c r="E76" s="3"/>
      <c r="F76" s="4" t="s">
        <v>37</v>
      </c>
      <c r="G76" s="3">
        <v>0</v>
      </c>
      <c r="H76" s="3"/>
      <c r="I76" s="3"/>
      <c r="J76" s="3"/>
      <c r="K76" s="3"/>
      <c r="L76" s="3"/>
      <c r="M76" s="3"/>
      <c r="N76" s="3"/>
      <c r="O76" s="3"/>
      <c r="P76" s="3"/>
      <c r="Q76" s="3">
        <v>0</v>
      </c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C77" t="s">
        <v>51</v>
      </c>
      <c r="D77" s="3"/>
      <c r="E77" s="3"/>
      <c r="F77" s="4" t="s">
        <v>37</v>
      </c>
      <c r="G77" s="3">
        <v>0</v>
      </c>
      <c r="H77" s="3"/>
      <c r="I77" s="3"/>
      <c r="J77" s="3"/>
      <c r="K77" s="3"/>
      <c r="L77" s="3"/>
      <c r="M77" s="3"/>
      <c r="N77" s="3"/>
      <c r="O77" s="3"/>
      <c r="P77" s="3"/>
      <c r="Q77" s="3">
        <v>0</v>
      </c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C78" t="s">
        <v>51</v>
      </c>
      <c r="D78" s="3"/>
      <c r="E78" s="3"/>
      <c r="F78" s="4" t="s">
        <v>37</v>
      </c>
      <c r="G78" s="3">
        <v>0.04842971801491493</v>
      </c>
      <c r="H78" s="3"/>
      <c r="I78" s="3"/>
      <c r="J78" s="3"/>
      <c r="K78" s="3"/>
      <c r="L78" s="3"/>
      <c r="M78" s="3"/>
      <c r="N78" s="3"/>
      <c r="O78" s="3"/>
      <c r="P78" s="3"/>
      <c r="Q78" s="3">
        <v>0</v>
      </c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C79" t="s">
        <v>51</v>
      </c>
      <c r="D79" s="3"/>
      <c r="E79" s="3"/>
      <c r="F79" s="4" t="s">
        <v>37</v>
      </c>
      <c r="G79" s="3">
        <v>0.04842971801491493</v>
      </c>
      <c r="H79" s="3"/>
      <c r="I79" s="3"/>
      <c r="J79" s="3"/>
      <c r="K79" s="3"/>
      <c r="L79" s="3"/>
      <c r="M79" s="3"/>
      <c r="N79" s="3"/>
      <c r="O79" s="3"/>
      <c r="P79" s="3"/>
      <c r="Q79" s="3">
        <v>0</v>
      </c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C80" t="s">
        <v>51</v>
      </c>
      <c r="D80" s="3"/>
      <c r="E80" s="3"/>
      <c r="F80" s="4" t="s">
        <v>37</v>
      </c>
      <c r="G80" s="3">
        <v>0.04842971801491493</v>
      </c>
      <c r="H80" s="3"/>
      <c r="I80" s="3"/>
      <c r="J80" s="3"/>
      <c r="K80" s="3"/>
      <c r="L80" s="3"/>
      <c r="M80" s="3"/>
      <c r="N80" s="3"/>
      <c r="O80" s="3"/>
      <c r="P80" s="3"/>
      <c r="Q80" s="3">
        <v>0</v>
      </c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C81" t="s">
        <v>51</v>
      </c>
      <c r="D81" s="3"/>
      <c r="E81" s="3"/>
      <c r="F81" s="4" t="s">
        <v>37</v>
      </c>
      <c r="G81" s="3">
        <v>0.04842971801491494</v>
      </c>
      <c r="H81" s="3"/>
      <c r="I81" s="3"/>
      <c r="J81" s="3"/>
      <c r="K81" s="3"/>
      <c r="L81" s="3"/>
      <c r="M81" s="3"/>
      <c r="N81" s="3"/>
      <c r="O81" s="3"/>
      <c r="P81" s="3"/>
      <c r="Q81" s="3">
        <v>0</v>
      </c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C82" t="s">
        <v>51</v>
      </c>
      <c r="D82" s="3"/>
      <c r="E82" s="3"/>
      <c r="F82" s="4" t="s">
        <v>37</v>
      </c>
      <c r="G82" s="3">
        <v>0.1208135642968469</v>
      </c>
      <c r="H82" s="3"/>
      <c r="I82" s="3"/>
      <c r="J82" s="3"/>
      <c r="K82" s="3"/>
      <c r="L82" s="3"/>
      <c r="M82" s="3"/>
      <c r="N82" s="3"/>
      <c r="O82" s="3"/>
      <c r="P82" s="3"/>
      <c r="Q82" s="3">
        <v>0.1208135642968469</v>
      </c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C83" t="s">
        <v>51</v>
      </c>
      <c r="D83" s="3"/>
      <c r="E83" s="3"/>
      <c r="F83" s="4" t="s">
        <v>37</v>
      </c>
      <c r="G83" s="3">
        <v>0.1208135642968469</v>
      </c>
      <c r="H83" s="3"/>
      <c r="I83" s="3"/>
      <c r="J83" s="3"/>
      <c r="K83" s="3"/>
      <c r="L83" s="3"/>
      <c r="M83" s="3"/>
      <c r="N83" s="3"/>
      <c r="O83" s="3"/>
      <c r="P83" s="3"/>
      <c r="Q83" s="3">
        <v>0.1208135642968469</v>
      </c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"N.A."</formula1>
    </dataValidation>
    <dataValidation type="list" allowBlank="1" showInputMessage="1" showErrorMessage="1" sqref="C3">
      <formula1>"N.A."</formula1>
    </dataValidation>
    <dataValidation type="list" allowBlank="1" showInputMessage="1" showErrorMessage="1" sqref="C4">
      <formula1>"N.A."</formula1>
    </dataValidation>
    <dataValidation type="list" allowBlank="1" showInputMessage="1" showErrorMessage="1" sqref="C5">
      <formula1>"N.A."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C7">
      <formula1>"N.A."</formula1>
    </dataValidation>
    <dataValidation type="list" allowBlank="1" showInputMessage="1" showErrorMessage="1" sqref="C8">
      <formula1>"N.A."</formula1>
    </dataValidation>
    <dataValidation type="list" allowBlank="1" showInputMessage="1" showErrorMessage="1" sqref="C9">
      <formula1>"N.A."</formula1>
    </dataValidation>
    <dataValidation type="list" allowBlank="1" showInputMessage="1" showErrorMessage="1" sqref="C10">
      <formula1>"N.A."</formula1>
    </dataValidation>
    <dataValidation type="list" allowBlank="1" showInputMessage="1" showErrorMessage="1" sqref="C11">
      <formula1>"N.A."</formula1>
    </dataValidation>
    <dataValidation type="list" allowBlank="1" showInputMessage="1" showErrorMessage="1" sqref="C12">
      <formula1>"N.A."</formula1>
    </dataValidation>
    <dataValidation type="list" allowBlank="1" showInputMessage="1" showErrorMessage="1" sqref="C13">
      <formula1>"N.A."</formula1>
    </dataValidation>
    <dataValidation type="list" allowBlank="1" showInputMessage="1" showErrorMessage="1" sqref="C16">
      <formula1>"N.A."</formula1>
    </dataValidation>
    <dataValidation type="list" allowBlank="1" showInputMessage="1" showErrorMessage="1" sqref="C17">
      <formula1>"N.A."</formula1>
    </dataValidation>
    <dataValidation type="list" allowBlank="1" showInputMessage="1" showErrorMessage="1" sqref="C18">
      <formula1>"N.A."</formula1>
    </dataValidation>
    <dataValidation type="list" allowBlank="1" showInputMessage="1" showErrorMessage="1" sqref="C19">
      <formula1>"N.A."</formula1>
    </dataValidation>
    <dataValidation type="list" allowBlank="1" showInputMessage="1" showErrorMessage="1" sqref="C20">
      <formula1>"N.A."</formula1>
    </dataValidation>
    <dataValidation type="list" allowBlank="1" showInputMessage="1" showErrorMessage="1" sqref="C21">
      <formula1>"N.A."</formula1>
    </dataValidation>
    <dataValidation type="list" allowBlank="1" showInputMessage="1" showErrorMessage="1" sqref="C22">
      <formula1>"N.A."</formula1>
    </dataValidation>
    <dataValidation type="list" allowBlank="1" showInputMessage="1" showErrorMessage="1" sqref="C23">
      <formula1>"N.A."</formula1>
    </dataValidation>
    <dataValidation type="list" allowBlank="1" showInputMessage="1" showErrorMessage="1" sqref="C24">
      <formula1>"N.A."</formula1>
    </dataValidation>
    <dataValidation type="list" allowBlank="1" showInputMessage="1" showErrorMessage="1" sqref="C25">
      <formula1>"N.A."</formula1>
    </dataValidation>
    <dataValidation type="list" allowBlank="1" showInputMessage="1" showErrorMessage="1" sqref="C26">
      <formula1>"N.A."</formula1>
    </dataValidation>
    <dataValidation type="list" allowBlank="1" showInputMessage="1" showErrorMessage="1" sqref="C27">
      <formula1>"N.A."</formula1>
    </dataValidation>
    <dataValidation type="list" allowBlank="1" showInputMessage="1" showErrorMessage="1" sqref="C30">
      <formula1>"N.A."</formula1>
    </dataValidation>
    <dataValidation type="list" allowBlank="1" showInputMessage="1" showErrorMessage="1" sqref="C31">
      <formula1>"N.A."</formula1>
    </dataValidation>
    <dataValidation type="list" allowBlank="1" showInputMessage="1" showErrorMessage="1" sqref="C32">
      <formula1>"N.A."</formula1>
    </dataValidation>
    <dataValidation type="list" allowBlank="1" showInputMessage="1" showErrorMessage="1" sqref="C33">
      <formula1>"N.A."</formula1>
    </dataValidation>
    <dataValidation type="list" allowBlank="1" showInputMessage="1" showErrorMessage="1" sqref="C34">
      <formula1>"N.A."</formula1>
    </dataValidation>
    <dataValidation type="list" allowBlank="1" showInputMessage="1" showErrorMessage="1" sqref="C35">
      <formula1>"N.A."</formula1>
    </dataValidation>
    <dataValidation type="list" allowBlank="1" showInputMessage="1" showErrorMessage="1" sqref="C36">
      <formula1>"N.A."</formula1>
    </dataValidation>
    <dataValidation type="list" allowBlank="1" showInputMessage="1" showErrorMessage="1" sqref="C37">
      <formula1>"N.A."</formula1>
    </dataValidation>
    <dataValidation type="list" allowBlank="1" showInputMessage="1" showErrorMessage="1" sqref="C38">
      <formula1>"N.A."</formula1>
    </dataValidation>
    <dataValidation type="list" allowBlank="1" showInputMessage="1" showErrorMessage="1" sqref="C39">
      <formula1>"N.A."</formula1>
    </dataValidation>
    <dataValidation type="list" allowBlank="1" showInputMessage="1" showErrorMessage="1" sqref="C40">
      <formula1>"N.A."</formula1>
    </dataValidation>
    <dataValidation type="list" allowBlank="1" showInputMessage="1" showErrorMessage="1" sqref="C41">
      <formula1>"N.A."</formula1>
    </dataValidation>
    <dataValidation type="list" allowBlank="1" showInputMessage="1" showErrorMessage="1" sqref="C44">
      <formula1>"N.A."</formula1>
    </dataValidation>
    <dataValidation type="list" allowBlank="1" showInputMessage="1" showErrorMessage="1" sqref="C45">
      <formula1>"N.A."</formula1>
    </dataValidation>
    <dataValidation type="list" allowBlank="1" showInputMessage="1" showErrorMessage="1" sqref="C46">
      <formula1>"N.A."</formula1>
    </dataValidation>
    <dataValidation type="list" allowBlank="1" showInputMessage="1" showErrorMessage="1" sqref="C47">
      <formula1>"N.A."</formula1>
    </dataValidation>
    <dataValidation type="list" allowBlank="1" showInputMessage="1" showErrorMessage="1" sqref="C48">
      <formula1>"N.A."</formula1>
    </dataValidation>
    <dataValidation type="list" allowBlank="1" showInputMessage="1" showErrorMessage="1" sqref="C49">
      <formula1>"N.A."</formula1>
    </dataValidation>
    <dataValidation type="list" allowBlank="1" showInputMessage="1" showErrorMessage="1" sqref="C50">
      <formula1>"N.A."</formula1>
    </dataValidation>
    <dataValidation type="list" allowBlank="1" showInputMessage="1" showErrorMessage="1" sqref="C51">
      <formula1>"N.A."</formula1>
    </dataValidation>
    <dataValidation type="list" allowBlank="1" showInputMessage="1" showErrorMessage="1" sqref="C52">
      <formula1>"N.A."</formula1>
    </dataValidation>
    <dataValidation type="list" allowBlank="1" showInputMessage="1" showErrorMessage="1" sqref="C53">
      <formula1>"N.A."</formula1>
    </dataValidation>
    <dataValidation type="list" allowBlank="1" showInputMessage="1" showErrorMessage="1" sqref="C54">
      <formula1>"N.A."</formula1>
    </dataValidation>
    <dataValidation type="list" allowBlank="1" showInputMessage="1" showErrorMessage="1" sqref="C55">
      <formula1>"N.A."</formula1>
    </dataValidation>
    <dataValidation type="list" allowBlank="1" showInputMessage="1" showErrorMessage="1" sqref="C58">
      <formula1>"Number (per year)"</formula1>
    </dataValidation>
    <dataValidation type="list" allowBlank="1" showInputMessage="1" showErrorMessage="1" sqref="C59">
      <formula1>"Number (per year)"</formula1>
    </dataValidation>
    <dataValidation type="list" allowBlank="1" showInputMessage="1" showErrorMessage="1" sqref="C60">
      <formula1>"Number (per year)"</formula1>
    </dataValidation>
    <dataValidation type="list" allowBlank="1" showInputMessage="1" showErrorMessage="1" sqref="C61">
      <formula1>"Number (per year)"</formula1>
    </dataValidation>
    <dataValidation type="list" allowBlank="1" showInputMessage="1" showErrorMessage="1" sqref="C62">
      <formula1>"Number (per year)"</formula1>
    </dataValidation>
    <dataValidation type="list" allowBlank="1" showInputMessage="1" showErrorMessage="1" sqref="C63">
      <formula1>"Number (per year)"</formula1>
    </dataValidation>
    <dataValidation type="list" allowBlank="1" showInputMessage="1" showErrorMessage="1" sqref="C64">
      <formula1>"Number (per year)"</formula1>
    </dataValidation>
    <dataValidation type="list" allowBlank="1" showInputMessage="1" showErrorMessage="1" sqref="C65">
      <formula1>"Number (per year)"</formula1>
    </dataValidation>
    <dataValidation type="list" allowBlank="1" showInputMessage="1" showErrorMessage="1" sqref="C66">
      <formula1>"Number (per year)"</formula1>
    </dataValidation>
    <dataValidation type="list" allowBlank="1" showInputMessage="1" showErrorMessage="1" sqref="C67">
      <formula1>"Number (per year)"</formula1>
    </dataValidation>
    <dataValidation type="list" allowBlank="1" showInputMessage="1" showErrorMessage="1" sqref="C68">
      <formula1>"Number (per year)"</formula1>
    </dataValidation>
    <dataValidation type="list" allowBlank="1" showInputMessage="1" showErrorMessage="1" sqref="C69">
      <formula1>"Number (per year)"</formula1>
    </dataValidation>
    <dataValidation type="list" allowBlank="1" showInputMessage="1" showErrorMessage="1" sqref="C72">
      <formula1>"Number (per year)"</formula1>
    </dataValidation>
    <dataValidation type="list" allowBlank="1" showInputMessage="1" showErrorMessage="1" sqref="C73">
      <formula1>"Number (per year)"</formula1>
    </dataValidation>
    <dataValidation type="list" allowBlank="1" showInputMessage="1" showErrorMessage="1" sqref="C74">
      <formula1>"Number (per year)"</formula1>
    </dataValidation>
    <dataValidation type="list" allowBlank="1" showInputMessage="1" showErrorMessage="1" sqref="C75">
      <formula1>"Number (per year)"</formula1>
    </dataValidation>
    <dataValidation type="list" allowBlank="1" showInputMessage="1" showErrorMessage="1" sqref="C76">
      <formula1>"Number (per year)"</formula1>
    </dataValidation>
    <dataValidation type="list" allowBlank="1" showInputMessage="1" showErrorMessage="1" sqref="C77">
      <formula1>"Number (per year)"</formula1>
    </dataValidation>
    <dataValidation type="list" allowBlank="1" showInputMessage="1" showErrorMessage="1" sqref="C78">
      <formula1>"Number (per year)"</formula1>
    </dataValidation>
    <dataValidation type="list" allowBlank="1" showInputMessage="1" showErrorMessage="1" sqref="C79">
      <formula1>"Number (per year)"</formula1>
    </dataValidation>
    <dataValidation type="list" allowBlank="1" showInputMessage="1" showErrorMessage="1" sqref="C80">
      <formula1>"Number (per year)"</formula1>
    </dataValidation>
    <dataValidation type="list" allowBlank="1" showInputMessage="1" showErrorMessage="1" sqref="C81">
      <formula1>"Number (per year)"</formula1>
    </dataValidation>
    <dataValidation type="list" allowBlank="1" showInputMessage="1" showErrorMessage="1" sqref="C82">
      <formula1>"Number (per year)"</formula1>
    </dataValidation>
    <dataValidation type="list" allowBlank="1" showInputMessage="1" showErrorMessage="1" sqref="C83">
      <formula1>"Number (per year)"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808080"/>
  </sheetPr>
  <dimension ref="A1:BE83"/>
  <sheetViews>
    <sheetView workbookViewId="0"/>
  </sheetViews>
  <sheetFormatPr defaultRowHeight="15"/>
  <cols>
    <col min="1" max="1" width="67.7109375" customWidth="1"/>
    <col min="2" max="2" width="30.28515625" customWidth="1"/>
    <col min="3" max="3" width="25.85546875" customWidth="1"/>
    <col min="4" max="4" width="13.85546875" customWidth="1"/>
    <col min="5" max="5" width="10.5703125" customWidth="1"/>
    <col min="6" max="6" width="3.85546875" customWidth="1"/>
    <col min="7" max="57" width="9.42578125" customWidth="1"/>
  </cols>
  <sheetData>
    <row r="1" spans="1:57">
      <c r="A1" s="1" t="s">
        <v>215</v>
      </c>
      <c r="B1" s="1" t="s">
        <v>29</v>
      </c>
      <c r="C1" s="1" t="s">
        <v>30</v>
      </c>
      <c r="D1" s="1" t="s">
        <v>31</v>
      </c>
      <c r="E1" s="1" t="s">
        <v>36</v>
      </c>
      <c r="F1" s="1"/>
      <c r="G1" s="1">
        <v>2000</v>
      </c>
      <c r="H1" s="1">
        <v>2001</v>
      </c>
      <c r="I1" s="1">
        <v>2002</v>
      </c>
      <c r="J1" s="1">
        <v>2003</v>
      </c>
      <c r="K1" s="1">
        <v>2004</v>
      </c>
      <c r="L1" s="1">
        <v>2005</v>
      </c>
      <c r="M1" s="1">
        <v>2006</v>
      </c>
      <c r="N1" s="1">
        <v>2007</v>
      </c>
      <c r="O1" s="1">
        <v>2008</v>
      </c>
      <c r="P1" s="1">
        <v>2009</v>
      </c>
      <c r="Q1" s="1">
        <v>2010</v>
      </c>
      <c r="R1" s="1">
        <v>2011</v>
      </c>
      <c r="S1" s="1">
        <v>2012</v>
      </c>
      <c r="T1" s="1">
        <v>2013</v>
      </c>
      <c r="U1" s="1">
        <v>2014</v>
      </c>
      <c r="V1" s="1">
        <v>2015</v>
      </c>
      <c r="W1" s="1">
        <v>2016</v>
      </c>
      <c r="X1" s="1">
        <v>2017</v>
      </c>
      <c r="Y1" s="1">
        <v>2018</v>
      </c>
      <c r="Z1" s="1">
        <v>2019</v>
      </c>
      <c r="AA1" s="1">
        <v>2020</v>
      </c>
      <c r="AB1" s="1">
        <v>2021</v>
      </c>
      <c r="AC1" s="1">
        <v>2022</v>
      </c>
      <c r="AD1" s="1">
        <v>2023</v>
      </c>
      <c r="AE1" s="1">
        <v>2024</v>
      </c>
      <c r="AF1" s="1">
        <v>2025</v>
      </c>
      <c r="AG1" s="1">
        <v>2026</v>
      </c>
      <c r="AH1" s="1">
        <v>2027</v>
      </c>
      <c r="AI1" s="1">
        <v>2028</v>
      </c>
      <c r="AJ1" s="1">
        <v>2029</v>
      </c>
      <c r="AK1" s="1">
        <v>2030</v>
      </c>
      <c r="AL1" s="1">
        <v>2031</v>
      </c>
      <c r="AM1" s="1">
        <v>2032</v>
      </c>
      <c r="AN1" s="1">
        <v>2033</v>
      </c>
      <c r="AO1" s="1">
        <v>2034</v>
      </c>
      <c r="AP1" s="1">
        <v>2035</v>
      </c>
      <c r="AQ1" s="1">
        <v>2036</v>
      </c>
      <c r="AR1" s="1">
        <v>2037</v>
      </c>
      <c r="AS1" s="1">
        <v>2038</v>
      </c>
      <c r="AT1" s="1">
        <v>2039</v>
      </c>
      <c r="AU1" s="1">
        <v>2040</v>
      </c>
      <c r="AV1" s="1">
        <v>2041</v>
      </c>
      <c r="AW1" s="1">
        <v>2042</v>
      </c>
      <c r="AX1" s="1">
        <v>2043</v>
      </c>
      <c r="AY1" s="1">
        <v>2044</v>
      </c>
      <c r="AZ1" s="1">
        <v>2045</v>
      </c>
      <c r="BA1" s="1">
        <v>2046</v>
      </c>
      <c r="BB1" s="1">
        <v>2047</v>
      </c>
      <c r="BC1" s="1">
        <v>2048</v>
      </c>
      <c r="BD1" s="1">
        <v>2049</v>
      </c>
      <c r="BE1" s="1">
        <v>2050</v>
      </c>
    </row>
    <row r="2" spans="1:57">
      <c r="A2" s="1" t="str">
        <f>'Population Definitions'!$A$2</f>
        <v>PWID_males</v>
      </c>
      <c r="B2" t="s">
        <v>61</v>
      </c>
      <c r="C2" t="s">
        <v>58</v>
      </c>
      <c r="D2" s="3"/>
      <c r="E2" s="3">
        <v>0</v>
      </c>
      <c r="F2" s="4" t="s">
        <v>37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  <c r="AQ2" s="3"/>
      <c r="AR2" s="3"/>
      <c r="AS2" s="3"/>
      <c r="AT2" s="3"/>
      <c r="AU2" s="3"/>
      <c r="AV2" s="3"/>
      <c r="AW2" s="3"/>
      <c r="AX2" s="3"/>
      <c r="AY2" s="3"/>
      <c r="AZ2" s="3"/>
      <c r="BA2" s="3"/>
      <c r="BB2" s="3"/>
      <c r="BC2" s="3"/>
      <c r="BD2" s="3"/>
      <c r="BE2" s="3"/>
    </row>
    <row r="3" spans="1:57">
      <c r="A3" s="1" t="str">
        <f>'Population Definitions'!$A$3</f>
        <v>PWID_females</v>
      </c>
      <c r="B3" t="s">
        <v>61</v>
      </c>
      <c r="C3" t="s">
        <v>58</v>
      </c>
      <c r="D3" s="3"/>
      <c r="E3" s="3">
        <v>0</v>
      </c>
      <c r="F3" s="4" t="s">
        <v>37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  <c r="AQ3" s="3"/>
      <c r="AR3" s="3"/>
      <c r="AS3" s="3"/>
      <c r="AT3" s="3"/>
      <c r="AU3" s="3"/>
      <c r="AV3" s="3"/>
      <c r="AW3" s="3"/>
      <c r="AX3" s="3"/>
      <c r="AY3" s="3"/>
      <c r="AZ3" s="3"/>
      <c r="BA3" s="3"/>
      <c r="BB3" s="3"/>
      <c r="BC3" s="3"/>
      <c r="BD3" s="3"/>
      <c r="BE3" s="3"/>
    </row>
    <row r="4" spans="1:57">
      <c r="A4" s="1" t="str">
        <f>'Population Definitions'!$A$4</f>
        <v>0-9_males</v>
      </c>
      <c r="B4" t="s">
        <v>61</v>
      </c>
      <c r="C4" t="s">
        <v>58</v>
      </c>
      <c r="D4" s="3"/>
      <c r="E4" s="3">
        <v>0</v>
      </c>
      <c r="F4" s="4" t="s">
        <v>37</v>
      </c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  <c r="AQ4" s="3"/>
      <c r="AR4" s="3"/>
      <c r="AS4" s="3"/>
      <c r="AT4" s="3"/>
      <c r="AU4" s="3"/>
      <c r="AV4" s="3"/>
      <c r="AW4" s="3"/>
      <c r="AX4" s="3"/>
      <c r="AY4" s="3"/>
      <c r="AZ4" s="3"/>
      <c r="BA4" s="3"/>
      <c r="BB4" s="3"/>
      <c r="BC4" s="3"/>
      <c r="BD4" s="3"/>
      <c r="BE4" s="3"/>
    </row>
    <row r="5" spans="1:57">
      <c r="A5" s="1" t="str">
        <f>'Population Definitions'!$A$5</f>
        <v>0-9_females</v>
      </c>
      <c r="B5" t="s">
        <v>61</v>
      </c>
      <c r="C5" t="s">
        <v>58</v>
      </c>
      <c r="D5" s="3"/>
      <c r="E5" s="3">
        <v>0</v>
      </c>
      <c r="F5" s="4" t="s">
        <v>37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  <c r="AA5" s="3"/>
      <c r="AB5" s="3"/>
      <c r="AC5" s="3"/>
      <c r="AD5" s="3"/>
      <c r="AE5" s="3"/>
      <c r="AF5" s="3"/>
      <c r="AG5" s="3"/>
      <c r="AH5" s="3"/>
      <c r="AI5" s="3"/>
      <c r="AJ5" s="3"/>
      <c r="AK5" s="3"/>
      <c r="AL5" s="3"/>
      <c r="AM5" s="3"/>
      <c r="AN5" s="3"/>
      <c r="AO5" s="3"/>
      <c r="AP5" s="3"/>
      <c r="AQ5" s="3"/>
      <c r="AR5" s="3"/>
      <c r="AS5" s="3"/>
      <c r="AT5" s="3"/>
      <c r="AU5" s="3"/>
      <c r="AV5" s="3"/>
      <c r="AW5" s="3"/>
      <c r="AX5" s="3"/>
      <c r="AY5" s="3"/>
      <c r="AZ5" s="3"/>
      <c r="BA5" s="3"/>
      <c r="BB5" s="3"/>
      <c r="BC5" s="3"/>
      <c r="BD5" s="3"/>
      <c r="BE5" s="3"/>
    </row>
    <row r="6" spans="1:57">
      <c r="A6" s="1" t="str">
        <f>'Population Definitions'!$A$6</f>
        <v>10-17_males</v>
      </c>
      <c r="B6" t="s">
        <v>61</v>
      </c>
      <c r="C6" t="s">
        <v>58</v>
      </c>
      <c r="D6" s="3"/>
      <c r="E6" s="3">
        <v>0</v>
      </c>
      <c r="F6" s="4" t="s">
        <v>37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  <c r="AA6" s="3"/>
      <c r="AB6" s="3"/>
      <c r="AC6" s="3"/>
      <c r="AD6" s="3"/>
      <c r="AE6" s="3"/>
      <c r="AF6" s="3"/>
      <c r="AG6" s="3"/>
      <c r="AH6" s="3"/>
      <c r="AI6" s="3"/>
      <c r="AJ6" s="3"/>
      <c r="AK6" s="3"/>
      <c r="AL6" s="3"/>
      <c r="AM6" s="3"/>
      <c r="AN6" s="3"/>
      <c r="AO6" s="3"/>
      <c r="AP6" s="3"/>
      <c r="AQ6" s="3"/>
      <c r="AR6" s="3"/>
      <c r="AS6" s="3"/>
      <c r="AT6" s="3"/>
      <c r="AU6" s="3"/>
      <c r="AV6" s="3"/>
      <c r="AW6" s="3"/>
      <c r="AX6" s="3"/>
      <c r="AY6" s="3"/>
      <c r="AZ6" s="3"/>
      <c r="BA6" s="3"/>
      <c r="BB6" s="3"/>
      <c r="BC6" s="3"/>
      <c r="BD6" s="3"/>
      <c r="BE6" s="3"/>
    </row>
    <row r="7" spans="1:57">
      <c r="A7" s="1" t="str">
        <f>'Population Definitions'!$A$7</f>
        <v>10-17_females</v>
      </c>
      <c r="B7" t="s">
        <v>61</v>
      </c>
      <c r="C7" t="s">
        <v>58</v>
      </c>
      <c r="D7" s="3"/>
      <c r="E7" s="3">
        <v>0</v>
      </c>
      <c r="F7" s="4" t="s">
        <v>37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</row>
    <row r="8" spans="1:57">
      <c r="A8" s="1" t="str">
        <f>'Population Definitions'!$A$8</f>
        <v>18-64_males</v>
      </c>
      <c r="B8" t="s">
        <v>61</v>
      </c>
      <c r="C8" t="s">
        <v>58</v>
      </c>
      <c r="D8" s="3"/>
      <c r="E8" s="3">
        <v>0</v>
      </c>
      <c r="F8" s="4" t="s">
        <v>37</v>
      </c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  <c r="AA8" s="3"/>
      <c r="AB8" s="3"/>
      <c r="AC8" s="3"/>
      <c r="AD8" s="3"/>
      <c r="AE8" s="3"/>
      <c r="AF8" s="3"/>
      <c r="AG8" s="3"/>
      <c r="AH8" s="3"/>
      <c r="AI8" s="3"/>
      <c r="AJ8" s="3"/>
      <c r="AK8" s="3"/>
      <c r="AL8" s="3"/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/>
      <c r="AY8" s="3"/>
      <c r="AZ8" s="3"/>
      <c r="BA8" s="3"/>
      <c r="BB8" s="3"/>
      <c r="BC8" s="3"/>
      <c r="BD8" s="3"/>
      <c r="BE8" s="3"/>
    </row>
    <row r="9" spans="1:57">
      <c r="A9" s="1" t="str">
        <f>'Population Definitions'!$A$9</f>
        <v>18-64_females</v>
      </c>
      <c r="B9" t="s">
        <v>61</v>
      </c>
      <c r="C9" t="s">
        <v>58</v>
      </c>
      <c r="D9" s="3"/>
      <c r="E9" s="3">
        <v>0</v>
      </c>
      <c r="F9" s="4" t="s">
        <v>37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/>
      <c r="AX9" s="3"/>
      <c r="AY9" s="3"/>
      <c r="AZ9" s="3"/>
      <c r="BA9" s="3"/>
      <c r="BB9" s="3"/>
      <c r="BC9" s="3"/>
      <c r="BD9" s="3"/>
      <c r="BE9" s="3"/>
    </row>
    <row r="10" spans="1:57">
      <c r="A10" s="1" t="str">
        <f>'Population Definitions'!$A$10</f>
        <v>65+_males</v>
      </c>
      <c r="B10" t="s">
        <v>61</v>
      </c>
      <c r="C10" t="s">
        <v>58</v>
      </c>
      <c r="D10" s="3"/>
      <c r="E10" s="3">
        <v>0</v>
      </c>
      <c r="F10" s="4" t="s">
        <v>37</v>
      </c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  <c r="AA10" s="3"/>
      <c r="AB10" s="3"/>
      <c r="AC10" s="3"/>
      <c r="AD10" s="3"/>
      <c r="AE10" s="3"/>
      <c r="AF10" s="3"/>
      <c r="AG10" s="3"/>
      <c r="AH10" s="3"/>
      <c r="AI10" s="3"/>
      <c r="AJ10" s="3"/>
      <c r="AK10" s="3"/>
      <c r="AL10" s="3"/>
      <c r="AM10" s="3"/>
      <c r="AN10" s="3"/>
      <c r="AO10" s="3"/>
      <c r="AP10" s="3"/>
      <c r="AQ10" s="3"/>
      <c r="AR10" s="3"/>
      <c r="AS10" s="3"/>
      <c r="AT10" s="3"/>
      <c r="AU10" s="3"/>
      <c r="AV10" s="3"/>
      <c r="AW10" s="3"/>
      <c r="AX10" s="3"/>
      <c r="AY10" s="3"/>
      <c r="AZ10" s="3"/>
      <c r="BA10" s="3"/>
      <c r="BB10" s="3"/>
      <c r="BC10" s="3"/>
      <c r="BD10" s="3"/>
      <c r="BE10" s="3"/>
    </row>
    <row r="11" spans="1:57">
      <c r="A11" s="1" t="str">
        <f>'Population Definitions'!$A$11</f>
        <v>65+_females</v>
      </c>
      <c r="B11" t="s">
        <v>61</v>
      </c>
      <c r="C11" t="s">
        <v>58</v>
      </c>
      <c r="D11" s="3"/>
      <c r="E11" s="3">
        <v>0</v>
      </c>
      <c r="F11" s="4" t="s">
        <v>37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  <c r="AO11" s="3"/>
      <c r="AP11" s="3"/>
      <c r="AQ11" s="3"/>
      <c r="AR11" s="3"/>
      <c r="AS11" s="3"/>
      <c r="AT11" s="3"/>
      <c r="AU11" s="3"/>
      <c r="AV11" s="3"/>
      <c r="AW11" s="3"/>
      <c r="AX11" s="3"/>
      <c r="AY11" s="3"/>
      <c r="AZ11" s="3"/>
      <c r="BA11" s="3"/>
      <c r="BB11" s="3"/>
      <c r="BC11" s="3"/>
      <c r="BD11" s="3"/>
      <c r="BE11" s="3"/>
    </row>
    <row r="12" spans="1:57">
      <c r="A12" s="1" t="str">
        <f>'Population Definitions'!$A$12</f>
        <v>Prisoners_males</v>
      </c>
      <c r="B12" t="s">
        <v>61</v>
      </c>
      <c r="C12" t="s">
        <v>58</v>
      </c>
      <c r="D12" s="3"/>
      <c r="E12" s="3">
        <v>0</v>
      </c>
      <c r="F12" s="4" t="s">
        <v>37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3"/>
      <c r="AN12" s="3"/>
      <c r="AO12" s="3"/>
      <c r="AP12" s="3"/>
      <c r="AQ12" s="3"/>
      <c r="AR12" s="3"/>
      <c r="AS12" s="3"/>
      <c r="AT12" s="3"/>
      <c r="AU12" s="3"/>
      <c r="AV12" s="3"/>
      <c r="AW12" s="3"/>
      <c r="AX12" s="3"/>
      <c r="AY12" s="3"/>
      <c r="AZ12" s="3"/>
      <c r="BA12" s="3"/>
      <c r="BB12" s="3"/>
      <c r="BC12" s="3"/>
      <c r="BD12" s="3"/>
      <c r="BE12" s="3"/>
    </row>
    <row r="13" spans="1:57">
      <c r="A13" s="1" t="str">
        <f>'Population Definitions'!$A$13</f>
        <v>Prisoners_females</v>
      </c>
      <c r="B13" t="s">
        <v>61</v>
      </c>
      <c r="C13" t="s">
        <v>58</v>
      </c>
      <c r="D13" s="3"/>
      <c r="E13" s="3">
        <v>0</v>
      </c>
      <c r="F13" s="4" t="s">
        <v>37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/>
      <c r="AT13" s="3"/>
      <c r="AU13" s="3"/>
      <c r="AV13" s="3"/>
      <c r="AW13" s="3"/>
      <c r="AX13" s="3"/>
      <c r="AY13" s="3"/>
      <c r="AZ13" s="3"/>
      <c r="BA13" s="3"/>
      <c r="BB13" s="3"/>
      <c r="BC13" s="3"/>
      <c r="BD13" s="3"/>
      <c r="BE13" s="3"/>
    </row>
    <row r="15" spans="1:57">
      <c r="A15" s="1" t="s">
        <v>216</v>
      </c>
      <c r="B15" s="1" t="s">
        <v>29</v>
      </c>
      <c r="C15" s="1" t="s">
        <v>30</v>
      </c>
      <c r="D15" s="1" t="s">
        <v>31</v>
      </c>
      <c r="E15" s="1" t="s">
        <v>36</v>
      </c>
      <c r="F15" s="1"/>
      <c r="G15" s="1">
        <v>2000</v>
      </c>
      <c r="H15" s="1">
        <v>2001</v>
      </c>
      <c r="I15" s="1">
        <v>2002</v>
      </c>
      <c r="J15" s="1">
        <v>2003</v>
      </c>
      <c r="K15" s="1">
        <v>2004</v>
      </c>
      <c r="L15" s="1">
        <v>2005</v>
      </c>
      <c r="M15" s="1">
        <v>2006</v>
      </c>
      <c r="N15" s="1">
        <v>2007</v>
      </c>
      <c r="O15" s="1">
        <v>2008</v>
      </c>
      <c r="P15" s="1">
        <v>2009</v>
      </c>
      <c r="Q15" s="1">
        <v>2010</v>
      </c>
      <c r="R15" s="1">
        <v>2011</v>
      </c>
      <c r="S15" s="1">
        <v>2012</v>
      </c>
      <c r="T15" s="1">
        <v>2013</v>
      </c>
      <c r="U15" s="1">
        <v>2014</v>
      </c>
      <c r="V15" s="1">
        <v>2015</v>
      </c>
      <c r="W15" s="1">
        <v>2016</v>
      </c>
      <c r="X15" s="1">
        <v>2017</v>
      </c>
      <c r="Y15" s="1">
        <v>2018</v>
      </c>
      <c r="Z15" s="1">
        <v>2019</v>
      </c>
      <c r="AA15" s="1">
        <v>2020</v>
      </c>
      <c r="AB15" s="1">
        <v>2021</v>
      </c>
      <c r="AC15" s="1">
        <v>2022</v>
      </c>
      <c r="AD15" s="1">
        <v>2023</v>
      </c>
      <c r="AE15" s="1">
        <v>2024</v>
      </c>
      <c r="AF15" s="1">
        <v>2025</v>
      </c>
      <c r="AG15" s="1">
        <v>2026</v>
      </c>
      <c r="AH15" s="1">
        <v>2027</v>
      </c>
      <c r="AI15" s="1">
        <v>2028</v>
      </c>
      <c r="AJ15" s="1">
        <v>2029</v>
      </c>
      <c r="AK15" s="1">
        <v>2030</v>
      </c>
      <c r="AL15" s="1">
        <v>2031</v>
      </c>
      <c r="AM15" s="1">
        <v>2032</v>
      </c>
      <c r="AN15" s="1">
        <v>2033</v>
      </c>
      <c r="AO15" s="1">
        <v>2034</v>
      </c>
      <c r="AP15" s="1">
        <v>2035</v>
      </c>
      <c r="AQ15" s="1">
        <v>2036</v>
      </c>
      <c r="AR15" s="1">
        <v>2037</v>
      </c>
      <c r="AS15" s="1">
        <v>2038</v>
      </c>
      <c r="AT15" s="1">
        <v>2039</v>
      </c>
      <c r="AU15" s="1">
        <v>2040</v>
      </c>
      <c r="AV15" s="1">
        <v>2041</v>
      </c>
      <c r="AW15" s="1">
        <v>2042</v>
      </c>
      <c r="AX15" s="1">
        <v>2043</v>
      </c>
      <c r="AY15" s="1">
        <v>2044</v>
      </c>
      <c r="AZ15" s="1">
        <v>2045</v>
      </c>
      <c r="BA15" s="1">
        <v>2046</v>
      </c>
      <c r="BB15" s="1">
        <v>2047</v>
      </c>
      <c r="BC15" s="1">
        <v>2048</v>
      </c>
      <c r="BD15" s="1">
        <v>2049</v>
      </c>
      <c r="BE15" s="1">
        <v>2050</v>
      </c>
    </row>
    <row r="16" spans="1:57">
      <c r="A16" s="1" t="str">
        <f>'Population Definitions'!$A$2</f>
        <v>PWID_males</v>
      </c>
      <c r="B16" t="s">
        <v>61</v>
      </c>
      <c r="C16" t="s">
        <v>62</v>
      </c>
      <c r="D16" s="3"/>
      <c r="E16" s="3">
        <v>5</v>
      </c>
      <c r="F16" s="4" t="s">
        <v>37</v>
      </c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</row>
    <row r="17" spans="1:57">
      <c r="A17" s="1" t="str">
        <f>'Population Definitions'!$A$3</f>
        <v>PWID_females</v>
      </c>
      <c r="B17" t="s">
        <v>61</v>
      </c>
      <c r="C17" t="s">
        <v>62</v>
      </c>
      <c r="D17" s="3"/>
      <c r="E17" s="3">
        <v>5</v>
      </c>
      <c r="F17" s="4" t="s">
        <v>37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  <c r="AR17" s="3"/>
      <c r="AS17" s="3"/>
      <c r="AT17" s="3"/>
      <c r="AU17" s="3"/>
      <c r="AV17" s="3"/>
      <c r="AW17" s="3"/>
      <c r="AX17" s="3"/>
      <c r="AY17" s="3"/>
      <c r="AZ17" s="3"/>
      <c r="BA17" s="3"/>
      <c r="BB17" s="3"/>
      <c r="BC17" s="3"/>
      <c r="BD17" s="3"/>
      <c r="BE17" s="3"/>
    </row>
    <row r="18" spans="1:57">
      <c r="A18" s="1" t="str">
        <f>'Population Definitions'!$A$4</f>
        <v>0-9_males</v>
      </c>
      <c r="B18" t="s">
        <v>61</v>
      </c>
      <c r="C18" t="s">
        <v>62</v>
      </c>
      <c r="D18" s="3"/>
      <c r="E18" s="3">
        <v>5</v>
      </c>
      <c r="F18" s="4" t="s">
        <v>37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  <c r="AR18" s="3"/>
      <c r="AS18" s="3"/>
      <c r="AT18" s="3"/>
      <c r="AU18" s="3"/>
      <c r="AV18" s="3"/>
      <c r="AW18" s="3"/>
      <c r="AX18" s="3"/>
      <c r="AY18" s="3"/>
      <c r="AZ18" s="3"/>
      <c r="BA18" s="3"/>
      <c r="BB18" s="3"/>
      <c r="BC18" s="3"/>
      <c r="BD18" s="3"/>
      <c r="BE18" s="3"/>
    </row>
    <row r="19" spans="1:57">
      <c r="A19" s="1" t="str">
        <f>'Population Definitions'!$A$5</f>
        <v>0-9_females</v>
      </c>
      <c r="B19" t="s">
        <v>61</v>
      </c>
      <c r="C19" t="s">
        <v>62</v>
      </c>
      <c r="D19" s="3"/>
      <c r="E19" s="3">
        <v>5</v>
      </c>
      <c r="F19" s="4" t="s">
        <v>37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</row>
    <row r="20" spans="1:57">
      <c r="A20" s="1" t="str">
        <f>'Population Definitions'!$A$6</f>
        <v>10-17_males</v>
      </c>
      <c r="B20" t="s">
        <v>61</v>
      </c>
      <c r="C20" t="s">
        <v>62</v>
      </c>
      <c r="D20" s="3"/>
      <c r="E20" s="3">
        <v>5</v>
      </c>
      <c r="F20" s="4" t="s">
        <v>37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</row>
    <row r="21" spans="1:57">
      <c r="A21" s="1" t="str">
        <f>'Population Definitions'!$A$7</f>
        <v>10-17_females</v>
      </c>
      <c r="B21" t="s">
        <v>61</v>
      </c>
      <c r="C21" t="s">
        <v>62</v>
      </c>
      <c r="D21" s="3"/>
      <c r="E21" s="3">
        <v>5</v>
      </c>
      <c r="F21" s="4" t="s">
        <v>37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</row>
    <row r="22" spans="1:57">
      <c r="A22" s="1" t="str">
        <f>'Population Definitions'!$A$8</f>
        <v>18-64_males</v>
      </c>
      <c r="B22" t="s">
        <v>61</v>
      </c>
      <c r="C22" t="s">
        <v>62</v>
      </c>
      <c r="D22" s="3"/>
      <c r="E22" s="3">
        <v>5</v>
      </c>
      <c r="F22" s="4" t="s">
        <v>37</v>
      </c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  <c r="AZ22" s="3"/>
      <c r="BA22" s="3"/>
      <c r="BB22" s="3"/>
      <c r="BC22" s="3"/>
      <c r="BD22" s="3"/>
      <c r="BE22" s="3"/>
    </row>
    <row r="23" spans="1:57">
      <c r="A23" s="1" t="str">
        <f>'Population Definitions'!$A$9</f>
        <v>18-64_females</v>
      </c>
      <c r="B23" t="s">
        <v>61</v>
      </c>
      <c r="C23" t="s">
        <v>62</v>
      </c>
      <c r="D23" s="3"/>
      <c r="E23" s="3">
        <v>5</v>
      </c>
      <c r="F23" s="4" t="s">
        <v>37</v>
      </c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</row>
    <row r="24" spans="1:57">
      <c r="A24" s="1" t="str">
        <f>'Population Definitions'!$A$10</f>
        <v>65+_males</v>
      </c>
      <c r="B24" t="s">
        <v>61</v>
      </c>
      <c r="C24" t="s">
        <v>62</v>
      </c>
      <c r="D24" s="3"/>
      <c r="E24" s="3">
        <v>5</v>
      </c>
      <c r="F24" s="4" t="s">
        <v>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  <c r="AR24" s="3"/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</row>
    <row r="25" spans="1:57">
      <c r="A25" s="1" t="str">
        <f>'Population Definitions'!$A$11</f>
        <v>65+_females</v>
      </c>
      <c r="B25" t="s">
        <v>61</v>
      </c>
      <c r="C25" t="s">
        <v>62</v>
      </c>
      <c r="D25" s="3"/>
      <c r="E25" s="3">
        <v>5</v>
      </c>
      <c r="F25" s="4" t="s">
        <v>37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/>
      <c r="BE25" s="3"/>
    </row>
    <row r="26" spans="1:57">
      <c r="A26" s="1" t="str">
        <f>'Population Definitions'!$A$12</f>
        <v>Prisoners_males</v>
      </c>
      <c r="B26" t="s">
        <v>61</v>
      </c>
      <c r="C26" t="s">
        <v>62</v>
      </c>
      <c r="D26" s="3"/>
      <c r="E26" s="3">
        <v>5</v>
      </c>
      <c r="F26" s="4" t="s">
        <v>37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</row>
    <row r="27" spans="1:57">
      <c r="A27" s="1" t="str">
        <f>'Population Definitions'!$A$13</f>
        <v>Prisoners_females</v>
      </c>
      <c r="B27" t="s">
        <v>61</v>
      </c>
      <c r="C27" t="s">
        <v>62</v>
      </c>
      <c r="D27" s="3"/>
      <c r="E27" s="3">
        <v>5</v>
      </c>
      <c r="F27" s="4" t="s">
        <v>37</v>
      </c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</row>
    <row r="29" spans="1:57">
      <c r="A29" s="1" t="s">
        <v>217</v>
      </c>
      <c r="B29" s="1" t="s">
        <v>29</v>
      </c>
      <c r="C29" s="1" t="s">
        <v>30</v>
      </c>
      <c r="D29" s="1" t="s">
        <v>31</v>
      </c>
      <c r="E29" s="1" t="s">
        <v>36</v>
      </c>
      <c r="F29" s="1"/>
      <c r="G29" s="1">
        <v>2000</v>
      </c>
      <c r="H29" s="1">
        <v>2001</v>
      </c>
      <c r="I29" s="1">
        <v>2002</v>
      </c>
      <c r="J29" s="1">
        <v>2003</v>
      </c>
      <c r="K29" s="1">
        <v>2004</v>
      </c>
      <c r="L29" s="1">
        <v>2005</v>
      </c>
      <c r="M29" s="1">
        <v>2006</v>
      </c>
      <c r="N29" s="1">
        <v>2007</v>
      </c>
      <c r="O29" s="1">
        <v>2008</v>
      </c>
      <c r="P29" s="1">
        <v>2009</v>
      </c>
      <c r="Q29" s="1">
        <v>2010</v>
      </c>
      <c r="R29" s="1">
        <v>2011</v>
      </c>
      <c r="S29" s="1">
        <v>2012</v>
      </c>
      <c r="T29" s="1">
        <v>2013</v>
      </c>
      <c r="U29" s="1">
        <v>2014</v>
      </c>
      <c r="V29" s="1">
        <v>2015</v>
      </c>
      <c r="W29" s="1">
        <v>2016</v>
      </c>
      <c r="X29" s="1">
        <v>2017</v>
      </c>
      <c r="Y29" s="1">
        <v>2018</v>
      </c>
      <c r="Z29" s="1">
        <v>2019</v>
      </c>
      <c r="AA29" s="1">
        <v>2020</v>
      </c>
      <c r="AB29" s="1">
        <v>2021</v>
      </c>
      <c r="AC29" s="1">
        <v>2022</v>
      </c>
      <c r="AD29" s="1">
        <v>2023</v>
      </c>
      <c r="AE29" s="1">
        <v>2024</v>
      </c>
      <c r="AF29" s="1">
        <v>2025</v>
      </c>
      <c r="AG29" s="1">
        <v>2026</v>
      </c>
      <c r="AH29" s="1">
        <v>2027</v>
      </c>
      <c r="AI29" s="1">
        <v>2028</v>
      </c>
      <c r="AJ29" s="1">
        <v>2029</v>
      </c>
      <c r="AK29" s="1">
        <v>2030</v>
      </c>
      <c r="AL29" s="1">
        <v>2031</v>
      </c>
      <c r="AM29" s="1">
        <v>2032</v>
      </c>
      <c r="AN29" s="1">
        <v>2033</v>
      </c>
      <c r="AO29" s="1">
        <v>2034</v>
      </c>
      <c r="AP29" s="1">
        <v>2035</v>
      </c>
      <c r="AQ29" s="1">
        <v>2036</v>
      </c>
      <c r="AR29" s="1">
        <v>2037</v>
      </c>
      <c r="AS29" s="1">
        <v>2038</v>
      </c>
      <c r="AT29" s="1">
        <v>2039</v>
      </c>
      <c r="AU29" s="1">
        <v>2040</v>
      </c>
      <c r="AV29" s="1">
        <v>2041</v>
      </c>
      <c r="AW29" s="1">
        <v>2042</v>
      </c>
      <c r="AX29" s="1">
        <v>2043</v>
      </c>
      <c r="AY29" s="1">
        <v>2044</v>
      </c>
      <c r="AZ29" s="1">
        <v>2045</v>
      </c>
      <c r="BA29" s="1">
        <v>2046</v>
      </c>
      <c r="BB29" s="1">
        <v>2047</v>
      </c>
      <c r="BC29" s="1">
        <v>2048</v>
      </c>
      <c r="BD29" s="1">
        <v>2049</v>
      </c>
      <c r="BE29" s="1">
        <v>2050</v>
      </c>
    </row>
    <row r="30" spans="1:57">
      <c r="A30" s="1" t="str">
        <f>'Population Definitions'!$A$2</f>
        <v>PWID_males</v>
      </c>
      <c r="B30" t="s">
        <v>61</v>
      </c>
      <c r="C30" t="s">
        <v>48</v>
      </c>
      <c r="D30" s="3"/>
      <c r="E30" s="3">
        <v>0.8</v>
      </c>
      <c r="F30" s="4" t="s">
        <v>37</v>
      </c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</row>
    <row r="31" spans="1:57">
      <c r="A31" s="1" t="str">
        <f>'Population Definitions'!$A$3</f>
        <v>PWID_females</v>
      </c>
      <c r="B31" t="s">
        <v>61</v>
      </c>
      <c r="C31" t="s">
        <v>48</v>
      </c>
      <c r="D31" s="3"/>
      <c r="E31" s="3">
        <v>0.8</v>
      </c>
      <c r="F31" s="4" t="s">
        <v>37</v>
      </c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</row>
    <row r="32" spans="1:57">
      <c r="A32" s="1" t="str">
        <f>'Population Definitions'!$A$4</f>
        <v>0-9_males</v>
      </c>
      <c r="B32" t="s">
        <v>61</v>
      </c>
      <c r="C32" t="s">
        <v>48</v>
      </c>
      <c r="D32" s="3"/>
      <c r="E32" s="3">
        <v>0.8</v>
      </c>
      <c r="F32" s="4" t="s">
        <v>37</v>
      </c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</row>
    <row r="33" spans="1:57">
      <c r="A33" s="1" t="str">
        <f>'Population Definitions'!$A$5</f>
        <v>0-9_females</v>
      </c>
      <c r="B33" t="s">
        <v>61</v>
      </c>
      <c r="C33" t="s">
        <v>48</v>
      </c>
      <c r="D33" s="3"/>
      <c r="E33" s="3">
        <v>0.8</v>
      </c>
      <c r="F33" s="4" t="s">
        <v>37</v>
      </c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</row>
    <row r="34" spans="1:57">
      <c r="A34" s="1" t="str">
        <f>'Population Definitions'!$A$6</f>
        <v>10-17_males</v>
      </c>
      <c r="B34" t="s">
        <v>61</v>
      </c>
      <c r="C34" t="s">
        <v>48</v>
      </c>
      <c r="D34" s="3"/>
      <c r="E34" s="3">
        <v>0.8</v>
      </c>
      <c r="F34" s="4" t="s">
        <v>37</v>
      </c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</row>
    <row r="35" spans="1:57">
      <c r="A35" s="1" t="str">
        <f>'Population Definitions'!$A$7</f>
        <v>10-17_females</v>
      </c>
      <c r="B35" t="s">
        <v>61</v>
      </c>
      <c r="C35" t="s">
        <v>48</v>
      </c>
      <c r="D35" s="3"/>
      <c r="E35" s="3">
        <v>0.8</v>
      </c>
      <c r="F35" s="4" t="s">
        <v>37</v>
      </c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</row>
    <row r="36" spans="1:57">
      <c r="A36" s="1" t="str">
        <f>'Population Definitions'!$A$8</f>
        <v>18-64_males</v>
      </c>
      <c r="B36" t="s">
        <v>61</v>
      </c>
      <c r="C36" t="s">
        <v>48</v>
      </c>
      <c r="D36" s="3"/>
      <c r="E36" s="3">
        <v>0.8</v>
      </c>
      <c r="F36" s="4" t="s">
        <v>37</v>
      </c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</row>
    <row r="37" spans="1:57">
      <c r="A37" s="1" t="str">
        <f>'Population Definitions'!$A$9</f>
        <v>18-64_females</v>
      </c>
      <c r="B37" t="s">
        <v>61</v>
      </c>
      <c r="C37" t="s">
        <v>48</v>
      </c>
      <c r="D37" s="3"/>
      <c r="E37" s="3">
        <v>0.8</v>
      </c>
      <c r="F37" s="4" t="s">
        <v>37</v>
      </c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</row>
    <row r="38" spans="1:57">
      <c r="A38" s="1" t="str">
        <f>'Population Definitions'!$A$10</f>
        <v>65+_males</v>
      </c>
      <c r="B38" t="s">
        <v>61</v>
      </c>
      <c r="C38" t="s">
        <v>48</v>
      </c>
      <c r="D38" s="3"/>
      <c r="E38" s="3">
        <v>0.8</v>
      </c>
      <c r="F38" s="4" t="s">
        <v>37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</row>
    <row r="39" spans="1:57">
      <c r="A39" s="1" t="str">
        <f>'Population Definitions'!$A$11</f>
        <v>65+_females</v>
      </c>
      <c r="B39" t="s">
        <v>61</v>
      </c>
      <c r="C39" t="s">
        <v>48</v>
      </c>
      <c r="D39" s="3"/>
      <c r="E39" s="3">
        <v>0.8</v>
      </c>
      <c r="F39" s="4" t="s">
        <v>37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</row>
    <row r="40" spans="1:57">
      <c r="A40" s="1" t="str">
        <f>'Population Definitions'!$A$12</f>
        <v>Prisoners_males</v>
      </c>
      <c r="B40" t="s">
        <v>61</v>
      </c>
      <c r="C40" t="s">
        <v>48</v>
      </c>
      <c r="D40" s="3"/>
      <c r="E40" s="3">
        <v>0.8</v>
      </c>
      <c r="F40" s="4" t="s">
        <v>37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</row>
    <row r="41" spans="1:57">
      <c r="A41" s="1" t="str">
        <f>'Population Definitions'!$A$13</f>
        <v>Prisoners_females</v>
      </c>
      <c r="B41" t="s">
        <v>61</v>
      </c>
      <c r="C41" t="s">
        <v>48</v>
      </c>
      <c r="D41" s="3"/>
      <c r="E41" s="3">
        <v>0.8</v>
      </c>
      <c r="F41" s="4" t="s">
        <v>37</v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</row>
    <row r="43" spans="1:57">
      <c r="A43" s="1" t="s">
        <v>218</v>
      </c>
      <c r="B43" s="1" t="s">
        <v>29</v>
      </c>
      <c r="C43" s="1" t="s">
        <v>30</v>
      </c>
      <c r="D43" s="1" t="s">
        <v>31</v>
      </c>
      <c r="E43" s="1" t="s">
        <v>36</v>
      </c>
      <c r="F43" s="1"/>
      <c r="G43" s="1">
        <v>2000</v>
      </c>
      <c r="H43" s="1">
        <v>2001</v>
      </c>
      <c r="I43" s="1">
        <v>2002</v>
      </c>
      <c r="J43" s="1">
        <v>2003</v>
      </c>
      <c r="K43" s="1">
        <v>2004</v>
      </c>
      <c r="L43" s="1">
        <v>2005</v>
      </c>
      <c r="M43" s="1">
        <v>2006</v>
      </c>
      <c r="N43" s="1">
        <v>2007</v>
      </c>
      <c r="O43" s="1">
        <v>2008</v>
      </c>
      <c r="P43" s="1">
        <v>2009</v>
      </c>
      <c r="Q43" s="1">
        <v>2010</v>
      </c>
      <c r="R43" s="1">
        <v>2011</v>
      </c>
      <c r="S43" s="1">
        <v>2012</v>
      </c>
      <c r="T43" s="1">
        <v>2013</v>
      </c>
      <c r="U43" s="1">
        <v>2014</v>
      </c>
      <c r="V43" s="1">
        <v>2015</v>
      </c>
      <c r="W43" s="1">
        <v>2016</v>
      </c>
      <c r="X43" s="1">
        <v>2017</v>
      </c>
      <c r="Y43" s="1">
        <v>2018</v>
      </c>
      <c r="Z43" s="1">
        <v>2019</v>
      </c>
      <c r="AA43" s="1">
        <v>2020</v>
      </c>
      <c r="AB43" s="1">
        <v>2021</v>
      </c>
      <c r="AC43" s="1">
        <v>2022</v>
      </c>
      <c r="AD43" s="1">
        <v>2023</v>
      </c>
      <c r="AE43" s="1">
        <v>2024</v>
      </c>
      <c r="AF43" s="1">
        <v>2025</v>
      </c>
      <c r="AG43" s="1">
        <v>2026</v>
      </c>
      <c r="AH43" s="1">
        <v>2027</v>
      </c>
      <c r="AI43" s="1">
        <v>2028</v>
      </c>
      <c r="AJ43" s="1">
        <v>2029</v>
      </c>
      <c r="AK43" s="1">
        <v>2030</v>
      </c>
      <c r="AL43" s="1">
        <v>2031</v>
      </c>
      <c r="AM43" s="1">
        <v>2032</v>
      </c>
      <c r="AN43" s="1">
        <v>2033</v>
      </c>
      <c r="AO43" s="1">
        <v>2034</v>
      </c>
      <c r="AP43" s="1">
        <v>2035</v>
      </c>
      <c r="AQ43" s="1">
        <v>2036</v>
      </c>
      <c r="AR43" s="1">
        <v>2037</v>
      </c>
      <c r="AS43" s="1">
        <v>2038</v>
      </c>
      <c r="AT43" s="1">
        <v>2039</v>
      </c>
      <c r="AU43" s="1">
        <v>2040</v>
      </c>
      <c r="AV43" s="1">
        <v>2041</v>
      </c>
      <c r="AW43" s="1">
        <v>2042</v>
      </c>
      <c r="AX43" s="1">
        <v>2043</v>
      </c>
      <c r="AY43" s="1">
        <v>2044</v>
      </c>
      <c r="AZ43" s="1">
        <v>2045</v>
      </c>
      <c r="BA43" s="1">
        <v>2046</v>
      </c>
      <c r="BB43" s="1">
        <v>2047</v>
      </c>
      <c r="BC43" s="1">
        <v>2048</v>
      </c>
      <c r="BD43" s="1">
        <v>2049</v>
      </c>
      <c r="BE43" s="1">
        <v>2050</v>
      </c>
    </row>
    <row r="44" spans="1:57">
      <c r="A44" s="1" t="str">
        <f>'Population Definitions'!$A$2</f>
        <v>PWID_males</v>
      </c>
      <c r="B44" t="s">
        <v>61</v>
      </c>
      <c r="C44" t="s">
        <v>62</v>
      </c>
      <c r="D44" s="3"/>
      <c r="E44" s="3">
        <v>1</v>
      </c>
      <c r="F44" s="4" t="s">
        <v>37</v>
      </c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</row>
    <row r="45" spans="1:57">
      <c r="A45" s="1" t="str">
        <f>'Population Definitions'!$A$3</f>
        <v>PWID_females</v>
      </c>
      <c r="B45" t="s">
        <v>61</v>
      </c>
      <c r="C45" t="s">
        <v>62</v>
      </c>
      <c r="D45" s="3"/>
      <c r="E45" s="3">
        <v>1</v>
      </c>
      <c r="F45" s="4" t="s">
        <v>37</v>
      </c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</row>
    <row r="46" spans="1:57">
      <c r="A46" s="1" t="str">
        <f>'Population Definitions'!$A$4</f>
        <v>0-9_males</v>
      </c>
      <c r="B46" t="s">
        <v>61</v>
      </c>
      <c r="C46" t="s">
        <v>62</v>
      </c>
      <c r="D46" s="3"/>
      <c r="E46" s="3">
        <v>1</v>
      </c>
      <c r="F46" s="4" t="s">
        <v>37</v>
      </c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</row>
    <row r="47" spans="1:57">
      <c r="A47" s="1" t="str">
        <f>'Population Definitions'!$A$5</f>
        <v>0-9_females</v>
      </c>
      <c r="B47" t="s">
        <v>61</v>
      </c>
      <c r="C47" t="s">
        <v>62</v>
      </c>
      <c r="D47" s="3"/>
      <c r="E47" s="3">
        <v>1</v>
      </c>
      <c r="F47" s="4" t="s">
        <v>37</v>
      </c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</row>
    <row r="48" spans="1:57">
      <c r="A48" s="1" t="str">
        <f>'Population Definitions'!$A$6</f>
        <v>10-17_males</v>
      </c>
      <c r="B48" t="s">
        <v>61</v>
      </c>
      <c r="C48" t="s">
        <v>62</v>
      </c>
      <c r="D48" s="3"/>
      <c r="E48" s="3">
        <v>1</v>
      </c>
      <c r="F48" s="4" t="s">
        <v>37</v>
      </c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</row>
    <row r="49" spans="1:57">
      <c r="A49" s="1" t="str">
        <f>'Population Definitions'!$A$7</f>
        <v>10-17_females</v>
      </c>
      <c r="B49" t="s">
        <v>61</v>
      </c>
      <c r="C49" t="s">
        <v>62</v>
      </c>
      <c r="D49" s="3"/>
      <c r="E49" s="3">
        <v>1</v>
      </c>
      <c r="F49" s="4" t="s">
        <v>37</v>
      </c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</row>
    <row r="50" spans="1:57">
      <c r="A50" s="1" t="str">
        <f>'Population Definitions'!$A$8</f>
        <v>18-64_males</v>
      </c>
      <c r="B50" t="s">
        <v>61</v>
      </c>
      <c r="C50" t="s">
        <v>62</v>
      </c>
      <c r="D50" s="3"/>
      <c r="E50" s="3">
        <v>1</v>
      </c>
      <c r="F50" s="4" t="s">
        <v>37</v>
      </c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</row>
    <row r="51" spans="1:57">
      <c r="A51" s="1" t="str">
        <f>'Population Definitions'!$A$9</f>
        <v>18-64_females</v>
      </c>
      <c r="B51" t="s">
        <v>61</v>
      </c>
      <c r="C51" t="s">
        <v>62</v>
      </c>
      <c r="D51" s="3"/>
      <c r="E51" s="3">
        <v>1</v>
      </c>
      <c r="F51" s="4" t="s">
        <v>37</v>
      </c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</row>
    <row r="52" spans="1:57">
      <c r="A52" s="1" t="str">
        <f>'Population Definitions'!$A$10</f>
        <v>65+_males</v>
      </c>
      <c r="B52" t="s">
        <v>61</v>
      </c>
      <c r="C52" t="s">
        <v>62</v>
      </c>
      <c r="D52" s="3"/>
      <c r="E52" s="3">
        <v>1</v>
      </c>
      <c r="F52" s="4" t="s">
        <v>37</v>
      </c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</row>
    <row r="53" spans="1:57">
      <c r="A53" s="1" t="str">
        <f>'Population Definitions'!$A$11</f>
        <v>65+_females</v>
      </c>
      <c r="B53" t="s">
        <v>61</v>
      </c>
      <c r="C53" t="s">
        <v>62</v>
      </c>
      <c r="D53" s="3"/>
      <c r="E53" s="3">
        <v>1</v>
      </c>
      <c r="F53" s="4" t="s">
        <v>37</v>
      </c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</row>
    <row r="54" spans="1:57">
      <c r="A54" s="1" t="str">
        <f>'Population Definitions'!$A$12</f>
        <v>Prisoners_males</v>
      </c>
      <c r="B54" t="s">
        <v>61</v>
      </c>
      <c r="C54" t="s">
        <v>62</v>
      </c>
      <c r="D54" s="3"/>
      <c r="E54" s="3">
        <v>1</v>
      </c>
      <c r="F54" s="4" t="s">
        <v>37</v>
      </c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</row>
    <row r="55" spans="1:57">
      <c r="A55" s="1" t="str">
        <f>'Population Definitions'!$A$13</f>
        <v>Prisoners_females</v>
      </c>
      <c r="B55" t="s">
        <v>61</v>
      </c>
      <c r="C55" t="s">
        <v>62</v>
      </c>
      <c r="D55" s="3"/>
      <c r="E55" s="3">
        <v>1</v>
      </c>
      <c r="F55" s="4" t="s">
        <v>37</v>
      </c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</row>
    <row r="57" spans="1:57">
      <c r="A57" s="1" t="s">
        <v>219</v>
      </c>
      <c r="B57" s="1" t="s">
        <v>29</v>
      </c>
      <c r="C57" s="1" t="s">
        <v>30</v>
      </c>
      <c r="D57" s="1" t="s">
        <v>31</v>
      </c>
      <c r="E57" s="1" t="s">
        <v>36</v>
      </c>
      <c r="F57" s="1"/>
      <c r="G57" s="1">
        <v>2000</v>
      </c>
      <c r="H57" s="1">
        <v>2001</v>
      </c>
      <c r="I57" s="1">
        <v>2002</v>
      </c>
      <c r="J57" s="1">
        <v>2003</v>
      </c>
      <c r="K57" s="1">
        <v>2004</v>
      </c>
      <c r="L57" s="1">
        <v>2005</v>
      </c>
      <c r="M57" s="1">
        <v>2006</v>
      </c>
      <c r="N57" s="1">
        <v>2007</v>
      </c>
      <c r="O57" s="1">
        <v>2008</v>
      </c>
      <c r="P57" s="1">
        <v>2009</v>
      </c>
      <c r="Q57" s="1">
        <v>2010</v>
      </c>
      <c r="R57" s="1">
        <v>2011</v>
      </c>
      <c r="S57" s="1">
        <v>2012</v>
      </c>
      <c r="T57" s="1">
        <v>2013</v>
      </c>
      <c r="U57" s="1">
        <v>2014</v>
      </c>
      <c r="V57" s="1">
        <v>2015</v>
      </c>
      <c r="W57" s="1">
        <v>2016</v>
      </c>
      <c r="X57" s="1">
        <v>2017</v>
      </c>
      <c r="Y57" s="1">
        <v>2018</v>
      </c>
      <c r="Z57" s="1">
        <v>2019</v>
      </c>
      <c r="AA57" s="1">
        <v>2020</v>
      </c>
      <c r="AB57" s="1">
        <v>2021</v>
      </c>
      <c r="AC57" s="1">
        <v>2022</v>
      </c>
      <c r="AD57" s="1">
        <v>2023</v>
      </c>
      <c r="AE57" s="1">
        <v>2024</v>
      </c>
      <c r="AF57" s="1">
        <v>2025</v>
      </c>
      <c r="AG57" s="1">
        <v>2026</v>
      </c>
      <c r="AH57" s="1">
        <v>2027</v>
      </c>
      <c r="AI57" s="1">
        <v>2028</v>
      </c>
      <c r="AJ57" s="1">
        <v>2029</v>
      </c>
      <c r="AK57" s="1">
        <v>2030</v>
      </c>
      <c r="AL57" s="1">
        <v>2031</v>
      </c>
      <c r="AM57" s="1">
        <v>2032</v>
      </c>
      <c r="AN57" s="1">
        <v>2033</v>
      </c>
      <c r="AO57" s="1">
        <v>2034</v>
      </c>
      <c r="AP57" s="1">
        <v>2035</v>
      </c>
      <c r="AQ57" s="1">
        <v>2036</v>
      </c>
      <c r="AR57" s="1">
        <v>2037</v>
      </c>
      <c r="AS57" s="1">
        <v>2038</v>
      </c>
      <c r="AT57" s="1">
        <v>2039</v>
      </c>
      <c r="AU57" s="1">
        <v>2040</v>
      </c>
      <c r="AV57" s="1">
        <v>2041</v>
      </c>
      <c r="AW57" s="1">
        <v>2042</v>
      </c>
      <c r="AX57" s="1">
        <v>2043</v>
      </c>
      <c r="AY57" s="1">
        <v>2044</v>
      </c>
      <c r="AZ57" s="1">
        <v>2045</v>
      </c>
      <c r="BA57" s="1">
        <v>2046</v>
      </c>
      <c r="BB57" s="1">
        <v>2047</v>
      </c>
      <c r="BC57" s="1">
        <v>2048</v>
      </c>
      <c r="BD57" s="1">
        <v>2049</v>
      </c>
      <c r="BE57" s="1">
        <v>2050</v>
      </c>
    </row>
    <row r="58" spans="1:57">
      <c r="A58" s="1" t="str">
        <f>'Population Definitions'!$A$2</f>
        <v>PWID_males</v>
      </c>
      <c r="B58" t="s">
        <v>61</v>
      </c>
      <c r="C58" t="s">
        <v>56</v>
      </c>
      <c r="D58" s="3"/>
      <c r="E58" s="3">
        <v>1</v>
      </c>
      <c r="F58" s="4" t="s">
        <v>37</v>
      </c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</row>
    <row r="59" spans="1:57">
      <c r="A59" s="1" t="str">
        <f>'Population Definitions'!$A$3</f>
        <v>PWID_females</v>
      </c>
      <c r="B59" t="s">
        <v>61</v>
      </c>
      <c r="C59" t="s">
        <v>56</v>
      </c>
      <c r="D59" s="3"/>
      <c r="E59" s="3">
        <v>1</v>
      </c>
      <c r="F59" s="4" t="s">
        <v>37</v>
      </c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</row>
    <row r="60" spans="1:57">
      <c r="A60" s="1" t="str">
        <f>'Population Definitions'!$A$4</f>
        <v>0-9_males</v>
      </c>
      <c r="B60" t="s">
        <v>61</v>
      </c>
      <c r="C60" t="s">
        <v>56</v>
      </c>
      <c r="D60" s="3"/>
      <c r="E60" s="3">
        <v>1</v>
      </c>
      <c r="F60" s="4" t="s">
        <v>37</v>
      </c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</row>
    <row r="61" spans="1:57">
      <c r="A61" s="1" t="str">
        <f>'Population Definitions'!$A$5</f>
        <v>0-9_females</v>
      </c>
      <c r="B61" t="s">
        <v>61</v>
      </c>
      <c r="C61" t="s">
        <v>56</v>
      </c>
      <c r="D61" s="3"/>
      <c r="E61" s="3">
        <v>1</v>
      </c>
      <c r="F61" s="4" t="s">
        <v>37</v>
      </c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</row>
    <row r="62" spans="1:57">
      <c r="A62" s="1" t="str">
        <f>'Population Definitions'!$A$6</f>
        <v>10-17_males</v>
      </c>
      <c r="B62" t="s">
        <v>61</v>
      </c>
      <c r="C62" t="s">
        <v>56</v>
      </c>
      <c r="D62" s="3"/>
      <c r="E62" s="3">
        <v>1</v>
      </c>
      <c r="F62" s="4" t="s">
        <v>37</v>
      </c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</row>
    <row r="63" spans="1:57">
      <c r="A63" s="1" t="str">
        <f>'Population Definitions'!$A$7</f>
        <v>10-17_females</v>
      </c>
      <c r="B63" t="s">
        <v>61</v>
      </c>
      <c r="C63" t="s">
        <v>56</v>
      </c>
      <c r="D63" s="3"/>
      <c r="E63" s="3">
        <v>1</v>
      </c>
      <c r="F63" s="4" t="s">
        <v>37</v>
      </c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</row>
    <row r="64" spans="1:57">
      <c r="A64" s="1" t="str">
        <f>'Population Definitions'!$A$8</f>
        <v>18-64_males</v>
      </c>
      <c r="B64" t="s">
        <v>61</v>
      </c>
      <c r="C64" t="s">
        <v>56</v>
      </c>
      <c r="D64" s="3"/>
      <c r="E64" s="3">
        <v>1</v>
      </c>
      <c r="F64" s="4" t="s">
        <v>37</v>
      </c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</row>
    <row r="65" spans="1:57">
      <c r="A65" s="1" t="str">
        <f>'Population Definitions'!$A$9</f>
        <v>18-64_females</v>
      </c>
      <c r="B65" t="s">
        <v>61</v>
      </c>
      <c r="C65" t="s">
        <v>56</v>
      </c>
      <c r="D65" s="3"/>
      <c r="E65" s="3">
        <v>1</v>
      </c>
      <c r="F65" s="4" t="s">
        <v>37</v>
      </c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</row>
    <row r="66" spans="1:57">
      <c r="A66" s="1" t="str">
        <f>'Population Definitions'!$A$10</f>
        <v>65+_males</v>
      </c>
      <c r="B66" t="s">
        <v>61</v>
      </c>
      <c r="C66" t="s">
        <v>56</v>
      </c>
      <c r="D66" s="3"/>
      <c r="E66" s="3">
        <v>1</v>
      </c>
      <c r="F66" s="4" t="s">
        <v>37</v>
      </c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</row>
    <row r="67" spans="1:57">
      <c r="A67" s="1" t="str">
        <f>'Population Definitions'!$A$11</f>
        <v>65+_females</v>
      </c>
      <c r="B67" t="s">
        <v>61</v>
      </c>
      <c r="C67" t="s">
        <v>56</v>
      </c>
      <c r="D67" s="3"/>
      <c r="E67" s="3">
        <v>1</v>
      </c>
      <c r="F67" s="4" t="s">
        <v>37</v>
      </c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</row>
    <row r="68" spans="1:57">
      <c r="A68" s="1" t="str">
        <f>'Population Definitions'!$A$12</f>
        <v>Prisoners_males</v>
      </c>
      <c r="B68" t="s">
        <v>61</v>
      </c>
      <c r="C68" t="s">
        <v>56</v>
      </c>
      <c r="D68" s="3"/>
      <c r="E68" s="3">
        <v>1</v>
      </c>
      <c r="F68" s="4" t="s">
        <v>37</v>
      </c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</row>
    <row r="69" spans="1:57">
      <c r="A69" s="1" t="str">
        <f>'Population Definitions'!$A$13</f>
        <v>Prisoners_females</v>
      </c>
      <c r="B69" t="s">
        <v>61</v>
      </c>
      <c r="C69" t="s">
        <v>56</v>
      </c>
      <c r="D69" s="3"/>
      <c r="E69" s="3">
        <v>1</v>
      </c>
      <c r="F69" s="4" t="s">
        <v>37</v>
      </c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</row>
    <row r="71" spans="1:57">
      <c r="A71" s="1" t="s">
        <v>220</v>
      </c>
      <c r="B71" s="1" t="s">
        <v>29</v>
      </c>
      <c r="C71" s="1" t="s">
        <v>30</v>
      </c>
      <c r="D71" s="1" t="s">
        <v>31</v>
      </c>
      <c r="E71" s="1" t="s">
        <v>36</v>
      </c>
      <c r="F71" s="1"/>
      <c r="G71" s="1">
        <v>2000</v>
      </c>
      <c r="H71" s="1">
        <v>2001</v>
      </c>
      <c r="I71" s="1">
        <v>2002</v>
      </c>
      <c r="J71" s="1">
        <v>2003</v>
      </c>
      <c r="K71" s="1">
        <v>2004</v>
      </c>
      <c r="L71" s="1">
        <v>2005</v>
      </c>
      <c r="M71" s="1">
        <v>2006</v>
      </c>
      <c r="N71" s="1">
        <v>2007</v>
      </c>
      <c r="O71" s="1">
        <v>2008</v>
      </c>
      <c r="P71" s="1">
        <v>2009</v>
      </c>
      <c r="Q71" s="1">
        <v>2010</v>
      </c>
      <c r="R71" s="1">
        <v>2011</v>
      </c>
      <c r="S71" s="1">
        <v>2012</v>
      </c>
      <c r="T71" s="1">
        <v>2013</v>
      </c>
      <c r="U71" s="1">
        <v>2014</v>
      </c>
      <c r="V71" s="1">
        <v>2015</v>
      </c>
      <c r="W71" s="1">
        <v>2016</v>
      </c>
      <c r="X71" s="1">
        <v>2017</v>
      </c>
      <c r="Y71" s="1">
        <v>2018</v>
      </c>
      <c r="Z71" s="1">
        <v>2019</v>
      </c>
      <c r="AA71" s="1">
        <v>2020</v>
      </c>
      <c r="AB71" s="1">
        <v>2021</v>
      </c>
      <c r="AC71" s="1">
        <v>2022</v>
      </c>
      <c r="AD71" s="1">
        <v>2023</v>
      </c>
      <c r="AE71" s="1">
        <v>2024</v>
      </c>
      <c r="AF71" s="1">
        <v>2025</v>
      </c>
      <c r="AG71" s="1">
        <v>2026</v>
      </c>
      <c r="AH71" s="1">
        <v>2027</v>
      </c>
      <c r="AI71" s="1">
        <v>2028</v>
      </c>
      <c r="AJ71" s="1">
        <v>2029</v>
      </c>
      <c r="AK71" s="1">
        <v>2030</v>
      </c>
      <c r="AL71" s="1">
        <v>2031</v>
      </c>
      <c r="AM71" s="1">
        <v>2032</v>
      </c>
      <c r="AN71" s="1">
        <v>2033</v>
      </c>
      <c r="AO71" s="1">
        <v>2034</v>
      </c>
      <c r="AP71" s="1">
        <v>2035</v>
      </c>
      <c r="AQ71" s="1">
        <v>2036</v>
      </c>
      <c r="AR71" s="1">
        <v>2037</v>
      </c>
      <c r="AS71" s="1">
        <v>2038</v>
      </c>
      <c r="AT71" s="1">
        <v>2039</v>
      </c>
      <c r="AU71" s="1">
        <v>2040</v>
      </c>
      <c r="AV71" s="1">
        <v>2041</v>
      </c>
      <c r="AW71" s="1">
        <v>2042</v>
      </c>
      <c r="AX71" s="1">
        <v>2043</v>
      </c>
      <c r="AY71" s="1">
        <v>2044</v>
      </c>
      <c r="AZ71" s="1">
        <v>2045</v>
      </c>
      <c r="BA71" s="1">
        <v>2046</v>
      </c>
      <c r="BB71" s="1">
        <v>2047</v>
      </c>
      <c r="BC71" s="1">
        <v>2048</v>
      </c>
      <c r="BD71" s="1">
        <v>2049</v>
      </c>
      <c r="BE71" s="1">
        <v>2050</v>
      </c>
    </row>
    <row r="72" spans="1:57">
      <c r="A72" s="1" t="str">
        <f>'Population Definitions'!$A$2</f>
        <v>PWID_males</v>
      </c>
      <c r="B72" t="s">
        <v>61</v>
      </c>
      <c r="C72" t="s">
        <v>56</v>
      </c>
      <c r="D72" s="3"/>
      <c r="E72" s="3">
        <v>1</v>
      </c>
      <c r="F72" s="4" t="s">
        <v>37</v>
      </c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</row>
    <row r="73" spans="1:57">
      <c r="A73" s="1" t="str">
        <f>'Population Definitions'!$A$3</f>
        <v>PWID_females</v>
      </c>
      <c r="B73" t="s">
        <v>61</v>
      </c>
      <c r="C73" t="s">
        <v>56</v>
      </c>
      <c r="D73" s="3"/>
      <c r="E73" s="3">
        <v>1</v>
      </c>
      <c r="F73" s="4" t="s">
        <v>37</v>
      </c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</row>
    <row r="74" spans="1:57">
      <c r="A74" s="1" t="str">
        <f>'Population Definitions'!$A$4</f>
        <v>0-9_males</v>
      </c>
      <c r="B74" t="s">
        <v>61</v>
      </c>
      <c r="C74" t="s">
        <v>56</v>
      </c>
      <c r="D74" s="3"/>
      <c r="E74" s="3">
        <v>1</v>
      </c>
      <c r="F74" s="4" t="s">
        <v>37</v>
      </c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</row>
    <row r="75" spans="1:57">
      <c r="A75" s="1" t="str">
        <f>'Population Definitions'!$A$5</f>
        <v>0-9_females</v>
      </c>
      <c r="B75" t="s">
        <v>61</v>
      </c>
      <c r="C75" t="s">
        <v>56</v>
      </c>
      <c r="D75" s="3"/>
      <c r="E75" s="3">
        <v>1</v>
      </c>
      <c r="F75" s="4" t="s">
        <v>37</v>
      </c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</row>
    <row r="76" spans="1:57">
      <c r="A76" s="1" t="str">
        <f>'Population Definitions'!$A$6</f>
        <v>10-17_males</v>
      </c>
      <c r="B76" t="s">
        <v>61</v>
      </c>
      <c r="C76" t="s">
        <v>56</v>
      </c>
      <c r="D76" s="3"/>
      <c r="E76" s="3">
        <v>1</v>
      </c>
      <c r="F76" s="4" t="s">
        <v>37</v>
      </c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</row>
    <row r="77" spans="1:57">
      <c r="A77" s="1" t="str">
        <f>'Population Definitions'!$A$7</f>
        <v>10-17_females</v>
      </c>
      <c r="B77" t="s">
        <v>61</v>
      </c>
      <c r="C77" t="s">
        <v>56</v>
      </c>
      <c r="D77" s="3"/>
      <c r="E77" s="3">
        <v>1</v>
      </c>
      <c r="F77" s="4" t="s">
        <v>37</v>
      </c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</row>
    <row r="78" spans="1:57">
      <c r="A78" s="1" t="str">
        <f>'Population Definitions'!$A$8</f>
        <v>18-64_males</v>
      </c>
      <c r="B78" t="s">
        <v>61</v>
      </c>
      <c r="C78" t="s">
        <v>56</v>
      </c>
      <c r="D78" s="3"/>
      <c r="E78" s="3">
        <v>1</v>
      </c>
      <c r="F78" s="4" t="s">
        <v>37</v>
      </c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</row>
    <row r="79" spans="1:57">
      <c r="A79" s="1" t="str">
        <f>'Population Definitions'!$A$9</f>
        <v>18-64_females</v>
      </c>
      <c r="B79" t="s">
        <v>61</v>
      </c>
      <c r="C79" t="s">
        <v>56</v>
      </c>
      <c r="D79" s="3"/>
      <c r="E79" s="3">
        <v>1</v>
      </c>
      <c r="F79" s="4" t="s">
        <v>37</v>
      </c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</row>
    <row r="80" spans="1:57">
      <c r="A80" s="1" t="str">
        <f>'Population Definitions'!$A$10</f>
        <v>65+_males</v>
      </c>
      <c r="B80" t="s">
        <v>61</v>
      </c>
      <c r="C80" t="s">
        <v>56</v>
      </c>
      <c r="D80" s="3"/>
      <c r="E80" s="3">
        <v>1</v>
      </c>
      <c r="F80" s="4" t="s">
        <v>37</v>
      </c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</row>
    <row r="81" spans="1:57">
      <c r="A81" s="1" t="str">
        <f>'Population Definitions'!$A$11</f>
        <v>65+_females</v>
      </c>
      <c r="B81" t="s">
        <v>61</v>
      </c>
      <c r="C81" t="s">
        <v>56</v>
      </c>
      <c r="D81" s="3"/>
      <c r="E81" s="3">
        <v>1</v>
      </c>
      <c r="F81" s="4" t="s">
        <v>37</v>
      </c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</row>
    <row r="82" spans="1:57">
      <c r="A82" s="1" t="str">
        <f>'Population Definitions'!$A$12</f>
        <v>Prisoners_males</v>
      </c>
      <c r="B82" t="s">
        <v>61</v>
      </c>
      <c r="C82" t="s">
        <v>56</v>
      </c>
      <c r="D82" s="3"/>
      <c r="E82" s="3">
        <v>1</v>
      </c>
      <c r="F82" s="4" t="s">
        <v>37</v>
      </c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</row>
    <row r="83" spans="1:57">
      <c r="A83" s="1" t="str">
        <f>'Population Definitions'!$A$13</f>
        <v>Prisoners_females</v>
      </c>
      <c r="B83" t="s">
        <v>61</v>
      </c>
      <c r="C83" t="s">
        <v>56</v>
      </c>
      <c r="D83" s="3"/>
      <c r="E83" s="3">
        <v>1</v>
      </c>
      <c r="F83" s="4" t="s">
        <v>37</v>
      </c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</row>
  </sheetData>
  <conditionalFormatting sqref="E10">
    <cfRule type="expression" dxfId="0" priority="17">
      <formula>COUNTIF(G10:BE10,"&lt;&gt;" &amp; "")&gt;0</formula>
    </cfRule>
    <cfRule type="expression" dxfId="1" priority="18">
      <formula>AND(COUNTIF(G10:BE10,"&lt;&gt;" &amp; "")&gt;0,NOT(ISBLANK(E10)))</formula>
    </cfRule>
  </conditionalFormatting>
  <conditionalFormatting sqref="E11">
    <cfRule type="expression" dxfId="0" priority="19">
      <formula>COUNTIF(G11:BE11,"&lt;&gt;" &amp; "")&gt;0</formula>
    </cfRule>
    <cfRule type="expression" dxfId="1" priority="20">
      <formula>AND(COUNTIF(G11:BE11,"&lt;&gt;" &amp; "")&gt;0,NOT(ISBLANK(E11)))</formula>
    </cfRule>
  </conditionalFormatting>
  <conditionalFormatting sqref="E12">
    <cfRule type="expression" dxfId="0" priority="21">
      <formula>COUNTIF(G12:BE12,"&lt;&gt;" &amp; "")&gt;0</formula>
    </cfRule>
    <cfRule type="expression" dxfId="1" priority="22">
      <formula>AND(COUNTIF(G12:BE12,"&lt;&gt;" &amp; "")&gt;0,NOT(ISBLANK(E12)))</formula>
    </cfRule>
  </conditionalFormatting>
  <conditionalFormatting sqref="E13">
    <cfRule type="expression" dxfId="0" priority="23">
      <formula>COUNTIF(G13:BE13,"&lt;&gt;" &amp; "")&gt;0</formula>
    </cfRule>
    <cfRule type="expression" dxfId="1" priority="24">
      <formula>AND(COUNTIF(G13:BE13,"&lt;&gt;" &amp; "")&gt;0,NOT(ISBLANK(E13)))</formula>
    </cfRule>
  </conditionalFormatting>
  <conditionalFormatting sqref="E16">
    <cfRule type="expression" dxfId="0" priority="25">
      <formula>COUNTIF(G16:BE16,"&lt;&gt;" &amp; "")&gt;0</formula>
    </cfRule>
    <cfRule type="expression" dxfId="1" priority="26">
      <formula>AND(COUNTIF(G16:BE16,"&lt;&gt;" &amp; "")&gt;0,NOT(ISBLANK(E16)))</formula>
    </cfRule>
  </conditionalFormatting>
  <conditionalFormatting sqref="E17">
    <cfRule type="expression" dxfId="0" priority="27">
      <formula>COUNTIF(G17:BE17,"&lt;&gt;" &amp; "")&gt;0</formula>
    </cfRule>
    <cfRule type="expression" dxfId="1" priority="28">
      <formula>AND(COUNTIF(G17:BE17,"&lt;&gt;" &amp; "")&gt;0,NOT(ISBLANK(E17)))</formula>
    </cfRule>
  </conditionalFormatting>
  <conditionalFormatting sqref="E18">
    <cfRule type="expression" dxfId="0" priority="29">
      <formula>COUNTIF(G18:BE18,"&lt;&gt;" &amp; "")&gt;0</formula>
    </cfRule>
    <cfRule type="expression" dxfId="1" priority="30">
      <formula>AND(COUNTIF(G18:BE18,"&lt;&gt;" &amp; "")&gt;0,NOT(ISBLANK(E18)))</formula>
    </cfRule>
  </conditionalFormatting>
  <conditionalFormatting sqref="E19">
    <cfRule type="expression" dxfId="0" priority="31">
      <formula>COUNTIF(G19:BE19,"&lt;&gt;" &amp; "")&gt;0</formula>
    </cfRule>
    <cfRule type="expression" dxfId="1" priority="32">
      <formula>AND(COUNTIF(G19:BE19,"&lt;&gt;" &amp; "")&gt;0,NOT(ISBLANK(E19)))</formula>
    </cfRule>
  </conditionalFormatting>
  <conditionalFormatting sqref="E2">
    <cfRule type="expression" dxfId="0" priority="1">
      <formula>COUNTIF(G2:BE2,"&lt;&gt;" &amp; "")&gt;0</formula>
    </cfRule>
    <cfRule type="expression" dxfId="1" priority="2">
      <formula>AND(COUNTIF(G2:BE2,"&lt;&gt;" &amp; "")&gt;0,NOT(ISBLANK(E2)))</formula>
    </cfRule>
  </conditionalFormatting>
  <conditionalFormatting sqref="E20">
    <cfRule type="expression" dxfId="0" priority="33">
      <formula>COUNTIF(G20:BE20,"&lt;&gt;" &amp; "")&gt;0</formula>
    </cfRule>
    <cfRule type="expression" dxfId="1" priority="34">
      <formula>AND(COUNTIF(G20:BE20,"&lt;&gt;" &amp; "")&gt;0,NOT(ISBLANK(E20)))</formula>
    </cfRule>
  </conditionalFormatting>
  <conditionalFormatting sqref="E21">
    <cfRule type="expression" dxfId="0" priority="35">
      <formula>COUNTIF(G21:BE21,"&lt;&gt;" &amp; "")&gt;0</formula>
    </cfRule>
    <cfRule type="expression" dxfId="1" priority="36">
      <formula>AND(COUNTIF(G21:BE21,"&lt;&gt;" &amp; "")&gt;0,NOT(ISBLANK(E21)))</formula>
    </cfRule>
  </conditionalFormatting>
  <conditionalFormatting sqref="E22">
    <cfRule type="expression" dxfId="0" priority="37">
      <formula>COUNTIF(G22:BE22,"&lt;&gt;" &amp; "")&gt;0</formula>
    </cfRule>
    <cfRule type="expression" dxfId="1" priority="38">
      <formula>AND(COUNTIF(G22:BE22,"&lt;&gt;" &amp; "")&gt;0,NOT(ISBLANK(E22)))</formula>
    </cfRule>
  </conditionalFormatting>
  <conditionalFormatting sqref="E23">
    <cfRule type="expression" dxfId="0" priority="39">
      <formula>COUNTIF(G23:BE23,"&lt;&gt;" &amp; "")&gt;0</formula>
    </cfRule>
    <cfRule type="expression" dxfId="1" priority="40">
      <formula>AND(COUNTIF(G23:BE23,"&lt;&gt;" &amp; "")&gt;0,NOT(ISBLANK(E23)))</formula>
    </cfRule>
  </conditionalFormatting>
  <conditionalFormatting sqref="E24">
    <cfRule type="expression" dxfId="0" priority="41">
      <formula>COUNTIF(G24:BE24,"&lt;&gt;" &amp; "")&gt;0</formula>
    </cfRule>
    <cfRule type="expression" dxfId="1" priority="42">
      <formula>AND(COUNTIF(G24:BE24,"&lt;&gt;" &amp; "")&gt;0,NOT(ISBLANK(E24)))</formula>
    </cfRule>
  </conditionalFormatting>
  <conditionalFormatting sqref="E25">
    <cfRule type="expression" dxfId="0" priority="43">
      <formula>COUNTIF(G25:BE25,"&lt;&gt;" &amp; "")&gt;0</formula>
    </cfRule>
    <cfRule type="expression" dxfId="1" priority="44">
      <formula>AND(COUNTIF(G25:BE25,"&lt;&gt;" &amp; "")&gt;0,NOT(ISBLANK(E25)))</formula>
    </cfRule>
  </conditionalFormatting>
  <conditionalFormatting sqref="E26">
    <cfRule type="expression" dxfId="0" priority="45">
      <formula>COUNTIF(G26:BE26,"&lt;&gt;" &amp; "")&gt;0</formula>
    </cfRule>
    <cfRule type="expression" dxfId="1" priority="46">
      <formula>AND(COUNTIF(G26:BE26,"&lt;&gt;" &amp; "")&gt;0,NOT(ISBLANK(E26)))</formula>
    </cfRule>
  </conditionalFormatting>
  <conditionalFormatting sqref="E27">
    <cfRule type="expression" dxfId="0" priority="47">
      <formula>COUNTIF(G27:BE27,"&lt;&gt;" &amp; "")&gt;0</formula>
    </cfRule>
    <cfRule type="expression" dxfId="1" priority="48">
      <formula>AND(COUNTIF(G27:BE27,"&lt;&gt;" &amp; "")&gt;0,NOT(ISBLANK(E27)))</formula>
    </cfRule>
  </conditionalFormatting>
  <conditionalFormatting sqref="E3">
    <cfRule type="expression" dxfId="0" priority="3">
      <formula>COUNTIF(G3:BE3,"&lt;&gt;" &amp; "")&gt;0</formula>
    </cfRule>
    <cfRule type="expression" dxfId="1" priority="4">
      <formula>AND(COUNTIF(G3:BE3,"&lt;&gt;" &amp; "")&gt;0,NOT(ISBLANK(E3)))</formula>
    </cfRule>
  </conditionalFormatting>
  <conditionalFormatting sqref="E30">
    <cfRule type="expression" dxfId="0" priority="49">
      <formula>COUNTIF(G30:BE30,"&lt;&gt;" &amp; "")&gt;0</formula>
    </cfRule>
    <cfRule type="expression" dxfId="1" priority="50">
      <formula>AND(COUNTIF(G30:BE30,"&lt;&gt;" &amp; "")&gt;0,NOT(ISBLANK(E30)))</formula>
    </cfRule>
  </conditionalFormatting>
  <conditionalFormatting sqref="E31">
    <cfRule type="expression" dxfId="0" priority="51">
      <formula>COUNTIF(G31:BE31,"&lt;&gt;" &amp; "")&gt;0</formula>
    </cfRule>
    <cfRule type="expression" dxfId="1" priority="52">
      <formula>AND(COUNTIF(G31:BE31,"&lt;&gt;" &amp; "")&gt;0,NOT(ISBLANK(E31)))</formula>
    </cfRule>
  </conditionalFormatting>
  <conditionalFormatting sqref="E32">
    <cfRule type="expression" dxfId="0" priority="53">
      <formula>COUNTIF(G32:BE32,"&lt;&gt;" &amp; "")&gt;0</formula>
    </cfRule>
    <cfRule type="expression" dxfId="1" priority="54">
      <formula>AND(COUNTIF(G32:BE32,"&lt;&gt;" &amp; "")&gt;0,NOT(ISBLANK(E32)))</formula>
    </cfRule>
  </conditionalFormatting>
  <conditionalFormatting sqref="E33">
    <cfRule type="expression" dxfId="0" priority="55">
      <formula>COUNTIF(G33:BE33,"&lt;&gt;" &amp; "")&gt;0</formula>
    </cfRule>
    <cfRule type="expression" dxfId="1" priority="56">
      <formula>AND(COUNTIF(G33:BE33,"&lt;&gt;" &amp; "")&gt;0,NOT(ISBLANK(E33)))</formula>
    </cfRule>
  </conditionalFormatting>
  <conditionalFormatting sqref="E34">
    <cfRule type="expression" dxfId="0" priority="57">
      <formula>COUNTIF(G34:BE34,"&lt;&gt;" &amp; "")&gt;0</formula>
    </cfRule>
    <cfRule type="expression" dxfId="1" priority="58">
      <formula>AND(COUNTIF(G34:BE34,"&lt;&gt;" &amp; "")&gt;0,NOT(ISBLANK(E34)))</formula>
    </cfRule>
  </conditionalFormatting>
  <conditionalFormatting sqref="E35">
    <cfRule type="expression" dxfId="0" priority="59">
      <formula>COUNTIF(G35:BE35,"&lt;&gt;" &amp; "")&gt;0</formula>
    </cfRule>
    <cfRule type="expression" dxfId="1" priority="60">
      <formula>AND(COUNTIF(G35:BE35,"&lt;&gt;" &amp; "")&gt;0,NOT(ISBLANK(E35)))</formula>
    </cfRule>
  </conditionalFormatting>
  <conditionalFormatting sqref="E36">
    <cfRule type="expression" dxfId="0" priority="61">
      <formula>COUNTIF(G36:BE36,"&lt;&gt;" &amp; "")&gt;0</formula>
    </cfRule>
    <cfRule type="expression" dxfId="1" priority="62">
      <formula>AND(COUNTIF(G36:BE36,"&lt;&gt;" &amp; "")&gt;0,NOT(ISBLANK(E36)))</formula>
    </cfRule>
  </conditionalFormatting>
  <conditionalFormatting sqref="E37">
    <cfRule type="expression" dxfId="0" priority="63">
      <formula>COUNTIF(G37:BE37,"&lt;&gt;" &amp; "")&gt;0</formula>
    </cfRule>
    <cfRule type="expression" dxfId="1" priority="64">
      <formula>AND(COUNTIF(G37:BE37,"&lt;&gt;" &amp; "")&gt;0,NOT(ISBLANK(E37)))</formula>
    </cfRule>
  </conditionalFormatting>
  <conditionalFormatting sqref="E38">
    <cfRule type="expression" dxfId="0" priority="65">
      <formula>COUNTIF(G38:BE38,"&lt;&gt;" &amp; "")&gt;0</formula>
    </cfRule>
    <cfRule type="expression" dxfId="1" priority="66">
      <formula>AND(COUNTIF(G38:BE38,"&lt;&gt;" &amp; "")&gt;0,NOT(ISBLANK(E38)))</formula>
    </cfRule>
  </conditionalFormatting>
  <conditionalFormatting sqref="E39">
    <cfRule type="expression" dxfId="0" priority="67">
      <formula>COUNTIF(G39:BE39,"&lt;&gt;" &amp; "")&gt;0</formula>
    </cfRule>
    <cfRule type="expression" dxfId="1" priority="68">
      <formula>AND(COUNTIF(G39:BE39,"&lt;&gt;" &amp; "")&gt;0,NOT(ISBLANK(E39)))</formula>
    </cfRule>
  </conditionalFormatting>
  <conditionalFormatting sqref="E4">
    <cfRule type="expression" dxfId="0" priority="5">
      <formula>COUNTIF(G4:BE4,"&lt;&gt;" &amp; "")&gt;0</formula>
    </cfRule>
    <cfRule type="expression" dxfId="1" priority="6">
      <formula>AND(COUNTIF(G4:BE4,"&lt;&gt;" &amp; "")&gt;0,NOT(ISBLANK(E4)))</formula>
    </cfRule>
  </conditionalFormatting>
  <conditionalFormatting sqref="E40">
    <cfRule type="expression" dxfId="0" priority="69">
      <formula>COUNTIF(G40:BE40,"&lt;&gt;" &amp; "")&gt;0</formula>
    </cfRule>
    <cfRule type="expression" dxfId="1" priority="70">
      <formula>AND(COUNTIF(G40:BE40,"&lt;&gt;" &amp; "")&gt;0,NOT(ISBLANK(E40)))</formula>
    </cfRule>
  </conditionalFormatting>
  <conditionalFormatting sqref="E41">
    <cfRule type="expression" dxfId="0" priority="71">
      <formula>COUNTIF(G41:BE41,"&lt;&gt;" &amp; "")&gt;0</formula>
    </cfRule>
    <cfRule type="expression" dxfId="1" priority="72">
      <formula>AND(COUNTIF(G41:BE41,"&lt;&gt;" &amp; "")&gt;0,NOT(ISBLANK(E41)))</formula>
    </cfRule>
  </conditionalFormatting>
  <conditionalFormatting sqref="E44">
    <cfRule type="expression" dxfId="0" priority="73">
      <formula>COUNTIF(G44:BE44,"&lt;&gt;" &amp; "")&gt;0</formula>
    </cfRule>
    <cfRule type="expression" dxfId="1" priority="74">
      <formula>AND(COUNTIF(G44:BE44,"&lt;&gt;" &amp; "")&gt;0,NOT(ISBLANK(E44)))</formula>
    </cfRule>
  </conditionalFormatting>
  <conditionalFormatting sqref="E45">
    <cfRule type="expression" dxfId="0" priority="75">
      <formula>COUNTIF(G45:BE45,"&lt;&gt;" &amp; "")&gt;0</formula>
    </cfRule>
    <cfRule type="expression" dxfId="1" priority="76">
      <formula>AND(COUNTIF(G45:BE45,"&lt;&gt;" &amp; "")&gt;0,NOT(ISBLANK(E45)))</formula>
    </cfRule>
  </conditionalFormatting>
  <conditionalFormatting sqref="E46">
    <cfRule type="expression" dxfId="0" priority="77">
      <formula>COUNTIF(G46:BE46,"&lt;&gt;" &amp; "")&gt;0</formula>
    </cfRule>
    <cfRule type="expression" dxfId="1" priority="78">
      <formula>AND(COUNTIF(G46:BE46,"&lt;&gt;" &amp; "")&gt;0,NOT(ISBLANK(E46)))</formula>
    </cfRule>
  </conditionalFormatting>
  <conditionalFormatting sqref="E47">
    <cfRule type="expression" dxfId="0" priority="79">
      <formula>COUNTIF(G47:BE47,"&lt;&gt;" &amp; "")&gt;0</formula>
    </cfRule>
    <cfRule type="expression" dxfId="1" priority="80">
      <formula>AND(COUNTIF(G47:BE47,"&lt;&gt;" &amp; "")&gt;0,NOT(ISBLANK(E47)))</formula>
    </cfRule>
  </conditionalFormatting>
  <conditionalFormatting sqref="E48">
    <cfRule type="expression" dxfId="0" priority="81">
      <formula>COUNTIF(G48:BE48,"&lt;&gt;" &amp; "")&gt;0</formula>
    </cfRule>
    <cfRule type="expression" dxfId="1" priority="82">
      <formula>AND(COUNTIF(G48:BE48,"&lt;&gt;" &amp; "")&gt;0,NOT(ISBLANK(E48)))</formula>
    </cfRule>
  </conditionalFormatting>
  <conditionalFormatting sqref="E49">
    <cfRule type="expression" dxfId="0" priority="83">
      <formula>COUNTIF(G49:BE49,"&lt;&gt;" &amp; "")&gt;0</formula>
    </cfRule>
    <cfRule type="expression" dxfId="1" priority="84">
      <formula>AND(COUNTIF(G49:BE49,"&lt;&gt;" &amp; "")&gt;0,NOT(ISBLANK(E49)))</formula>
    </cfRule>
  </conditionalFormatting>
  <conditionalFormatting sqref="E5">
    <cfRule type="expression" dxfId="0" priority="7">
      <formula>COUNTIF(G5:BE5,"&lt;&gt;" &amp; "")&gt;0</formula>
    </cfRule>
    <cfRule type="expression" dxfId="1" priority="8">
      <formula>AND(COUNTIF(G5:BE5,"&lt;&gt;" &amp; "")&gt;0,NOT(ISBLANK(E5)))</formula>
    </cfRule>
  </conditionalFormatting>
  <conditionalFormatting sqref="E50">
    <cfRule type="expression" dxfId="0" priority="85">
      <formula>COUNTIF(G50:BE50,"&lt;&gt;" &amp; "")&gt;0</formula>
    </cfRule>
    <cfRule type="expression" dxfId="1" priority="86">
      <formula>AND(COUNTIF(G50:BE50,"&lt;&gt;" &amp; "")&gt;0,NOT(ISBLANK(E50)))</formula>
    </cfRule>
  </conditionalFormatting>
  <conditionalFormatting sqref="E51">
    <cfRule type="expression" dxfId="0" priority="87">
      <formula>COUNTIF(G51:BE51,"&lt;&gt;" &amp; "")&gt;0</formula>
    </cfRule>
    <cfRule type="expression" dxfId="1" priority="88">
      <formula>AND(COUNTIF(G51:BE51,"&lt;&gt;" &amp; "")&gt;0,NOT(ISBLANK(E51)))</formula>
    </cfRule>
  </conditionalFormatting>
  <conditionalFormatting sqref="E52">
    <cfRule type="expression" dxfId="0" priority="89">
      <formula>COUNTIF(G52:BE52,"&lt;&gt;" &amp; "")&gt;0</formula>
    </cfRule>
    <cfRule type="expression" dxfId="1" priority="90">
      <formula>AND(COUNTIF(G52:BE52,"&lt;&gt;" &amp; "")&gt;0,NOT(ISBLANK(E52)))</formula>
    </cfRule>
  </conditionalFormatting>
  <conditionalFormatting sqref="E53">
    <cfRule type="expression" dxfId="0" priority="91">
      <formula>COUNTIF(G53:BE53,"&lt;&gt;" &amp; "")&gt;0</formula>
    </cfRule>
    <cfRule type="expression" dxfId="1" priority="92">
      <formula>AND(COUNTIF(G53:BE53,"&lt;&gt;" &amp; "")&gt;0,NOT(ISBLANK(E53)))</formula>
    </cfRule>
  </conditionalFormatting>
  <conditionalFormatting sqref="E54">
    <cfRule type="expression" dxfId="0" priority="93">
      <formula>COUNTIF(G54:BE54,"&lt;&gt;" &amp; "")&gt;0</formula>
    </cfRule>
    <cfRule type="expression" dxfId="1" priority="94">
      <formula>AND(COUNTIF(G54:BE54,"&lt;&gt;" &amp; "")&gt;0,NOT(ISBLANK(E54)))</formula>
    </cfRule>
  </conditionalFormatting>
  <conditionalFormatting sqref="E55">
    <cfRule type="expression" dxfId="0" priority="95">
      <formula>COUNTIF(G55:BE55,"&lt;&gt;" &amp; "")&gt;0</formula>
    </cfRule>
    <cfRule type="expression" dxfId="1" priority="96">
      <formula>AND(COUNTIF(G55:BE55,"&lt;&gt;" &amp; "")&gt;0,NOT(ISBLANK(E55)))</formula>
    </cfRule>
  </conditionalFormatting>
  <conditionalFormatting sqref="E58">
    <cfRule type="expression" dxfId="0" priority="97">
      <formula>COUNTIF(G58:BE58,"&lt;&gt;" &amp; "")&gt;0</formula>
    </cfRule>
    <cfRule type="expression" dxfId="1" priority="98">
      <formula>AND(COUNTIF(G58:BE58,"&lt;&gt;" &amp; "")&gt;0,NOT(ISBLANK(E58)))</formula>
    </cfRule>
  </conditionalFormatting>
  <conditionalFormatting sqref="E59">
    <cfRule type="expression" dxfId="0" priority="99">
      <formula>COUNTIF(G59:BE59,"&lt;&gt;" &amp; "")&gt;0</formula>
    </cfRule>
    <cfRule type="expression" dxfId="1" priority="100">
      <formula>AND(COUNTIF(G59:BE59,"&lt;&gt;" &amp; "")&gt;0,NOT(ISBLANK(E59)))</formula>
    </cfRule>
  </conditionalFormatting>
  <conditionalFormatting sqref="E6">
    <cfRule type="expression" dxfId="0" priority="9">
      <formula>COUNTIF(G6:BE6,"&lt;&gt;" &amp; "")&gt;0</formula>
    </cfRule>
    <cfRule type="expression" dxfId="1" priority="10">
      <formula>AND(COUNTIF(G6:BE6,"&lt;&gt;" &amp; "")&gt;0,NOT(ISBLANK(E6)))</formula>
    </cfRule>
  </conditionalFormatting>
  <conditionalFormatting sqref="E60">
    <cfRule type="expression" dxfId="0" priority="101">
      <formula>COUNTIF(G60:BE60,"&lt;&gt;" &amp; "")&gt;0</formula>
    </cfRule>
    <cfRule type="expression" dxfId="1" priority="102">
      <formula>AND(COUNTIF(G60:BE60,"&lt;&gt;" &amp; "")&gt;0,NOT(ISBLANK(E60)))</formula>
    </cfRule>
  </conditionalFormatting>
  <conditionalFormatting sqref="E61">
    <cfRule type="expression" dxfId="0" priority="103">
      <formula>COUNTIF(G61:BE61,"&lt;&gt;" &amp; "")&gt;0</formula>
    </cfRule>
    <cfRule type="expression" dxfId="1" priority="104">
      <formula>AND(COUNTIF(G61:BE61,"&lt;&gt;" &amp; "")&gt;0,NOT(ISBLANK(E61)))</formula>
    </cfRule>
  </conditionalFormatting>
  <conditionalFormatting sqref="E62">
    <cfRule type="expression" dxfId="0" priority="105">
      <formula>COUNTIF(G62:BE62,"&lt;&gt;" &amp; "")&gt;0</formula>
    </cfRule>
    <cfRule type="expression" dxfId="1" priority="106">
      <formula>AND(COUNTIF(G62:BE62,"&lt;&gt;" &amp; "")&gt;0,NOT(ISBLANK(E62)))</formula>
    </cfRule>
  </conditionalFormatting>
  <conditionalFormatting sqref="E63">
    <cfRule type="expression" dxfId="0" priority="107">
      <formula>COUNTIF(G63:BE63,"&lt;&gt;" &amp; "")&gt;0</formula>
    </cfRule>
    <cfRule type="expression" dxfId="1" priority="108">
      <formula>AND(COUNTIF(G63:BE63,"&lt;&gt;" &amp; "")&gt;0,NOT(ISBLANK(E63)))</formula>
    </cfRule>
  </conditionalFormatting>
  <conditionalFormatting sqref="E64">
    <cfRule type="expression" dxfId="0" priority="109">
      <formula>COUNTIF(G64:BE64,"&lt;&gt;" &amp; "")&gt;0</formula>
    </cfRule>
    <cfRule type="expression" dxfId="1" priority="110">
      <formula>AND(COUNTIF(G64:BE64,"&lt;&gt;" &amp; "")&gt;0,NOT(ISBLANK(E64)))</formula>
    </cfRule>
  </conditionalFormatting>
  <conditionalFormatting sqref="E65">
    <cfRule type="expression" dxfId="0" priority="111">
      <formula>COUNTIF(G65:BE65,"&lt;&gt;" &amp; "")&gt;0</formula>
    </cfRule>
    <cfRule type="expression" dxfId="1" priority="112">
      <formula>AND(COUNTIF(G65:BE65,"&lt;&gt;" &amp; "")&gt;0,NOT(ISBLANK(E65)))</formula>
    </cfRule>
  </conditionalFormatting>
  <conditionalFormatting sqref="E66">
    <cfRule type="expression" dxfId="0" priority="113">
      <formula>COUNTIF(G66:BE66,"&lt;&gt;" &amp; "")&gt;0</formula>
    </cfRule>
    <cfRule type="expression" dxfId="1" priority="114">
      <formula>AND(COUNTIF(G66:BE66,"&lt;&gt;" &amp; "")&gt;0,NOT(ISBLANK(E66)))</formula>
    </cfRule>
  </conditionalFormatting>
  <conditionalFormatting sqref="E67">
    <cfRule type="expression" dxfId="0" priority="115">
      <formula>COUNTIF(G67:BE67,"&lt;&gt;" &amp; "")&gt;0</formula>
    </cfRule>
    <cfRule type="expression" dxfId="1" priority="116">
      <formula>AND(COUNTIF(G67:BE67,"&lt;&gt;" &amp; "")&gt;0,NOT(ISBLANK(E67)))</formula>
    </cfRule>
  </conditionalFormatting>
  <conditionalFormatting sqref="E68">
    <cfRule type="expression" dxfId="0" priority="117">
      <formula>COUNTIF(G68:BE68,"&lt;&gt;" &amp; "")&gt;0</formula>
    </cfRule>
    <cfRule type="expression" dxfId="1" priority="118">
      <formula>AND(COUNTIF(G68:BE68,"&lt;&gt;" &amp; "")&gt;0,NOT(ISBLANK(E68)))</formula>
    </cfRule>
  </conditionalFormatting>
  <conditionalFormatting sqref="E69">
    <cfRule type="expression" dxfId="0" priority="119">
      <formula>COUNTIF(G69:BE69,"&lt;&gt;" &amp; "")&gt;0</formula>
    </cfRule>
    <cfRule type="expression" dxfId="1" priority="120">
      <formula>AND(COUNTIF(G69:BE69,"&lt;&gt;" &amp; "")&gt;0,NOT(ISBLANK(E69)))</formula>
    </cfRule>
  </conditionalFormatting>
  <conditionalFormatting sqref="E7">
    <cfRule type="expression" dxfId="0" priority="11">
      <formula>COUNTIF(G7:BE7,"&lt;&gt;" &amp; "")&gt;0</formula>
    </cfRule>
    <cfRule type="expression" dxfId="1" priority="12">
      <formula>AND(COUNTIF(G7:BE7,"&lt;&gt;" &amp; "")&gt;0,NOT(ISBLANK(E7)))</formula>
    </cfRule>
  </conditionalFormatting>
  <conditionalFormatting sqref="E72">
    <cfRule type="expression" dxfId="0" priority="121">
      <formula>COUNTIF(G72:BE72,"&lt;&gt;" &amp; "")&gt;0</formula>
    </cfRule>
    <cfRule type="expression" dxfId="1" priority="122">
      <formula>AND(COUNTIF(G72:BE72,"&lt;&gt;" &amp; "")&gt;0,NOT(ISBLANK(E72)))</formula>
    </cfRule>
  </conditionalFormatting>
  <conditionalFormatting sqref="E73">
    <cfRule type="expression" dxfId="0" priority="123">
      <formula>COUNTIF(G73:BE73,"&lt;&gt;" &amp; "")&gt;0</formula>
    </cfRule>
    <cfRule type="expression" dxfId="1" priority="124">
      <formula>AND(COUNTIF(G73:BE73,"&lt;&gt;" &amp; "")&gt;0,NOT(ISBLANK(E73)))</formula>
    </cfRule>
  </conditionalFormatting>
  <conditionalFormatting sqref="E74">
    <cfRule type="expression" dxfId="0" priority="125">
      <formula>COUNTIF(G74:BE74,"&lt;&gt;" &amp; "")&gt;0</formula>
    </cfRule>
    <cfRule type="expression" dxfId="1" priority="126">
      <formula>AND(COUNTIF(G74:BE74,"&lt;&gt;" &amp; "")&gt;0,NOT(ISBLANK(E74)))</formula>
    </cfRule>
  </conditionalFormatting>
  <conditionalFormatting sqref="E75">
    <cfRule type="expression" dxfId="0" priority="127">
      <formula>COUNTIF(G75:BE75,"&lt;&gt;" &amp; "")&gt;0</formula>
    </cfRule>
    <cfRule type="expression" dxfId="1" priority="128">
      <formula>AND(COUNTIF(G75:BE75,"&lt;&gt;" &amp; "")&gt;0,NOT(ISBLANK(E75)))</formula>
    </cfRule>
  </conditionalFormatting>
  <conditionalFormatting sqref="E76">
    <cfRule type="expression" dxfId="0" priority="129">
      <formula>COUNTIF(G76:BE76,"&lt;&gt;" &amp; "")&gt;0</formula>
    </cfRule>
    <cfRule type="expression" dxfId="1" priority="130">
      <formula>AND(COUNTIF(G76:BE76,"&lt;&gt;" &amp; "")&gt;0,NOT(ISBLANK(E76)))</formula>
    </cfRule>
  </conditionalFormatting>
  <conditionalFormatting sqref="E77">
    <cfRule type="expression" dxfId="0" priority="131">
      <formula>COUNTIF(G77:BE77,"&lt;&gt;" &amp; "")&gt;0</formula>
    </cfRule>
    <cfRule type="expression" dxfId="1" priority="132">
      <formula>AND(COUNTIF(G77:BE77,"&lt;&gt;" &amp; "")&gt;0,NOT(ISBLANK(E77)))</formula>
    </cfRule>
  </conditionalFormatting>
  <conditionalFormatting sqref="E78">
    <cfRule type="expression" dxfId="0" priority="133">
      <formula>COUNTIF(G78:BE78,"&lt;&gt;" &amp; "")&gt;0</formula>
    </cfRule>
    <cfRule type="expression" dxfId="1" priority="134">
      <formula>AND(COUNTIF(G78:BE78,"&lt;&gt;" &amp; "")&gt;0,NOT(ISBLANK(E78)))</formula>
    </cfRule>
  </conditionalFormatting>
  <conditionalFormatting sqref="E79">
    <cfRule type="expression" dxfId="0" priority="135">
      <formula>COUNTIF(G79:BE79,"&lt;&gt;" &amp; "")&gt;0</formula>
    </cfRule>
    <cfRule type="expression" dxfId="1" priority="136">
      <formula>AND(COUNTIF(G79:BE79,"&lt;&gt;" &amp; "")&gt;0,NOT(ISBLANK(E79)))</formula>
    </cfRule>
  </conditionalFormatting>
  <conditionalFormatting sqref="E8">
    <cfRule type="expression" dxfId="0" priority="13">
      <formula>COUNTIF(G8:BE8,"&lt;&gt;" &amp; "")&gt;0</formula>
    </cfRule>
    <cfRule type="expression" dxfId="1" priority="14">
      <formula>AND(COUNTIF(G8:BE8,"&lt;&gt;" &amp; "")&gt;0,NOT(ISBLANK(E8)))</formula>
    </cfRule>
  </conditionalFormatting>
  <conditionalFormatting sqref="E80">
    <cfRule type="expression" dxfId="0" priority="137">
      <formula>COUNTIF(G80:BE80,"&lt;&gt;" &amp; "")&gt;0</formula>
    </cfRule>
    <cfRule type="expression" dxfId="1" priority="138">
      <formula>AND(COUNTIF(G80:BE80,"&lt;&gt;" &amp; "")&gt;0,NOT(ISBLANK(E80)))</formula>
    </cfRule>
  </conditionalFormatting>
  <conditionalFormatting sqref="E81">
    <cfRule type="expression" dxfId="0" priority="139">
      <formula>COUNTIF(G81:BE81,"&lt;&gt;" &amp; "")&gt;0</formula>
    </cfRule>
    <cfRule type="expression" dxfId="1" priority="140">
      <formula>AND(COUNTIF(G81:BE81,"&lt;&gt;" &amp; "")&gt;0,NOT(ISBLANK(E81)))</formula>
    </cfRule>
  </conditionalFormatting>
  <conditionalFormatting sqref="E82">
    <cfRule type="expression" dxfId="0" priority="141">
      <formula>COUNTIF(G82:BE82,"&lt;&gt;" &amp; "")&gt;0</formula>
    </cfRule>
    <cfRule type="expression" dxfId="1" priority="142">
      <formula>AND(COUNTIF(G82:BE82,"&lt;&gt;" &amp; "")&gt;0,NOT(ISBLANK(E82)))</formula>
    </cfRule>
  </conditionalFormatting>
  <conditionalFormatting sqref="E83">
    <cfRule type="expression" dxfId="0" priority="143">
      <formula>COUNTIF(G83:BE83,"&lt;&gt;" &amp; "")&gt;0</formula>
    </cfRule>
    <cfRule type="expression" dxfId="1" priority="144">
      <formula>AND(COUNTIF(G83:BE83,"&lt;&gt;" &amp; "")&gt;0,NOT(ISBLANK(E83)))</formula>
    </cfRule>
  </conditionalFormatting>
  <conditionalFormatting sqref="E9">
    <cfRule type="expression" dxfId="0" priority="15">
      <formula>COUNTIF(G9:BE9,"&lt;&gt;" &amp; "")&gt;0</formula>
    </cfRule>
    <cfRule type="expression" dxfId="1" priority="16">
      <formula>AND(COUNTIF(G9:BE9,"&lt;&gt;" &amp; "")&gt;0,NOT(ISBLANK(E9)))</formula>
    </cfRule>
  </conditionalFormatting>
  <dataValidations count="72">
    <dataValidation type="list" allowBlank="1" showInputMessage="1" showErrorMessage="1" sqref="C2">
      <formula1>"Probability (per year)"</formula1>
    </dataValidation>
    <dataValidation type="list" allowBlank="1" showInputMessage="1" showErrorMessage="1" sqref="C3">
      <formula1>"Probability (per year)"</formula1>
    </dataValidation>
    <dataValidation type="list" allowBlank="1" showInputMessage="1" showErrorMessage="1" sqref="C4">
      <formula1>"Probability (per year)"</formula1>
    </dataValidation>
    <dataValidation type="list" allowBlank="1" showInputMessage="1" showErrorMessage="1" sqref="C5">
      <formula1>"Probability (per year)"</formula1>
    </dataValidation>
    <dataValidation type="list" allowBlank="1" showInputMessage="1" showErrorMessage="1" sqref="C6">
      <formula1>"Probability (per year)"</formula1>
    </dataValidation>
    <dataValidation type="list" allowBlank="1" showInputMessage="1" showErrorMessage="1" sqref="C7">
      <formula1>"Probability (per year)"</formula1>
    </dataValidation>
    <dataValidation type="list" allowBlank="1" showInputMessage="1" showErrorMessage="1" sqref="C8">
      <formula1>"Probability (per year)"</formula1>
    </dataValidation>
    <dataValidation type="list" allowBlank="1" showInputMessage="1" showErrorMessage="1" sqref="C9">
      <formula1>"Probability (per year)"</formula1>
    </dataValidation>
    <dataValidation type="list" allowBlank="1" showInputMessage="1" showErrorMessage="1" sqref="C10">
      <formula1>"Probability (per year)"</formula1>
    </dataValidation>
    <dataValidation type="list" allowBlank="1" showInputMessage="1" showErrorMessage="1" sqref="C11">
      <formula1>"Probability (per year)"</formula1>
    </dataValidation>
    <dataValidation type="list" allowBlank="1" showInputMessage="1" showErrorMessage="1" sqref="C12">
      <formula1>"Probability (per year)"</formula1>
    </dataValidation>
    <dataValidation type="list" allowBlank="1" showInputMessage="1" showErrorMessage="1" sqref="C13">
      <formula1>"Probability (per year)"</formula1>
    </dataValidation>
    <dataValidation type="list" allowBlank="1" showInputMessage="1" showErrorMessage="1" sqref="C16">
      <formula1>"Duration (years)"</formula1>
    </dataValidation>
    <dataValidation type="list" allowBlank="1" showInputMessage="1" showErrorMessage="1" sqref="C17">
      <formula1>"Duration (years)"</formula1>
    </dataValidation>
    <dataValidation type="list" allowBlank="1" showInputMessage="1" showErrorMessage="1" sqref="C18">
      <formula1>"Duration (years)"</formula1>
    </dataValidation>
    <dataValidation type="list" allowBlank="1" showInputMessage="1" showErrorMessage="1" sqref="C19">
      <formula1>"Duration (years)"</formula1>
    </dataValidation>
    <dataValidation type="list" allowBlank="1" showInputMessage="1" showErrorMessage="1" sqref="C20">
      <formula1>"Duration (years)"</formula1>
    </dataValidation>
    <dataValidation type="list" allowBlank="1" showInputMessage="1" showErrorMessage="1" sqref="C21">
      <formula1>"Duration (years)"</formula1>
    </dataValidation>
    <dataValidation type="list" allowBlank="1" showInputMessage="1" showErrorMessage="1" sqref="C22">
      <formula1>"Duration (years)"</formula1>
    </dataValidation>
    <dataValidation type="list" allowBlank="1" showInputMessage="1" showErrorMessage="1" sqref="C23">
      <formula1>"Duration (years)"</formula1>
    </dataValidation>
    <dataValidation type="list" allowBlank="1" showInputMessage="1" showErrorMessage="1" sqref="C24">
      <formula1>"Duration (years)"</formula1>
    </dataValidation>
    <dataValidation type="list" allowBlank="1" showInputMessage="1" showErrorMessage="1" sqref="C25">
      <formula1>"Duration (years)"</formula1>
    </dataValidation>
    <dataValidation type="list" allowBlank="1" showInputMessage="1" showErrorMessage="1" sqref="C26">
      <formula1>"Duration (years)"</formula1>
    </dataValidation>
    <dataValidation type="list" allowBlank="1" showInputMessage="1" showErrorMessage="1" sqref="C27">
      <formula1>"Duration (years)"</formula1>
    </dataValidation>
    <dataValidation type="list" allowBlank="1" showInputMessage="1" showErrorMessage="1" sqref="C30">
      <formula1>"Proportion"</formula1>
    </dataValidation>
    <dataValidation type="list" allowBlank="1" showInputMessage="1" showErrorMessage="1" sqref="C31">
      <formula1>"Proportion"</formula1>
    </dataValidation>
    <dataValidation type="list" allowBlank="1" showInputMessage="1" showErrorMessage="1" sqref="C32">
      <formula1>"Proportion"</formula1>
    </dataValidation>
    <dataValidation type="list" allowBlank="1" showInputMessage="1" showErrorMessage="1" sqref="C33">
      <formula1>"Proportion"</formula1>
    </dataValidation>
    <dataValidation type="list" allowBlank="1" showInputMessage="1" showErrorMessage="1" sqref="C34">
      <formula1>"Proportion"</formula1>
    </dataValidation>
    <dataValidation type="list" allowBlank="1" showInputMessage="1" showErrorMessage="1" sqref="C35">
      <formula1>"Proportion"</formula1>
    </dataValidation>
    <dataValidation type="list" allowBlank="1" showInputMessage="1" showErrorMessage="1" sqref="C36">
      <formula1>"Proportion"</formula1>
    </dataValidation>
    <dataValidation type="list" allowBlank="1" showInputMessage="1" showErrorMessage="1" sqref="C37">
      <formula1>"Proportion"</formula1>
    </dataValidation>
    <dataValidation type="list" allowBlank="1" showInputMessage="1" showErrorMessage="1" sqref="C38">
      <formula1>"Proportion"</formula1>
    </dataValidation>
    <dataValidation type="list" allowBlank="1" showInputMessage="1" showErrorMessage="1" sqref="C39">
      <formula1>"Proportion"</formula1>
    </dataValidation>
    <dataValidation type="list" allowBlank="1" showInputMessage="1" showErrorMessage="1" sqref="C40">
      <formula1>"Proportion"</formula1>
    </dataValidation>
    <dataValidation type="list" allowBlank="1" showInputMessage="1" showErrorMessage="1" sqref="C41">
      <formula1>"Proportion"</formula1>
    </dataValidation>
    <dataValidation type="list" allowBlank="1" showInputMessage="1" showErrorMessage="1" sqref="C44">
      <formula1>"Duration (years)"</formula1>
    </dataValidation>
    <dataValidation type="list" allowBlank="1" showInputMessage="1" showErrorMessage="1" sqref="C45">
      <formula1>"Duration (years)"</formula1>
    </dataValidation>
    <dataValidation type="list" allowBlank="1" showInputMessage="1" showErrorMessage="1" sqref="C46">
      <formula1>"Duration (years)"</formula1>
    </dataValidation>
    <dataValidation type="list" allowBlank="1" showInputMessage="1" showErrorMessage="1" sqref="C47">
      <formula1>"Duration (years)"</formula1>
    </dataValidation>
    <dataValidation type="list" allowBlank="1" showInputMessage="1" showErrorMessage="1" sqref="C48">
      <formula1>"Duration (years)"</formula1>
    </dataValidation>
    <dataValidation type="list" allowBlank="1" showInputMessage="1" showErrorMessage="1" sqref="C49">
      <formula1>"Duration (years)"</formula1>
    </dataValidation>
    <dataValidation type="list" allowBlank="1" showInputMessage="1" showErrorMessage="1" sqref="C50">
      <formula1>"Duration (years)"</formula1>
    </dataValidation>
    <dataValidation type="list" allowBlank="1" showInputMessage="1" showErrorMessage="1" sqref="C51">
      <formula1>"Duration (years)"</formula1>
    </dataValidation>
    <dataValidation type="list" allowBlank="1" showInputMessage="1" showErrorMessage="1" sqref="C52">
      <formula1>"Duration (years)"</formula1>
    </dataValidation>
    <dataValidation type="list" allowBlank="1" showInputMessage="1" showErrorMessage="1" sqref="C53">
      <formula1>"Duration (years)"</formula1>
    </dataValidation>
    <dataValidation type="list" allowBlank="1" showInputMessage="1" showErrorMessage="1" sqref="C54">
      <formula1>"Duration (years)"</formula1>
    </dataValidation>
    <dataValidation type="list" allowBlank="1" showInputMessage="1" showErrorMessage="1" sqref="C55">
      <formula1>"Duration (years)"</formula1>
    </dataValidation>
    <dataValidation type="list" allowBlank="1" showInputMessage="1" showErrorMessage="1" sqref="C58">
      <formula1>"N.A."</formula1>
    </dataValidation>
    <dataValidation type="list" allowBlank="1" showInputMessage="1" showErrorMessage="1" sqref="C59">
      <formula1>"N.A."</formula1>
    </dataValidation>
    <dataValidation type="list" allowBlank="1" showInputMessage="1" showErrorMessage="1" sqref="C60">
      <formula1>"N.A."</formula1>
    </dataValidation>
    <dataValidation type="list" allowBlank="1" showInputMessage="1" showErrorMessage="1" sqref="C61">
      <formula1>"N.A."</formula1>
    </dataValidation>
    <dataValidation type="list" allowBlank="1" showInputMessage="1" showErrorMessage="1" sqref="C62">
      <formula1>"N.A."</formula1>
    </dataValidation>
    <dataValidation type="list" allowBlank="1" showInputMessage="1" showErrorMessage="1" sqref="C63">
      <formula1>"N.A."</formula1>
    </dataValidation>
    <dataValidation type="list" allowBlank="1" showInputMessage="1" showErrorMessage="1" sqref="C64">
      <formula1>"N.A."</formula1>
    </dataValidation>
    <dataValidation type="list" allowBlank="1" showInputMessage="1" showErrorMessage="1" sqref="C65">
      <formula1>"N.A."</formula1>
    </dataValidation>
    <dataValidation type="list" allowBlank="1" showInputMessage="1" showErrorMessage="1" sqref="C66">
      <formula1>"N.A."</formula1>
    </dataValidation>
    <dataValidation type="list" allowBlank="1" showInputMessage="1" showErrorMessage="1" sqref="C67">
      <formula1>"N.A."</formula1>
    </dataValidation>
    <dataValidation type="list" allowBlank="1" showInputMessage="1" showErrorMessage="1" sqref="C68">
      <formula1>"N.A."</formula1>
    </dataValidation>
    <dataValidation type="list" allowBlank="1" showInputMessage="1" showErrorMessage="1" sqref="C69">
      <formula1>"N.A."</formula1>
    </dataValidation>
    <dataValidation type="list" allowBlank="1" showInputMessage="1" showErrorMessage="1" sqref="C72">
      <formula1>"N.A."</formula1>
    </dataValidation>
    <dataValidation type="list" allowBlank="1" showInputMessage="1" showErrorMessage="1" sqref="C73">
      <formula1>"N.A."</formula1>
    </dataValidation>
    <dataValidation type="list" allowBlank="1" showInputMessage="1" showErrorMessage="1" sqref="C74">
      <formula1>"N.A."</formula1>
    </dataValidation>
    <dataValidation type="list" allowBlank="1" showInputMessage="1" showErrorMessage="1" sqref="C75">
      <formula1>"N.A."</formula1>
    </dataValidation>
    <dataValidation type="list" allowBlank="1" showInputMessage="1" showErrorMessage="1" sqref="C76">
      <formula1>"N.A."</formula1>
    </dataValidation>
    <dataValidation type="list" allowBlank="1" showInputMessage="1" showErrorMessage="1" sqref="C77">
      <formula1>"N.A."</formula1>
    </dataValidation>
    <dataValidation type="list" allowBlank="1" showInputMessage="1" showErrorMessage="1" sqref="C78">
      <formula1>"N.A."</formula1>
    </dataValidation>
    <dataValidation type="list" allowBlank="1" showInputMessage="1" showErrorMessage="1" sqref="C79">
      <formula1>"N.A."</formula1>
    </dataValidation>
    <dataValidation type="list" allowBlank="1" showInputMessage="1" showErrorMessage="1" sqref="C80">
      <formula1>"N.A."</formula1>
    </dataValidation>
    <dataValidation type="list" allowBlank="1" showInputMessage="1" showErrorMessage="1" sqref="C81">
      <formula1>"N.A."</formula1>
    </dataValidation>
    <dataValidation type="list" allowBlank="1" showInputMessage="1" showErrorMessage="1" sqref="C82">
      <formula1>"N.A."</formula1>
    </dataValidation>
    <dataValidation type="list" allowBlank="1" showInputMessage="1" showErrorMessage="1" sqref="C83">
      <formula1>"N.A."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sheetPr>
    <tabColor rgb="FF808080"/>
  </sheetPr>
  <dimension ref="A1:BG162"/>
  <sheetViews>
    <sheetView workbookViewId="0"/>
  </sheetViews>
  <sheetFormatPr defaultRowHeight="15"/>
  <cols>
    <col min="1" max="1" width="20.42578125" customWidth="1"/>
    <col min="2" max="2" width="35.85546875" customWidth="1"/>
    <col min="3" max="3" width="23.7109375" customWidth="1"/>
    <col min="4" max="4" width="30.28515625" customWidth="1"/>
    <col min="5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221</v>
      </c>
      <c r="B2" t="s">
        <v>222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5" t="s">
        <v>225</v>
      </c>
      <c r="C5" s="5" t="s">
        <v>225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225</v>
      </c>
      <c r="C6" s="5" t="s">
        <v>225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5" t="s">
        <v>226</v>
      </c>
      <c r="E7" s="5" t="s">
        <v>226</v>
      </c>
      <c r="F7" s="5" t="s">
        <v>226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5" t="s">
        <v>226</v>
      </c>
      <c r="F8" s="5" t="s">
        <v>226</v>
      </c>
      <c r="G8" s="5" t="s">
        <v>226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5" t="s">
        <v>226</v>
      </c>
      <c r="G9" s="5" t="s">
        <v>226</v>
      </c>
      <c r="H9" s="5" t="s">
        <v>226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5" t="s">
        <v>226</v>
      </c>
      <c r="H10" s="5" t="s">
        <v>226</v>
      </c>
      <c r="I10" s="5" t="s">
        <v>226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5" t="s">
        <v>226</v>
      </c>
      <c r="I11" s="5" t="s">
        <v>226</v>
      </c>
      <c r="J11" s="5" t="s">
        <v>226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5" t="s">
        <v>226</v>
      </c>
      <c r="J12" s="5" t="s">
        <v>226</v>
      </c>
      <c r="K12" s="5" t="s">
        <v>226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5" t="s">
        <v>226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5" t="s">
        <v>226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5" t="s">
        <v>225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5" t="s">
        <v>225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PWID_males</v>
      </c>
      <c r="B19" s="4" t="str">
        <f>IF($B$5="Y","---&gt;","...")</f>
        <v>---&gt;</v>
      </c>
      <c r="C19" s="1" t="str">
        <f>IF($B$5="Y",'Population Definitions'!$A$2,"...")</f>
        <v>PWID_males</v>
      </c>
      <c r="D19" t="s">
        <v>61</v>
      </c>
      <c r="E19" s="3" t="s">
        <v>56</v>
      </c>
      <c r="F19" s="3"/>
      <c r="G19" s="3">
        <v>1</v>
      </c>
      <c r="H19" s="4" t="str">
        <f>IF($B$5="Y","OR","...")</f>
        <v>OR</v>
      </c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</row>
    <row r="20" spans="1:59">
      <c r="A20" s="1" t="str">
        <f>IF($C$5="Y",'Population Definitions'!$A$2,"...")</f>
        <v>PWID_males</v>
      </c>
      <c r="B20" s="4" t="str">
        <f>IF($C$5="Y","---&gt;","...")</f>
        <v>---&gt;</v>
      </c>
      <c r="C20" s="1" t="str">
        <f>IF($C$5="Y",'Population Definitions'!$A$3,"...")</f>
        <v>PWID_females</v>
      </c>
      <c r="D20" t="s">
        <v>61</v>
      </c>
      <c r="E20" s="3" t="s">
        <v>56</v>
      </c>
      <c r="F20" s="3"/>
      <c r="G20" s="3">
        <v>1</v>
      </c>
      <c r="H20" s="4" t="str">
        <f>IF($C$5="Y","OR","...")</f>
        <v>OR</v>
      </c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  <c r="AR20" s="3"/>
      <c r="AS20" s="3"/>
      <c r="AT20" s="3"/>
      <c r="AU20" s="3"/>
      <c r="AV20" s="3"/>
      <c r="AW20" s="3"/>
      <c r="AX20" s="3"/>
      <c r="AY20" s="3"/>
      <c r="AZ20" s="3"/>
      <c r="BA20" s="3"/>
      <c r="BB20" s="3"/>
      <c r="BC20" s="3"/>
      <c r="BD20" s="3"/>
      <c r="BE20" s="3"/>
      <c r="BF20" s="3"/>
      <c r="BG20" s="3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PWID_females</v>
      </c>
      <c r="B31" s="4" t="str">
        <f>IF($B$6="Y","---&gt;","...")</f>
        <v>---&gt;</v>
      </c>
      <c r="C31" s="1" t="str">
        <f>IF($B$6="Y",'Population Definitions'!$A$2,"...")</f>
        <v>PWID_males</v>
      </c>
      <c r="D31" t="s">
        <v>61</v>
      </c>
      <c r="E31" s="3" t="s">
        <v>56</v>
      </c>
      <c r="F31" s="3"/>
      <c r="G31" s="3">
        <v>1</v>
      </c>
      <c r="H31" s="4" t="str">
        <f>IF($B$6="Y","OR","...")</f>
        <v>OR</v>
      </c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</row>
    <row r="32" spans="1:59">
      <c r="A32" s="1" t="str">
        <f>IF($C$6="Y",'Population Definitions'!$A$3,"...")</f>
        <v>PWID_females</v>
      </c>
      <c r="B32" s="4" t="str">
        <f>IF($C$6="Y","---&gt;","...")</f>
        <v>---&gt;</v>
      </c>
      <c r="C32" s="1" t="str">
        <f>IF($C$6="Y",'Population Definitions'!$A$3,"...")</f>
        <v>PWID_females</v>
      </c>
      <c r="D32" t="s">
        <v>61</v>
      </c>
      <c r="E32" s="3" t="s">
        <v>56</v>
      </c>
      <c r="F32" s="3"/>
      <c r="G32" s="3">
        <v>1</v>
      </c>
      <c r="H32" s="4" t="str">
        <f>IF($C$6="Y","OR","...")</f>
        <v>OR</v>
      </c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...</v>
      </c>
      <c r="B47" s="4" t="str">
        <f>IF($F$7="Y","---&gt;","...")</f>
        <v>...</v>
      </c>
      <c r="C47" s="1" t="str">
        <f>IF($F$7="Y",'Population Definitions'!$A$6,"...")</f>
        <v>...</v>
      </c>
      <c r="E47" s="2"/>
      <c r="F47" s="3"/>
      <c r="G47" s="2"/>
      <c r="H47" s="4" t="str">
        <f>IF($F$7="Y","OR","...")</f>
        <v>...</v>
      </c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...</v>
      </c>
      <c r="B60" s="4" t="str">
        <f>IF($G$8="Y","---&gt;","...")</f>
        <v>...</v>
      </c>
      <c r="C60" s="1" t="str">
        <f>IF($G$8="Y",'Population Definitions'!$A$7,"...")</f>
        <v>...</v>
      </c>
      <c r="E60" s="2"/>
      <c r="F60" s="3"/>
      <c r="G60" s="2"/>
      <c r="H60" s="4" t="str">
        <f>IF($G$8="Y","OR","...")</f>
        <v>...</v>
      </c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...</v>
      </c>
      <c r="B73" s="4" t="str">
        <f>IF($H$9="Y","---&gt;","...")</f>
        <v>...</v>
      </c>
      <c r="C73" s="1" t="str">
        <f>IF($H$9="Y",'Population Definitions'!$A$8,"...")</f>
        <v>...</v>
      </c>
      <c r="E73" s="2"/>
      <c r="F73" s="3"/>
      <c r="G73" s="2"/>
      <c r="H73" s="4" t="str">
        <f>IF($H$9="Y","OR","...")</f>
        <v>...</v>
      </c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...</v>
      </c>
      <c r="B86" s="4" t="str">
        <f>IF($I$10="Y","---&gt;","...")</f>
        <v>...</v>
      </c>
      <c r="C86" s="1" t="str">
        <f>IF($I$10="Y",'Population Definitions'!$A$9,"...")</f>
        <v>...</v>
      </c>
      <c r="E86" s="2"/>
      <c r="F86" s="3"/>
      <c r="G86" s="2"/>
      <c r="H86" s="4" t="str">
        <f>IF($I$10="Y","OR","...")</f>
        <v>...</v>
      </c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...</v>
      </c>
      <c r="B99" s="4" t="str">
        <f>IF($J$11="Y","---&gt;","...")</f>
        <v>...</v>
      </c>
      <c r="C99" s="1" t="str">
        <f>IF($J$11="Y",'Population Definitions'!$A$10,"...")</f>
        <v>...</v>
      </c>
      <c r="E99" s="2"/>
      <c r="F99" s="3"/>
      <c r="G99" s="2"/>
      <c r="H99" s="4" t="str">
        <f>IF($J$11="Y","OR","...")</f>
        <v>...</v>
      </c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...</v>
      </c>
      <c r="B112" s="4" t="str">
        <f>IF($K$12="Y","---&gt;","...")</f>
        <v>...</v>
      </c>
      <c r="C112" s="1" t="str">
        <f>IF($K$12="Y",'Population Definitions'!$A$11,"...")</f>
        <v>...</v>
      </c>
      <c r="E112" s="2"/>
      <c r="F112" s="3"/>
      <c r="G112" s="2"/>
      <c r="H112" s="4" t="str">
        <f>IF($K$12="Y","OR","...")</f>
        <v>...</v>
      </c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Prisoners_males</v>
      </c>
      <c r="B149" s="4" t="str">
        <f>IF($L$15="Y","---&gt;","...")</f>
        <v>---&gt;</v>
      </c>
      <c r="C149" s="1" t="str">
        <f>IF($L$15="Y",'Population Definitions'!$A$12,"...")</f>
        <v>Prisoners_males</v>
      </c>
      <c r="D149" t="s">
        <v>61</v>
      </c>
      <c r="E149" s="3" t="s">
        <v>56</v>
      </c>
      <c r="F149" s="3"/>
      <c r="G149" s="3">
        <v>1</v>
      </c>
      <c r="H149" s="4" t="str">
        <f>IF($L$15="Y","OR","...")</f>
        <v>OR</v>
      </c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Prisoners_females</v>
      </c>
      <c r="B162" s="4" t="str">
        <f>IF($M$16="Y","---&gt;","...")</f>
        <v>---&gt;</v>
      </c>
      <c r="C162" s="1" t="str">
        <f>IF($M$16="Y",'Population Definitions'!$A$13,"...")</f>
        <v>Prisoners_females</v>
      </c>
      <c r="D162" t="s">
        <v>61</v>
      </c>
      <c r="E162" s="3" t="s">
        <v>56</v>
      </c>
      <c r="F162" s="3"/>
      <c r="G162" s="3">
        <v>1</v>
      </c>
      <c r="H162" s="4" t="str">
        <f>IF($M$16="Y","OR","...")</f>
        <v>OR</v>
      </c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</row>
  </sheetData>
  <conditionalFormatting sqref="B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B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B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B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B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B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B16">
    <cfRule type="cellIs" dxfId="2" priority="265" operator="equal">
      <formula>"Y"</formula>
    </cfRule>
    <cfRule type="cellIs" dxfId="3" priority="266" operator="equal">
      <formula>"N"</formula>
    </cfRule>
  </conditionalFormatting>
  <conditionalFormatting sqref="B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B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B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B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B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C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C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C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C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C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C15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C16">
    <cfRule type="cellIs" dxfId="2" priority="267" operator="equal">
      <formula>"Y"</formula>
    </cfRule>
    <cfRule type="cellIs" dxfId="3" priority="268" operator="equal">
      <formula>"N"</formula>
    </cfRule>
  </conditionalFormatting>
  <conditionalFormatting sqref="C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C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C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C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C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D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D100:BG100">
    <cfRule type="expression" dxfId="4" priority="534">
      <formula>$K$11&lt;&gt;"Y"</formula>
    </cfRule>
  </conditionalFormatting>
  <conditionalFormatting sqref="D101:BG101">
    <cfRule type="expression" dxfId="4" priority="537">
      <formula>$L$11&lt;&gt;"Y"</formula>
    </cfRule>
  </conditionalFormatting>
  <conditionalFormatting sqref="D102:BG102">
    <cfRule type="expression" dxfId="4" priority="540">
      <formula>$M$11&lt;&gt;"Y"</formula>
    </cfRule>
  </conditionalFormatting>
  <conditionalFormatting sqref="D103:BG103">
    <cfRule type="expression" dxfId="4" priority="543">
      <formula>$B$12&lt;&gt;"Y"</formula>
    </cfRule>
  </conditionalFormatting>
  <conditionalFormatting sqref="D104:BG104">
    <cfRule type="expression" dxfId="4" priority="546">
      <formula>$C$12&lt;&gt;"Y"</formula>
    </cfRule>
  </conditionalFormatting>
  <conditionalFormatting sqref="D105:BG105">
    <cfRule type="expression" dxfId="4" priority="549">
      <formula>$D$12&lt;&gt;"Y"</formula>
    </cfRule>
  </conditionalFormatting>
  <conditionalFormatting sqref="D106:BG106">
    <cfRule type="expression" dxfId="4" priority="552">
      <formula>$E$12&lt;&gt;"Y"</formula>
    </cfRule>
  </conditionalFormatting>
  <conditionalFormatting sqref="D107:BG107">
    <cfRule type="expression" dxfId="4" priority="555">
      <formula>$F$12&lt;&gt;"Y"</formula>
    </cfRule>
  </conditionalFormatting>
  <conditionalFormatting sqref="D108:BG108">
    <cfRule type="expression" dxfId="4" priority="558">
      <formula>$G$12&lt;&gt;"Y"</formula>
    </cfRule>
  </conditionalFormatting>
  <conditionalFormatting sqref="D109:BG109">
    <cfRule type="expression" dxfId="4" priority="561">
      <formula>$H$12&lt;&gt;"Y"</formula>
    </cfRule>
  </conditionalFormatting>
  <conditionalFormatting sqref="D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D110:BG110">
    <cfRule type="expression" dxfId="4" priority="564">
      <formula>$I$12&lt;&gt;"Y"</formula>
    </cfRule>
  </conditionalFormatting>
  <conditionalFormatting sqref="D111:BG111">
    <cfRule type="expression" dxfId="4" priority="567">
      <formula>$J$12&lt;&gt;"Y"</formula>
    </cfRule>
  </conditionalFormatting>
  <conditionalFormatting sqref="D112:BG112">
    <cfRule type="expression" dxfId="4" priority="570">
      <formula>$K$12&lt;&gt;"Y"</formula>
    </cfRule>
  </conditionalFormatting>
  <conditionalFormatting sqref="D113:BG113">
    <cfRule type="expression" dxfId="4" priority="573">
      <formula>$L$12&lt;&gt;"Y"</formula>
    </cfRule>
  </conditionalFormatting>
  <conditionalFormatting sqref="D114:BG114">
    <cfRule type="expression" dxfId="4" priority="576">
      <formula>$M$12&lt;&gt;"Y"</formula>
    </cfRule>
  </conditionalFormatting>
  <conditionalFormatting sqref="D115:BG115">
    <cfRule type="expression" dxfId="4" priority="579">
      <formula>$B$13&lt;&gt;"Y"</formula>
    </cfRule>
  </conditionalFormatting>
  <conditionalFormatting sqref="D116:BG116">
    <cfRule type="expression" dxfId="4" priority="582">
      <formula>$C$13&lt;&gt;"Y"</formula>
    </cfRule>
  </conditionalFormatting>
  <conditionalFormatting sqref="D117:BG117">
    <cfRule type="expression" dxfId="4" priority="585">
      <formula>$D$13&lt;&gt;"Y"</formula>
    </cfRule>
  </conditionalFormatting>
  <conditionalFormatting sqref="D118:BG118">
    <cfRule type="expression" dxfId="4" priority="588">
      <formula>$E$13&lt;&gt;"Y"</formula>
    </cfRule>
  </conditionalFormatting>
  <conditionalFormatting sqref="D119:BG119">
    <cfRule type="expression" dxfId="4" priority="591">
      <formula>$F$13&lt;&gt;"Y"</formula>
    </cfRule>
  </conditionalFormatting>
  <conditionalFormatting sqref="D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D120:BG120">
    <cfRule type="expression" dxfId="4" priority="594">
      <formula>$G$13&lt;&gt;"Y"</formula>
    </cfRule>
  </conditionalFormatting>
  <conditionalFormatting sqref="D121:BG121">
    <cfRule type="expression" dxfId="4" priority="597">
      <formula>$H$13&lt;&gt;"Y"</formula>
    </cfRule>
  </conditionalFormatting>
  <conditionalFormatting sqref="D122:BG122">
    <cfRule type="expression" dxfId="4" priority="600">
      <formula>$I$13&lt;&gt;"Y"</formula>
    </cfRule>
  </conditionalFormatting>
  <conditionalFormatting sqref="D123:BG123">
    <cfRule type="expression" dxfId="4" priority="603">
      <formula>$J$13&lt;&gt;"Y"</formula>
    </cfRule>
  </conditionalFormatting>
  <conditionalFormatting sqref="D124:BG124">
    <cfRule type="expression" dxfId="4" priority="606">
      <formula>$K$13&lt;&gt;"Y"</formula>
    </cfRule>
  </conditionalFormatting>
  <conditionalFormatting sqref="D125:BG125">
    <cfRule type="expression" dxfId="4" priority="609">
      <formula>$L$13&lt;&gt;"Y"</formula>
    </cfRule>
  </conditionalFormatting>
  <conditionalFormatting sqref="D126:BG126">
    <cfRule type="expression" dxfId="4" priority="612">
      <formula>$M$13&lt;&gt;"Y"</formula>
    </cfRule>
  </conditionalFormatting>
  <conditionalFormatting sqref="D127:BG127">
    <cfRule type="expression" dxfId="4" priority="615">
      <formula>$B$14&lt;&gt;"Y"</formula>
    </cfRule>
  </conditionalFormatting>
  <conditionalFormatting sqref="D128:BG128">
    <cfRule type="expression" dxfId="4" priority="618">
      <formula>$C$14&lt;&gt;"Y"</formula>
    </cfRule>
  </conditionalFormatting>
  <conditionalFormatting sqref="D129:BG129">
    <cfRule type="expression" dxfId="4" priority="621">
      <formula>$D$14&lt;&gt;"Y"</formula>
    </cfRule>
  </conditionalFormatting>
  <conditionalFormatting sqref="D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D130:BG130">
    <cfRule type="expression" dxfId="4" priority="624">
      <formula>$E$14&lt;&gt;"Y"</formula>
    </cfRule>
  </conditionalFormatting>
  <conditionalFormatting sqref="D131:BG131">
    <cfRule type="expression" dxfId="4" priority="627">
      <formula>$F$14&lt;&gt;"Y"</formula>
    </cfRule>
  </conditionalFormatting>
  <conditionalFormatting sqref="D132:BG132">
    <cfRule type="expression" dxfId="4" priority="630">
      <formula>$G$14&lt;&gt;"Y"</formula>
    </cfRule>
  </conditionalFormatting>
  <conditionalFormatting sqref="D133:BG133">
    <cfRule type="expression" dxfId="4" priority="633">
      <formula>$H$14&lt;&gt;"Y"</formula>
    </cfRule>
  </conditionalFormatting>
  <conditionalFormatting sqref="D134:BG134">
    <cfRule type="expression" dxfId="4" priority="636">
      <formula>$I$14&lt;&gt;"Y"</formula>
    </cfRule>
  </conditionalFormatting>
  <conditionalFormatting sqref="D135:BG135">
    <cfRule type="expression" dxfId="4" priority="639">
      <formula>$J$14&lt;&gt;"Y"</formula>
    </cfRule>
  </conditionalFormatting>
  <conditionalFormatting sqref="D136:BG136">
    <cfRule type="expression" dxfId="4" priority="642">
      <formula>$K$14&lt;&gt;"Y"</formula>
    </cfRule>
  </conditionalFormatting>
  <conditionalFormatting sqref="D137:BG137">
    <cfRule type="expression" dxfId="4" priority="645">
      <formula>$L$14&lt;&gt;"Y"</formula>
    </cfRule>
  </conditionalFormatting>
  <conditionalFormatting sqref="D138:BG138">
    <cfRule type="expression" dxfId="4" priority="648">
      <formula>$M$14&lt;&gt;"Y"</formula>
    </cfRule>
  </conditionalFormatting>
  <conditionalFormatting sqref="D139:BG139">
    <cfRule type="expression" dxfId="4" priority="651">
      <formula>$B$15&lt;&gt;"Y"</formula>
    </cfRule>
  </conditionalFormatting>
  <conditionalFormatting sqref="D14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D140:BG140">
    <cfRule type="expression" dxfId="4" priority="654">
      <formula>$C$15&lt;&gt;"Y"</formula>
    </cfRule>
  </conditionalFormatting>
  <conditionalFormatting sqref="D141:BG141">
    <cfRule type="expression" dxfId="4" priority="657">
      <formula>$D$15&lt;&gt;"Y"</formula>
    </cfRule>
  </conditionalFormatting>
  <conditionalFormatting sqref="D142:BG142">
    <cfRule type="expression" dxfId="4" priority="660">
      <formula>$E$15&lt;&gt;"Y"</formula>
    </cfRule>
  </conditionalFormatting>
  <conditionalFormatting sqref="D143:BG143">
    <cfRule type="expression" dxfId="4" priority="663">
      <formula>$F$15&lt;&gt;"Y"</formula>
    </cfRule>
  </conditionalFormatting>
  <conditionalFormatting sqref="D144:BG144">
    <cfRule type="expression" dxfId="4" priority="666">
      <formula>$G$15&lt;&gt;"Y"</formula>
    </cfRule>
  </conditionalFormatting>
  <conditionalFormatting sqref="D145:BG145">
    <cfRule type="expression" dxfId="4" priority="669">
      <formula>$H$15&lt;&gt;"Y"</formula>
    </cfRule>
  </conditionalFormatting>
  <conditionalFormatting sqref="D146:BG146">
    <cfRule type="expression" dxfId="4" priority="672">
      <formula>$I$15&lt;&gt;"Y"</formula>
    </cfRule>
  </conditionalFormatting>
  <conditionalFormatting sqref="D147:BG147">
    <cfRule type="expression" dxfId="4" priority="675">
      <formula>$J$15&lt;&gt;"Y"</formula>
    </cfRule>
  </conditionalFormatting>
  <conditionalFormatting sqref="D148:BG148">
    <cfRule type="expression" dxfId="4" priority="678">
      <formula>$K$15&lt;&gt;"Y"</formula>
    </cfRule>
  </conditionalFormatting>
  <conditionalFormatting sqref="D149:BG149">
    <cfRule type="expression" dxfId="4" priority="681">
      <formula>$L$15&lt;&gt;"Y"</formula>
    </cfRule>
  </conditionalFormatting>
  <conditionalFormatting sqref="D15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D150:BG150">
    <cfRule type="expression" dxfId="4" priority="684">
      <formula>$M$15&lt;&gt;"Y"</formula>
    </cfRule>
  </conditionalFormatting>
  <conditionalFormatting sqref="D151:BG151">
    <cfRule type="expression" dxfId="4" priority="687">
      <formula>$B$16&lt;&gt;"Y"</formula>
    </cfRule>
  </conditionalFormatting>
  <conditionalFormatting sqref="D152:BG152">
    <cfRule type="expression" dxfId="4" priority="690">
      <formula>$C$16&lt;&gt;"Y"</formula>
    </cfRule>
  </conditionalFormatting>
  <conditionalFormatting sqref="D153:BG153">
    <cfRule type="expression" dxfId="4" priority="693">
      <formula>$D$16&lt;&gt;"Y"</formula>
    </cfRule>
  </conditionalFormatting>
  <conditionalFormatting sqref="D154:BG154">
    <cfRule type="expression" dxfId="4" priority="696">
      <formula>$E$16&lt;&gt;"Y"</formula>
    </cfRule>
  </conditionalFormatting>
  <conditionalFormatting sqref="D155:BG155">
    <cfRule type="expression" dxfId="4" priority="699">
      <formula>$F$16&lt;&gt;"Y"</formula>
    </cfRule>
  </conditionalFormatting>
  <conditionalFormatting sqref="D156:BG156">
    <cfRule type="expression" dxfId="4" priority="702">
      <formula>$G$16&lt;&gt;"Y"</formula>
    </cfRule>
  </conditionalFormatting>
  <conditionalFormatting sqref="D157:BG157">
    <cfRule type="expression" dxfId="4" priority="705">
      <formula>$H$16&lt;&gt;"Y"</formula>
    </cfRule>
  </conditionalFormatting>
  <conditionalFormatting sqref="D158:BG158">
    <cfRule type="expression" dxfId="4" priority="708">
      <formula>$I$16&lt;&gt;"Y"</formula>
    </cfRule>
  </conditionalFormatting>
  <conditionalFormatting sqref="D159:BG159">
    <cfRule type="expression" dxfId="4" priority="711">
      <formula>$J$16&lt;&gt;"Y"</formula>
    </cfRule>
  </conditionalFormatting>
  <conditionalFormatting sqref="D16">
    <cfRule type="cellIs" dxfId="2" priority="269" operator="equal">
      <formula>"Y"</formula>
    </cfRule>
    <cfRule type="cellIs" dxfId="3" priority="270" operator="equal">
      <formula>"N"</formula>
    </cfRule>
  </conditionalFormatting>
  <conditionalFormatting sqref="D160:BG160">
    <cfRule type="expression" dxfId="4" priority="714">
      <formula>$K$16&lt;&gt;"Y"</formula>
    </cfRule>
  </conditionalFormatting>
  <conditionalFormatting sqref="D161:BG161">
    <cfRule type="expression" dxfId="4" priority="717">
      <formula>$L$16&lt;&gt;"Y"</formula>
    </cfRule>
  </conditionalFormatting>
  <conditionalFormatting sqref="D162:BG162">
    <cfRule type="expression" dxfId="4" priority="720">
      <formula>$M$16&lt;&gt;"Y"</formula>
    </cfRule>
  </conditionalFormatting>
  <conditionalFormatting sqref="D19:BG19">
    <cfRule type="expression" dxfId="4" priority="291">
      <formula>$B$5&lt;&gt;"Y"</formula>
    </cfRule>
  </conditionalFormatting>
  <conditionalFormatting sqref="D20:BG20">
    <cfRule type="expression" dxfId="4" priority="294">
      <formula>$C$5&lt;&gt;"Y"</formula>
    </cfRule>
  </conditionalFormatting>
  <conditionalFormatting sqref="D21:BG21">
    <cfRule type="expression" dxfId="4" priority="297">
      <formula>$D$5&lt;&gt;"Y"</formula>
    </cfRule>
  </conditionalFormatting>
  <conditionalFormatting sqref="D22:BG22">
    <cfRule type="expression" dxfId="4" priority="300">
      <formula>$E$5&lt;&gt;"Y"</formula>
    </cfRule>
  </conditionalFormatting>
  <conditionalFormatting sqref="D23:BG23">
    <cfRule type="expression" dxfId="4" priority="303">
      <formula>$F$5&lt;&gt;"Y"</formula>
    </cfRule>
  </conditionalFormatting>
  <conditionalFormatting sqref="D24:BG24">
    <cfRule type="expression" dxfId="4" priority="306">
      <formula>$G$5&lt;&gt;"Y"</formula>
    </cfRule>
  </conditionalFormatting>
  <conditionalFormatting sqref="D25:BG25">
    <cfRule type="expression" dxfId="4" priority="309">
      <formula>$H$5&lt;&gt;"Y"</formula>
    </cfRule>
  </conditionalFormatting>
  <conditionalFormatting sqref="D26:BG26">
    <cfRule type="expression" dxfId="4" priority="312">
      <formula>$I$5&lt;&gt;"Y"</formula>
    </cfRule>
  </conditionalFormatting>
  <conditionalFormatting sqref="D27:BG27">
    <cfRule type="expression" dxfId="4" priority="315">
      <formula>$J$5&lt;&gt;"Y"</formula>
    </cfRule>
  </conditionalFormatting>
  <conditionalFormatting sqref="D28:BG28">
    <cfRule type="expression" dxfId="4" priority="318">
      <formula>$K$5&lt;&gt;"Y"</formula>
    </cfRule>
  </conditionalFormatting>
  <conditionalFormatting sqref="D29:BG29">
    <cfRule type="expression" dxfId="4" priority="321">
      <formula>$L$5&lt;&gt;"Y"</formula>
    </cfRule>
  </conditionalFormatting>
  <conditionalFormatting sqref="D30:BG30">
    <cfRule type="expression" dxfId="4" priority="324">
      <formula>$M$5&lt;&gt;"Y"</formula>
    </cfRule>
  </conditionalFormatting>
  <conditionalFormatting sqref="D31:BG31">
    <cfRule type="expression" dxfId="4" priority="327">
      <formula>$B$6&lt;&gt;"Y"</formula>
    </cfRule>
  </conditionalFormatting>
  <conditionalFormatting sqref="D32:BG32">
    <cfRule type="expression" dxfId="4" priority="330">
      <formula>$C$6&lt;&gt;"Y"</formula>
    </cfRule>
  </conditionalFormatting>
  <conditionalFormatting sqref="D33:BG33">
    <cfRule type="expression" dxfId="4" priority="333">
      <formula>$D$6&lt;&gt;"Y"</formula>
    </cfRule>
  </conditionalFormatting>
  <conditionalFormatting sqref="D34:BG34">
    <cfRule type="expression" dxfId="4" priority="336">
      <formula>$E$6&lt;&gt;"Y"</formula>
    </cfRule>
  </conditionalFormatting>
  <conditionalFormatting sqref="D35:BG35">
    <cfRule type="expression" dxfId="4" priority="339">
      <formula>$F$6&lt;&gt;"Y"</formula>
    </cfRule>
  </conditionalFormatting>
  <conditionalFormatting sqref="D36:BG36">
    <cfRule type="expression" dxfId="4" priority="342">
      <formula>$G$6&lt;&gt;"Y"</formula>
    </cfRule>
  </conditionalFormatting>
  <conditionalFormatting sqref="D37:BG37">
    <cfRule type="expression" dxfId="4" priority="345">
      <formula>$H$6&lt;&gt;"Y"</formula>
    </cfRule>
  </conditionalFormatting>
  <conditionalFormatting sqref="D38:BG38">
    <cfRule type="expression" dxfId="4" priority="348">
      <formula>$I$6&lt;&gt;"Y"</formula>
    </cfRule>
  </conditionalFormatting>
  <conditionalFormatting sqref="D39:BG39">
    <cfRule type="expression" dxfId="4" priority="351">
      <formula>$J$6&lt;&gt;"Y"</formula>
    </cfRule>
  </conditionalFormatting>
  <conditionalFormatting sqref="D40:BG40">
    <cfRule type="expression" dxfId="4" priority="354">
      <formula>$K$6&lt;&gt;"Y"</formula>
    </cfRule>
  </conditionalFormatting>
  <conditionalFormatting sqref="D41:BG41">
    <cfRule type="expression" dxfId="4" priority="357">
      <formula>$L$6&lt;&gt;"Y"</formula>
    </cfRule>
  </conditionalFormatting>
  <conditionalFormatting sqref="D42:BG42">
    <cfRule type="expression" dxfId="4" priority="360">
      <formula>$M$6&lt;&gt;"Y"</formula>
    </cfRule>
  </conditionalFormatting>
  <conditionalFormatting sqref="D43:BG43">
    <cfRule type="expression" dxfId="4" priority="363">
      <formula>$B$7&lt;&gt;"Y"</formula>
    </cfRule>
  </conditionalFormatting>
  <conditionalFormatting sqref="D44:BG44">
    <cfRule type="expression" dxfId="4" priority="366">
      <formula>$C$7&lt;&gt;"Y"</formula>
    </cfRule>
  </conditionalFormatting>
  <conditionalFormatting sqref="D45:BG45">
    <cfRule type="expression" dxfId="4" priority="369">
      <formula>$D$7&lt;&gt;"Y"</formula>
    </cfRule>
  </conditionalFormatting>
  <conditionalFormatting sqref="D46:BG46">
    <cfRule type="expression" dxfId="4" priority="372">
      <formula>$E$7&lt;&gt;"Y"</formula>
    </cfRule>
  </conditionalFormatting>
  <conditionalFormatting sqref="D47:BG47">
    <cfRule type="expression" dxfId="4" priority="375">
      <formula>$F$7&lt;&gt;"Y"</formula>
    </cfRule>
  </conditionalFormatting>
  <conditionalFormatting sqref="D48:BG48">
    <cfRule type="expression" dxfId="4" priority="378">
      <formula>$G$7&lt;&gt;"Y"</formula>
    </cfRule>
  </conditionalFormatting>
  <conditionalFormatting sqref="D49:BG49">
    <cfRule type="expression" dxfId="4" priority="381">
      <formula>$H$7&lt;&gt;"Y"</formula>
    </cfRule>
  </conditionalFormatting>
  <conditionalFormatting sqref="D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D50:BG50">
    <cfRule type="expression" dxfId="4" priority="384">
      <formula>$I$7&lt;&gt;"Y"</formula>
    </cfRule>
  </conditionalFormatting>
  <conditionalFormatting sqref="D51:BG51">
    <cfRule type="expression" dxfId="4" priority="387">
      <formula>$J$7&lt;&gt;"Y"</formula>
    </cfRule>
  </conditionalFormatting>
  <conditionalFormatting sqref="D52:BG52">
    <cfRule type="expression" dxfId="4" priority="390">
      <formula>$K$7&lt;&gt;"Y"</formula>
    </cfRule>
  </conditionalFormatting>
  <conditionalFormatting sqref="D53:BG53">
    <cfRule type="expression" dxfId="4" priority="393">
      <formula>$L$7&lt;&gt;"Y"</formula>
    </cfRule>
  </conditionalFormatting>
  <conditionalFormatting sqref="D54:BG54">
    <cfRule type="expression" dxfId="4" priority="396">
      <formula>$M$7&lt;&gt;"Y"</formula>
    </cfRule>
  </conditionalFormatting>
  <conditionalFormatting sqref="D55:BG55">
    <cfRule type="expression" dxfId="4" priority="399">
      <formula>$B$8&lt;&gt;"Y"</formula>
    </cfRule>
  </conditionalFormatting>
  <conditionalFormatting sqref="D56:BG56">
    <cfRule type="expression" dxfId="4" priority="402">
      <formula>$C$8&lt;&gt;"Y"</formula>
    </cfRule>
  </conditionalFormatting>
  <conditionalFormatting sqref="D57:BG57">
    <cfRule type="expression" dxfId="4" priority="405">
      <formula>$D$8&lt;&gt;"Y"</formula>
    </cfRule>
  </conditionalFormatting>
  <conditionalFormatting sqref="D58:BG58">
    <cfRule type="expression" dxfId="4" priority="408">
      <formula>$E$8&lt;&gt;"Y"</formula>
    </cfRule>
  </conditionalFormatting>
  <conditionalFormatting sqref="D59:BG59">
    <cfRule type="expression" dxfId="4" priority="411">
      <formula>$F$8&lt;&gt;"Y"</formula>
    </cfRule>
  </conditionalFormatting>
  <conditionalFormatting sqref="D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D60:BG60">
    <cfRule type="expression" dxfId="4" priority="414">
      <formula>$G$8&lt;&gt;"Y"</formula>
    </cfRule>
  </conditionalFormatting>
  <conditionalFormatting sqref="D61:BG61">
    <cfRule type="expression" dxfId="4" priority="417">
      <formula>$H$8&lt;&gt;"Y"</formula>
    </cfRule>
  </conditionalFormatting>
  <conditionalFormatting sqref="D62:BG62">
    <cfRule type="expression" dxfId="4" priority="420">
      <formula>$I$8&lt;&gt;"Y"</formula>
    </cfRule>
  </conditionalFormatting>
  <conditionalFormatting sqref="D63:BG63">
    <cfRule type="expression" dxfId="4" priority="423">
      <formula>$J$8&lt;&gt;"Y"</formula>
    </cfRule>
  </conditionalFormatting>
  <conditionalFormatting sqref="D64:BG64">
    <cfRule type="expression" dxfId="4" priority="426">
      <formula>$K$8&lt;&gt;"Y"</formula>
    </cfRule>
  </conditionalFormatting>
  <conditionalFormatting sqref="D65:BG65">
    <cfRule type="expression" dxfId="4" priority="429">
      <formula>$L$8&lt;&gt;"Y"</formula>
    </cfRule>
  </conditionalFormatting>
  <conditionalFormatting sqref="D66:BG66">
    <cfRule type="expression" dxfId="4" priority="432">
      <formula>$M$8&lt;&gt;"Y"</formula>
    </cfRule>
  </conditionalFormatting>
  <conditionalFormatting sqref="D67:BG67">
    <cfRule type="expression" dxfId="4" priority="435">
      <formula>$B$9&lt;&gt;"Y"</formula>
    </cfRule>
  </conditionalFormatting>
  <conditionalFormatting sqref="D68:BG68">
    <cfRule type="expression" dxfId="4" priority="438">
      <formula>$C$9&lt;&gt;"Y"</formula>
    </cfRule>
  </conditionalFormatting>
  <conditionalFormatting sqref="D69:BG69">
    <cfRule type="expression" dxfId="4" priority="441">
      <formula>$D$9&lt;&gt;"Y"</formula>
    </cfRule>
  </conditionalFormatting>
  <conditionalFormatting sqref="D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D70:BG70">
    <cfRule type="expression" dxfId="4" priority="444">
      <formula>$E$9&lt;&gt;"Y"</formula>
    </cfRule>
  </conditionalFormatting>
  <conditionalFormatting sqref="D71:BG71">
    <cfRule type="expression" dxfId="4" priority="447">
      <formula>$F$9&lt;&gt;"Y"</formula>
    </cfRule>
  </conditionalFormatting>
  <conditionalFormatting sqref="D72:BG72">
    <cfRule type="expression" dxfId="4" priority="450">
      <formula>$G$9&lt;&gt;"Y"</formula>
    </cfRule>
  </conditionalFormatting>
  <conditionalFormatting sqref="D73:BG73">
    <cfRule type="expression" dxfId="4" priority="453">
      <formula>$H$9&lt;&gt;"Y"</formula>
    </cfRule>
  </conditionalFormatting>
  <conditionalFormatting sqref="D74:BG74">
    <cfRule type="expression" dxfId="4" priority="456">
      <formula>$I$9&lt;&gt;"Y"</formula>
    </cfRule>
  </conditionalFormatting>
  <conditionalFormatting sqref="D75:BG75">
    <cfRule type="expression" dxfId="4" priority="459">
      <formula>$J$9&lt;&gt;"Y"</formula>
    </cfRule>
  </conditionalFormatting>
  <conditionalFormatting sqref="D76:BG76">
    <cfRule type="expression" dxfId="4" priority="462">
      <formula>$K$9&lt;&gt;"Y"</formula>
    </cfRule>
  </conditionalFormatting>
  <conditionalFormatting sqref="D77:BG77">
    <cfRule type="expression" dxfId="4" priority="465">
      <formula>$L$9&lt;&gt;"Y"</formula>
    </cfRule>
  </conditionalFormatting>
  <conditionalFormatting sqref="D78:BG78">
    <cfRule type="expression" dxfId="4" priority="468">
      <formula>$M$9&lt;&gt;"Y"</formula>
    </cfRule>
  </conditionalFormatting>
  <conditionalFormatting sqref="D79:BG79">
    <cfRule type="expression" dxfId="4" priority="471">
      <formula>$B$10&lt;&gt;"Y"</formula>
    </cfRule>
  </conditionalFormatting>
  <conditionalFormatting sqref="D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D80:BG80">
    <cfRule type="expression" dxfId="4" priority="474">
      <formula>$C$10&lt;&gt;"Y"</formula>
    </cfRule>
  </conditionalFormatting>
  <conditionalFormatting sqref="D81:BG81">
    <cfRule type="expression" dxfId="4" priority="477">
      <formula>$D$10&lt;&gt;"Y"</formula>
    </cfRule>
  </conditionalFormatting>
  <conditionalFormatting sqref="D82:BG82">
    <cfRule type="expression" dxfId="4" priority="480">
      <formula>$E$10&lt;&gt;"Y"</formula>
    </cfRule>
  </conditionalFormatting>
  <conditionalFormatting sqref="D83:BG83">
    <cfRule type="expression" dxfId="4" priority="483">
      <formula>$F$10&lt;&gt;"Y"</formula>
    </cfRule>
  </conditionalFormatting>
  <conditionalFormatting sqref="D84:BG84">
    <cfRule type="expression" dxfId="4" priority="486">
      <formula>$G$10&lt;&gt;"Y"</formula>
    </cfRule>
  </conditionalFormatting>
  <conditionalFormatting sqref="D85:BG85">
    <cfRule type="expression" dxfId="4" priority="489">
      <formula>$H$10&lt;&gt;"Y"</formula>
    </cfRule>
  </conditionalFormatting>
  <conditionalFormatting sqref="D86:BG86">
    <cfRule type="expression" dxfId="4" priority="492">
      <formula>$I$10&lt;&gt;"Y"</formula>
    </cfRule>
  </conditionalFormatting>
  <conditionalFormatting sqref="D87:BG87">
    <cfRule type="expression" dxfId="4" priority="495">
      <formula>$J$10&lt;&gt;"Y"</formula>
    </cfRule>
  </conditionalFormatting>
  <conditionalFormatting sqref="D88:BG88">
    <cfRule type="expression" dxfId="4" priority="498">
      <formula>$K$10&lt;&gt;"Y"</formula>
    </cfRule>
  </conditionalFormatting>
  <conditionalFormatting sqref="D89:BG89">
    <cfRule type="expression" dxfId="4" priority="501">
      <formula>$L$10&lt;&gt;"Y"</formula>
    </cfRule>
  </conditionalFormatting>
  <conditionalFormatting sqref="D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D90:BG90">
    <cfRule type="expression" dxfId="4" priority="504">
      <formula>$M$10&lt;&gt;"Y"</formula>
    </cfRule>
  </conditionalFormatting>
  <conditionalFormatting sqref="D91:BG91">
    <cfRule type="expression" dxfId="4" priority="507">
      <formula>$B$11&lt;&gt;"Y"</formula>
    </cfRule>
  </conditionalFormatting>
  <conditionalFormatting sqref="D92:BG92">
    <cfRule type="expression" dxfId="4" priority="510">
      <formula>$C$11&lt;&gt;"Y"</formula>
    </cfRule>
  </conditionalFormatting>
  <conditionalFormatting sqref="D93:BG93">
    <cfRule type="expression" dxfId="4" priority="513">
      <formula>$D$11&lt;&gt;"Y"</formula>
    </cfRule>
  </conditionalFormatting>
  <conditionalFormatting sqref="D94:BG94">
    <cfRule type="expression" dxfId="4" priority="516">
      <formula>$E$11&lt;&gt;"Y"</formula>
    </cfRule>
  </conditionalFormatting>
  <conditionalFormatting sqref="D95:BG95">
    <cfRule type="expression" dxfId="4" priority="519">
      <formula>$F$11&lt;&gt;"Y"</formula>
    </cfRule>
  </conditionalFormatting>
  <conditionalFormatting sqref="D96:BG96">
    <cfRule type="expression" dxfId="4" priority="522">
      <formula>$G$11&lt;&gt;"Y"</formula>
    </cfRule>
  </conditionalFormatting>
  <conditionalFormatting sqref="D97:BG97">
    <cfRule type="expression" dxfId="4" priority="525">
      <formula>$H$11&lt;&gt;"Y"</formula>
    </cfRule>
  </conditionalFormatting>
  <conditionalFormatting sqref="D98:BG98">
    <cfRule type="expression" dxfId="4" priority="528">
      <formula>$I$11&lt;&gt;"Y"</formula>
    </cfRule>
  </conditionalFormatting>
  <conditionalFormatting sqref="D99:BG99">
    <cfRule type="expression" dxfId="4" priority="531">
      <formula>$J$11&lt;&gt;"Y"</formula>
    </cfRule>
  </conditionalFormatting>
  <conditionalFormatting sqref="E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E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E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E13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E14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E15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E16">
    <cfRule type="cellIs" dxfId="2" priority="271" operator="equal">
      <formula>"Y"</formula>
    </cfRule>
    <cfRule type="cellIs" dxfId="3" priority="272" operator="equal">
      <formula>"N"</formula>
    </cfRule>
  </conditionalFormatting>
  <conditionalFormatting sqref="E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E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E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E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E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F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F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F12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F13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F14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F15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F16">
    <cfRule type="cellIs" dxfId="2" priority="273" operator="equal">
      <formula>"Y"</formula>
    </cfRule>
    <cfRule type="cellIs" dxfId="3" priority="274" operator="equal">
      <formula>"N"</formula>
    </cfRule>
  </conditionalFormatting>
  <conditionalFormatting sqref="F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F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F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F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F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G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G100">
    <cfRule type="expression" dxfId="0" priority="532">
      <formula>COUNTIF(I100:BG100,"&lt;&gt;" &amp; "")&gt;0</formula>
    </cfRule>
    <cfRule type="expression" dxfId="1" priority="533">
      <formula>AND(COUNTIF(I100:BG100,"&lt;&gt;" &amp; "")&gt;0,NOT(ISBLANK(G100)))</formula>
    </cfRule>
  </conditionalFormatting>
  <conditionalFormatting sqref="G101">
    <cfRule type="expression" dxfId="0" priority="535">
      <formula>COUNTIF(I101:BG101,"&lt;&gt;" &amp; "")&gt;0</formula>
    </cfRule>
    <cfRule type="expression" dxfId="1" priority="536">
      <formula>AND(COUNTIF(I101:BG101,"&lt;&gt;" &amp; "")&gt;0,NOT(ISBLANK(G101)))</formula>
    </cfRule>
  </conditionalFormatting>
  <conditionalFormatting sqref="G102">
    <cfRule type="expression" dxfId="0" priority="538">
      <formula>COUNTIF(I102:BG102,"&lt;&gt;" &amp; "")&gt;0</formula>
    </cfRule>
    <cfRule type="expression" dxfId="1" priority="539">
      <formula>AND(COUNTIF(I102:BG102,"&lt;&gt;" &amp; "")&gt;0,NOT(ISBLANK(G102)))</formula>
    </cfRule>
  </conditionalFormatting>
  <conditionalFormatting sqref="G103">
    <cfRule type="expression" dxfId="0" priority="541">
      <formula>COUNTIF(I103:BG103,"&lt;&gt;" &amp; "")&gt;0</formula>
    </cfRule>
    <cfRule type="expression" dxfId="1" priority="542">
      <formula>AND(COUNTIF(I103:BG103,"&lt;&gt;" &amp; "")&gt;0,NOT(ISBLANK(G103)))</formula>
    </cfRule>
  </conditionalFormatting>
  <conditionalFormatting sqref="G104">
    <cfRule type="expression" dxfId="0" priority="544">
      <formula>COUNTIF(I104:BG104,"&lt;&gt;" &amp; "")&gt;0</formula>
    </cfRule>
    <cfRule type="expression" dxfId="1" priority="545">
      <formula>AND(COUNTIF(I104:BG104,"&lt;&gt;" &amp; "")&gt;0,NOT(ISBLANK(G104)))</formula>
    </cfRule>
  </conditionalFormatting>
  <conditionalFormatting sqref="G105">
    <cfRule type="expression" dxfId="0" priority="547">
      <formula>COUNTIF(I105:BG105,"&lt;&gt;" &amp; "")&gt;0</formula>
    </cfRule>
    <cfRule type="expression" dxfId="1" priority="548">
      <formula>AND(COUNTIF(I105:BG105,"&lt;&gt;" &amp; "")&gt;0,NOT(ISBLANK(G105)))</formula>
    </cfRule>
  </conditionalFormatting>
  <conditionalFormatting sqref="G106">
    <cfRule type="expression" dxfId="0" priority="550">
      <formula>COUNTIF(I106:BG106,"&lt;&gt;" &amp; "")&gt;0</formula>
    </cfRule>
    <cfRule type="expression" dxfId="1" priority="551">
      <formula>AND(COUNTIF(I106:BG106,"&lt;&gt;" &amp; "")&gt;0,NOT(ISBLANK(G106)))</formula>
    </cfRule>
  </conditionalFormatting>
  <conditionalFormatting sqref="G107">
    <cfRule type="expression" dxfId="0" priority="553">
      <formula>COUNTIF(I107:BG107,"&lt;&gt;" &amp; "")&gt;0</formula>
    </cfRule>
    <cfRule type="expression" dxfId="1" priority="554">
      <formula>AND(COUNTIF(I107:BG107,"&lt;&gt;" &amp; "")&gt;0,NOT(ISBLANK(G107)))</formula>
    </cfRule>
  </conditionalFormatting>
  <conditionalFormatting sqref="G108">
    <cfRule type="expression" dxfId="0" priority="556">
      <formula>COUNTIF(I108:BG108,"&lt;&gt;" &amp; "")&gt;0</formula>
    </cfRule>
    <cfRule type="expression" dxfId="1" priority="557">
      <formula>AND(COUNTIF(I108:BG108,"&lt;&gt;" &amp; "")&gt;0,NOT(ISBLANK(G108)))</formula>
    </cfRule>
  </conditionalFormatting>
  <conditionalFormatting sqref="G109">
    <cfRule type="expression" dxfId="0" priority="559">
      <formula>COUNTIF(I109:BG109,"&lt;&gt;" &amp; "")&gt;0</formula>
    </cfRule>
    <cfRule type="expression" dxfId="1" priority="560">
      <formula>AND(COUNTIF(I109:BG109,"&lt;&gt;" &amp; "")&gt;0,NOT(ISBLANK(G109)))</formula>
    </cfRule>
  </conditionalFormatting>
  <conditionalFormatting sqref="G11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G110">
    <cfRule type="expression" dxfId="0" priority="562">
      <formula>COUNTIF(I110:BG110,"&lt;&gt;" &amp; "")&gt;0</formula>
    </cfRule>
    <cfRule type="expression" dxfId="1" priority="563">
      <formula>AND(COUNTIF(I110:BG110,"&lt;&gt;" &amp; "")&gt;0,NOT(ISBLANK(G110)))</formula>
    </cfRule>
  </conditionalFormatting>
  <conditionalFormatting sqref="G111">
    <cfRule type="expression" dxfId="0" priority="565">
      <formula>COUNTIF(I111:BG111,"&lt;&gt;" &amp; "")&gt;0</formula>
    </cfRule>
    <cfRule type="expression" dxfId="1" priority="566">
      <formula>AND(COUNTIF(I111:BG111,"&lt;&gt;" &amp; "")&gt;0,NOT(ISBLANK(G111)))</formula>
    </cfRule>
  </conditionalFormatting>
  <conditionalFormatting sqref="G112">
    <cfRule type="expression" dxfId="0" priority="568">
      <formula>COUNTIF(I112:BG112,"&lt;&gt;" &amp; "")&gt;0</formula>
    </cfRule>
    <cfRule type="expression" dxfId="1" priority="569">
      <formula>AND(COUNTIF(I112:BG112,"&lt;&gt;" &amp; "")&gt;0,NOT(ISBLANK(G112)))</formula>
    </cfRule>
  </conditionalFormatting>
  <conditionalFormatting sqref="G113">
    <cfRule type="expression" dxfId="0" priority="571">
      <formula>COUNTIF(I113:BG113,"&lt;&gt;" &amp; "")&gt;0</formula>
    </cfRule>
    <cfRule type="expression" dxfId="1" priority="572">
      <formula>AND(COUNTIF(I113:BG113,"&lt;&gt;" &amp; "")&gt;0,NOT(ISBLANK(G113)))</formula>
    </cfRule>
  </conditionalFormatting>
  <conditionalFormatting sqref="G114">
    <cfRule type="expression" dxfId="0" priority="574">
      <formula>COUNTIF(I114:BG114,"&lt;&gt;" &amp; "")&gt;0</formula>
    </cfRule>
    <cfRule type="expression" dxfId="1" priority="575">
      <formula>AND(COUNTIF(I114:BG114,"&lt;&gt;" &amp; "")&gt;0,NOT(ISBLANK(G114)))</formula>
    </cfRule>
  </conditionalFormatting>
  <conditionalFormatting sqref="G115">
    <cfRule type="expression" dxfId="0" priority="577">
      <formula>COUNTIF(I115:BG115,"&lt;&gt;" &amp; "")&gt;0</formula>
    </cfRule>
    <cfRule type="expression" dxfId="1" priority="578">
      <formula>AND(COUNTIF(I115:BG115,"&lt;&gt;" &amp; "")&gt;0,NOT(ISBLANK(G115)))</formula>
    </cfRule>
  </conditionalFormatting>
  <conditionalFormatting sqref="G116">
    <cfRule type="expression" dxfId="0" priority="580">
      <formula>COUNTIF(I116:BG116,"&lt;&gt;" &amp; "")&gt;0</formula>
    </cfRule>
    <cfRule type="expression" dxfId="1" priority="581">
      <formula>AND(COUNTIF(I116:BG116,"&lt;&gt;" &amp; "")&gt;0,NOT(ISBLANK(G116)))</formula>
    </cfRule>
  </conditionalFormatting>
  <conditionalFormatting sqref="G117">
    <cfRule type="expression" dxfId="0" priority="583">
      <formula>COUNTIF(I117:BG117,"&lt;&gt;" &amp; "")&gt;0</formula>
    </cfRule>
    <cfRule type="expression" dxfId="1" priority="584">
      <formula>AND(COUNTIF(I117:BG117,"&lt;&gt;" &amp; "")&gt;0,NOT(ISBLANK(G117)))</formula>
    </cfRule>
  </conditionalFormatting>
  <conditionalFormatting sqref="G118">
    <cfRule type="expression" dxfId="0" priority="586">
      <formula>COUNTIF(I118:BG118,"&lt;&gt;" &amp; "")&gt;0</formula>
    </cfRule>
    <cfRule type="expression" dxfId="1" priority="587">
      <formula>AND(COUNTIF(I118:BG118,"&lt;&gt;" &amp; "")&gt;0,NOT(ISBLANK(G118)))</formula>
    </cfRule>
  </conditionalFormatting>
  <conditionalFormatting sqref="G119">
    <cfRule type="expression" dxfId="0" priority="589">
      <formula>COUNTIF(I119:BG119,"&lt;&gt;" &amp; "")&gt;0</formula>
    </cfRule>
    <cfRule type="expression" dxfId="1" priority="590">
      <formula>AND(COUNTIF(I119:BG119,"&lt;&gt;" &amp; "")&gt;0,NOT(ISBLANK(G119)))</formula>
    </cfRule>
  </conditionalFormatting>
  <conditionalFormatting sqref="G12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G120">
    <cfRule type="expression" dxfId="0" priority="592">
      <formula>COUNTIF(I120:BG120,"&lt;&gt;" &amp; "")&gt;0</formula>
    </cfRule>
    <cfRule type="expression" dxfId="1" priority="593">
      <formula>AND(COUNTIF(I120:BG120,"&lt;&gt;" &amp; "")&gt;0,NOT(ISBLANK(G120)))</formula>
    </cfRule>
  </conditionalFormatting>
  <conditionalFormatting sqref="G121">
    <cfRule type="expression" dxfId="0" priority="595">
      <formula>COUNTIF(I121:BG121,"&lt;&gt;" &amp; "")&gt;0</formula>
    </cfRule>
    <cfRule type="expression" dxfId="1" priority="596">
      <formula>AND(COUNTIF(I121:BG121,"&lt;&gt;" &amp; "")&gt;0,NOT(ISBLANK(G121)))</formula>
    </cfRule>
  </conditionalFormatting>
  <conditionalFormatting sqref="G122">
    <cfRule type="expression" dxfId="0" priority="598">
      <formula>COUNTIF(I122:BG122,"&lt;&gt;" &amp; "")&gt;0</formula>
    </cfRule>
    <cfRule type="expression" dxfId="1" priority="599">
      <formula>AND(COUNTIF(I122:BG122,"&lt;&gt;" &amp; "")&gt;0,NOT(ISBLANK(G122)))</formula>
    </cfRule>
  </conditionalFormatting>
  <conditionalFormatting sqref="G123">
    <cfRule type="expression" dxfId="0" priority="601">
      <formula>COUNTIF(I123:BG123,"&lt;&gt;" &amp; "")&gt;0</formula>
    </cfRule>
    <cfRule type="expression" dxfId="1" priority="602">
      <formula>AND(COUNTIF(I123:BG123,"&lt;&gt;" &amp; "")&gt;0,NOT(ISBLANK(G123)))</formula>
    </cfRule>
  </conditionalFormatting>
  <conditionalFormatting sqref="G124">
    <cfRule type="expression" dxfId="0" priority="604">
      <formula>COUNTIF(I124:BG124,"&lt;&gt;" &amp; "")&gt;0</formula>
    </cfRule>
    <cfRule type="expression" dxfId="1" priority="605">
      <formula>AND(COUNTIF(I124:BG124,"&lt;&gt;" &amp; "")&gt;0,NOT(ISBLANK(G124)))</formula>
    </cfRule>
  </conditionalFormatting>
  <conditionalFormatting sqref="G125">
    <cfRule type="expression" dxfId="0" priority="607">
      <formula>COUNTIF(I125:BG125,"&lt;&gt;" &amp; "")&gt;0</formula>
    </cfRule>
    <cfRule type="expression" dxfId="1" priority="608">
      <formula>AND(COUNTIF(I125:BG125,"&lt;&gt;" &amp; "")&gt;0,NOT(ISBLANK(G125)))</formula>
    </cfRule>
  </conditionalFormatting>
  <conditionalFormatting sqref="G126">
    <cfRule type="expression" dxfId="0" priority="610">
      <formula>COUNTIF(I126:BG126,"&lt;&gt;" &amp; "")&gt;0</formula>
    </cfRule>
    <cfRule type="expression" dxfId="1" priority="611">
      <formula>AND(COUNTIF(I126:BG126,"&lt;&gt;" &amp; "")&gt;0,NOT(ISBLANK(G126)))</formula>
    </cfRule>
  </conditionalFormatting>
  <conditionalFormatting sqref="G127">
    <cfRule type="expression" dxfId="0" priority="613">
      <formula>COUNTIF(I127:BG127,"&lt;&gt;" &amp; "")&gt;0</formula>
    </cfRule>
    <cfRule type="expression" dxfId="1" priority="614">
      <formula>AND(COUNTIF(I127:BG127,"&lt;&gt;" &amp; "")&gt;0,NOT(ISBLANK(G127)))</formula>
    </cfRule>
  </conditionalFormatting>
  <conditionalFormatting sqref="G128">
    <cfRule type="expression" dxfId="0" priority="616">
      <formula>COUNTIF(I128:BG128,"&lt;&gt;" &amp; "")&gt;0</formula>
    </cfRule>
    <cfRule type="expression" dxfId="1" priority="617">
      <formula>AND(COUNTIF(I128:BG128,"&lt;&gt;" &amp; "")&gt;0,NOT(ISBLANK(G128)))</formula>
    </cfRule>
  </conditionalFormatting>
  <conditionalFormatting sqref="G129">
    <cfRule type="expression" dxfId="0" priority="619">
      <formula>COUNTIF(I129:BG129,"&lt;&gt;" &amp; "")&gt;0</formula>
    </cfRule>
    <cfRule type="expression" dxfId="1" priority="620">
      <formula>AND(COUNTIF(I129:BG129,"&lt;&gt;" &amp; "")&gt;0,NOT(ISBLANK(G129)))</formula>
    </cfRule>
  </conditionalFormatting>
  <conditionalFormatting sqref="G13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G130">
    <cfRule type="expression" dxfId="0" priority="622">
      <formula>COUNTIF(I130:BG130,"&lt;&gt;" &amp; "")&gt;0</formula>
    </cfRule>
    <cfRule type="expression" dxfId="1" priority="623">
      <formula>AND(COUNTIF(I130:BG130,"&lt;&gt;" &amp; "")&gt;0,NOT(ISBLANK(G130)))</formula>
    </cfRule>
  </conditionalFormatting>
  <conditionalFormatting sqref="G131">
    <cfRule type="expression" dxfId="0" priority="625">
      <formula>COUNTIF(I131:BG131,"&lt;&gt;" &amp; "")&gt;0</formula>
    </cfRule>
    <cfRule type="expression" dxfId="1" priority="626">
      <formula>AND(COUNTIF(I131:BG131,"&lt;&gt;" &amp; "")&gt;0,NOT(ISBLANK(G131)))</formula>
    </cfRule>
  </conditionalFormatting>
  <conditionalFormatting sqref="G132">
    <cfRule type="expression" dxfId="0" priority="628">
      <formula>COUNTIF(I132:BG132,"&lt;&gt;" &amp; "")&gt;0</formula>
    </cfRule>
    <cfRule type="expression" dxfId="1" priority="629">
      <formula>AND(COUNTIF(I132:BG132,"&lt;&gt;" &amp; "")&gt;0,NOT(ISBLANK(G132)))</formula>
    </cfRule>
  </conditionalFormatting>
  <conditionalFormatting sqref="G133">
    <cfRule type="expression" dxfId="0" priority="631">
      <formula>COUNTIF(I133:BG133,"&lt;&gt;" &amp; "")&gt;0</formula>
    </cfRule>
    <cfRule type="expression" dxfId="1" priority="632">
      <formula>AND(COUNTIF(I133:BG133,"&lt;&gt;" &amp; "")&gt;0,NOT(ISBLANK(G133)))</formula>
    </cfRule>
  </conditionalFormatting>
  <conditionalFormatting sqref="G134">
    <cfRule type="expression" dxfId="0" priority="634">
      <formula>COUNTIF(I134:BG134,"&lt;&gt;" &amp; "")&gt;0</formula>
    </cfRule>
    <cfRule type="expression" dxfId="1" priority="635">
      <formula>AND(COUNTIF(I134:BG134,"&lt;&gt;" &amp; "")&gt;0,NOT(ISBLANK(G134)))</formula>
    </cfRule>
  </conditionalFormatting>
  <conditionalFormatting sqref="G135">
    <cfRule type="expression" dxfId="0" priority="637">
      <formula>COUNTIF(I135:BG135,"&lt;&gt;" &amp; "")&gt;0</formula>
    </cfRule>
    <cfRule type="expression" dxfId="1" priority="638">
      <formula>AND(COUNTIF(I135:BG135,"&lt;&gt;" &amp; "")&gt;0,NOT(ISBLANK(G135)))</formula>
    </cfRule>
  </conditionalFormatting>
  <conditionalFormatting sqref="G136">
    <cfRule type="expression" dxfId="0" priority="640">
      <formula>COUNTIF(I136:BG136,"&lt;&gt;" &amp; "")&gt;0</formula>
    </cfRule>
    <cfRule type="expression" dxfId="1" priority="641">
      <formula>AND(COUNTIF(I136:BG136,"&lt;&gt;" &amp; "")&gt;0,NOT(ISBLANK(G136)))</formula>
    </cfRule>
  </conditionalFormatting>
  <conditionalFormatting sqref="G137">
    <cfRule type="expression" dxfId="0" priority="643">
      <formula>COUNTIF(I137:BG137,"&lt;&gt;" &amp; "")&gt;0</formula>
    </cfRule>
    <cfRule type="expression" dxfId="1" priority="644">
      <formula>AND(COUNTIF(I137:BG137,"&lt;&gt;" &amp; "")&gt;0,NOT(ISBLANK(G137)))</formula>
    </cfRule>
  </conditionalFormatting>
  <conditionalFormatting sqref="G138">
    <cfRule type="expression" dxfId="0" priority="646">
      <formula>COUNTIF(I138:BG138,"&lt;&gt;" &amp; "")&gt;0</formula>
    </cfRule>
    <cfRule type="expression" dxfId="1" priority="647">
      <formula>AND(COUNTIF(I138:BG138,"&lt;&gt;" &amp; "")&gt;0,NOT(ISBLANK(G138)))</formula>
    </cfRule>
  </conditionalFormatting>
  <conditionalFormatting sqref="G139">
    <cfRule type="expression" dxfId="0" priority="649">
      <formula>COUNTIF(I139:BG139,"&lt;&gt;" &amp; "")&gt;0</formula>
    </cfRule>
    <cfRule type="expression" dxfId="1" priority="650">
      <formula>AND(COUNTIF(I139:BG139,"&lt;&gt;" &amp; "")&gt;0,NOT(ISBLANK(G139)))</formula>
    </cfRule>
  </conditionalFormatting>
  <conditionalFormatting sqref="G14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G140">
    <cfRule type="expression" dxfId="0" priority="652">
      <formula>COUNTIF(I140:BG140,"&lt;&gt;" &amp; "")&gt;0</formula>
    </cfRule>
    <cfRule type="expression" dxfId="1" priority="653">
      <formula>AND(COUNTIF(I140:BG140,"&lt;&gt;" &amp; "")&gt;0,NOT(ISBLANK(G140)))</formula>
    </cfRule>
  </conditionalFormatting>
  <conditionalFormatting sqref="G141">
    <cfRule type="expression" dxfId="0" priority="655">
      <formula>COUNTIF(I141:BG141,"&lt;&gt;" &amp; "")&gt;0</formula>
    </cfRule>
    <cfRule type="expression" dxfId="1" priority="656">
      <formula>AND(COUNTIF(I141:BG141,"&lt;&gt;" &amp; "")&gt;0,NOT(ISBLANK(G141)))</formula>
    </cfRule>
  </conditionalFormatting>
  <conditionalFormatting sqref="G142">
    <cfRule type="expression" dxfId="0" priority="658">
      <formula>COUNTIF(I142:BG142,"&lt;&gt;" &amp; "")&gt;0</formula>
    </cfRule>
    <cfRule type="expression" dxfId="1" priority="659">
      <formula>AND(COUNTIF(I142:BG142,"&lt;&gt;" &amp; "")&gt;0,NOT(ISBLANK(G142)))</formula>
    </cfRule>
  </conditionalFormatting>
  <conditionalFormatting sqref="G143">
    <cfRule type="expression" dxfId="0" priority="661">
      <formula>COUNTIF(I143:BG143,"&lt;&gt;" &amp; "")&gt;0</formula>
    </cfRule>
    <cfRule type="expression" dxfId="1" priority="662">
      <formula>AND(COUNTIF(I143:BG143,"&lt;&gt;" &amp; "")&gt;0,NOT(ISBLANK(G143)))</formula>
    </cfRule>
  </conditionalFormatting>
  <conditionalFormatting sqref="G144">
    <cfRule type="expression" dxfId="0" priority="664">
      <formula>COUNTIF(I144:BG144,"&lt;&gt;" &amp; "")&gt;0</formula>
    </cfRule>
    <cfRule type="expression" dxfId="1" priority="665">
      <formula>AND(COUNTIF(I144:BG144,"&lt;&gt;" &amp; "")&gt;0,NOT(ISBLANK(G144)))</formula>
    </cfRule>
  </conditionalFormatting>
  <conditionalFormatting sqref="G145">
    <cfRule type="expression" dxfId="0" priority="667">
      <formula>COUNTIF(I145:BG145,"&lt;&gt;" &amp; "")&gt;0</formula>
    </cfRule>
    <cfRule type="expression" dxfId="1" priority="668">
      <formula>AND(COUNTIF(I145:BG145,"&lt;&gt;" &amp; "")&gt;0,NOT(ISBLANK(G145)))</formula>
    </cfRule>
  </conditionalFormatting>
  <conditionalFormatting sqref="G146">
    <cfRule type="expression" dxfId="0" priority="670">
      <formula>COUNTIF(I146:BG146,"&lt;&gt;" &amp; "")&gt;0</formula>
    </cfRule>
    <cfRule type="expression" dxfId="1" priority="671">
      <formula>AND(COUNTIF(I146:BG146,"&lt;&gt;" &amp; "")&gt;0,NOT(ISBLANK(G146)))</formula>
    </cfRule>
  </conditionalFormatting>
  <conditionalFormatting sqref="G147">
    <cfRule type="expression" dxfId="0" priority="673">
      <formula>COUNTIF(I147:BG147,"&lt;&gt;" &amp; "")&gt;0</formula>
    </cfRule>
    <cfRule type="expression" dxfId="1" priority="674">
      <formula>AND(COUNTIF(I147:BG147,"&lt;&gt;" &amp; "")&gt;0,NOT(ISBLANK(G147)))</formula>
    </cfRule>
  </conditionalFormatting>
  <conditionalFormatting sqref="G148">
    <cfRule type="expression" dxfId="0" priority="676">
      <formula>COUNTIF(I148:BG148,"&lt;&gt;" &amp; "")&gt;0</formula>
    </cfRule>
    <cfRule type="expression" dxfId="1" priority="677">
      <formula>AND(COUNTIF(I148:BG148,"&lt;&gt;" &amp; "")&gt;0,NOT(ISBLANK(G148)))</formula>
    </cfRule>
  </conditionalFormatting>
  <conditionalFormatting sqref="G149">
    <cfRule type="expression" dxfId="0" priority="679">
      <formula>COUNTIF(I149:BG149,"&lt;&gt;" &amp; "")&gt;0</formula>
    </cfRule>
    <cfRule type="expression" dxfId="1" priority="680">
      <formula>AND(COUNTIF(I149:BG149,"&lt;&gt;" &amp; "")&gt;0,NOT(ISBLANK(G149)))</formula>
    </cfRule>
  </conditionalFormatting>
  <conditionalFormatting sqref="G15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G150">
    <cfRule type="expression" dxfId="0" priority="682">
      <formula>COUNTIF(I150:BG150,"&lt;&gt;" &amp; "")&gt;0</formula>
    </cfRule>
    <cfRule type="expression" dxfId="1" priority="683">
      <formula>AND(COUNTIF(I150:BG150,"&lt;&gt;" &amp; "")&gt;0,NOT(ISBLANK(G150)))</formula>
    </cfRule>
  </conditionalFormatting>
  <conditionalFormatting sqref="G151">
    <cfRule type="expression" dxfId="0" priority="685">
      <formula>COUNTIF(I151:BG151,"&lt;&gt;" &amp; "")&gt;0</formula>
    </cfRule>
    <cfRule type="expression" dxfId="1" priority="686">
      <formula>AND(COUNTIF(I151:BG151,"&lt;&gt;" &amp; "")&gt;0,NOT(ISBLANK(G151)))</formula>
    </cfRule>
  </conditionalFormatting>
  <conditionalFormatting sqref="G152">
    <cfRule type="expression" dxfId="0" priority="688">
      <formula>COUNTIF(I152:BG152,"&lt;&gt;" &amp; "")&gt;0</formula>
    </cfRule>
    <cfRule type="expression" dxfId="1" priority="689">
      <formula>AND(COUNTIF(I152:BG152,"&lt;&gt;" &amp; "")&gt;0,NOT(ISBLANK(G152)))</formula>
    </cfRule>
  </conditionalFormatting>
  <conditionalFormatting sqref="G153">
    <cfRule type="expression" dxfId="0" priority="691">
      <formula>COUNTIF(I153:BG153,"&lt;&gt;" &amp; "")&gt;0</formula>
    </cfRule>
    <cfRule type="expression" dxfId="1" priority="692">
      <formula>AND(COUNTIF(I153:BG153,"&lt;&gt;" &amp; "")&gt;0,NOT(ISBLANK(G153)))</formula>
    </cfRule>
  </conditionalFormatting>
  <conditionalFormatting sqref="G154">
    <cfRule type="expression" dxfId="0" priority="694">
      <formula>COUNTIF(I154:BG154,"&lt;&gt;" &amp; "")&gt;0</formula>
    </cfRule>
    <cfRule type="expression" dxfId="1" priority="695">
      <formula>AND(COUNTIF(I154:BG154,"&lt;&gt;" &amp; "")&gt;0,NOT(ISBLANK(G154)))</formula>
    </cfRule>
  </conditionalFormatting>
  <conditionalFormatting sqref="G155">
    <cfRule type="expression" dxfId="0" priority="697">
      <formula>COUNTIF(I155:BG155,"&lt;&gt;" &amp; "")&gt;0</formula>
    </cfRule>
    <cfRule type="expression" dxfId="1" priority="698">
      <formula>AND(COUNTIF(I155:BG155,"&lt;&gt;" &amp; "")&gt;0,NOT(ISBLANK(G155)))</formula>
    </cfRule>
  </conditionalFormatting>
  <conditionalFormatting sqref="G156">
    <cfRule type="expression" dxfId="0" priority="700">
      <formula>COUNTIF(I156:BG156,"&lt;&gt;" &amp; "")&gt;0</formula>
    </cfRule>
    <cfRule type="expression" dxfId="1" priority="701">
      <formula>AND(COUNTIF(I156:BG156,"&lt;&gt;" &amp; "")&gt;0,NOT(ISBLANK(G156)))</formula>
    </cfRule>
  </conditionalFormatting>
  <conditionalFormatting sqref="G157">
    <cfRule type="expression" dxfId="0" priority="703">
      <formula>COUNTIF(I157:BG157,"&lt;&gt;" &amp; "")&gt;0</formula>
    </cfRule>
    <cfRule type="expression" dxfId="1" priority="704">
      <formula>AND(COUNTIF(I157:BG157,"&lt;&gt;" &amp; "")&gt;0,NOT(ISBLANK(G157)))</formula>
    </cfRule>
  </conditionalFormatting>
  <conditionalFormatting sqref="G158">
    <cfRule type="expression" dxfId="0" priority="706">
      <formula>COUNTIF(I158:BG158,"&lt;&gt;" &amp; "")&gt;0</formula>
    </cfRule>
    <cfRule type="expression" dxfId="1" priority="707">
      <formula>AND(COUNTIF(I158:BG158,"&lt;&gt;" &amp; "")&gt;0,NOT(ISBLANK(G158)))</formula>
    </cfRule>
  </conditionalFormatting>
  <conditionalFormatting sqref="G159">
    <cfRule type="expression" dxfId="0" priority="709">
      <formula>COUNTIF(I159:BG159,"&lt;&gt;" &amp; "")&gt;0</formula>
    </cfRule>
    <cfRule type="expression" dxfId="1" priority="710">
      <formula>AND(COUNTIF(I159:BG159,"&lt;&gt;" &amp; "")&gt;0,NOT(ISBLANK(G159)))</formula>
    </cfRule>
  </conditionalFormatting>
  <conditionalFormatting sqref="G16">
    <cfRule type="cellIs" dxfId="2" priority="275" operator="equal">
      <formula>"Y"</formula>
    </cfRule>
    <cfRule type="cellIs" dxfId="3" priority="276" operator="equal">
      <formula>"N"</formula>
    </cfRule>
  </conditionalFormatting>
  <conditionalFormatting sqref="G160">
    <cfRule type="expression" dxfId="0" priority="712">
      <formula>COUNTIF(I160:BG160,"&lt;&gt;" &amp; "")&gt;0</formula>
    </cfRule>
    <cfRule type="expression" dxfId="1" priority="713">
      <formula>AND(COUNTIF(I160:BG160,"&lt;&gt;" &amp; "")&gt;0,NOT(ISBLANK(G160)))</formula>
    </cfRule>
  </conditionalFormatting>
  <conditionalFormatting sqref="G161">
    <cfRule type="expression" dxfId="0" priority="715">
      <formula>COUNTIF(I161:BG161,"&lt;&gt;" &amp; "")&gt;0</formula>
    </cfRule>
    <cfRule type="expression" dxfId="1" priority="716">
      <formula>AND(COUNTIF(I161:BG161,"&lt;&gt;" &amp; "")&gt;0,NOT(ISBLANK(G161)))</formula>
    </cfRule>
  </conditionalFormatting>
  <conditionalFormatting sqref="G162">
    <cfRule type="expression" dxfId="0" priority="718">
      <formula>COUNTIF(I162:BG162,"&lt;&gt;" &amp; "")&gt;0</formula>
    </cfRule>
    <cfRule type="expression" dxfId="1" priority="719">
      <formula>AND(COUNTIF(I162:BG162,"&lt;&gt;" &amp; "")&gt;0,NOT(ISBLANK(G162)))</formula>
    </cfRule>
  </conditionalFormatting>
  <conditionalFormatting sqref="G19">
    <cfRule type="expression" dxfId="0" priority="289">
      <formula>COUNTIF(I19:BG19,"&lt;&gt;" &amp; "")&gt;0</formula>
    </cfRule>
    <cfRule type="expression" dxfId="1" priority="290">
      <formula>AND(COUNTIF(I19:BG19,"&lt;&gt;" &amp; "")&gt;0,NOT(ISBLANK(G19)))</formula>
    </cfRule>
  </conditionalFormatting>
  <conditionalFormatting sqref="G20">
    <cfRule type="expression" dxfId="0" priority="292">
      <formula>COUNTIF(I20:BG20,"&lt;&gt;" &amp; "")&gt;0</formula>
    </cfRule>
    <cfRule type="expression" dxfId="1" priority="293">
      <formula>AND(COUNTIF(I20:BG20,"&lt;&gt;" &amp; "")&gt;0,NOT(ISBLANK(G20)))</formula>
    </cfRule>
  </conditionalFormatting>
  <conditionalFormatting sqref="G21">
    <cfRule type="expression" dxfId="0" priority="295">
      <formula>COUNTIF(I21:BG21,"&lt;&gt;" &amp; "")&gt;0</formula>
    </cfRule>
    <cfRule type="expression" dxfId="1" priority="296">
      <formula>AND(COUNTIF(I21:BG21,"&lt;&gt;" &amp; "")&gt;0,NOT(ISBLANK(G21)))</formula>
    </cfRule>
  </conditionalFormatting>
  <conditionalFormatting sqref="G22">
    <cfRule type="expression" dxfId="0" priority="298">
      <formula>COUNTIF(I22:BG22,"&lt;&gt;" &amp; "")&gt;0</formula>
    </cfRule>
    <cfRule type="expression" dxfId="1" priority="299">
      <formula>AND(COUNTIF(I22:BG22,"&lt;&gt;" &amp; "")&gt;0,NOT(ISBLANK(G22)))</formula>
    </cfRule>
  </conditionalFormatting>
  <conditionalFormatting sqref="G23">
    <cfRule type="expression" dxfId="0" priority="301">
      <formula>COUNTIF(I23:BG23,"&lt;&gt;" &amp; "")&gt;0</formula>
    </cfRule>
    <cfRule type="expression" dxfId="1" priority="302">
      <formula>AND(COUNTIF(I23:BG23,"&lt;&gt;" &amp; "")&gt;0,NOT(ISBLANK(G23)))</formula>
    </cfRule>
  </conditionalFormatting>
  <conditionalFormatting sqref="G24">
    <cfRule type="expression" dxfId="0" priority="304">
      <formula>COUNTIF(I24:BG24,"&lt;&gt;" &amp; "")&gt;0</formula>
    </cfRule>
    <cfRule type="expression" dxfId="1" priority="305">
      <formula>AND(COUNTIF(I24:BG24,"&lt;&gt;" &amp; "")&gt;0,NOT(ISBLANK(G24)))</formula>
    </cfRule>
  </conditionalFormatting>
  <conditionalFormatting sqref="G25">
    <cfRule type="expression" dxfId="0" priority="307">
      <formula>COUNTIF(I25:BG25,"&lt;&gt;" &amp; "")&gt;0</formula>
    </cfRule>
    <cfRule type="expression" dxfId="1" priority="308">
      <formula>AND(COUNTIF(I25:BG25,"&lt;&gt;" &amp; "")&gt;0,NOT(ISBLANK(G25)))</formula>
    </cfRule>
  </conditionalFormatting>
  <conditionalFormatting sqref="G26">
    <cfRule type="expression" dxfId="0" priority="310">
      <formula>COUNTIF(I26:BG26,"&lt;&gt;" &amp; "")&gt;0</formula>
    </cfRule>
    <cfRule type="expression" dxfId="1" priority="311">
      <formula>AND(COUNTIF(I26:BG26,"&lt;&gt;" &amp; "")&gt;0,NOT(ISBLANK(G26)))</formula>
    </cfRule>
  </conditionalFormatting>
  <conditionalFormatting sqref="G27">
    <cfRule type="expression" dxfId="0" priority="313">
      <formula>COUNTIF(I27:BG27,"&lt;&gt;" &amp; "")&gt;0</formula>
    </cfRule>
    <cfRule type="expression" dxfId="1" priority="314">
      <formula>AND(COUNTIF(I27:BG27,"&lt;&gt;" &amp; "")&gt;0,NOT(ISBLANK(G27)))</formula>
    </cfRule>
  </conditionalFormatting>
  <conditionalFormatting sqref="G28">
    <cfRule type="expression" dxfId="0" priority="316">
      <formula>COUNTIF(I28:BG28,"&lt;&gt;" &amp; "")&gt;0</formula>
    </cfRule>
    <cfRule type="expression" dxfId="1" priority="317">
      <formula>AND(COUNTIF(I28:BG28,"&lt;&gt;" &amp; "")&gt;0,NOT(ISBLANK(G28)))</formula>
    </cfRule>
  </conditionalFormatting>
  <conditionalFormatting sqref="G29">
    <cfRule type="expression" dxfId="0" priority="319">
      <formula>COUNTIF(I29:BG29,"&lt;&gt;" &amp; "")&gt;0</formula>
    </cfRule>
    <cfRule type="expression" dxfId="1" priority="320">
      <formula>AND(COUNTIF(I29:BG29,"&lt;&gt;" &amp; "")&gt;0,NOT(ISBLANK(G29)))</formula>
    </cfRule>
  </conditionalFormatting>
  <conditionalFormatting sqref="G30">
    <cfRule type="expression" dxfId="0" priority="322">
      <formula>COUNTIF(I30:BG30,"&lt;&gt;" &amp; "")&gt;0</formula>
    </cfRule>
    <cfRule type="expression" dxfId="1" priority="323">
      <formula>AND(COUNTIF(I30:BG30,"&lt;&gt;" &amp; "")&gt;0,NOT(ISBLANK(G30)))</formula>
    </cfRule>
  </conditionalFormatting>
  <conditionalFormatting sqref="G31">
    <cfRule type="expression" dxfId="0" priority="325">
      <formula>COUNTIF(I31:BG31,"&lt;&gt;" &amp; "")&gt;0</formula>
    </cfRule>
    <cfRule type="expression" dxfId="1" priority="326">
      <formula>AND(COUNTIF(I31:BG31,"&lt;&gt;" &amp; "")&gt;0,NOT(ISBLANK(G31)))</formula>
    </cfRule>
  </conditionalFormatting>
  <conditionalFormatting sqref="G32">
    <cfRule type="expression" dxfId="0" priority="328">
      <formula>COUNTIF(I32:BG32,"&lt;&gt;" &amp; "")&gt;0</formula>
    </cfRule>
    <cfRule type="expression" dxfId="1" priority="329">
      <formula>AND(COUNTIF(I32:BG32,"&lt;&gt;" &amp; "")&gt;0,NOT(ISBLANK(G32)))</formula>
    </cfRule>
  </conditionalFormatting>
  <conditionalFormatting sqref="G33">
    <cfRule type="expression" dxfId="0" priority="331">
      <formula>COUNTIF(I33:BG33,"&lt;&gt;" &amp; "")&gt;0</formula>
    </cfRule>
    <cfRule type="expression" dxfId="1" priority="332">
      <formula>AND(COUNTIF(I33:BG33,"&lt;&gt;" &amp; "")&gt;0,NOT(ISBLANK(G33)))</formula>
    </cfRule>
  </conditionalFormatting>
  <conditionalFormatting sqref="G34">
    <cfRule type="expression" dxfId="0" priority="334">
      <formula>COUNTIF(I34:BG34,"&lt;&gt;" &amp; "")&gt;0</formula>
    </cfRule>
    <cfRule type="expression" dxfId="1" priority="335">
      <formula>AND(COUNTIF(I34:BG34,"&lt;&gt;" &amp; "")&gt;0,NOT(ISBLANK(G34)))</formula>
    </cfRule>
  </conditionalFormatting>
  <conditionalFormatting sqref="G35">
    <cfRule type="expression" dxfId="0" priority="337">
      <formula>COUNTIF(I35:BG35,"&lt;&gt;" &amp; "")&gt;0</formula>
    </cfRule>
    <cfRule type="expression" dxfId="1" priority="338">
      <formula>AND(COUNTIF(I35:BG35,"&lt;&gt;" &amp; "")&gt;0,NOT(ISBLANK(G35)))</formula>
    </cfRule>
  </conditionalFormatting>
  <conditionalFormatting sqref="G36">
    <cfRule type="expression" dxfId="0" priority="340">
      <formula>COUNTIF(I36:BG36,"&lt;&gt;" &amp; "")&gt;0</formula>
    </cfRule>
    <cfRule type="expression" dxfId="1" priority="341">
      <formula>AND(COUNTIF(I36:BG36,"&lt;&gt;" &amp; "")&gt;0,NOT(ISBLANK(G36)))</formula>
    </cfRule>
  </conditionalFormatting>
  <conditionalFormatting sqref="G37">
    <cfRule type="expression" dxfId="0" priority="343">
      <formula>COUNTIF(I37:BG37,"&lt;&gt;" &amp; "")&gt;0</formula>
    </cfRule>
    <cfRule type="expression" dxfId="1" priority="344">
      <formula>AND(COUNTIF(I37:BG37,"&lt;&gt;" &amp; "")&gt;0,NOT(ISBLANK(G37)))</formula>
    </cfRule>
  </conditionalFormatting>
  <conditionalFormatting sqref="G38">
    <cfRule type="expression" dxfId="0" priority="346">
      <formula>COUNTIF(I38:BG38,"&lt;&gt;" &amp; "")&gt;0</formula>
    </cfRule>
    <cfRule type="expression" dxfId="1" priority="347">
      <formula>AND(COUNTIF(I38:BG38,"&lt;&gt;" &amp; "")&gt;0,NOT(ISBLANK(G38)))</formula>
    </cfRule>
  </conditionalFormatting>
  <conditionalFormatting sqref="G39">
    <cfRule type="expression" dxfId="0" priority="349">
      <formula>COUNTIF(I39:BG39,"&lt;&gt;" &amp; "")&gt;0</formula>
    </cfRule>
    <cfRule type="expression" dxfId="1" priority="350">
      <formula>AND(COUNTIF(I39:BG39,"&lt;&gt;" &amp; "")&gt;0,NOT(ISBLANK(G39)))</formula>
    </cfRule>
  </conditionalFormatting>
  <conditionalFormatting sqref="G40">
    <cfRule type="expression" dxfId="0" priority="352">
      <formula>COUNTIF(I40:BG40,"&lt;&gt;" &amp; "")&gt;0</formula>
    </cfRule>
    <cfRule type="expression" dxfId="1" priority="353">
      <formula>AND(COUNTIF(I40:BG40,"&lt;&gt;" &amp; "")&gt;0,NOT(ISBLANK(G40)))</formula>
    </cfRule>
  </conditionalFormatting>
  <conditionalFormatting sqref="G41">
    <cfRule type="expression" dxfId="0" priority="355">
      <formula>COUNTIF(I41:BG41,"&lt;&gt;" &amp; "")&gt;0</formula>
    </cfRule>
    <cfRule type="expression" dxfId="1" priority="356">
      <formula>AND(COUNTIF(I41:BG41,"&lt;&gt;" &amp; "")&gt;0,NOT(ISBLANK(G41)))</formula>
    </cfRule>
  </conditionalFormatting>
  <conditionalFormatting sqref="G42">
    <cfRule type="expression" dxfId="0" priority="358">
      <formula>COUNTIF(I42:BG42,"&lt;&gt;" &amp; "")&gt;0</formula>
    </cfRule>
    <cfRule type="expression" dxfId="1" priority="359">
      <formula>AND(COUNTIF(I42:BG42,"&lt;&gt;" &amp; "")&gt;0,NOT(ISBLANK(G42)))</formula>
    </cfRule>
  </conditionalFormatting>
  <conditionalFormatting sqref="G43">
    <cfRule type="expression" dxfId="0" priority="361">
      <formula>COUNTIF(I43:BG43,"&lt;&gt;" &amp; "")&gt;0</formula>
    </cfRule>
    <cfRule type="expression" dxfId="1" priority="362">
      <formula>AND(COUNTIF(I43:BG43,"&lt;&gt;" &amp; "")&gt;0,NOT(ISBLANK(G43)))</formula>
    </cfRule>
  </conditionalFormatting>
  <conditionalFormatting sqref="G44">
    <cfRule type="expression" dxfId="0" priority="364">
      <formula>COUNTIF(I44:BG44,"&lt;&gt;" &amp; "")&gt;0</formula>
    </cfRule>
    <cfRule type="expression" dxfId="1" priority="365">
      <formula>AND(COUNTIF(I44:BG44,"&lt;&gt;" &amp; "")&gt;0,NOT(ISBLANK(G44)))</formula>
    </cfRule>
  </conditionalFormatting>
  <conditionalFormatting sqref="G45">
    <cfRule type="expression" dxfId="0" priority="367">
      <formula>COUNTIF(I45:BG45,"&lt;&gt;" &amp; "")&gt;0</formula>
    </cfRule>
    <cfRule type="expression" dxfId="1" priority="368">
      <formula>AND(COUNTIF(I45:BG45,"&lt;&gt;" &amp; "")&gt;0,NOT(ISBLANK(G45)))</formula>
    </cfRule>
  </conditionalFormatting>
  <conditionalFormatting sqref="G46">
    <cfRule type="expression" dxfId="0" priority="370">
      <formula>COUNTIF(I46:BG46,"&lt;&gt;" &amp; "")&gt;0</formula>
    </cfRule>
    <cfRule type="expression" dxfId="1" priority="371">
      <formula>AND(COUNTIF(I46:BG46,"&lt;&gt;" &amp; "")&gt;0,NOT(ISBLANK(G46)))</formula>
    </cfRule>
  </conditionalFormatting>
  <conditionalFormatting sqref="G47">
    <cfRule type="expression" dxfId="0" priority="373">
      <formula>COUNTIF(I47:BG47,"&lt;&gt;" &amp; "")&gt;0</formula>
    </cfRule>
    <cfRule type="expression" dxfId="1" priority="374">
      <formula>AND(COUNTIF(I47:BG47,"&lt;&gt;" &amp; "")&gt;0,NOT(ISBLANK(G47)))</formula>
    </cfRule>
  </conditionalFormatting>
  <conditionalFormatting sqref="G48">
    <cfRule type="expression" dxfId="0" priority="376">
      <formula>COUNTIF(I48:BG48,"&lt;&gt;" &amp; "")&gt;0</formula>
    </cfRule>
    <cfRule type="expression" dxfId="1" priority="377">
      <formula>AND(COUNTIF(I48:BG48,"&lt;&gt;" &amp; "")&gt;0,NOT(ISBLANK(G48)))</formula>
    </cfRule>
  </conditionalFormatting>
  <conditionalFormatting sqref="G49">
    <cfRule type="expression" dxfId="0" priority="379">
      <formula>COUNTIF(I49:BG49,"&lt;&gt;" &amp; "")&gt;0</formula>
    </cfRule>
    <cfRule type="expression" dxfId="1" priority="380">
      <formula>AND(COUNTIF(I49:BG49,"&lt;&gt;" &amp; "")&gt;0,NOT(ISBLANK(G49)))</formula>
    </cfRule>
  </conditionalFormatting>
  <conditionalFormatting sqref="G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G50">
    <cfRule type="expression" dxfId="0" priority="382">
      <formula>COUNTIF(I50:BG50,"&lt;&gt;" &amp; "")&gt;0</formula>
    </cfRule>
    <cfRule type="expression" dxfId="1" priority="383">
      <formula>AND(COUNTIF(I50:BG50,"&lt;&gt;" &amp; "")&gt;0,NOT(ISBLANK(G50)))</formula>
    </cfRule>
  </conditionalFormatting>
  <conditionalFormatting sqref="G51">
    <cfRule type="expression" dxfId="0" priority="385">
      <formula>COUNTIF(I51:BG51,"&lt;&gt;" &amp; "")&gt;0</formula>
    </cfRule>
    <cfRule type="expression" dxfId="1" priority="386">
      <formula>AND(COUNTIF(I51:BG51,"&lt;&gt;" &amp; "")&gt;0,NOT(ISBLANK(G51)))</formula>
    </cfRule>
  </conditionalFormatting>
  <conditionalFormatting sqref="G52">
    <cfRule type="expression" dxfId="0" priority="388">
      <formula>COUNTIF(I52:BG52,"&lt;&gt;" &amp; "")&gt;0</formula>
    </cfRule>
    <cfRule type="expression" dxfId="1" priority="389">
      <formula>AND(COUNTIF(I52:BG52,"&lt;&gt;" &amp; "")&gt;0,NOT(ISBLANK(G52)))</formula>
    </cfRule>
  </conditionalFormatting>
  <conditionalFormatting sqref="G53">
    <cfRule type="expression" dxfId="0" priority="391">
      <formula>COUNTIF(I53:BG53,"&lt;&gt;" &amp; "")&gt;0</formula>
    </cfRule>
    <cfRule type="expression" dxfId="1" priority="392">
      <formula>AND(COUNTIF(I53:BG53,"&lt;&gt;" &amp; "")&gt;0,NOT(ISBLANK(G53)))</formula>
    </cfRule>
  </conditionalFormatting>
  <conditionalFormatting sqref="G54">
    <cfRule type="expression" dxfId="0" priority="394">
      <formula>COUNTIF(I54:BG54,"&lt;&gt;" &amp; "")&gt;0</formula>
    </cfRule>
    <cfRule type="expression" dxfId="1" priority="395">
      <formula>AND(COUNTIF(I54:BG54,"&lt;&gt;" &amp; "")&gt;0,NOT(ISBLANK(G54)))</formula>
    </cfRule>
  </conditionalFormatting>
  <conditionalFormatting sqref="G55">
    <cfRule type="expression" dxfId="0" priority="397">
      <formula>COUNTIF(I55:BG55,"&lt;&gt;" &amp; "")&gt;0</formula>
    </cfRule>
    <cfRule type="expression" dxfId="1" priority="398">
      <formula>AND(COUNTIF(I55:BG55,"&lt;&gt;" &amp; "")&gt;0,NOT(ISBLANK(G55)))</formula>
    </cfRule>
  </conditionalFormatting>
  <conditionalFormatting sqref="G56">
    <cfRule type="expression" dxfId="0" priority="400">
      <formula>COUNTIF(I56:BG56,"&lt;&gt;" &amp; "")&gt;0</formula>
    </cfRule>
    <cfRule type="expression" dxfId="1" priority="401">
      <formula>AND(COUNTIF(I56:BG56,"&lt;&gt;" &amp; "")&gt;0,NOT(ISBLANK(G56)))</formula>
    </cfRule>
  </conditionalFormatting>
  <conditionalFormatting sqref="G57">
    <cfRule type="expression" dxfId="0" priority="403">
      <formula>COUNTIF(I57:BG57,"&lt;&gt;" &amp; "")&gt;0</formula>
    </cfRule>
    <cfRule type="expression" dxfId="1" priority="404">
      <formula>AND(COUNTIF(I57:BG57,"&lt;&gt;" &amp; "")&gt;0,NOT(ISBLANK(G57)))</formula>
    </cfRule>
  </conditionalFormatting>
  <conditionalFormatting sqref="G58">
    <cfRule type="expression" dxfId="0" priority="406">
      <formula>COUNTIF(I58:BG58,"&lt;&gt;" &amp; "")&gt;0</formula>
    </cfRule>
    <cfRule type="expression" dxfId="1" priority="407">
      <formula>AND(COUNTIF(I58:BG58,"&lt;&gt;" &amp; "")&gt;0,NOT(ISBLANK(G58)))</formula>
    </cfRule>
  </conditionalFormatting>
  <conditionalFormatting sqref="G59">
    <cfRule type="expression" dxfId="0" priority="409">
      <formula>COUNTIF(I59:BG59,"&lt;&gt;" &amp; "")&gt;0</formula>
    </cfRule>
    <cfRule type="expression" dxfId="1" priority="410">
      <formula>AND(COUNTIF(I59:BG59,"&lt;&gt;" &amp; "")&gt;0,NOT(ISBLANK(G59)))</formula>
    </cfRule>
  </conditionalFormatting>
  <conditionalFormatting sqref="G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G60">
    <cfRule type="expression" dxfId="0" priority="412">
      <formula>COUNTIF(I60:BG60,"&lt;&gt;" &amp; "")&gt;0</formula>
    </cfRule>
    <cfRule type="expression" dxfId="1" priority="413">
      <formula>AND(COUNTIF(I60:BG60,"&lt;&gt;" &amp; "")&gt;0,NOT(ISBLANK(G60)))</formula>
    </cfRule>
  </conditionalFormatting>
  <conditionalFormatting sqref="G61">
    <cfRule type="expression" dxfId="0" priority="415">
      <formula>COUNTIF(I61:BG61,"&lt;&gt;" &amp; "")&gt;0</formula>
    </cfRule>
    <cfRule type="expression" dxfId="1" priority="416">
      <formula>AND(COUNTIF(I61:BG61,"&lt;&gt;" &amp; "")&gt;0,NOT(ISBLANK(G61)))</formula>
    </cfRule>
  </conditionalFormatting>
  <conditionalFormatting sqref="G62">
    <cfRule type="expression" dxfId="0" priority="418">
      <formula>COUNTIF(I62:BG62,"&lt;&gt;" &amp; "")&gt;0</formula>
    </cfRule>
    <cfRule type="expression" dxfId="1" priority="419">
      <formula>AND(COUNTIF(I62:BG62,"&lt;&gt;" &amp; "")&gt;0,NOT(ISBLANK(G62)))</formula>
    </cfRule>
  </conditionalFormatting>
  <conditionalFormatting sqref="G63">
    <cfRule type="expression" dxfId="0" priority="421">
      <formula>COUNTIF(I63:BG63,"&lt;&gt;" &amp; "")&gt;0</formula>
    </cfRule>
    <cfRule type="expression" dxfId="1" priority="422">
      <formula>AND(COUNTIF(I63:BG63,"&lt;&gt;" &amp; "")&gt;0,NOT(ISBLANK(G63)))</formula>
    </cfRule>
  </conditionalFormatting>
  <conditionalFormatting sqref="G64">
    <cfRule type="expression" dxfId="0" priority="424">
      <formula>COUNTIF(I64:BG64,"&lt;&gt;" &amp; "")&gt;0</formula>
    </cfRule>
    <cfRule type="expression" dxfId="1" priority="425">
      <formula>AND(COUNTIF(I64:BG64,"&lt;&gt;" &amp; "")&gt;0,NOT(ISBLANK(G64)))</formula>
    </cfRule>
  </conditionalFormatting>
  <conditionalFormatting sqref="G65">
    <cfRule type="expression" dxfId="0" priority="427">
      <formula>COUNTIF(I65:BG65,"&lt;&gt;" &amp; "")&gt;0</formula>
    </cfRule>
    <cfRule type="expression" dxfId="1" priority="428">
      <formula>AND(COUNTIF(I65:BG65,"&lt;&gt;" &amp; "")&gt;0,NOT(ISBLANK(G65)))</formula>
    </cfRule>
  </conditionalFormatting>
  <conditionalFormatting sqref="G66">
    <cfRule type="expression" dxfId="0" priority="430">
      <formula>COUNTIF(I66:BG66,"&lt;&gt;" &amp; "")&gt;0</formula>
    </cfRule>
    <cfRule type="expression" dxfId="1" priority="431">
      <formula>AND(COUNTIF(I66:BG66,"&lt;&gt;" &amp; "")&gt;0,NOT(ISBLANK(G66)))</formula>
    </cfRule>
  </conditionalFormatting>
  <conditionalFormatting sqref="G67">
    <cfRule type="expression" dxfId="0" priority="433">
      <formula>COUNTIF(I67:BG67,"&lt;&gt;" &amp; "")&gt;0</formula>
    </cfRule>
    <cfRule type="expression" dxfId="1" priority="434">
      <formula>AND(COUNTIF(I67:BG67,"&lt;&gt;" &amp; "")&gt;0,NOT(ISBLANK(G67)))</formula>
    </cfRule>
  </conditionalFormatting>
  <conditionalFormatting sqref="G68">
    <cfRule type="expression" dxfId="0" priority="436">
      <formula>COUNTIF(I68:BG68,"&lt;&gt;" &amp; "")&gt;0</formula>
    </cfRule>
    <cfRule type="expression" dxfId="1" priority="437">
      <formula>AND(COUNTIF(I68:BG68,"&lt;&gt;" &amp; "")&gt;0,NOT(ISBLANK(G68)))</formula>
    </cfRule>
  </conditionalFormatting>
  <conditionalFormatting sqref="G69">
    <cfRule type="expression" dxfId="0" priority="439">
      <formula>COUNTIF(I69:BG69,"&lt;&gt;" &amp; "")&gt;0</formula>
    </cfRule>
    <cfRule type="expression" dxfId="1" priority="440">
      <formula>AND(COUNTIF(I69:BG69,"&lt;&gt;" &amp; "")&gt;0,NOT(ISBLANK(G69)))</formula>
    </cfRule>
  </conditionalFormatting>
  <conditionalFormatting sqref="G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G70">
    <cfRule type="expression" dxfId="0" priority="442">
      <formula>COUNTIF(I70:BG70,"&lt;&gt;" &amp; "")&gt;0</formula>
    </cfRule>
    <cfRule type="expression" dxfId="1" priority="443">
      <formula>AND(COUNTIF(I70:BG70,"&lt;&gt;" &amp; "")&gt;0,NOT(ISBLANK(G70)))</formula>
    </cfRule>
  </conditionalFormatting>
  <conditionalFormatting sqref="G71">
    <cfRule type="expression" dxfId="0" priority="445">
      <formula>COUNTIF(I71:BG71,"&lt;&gt;" &amp; "")&gt;0</formula>
    </cfRule>
    <cfRule type="expression" dxfId="1" priority="446">
      <formula>AND(COUNTIF(I71:BG71,"&lt;&gt;" &amp; "")&gt;0,NOT(ISBLANK(G71)))</formula>
    </cfRule>
  </conditionalFormatting>
  <conditionalFormatting sqref="G72">
    <cfRule type="expression" dxfId="0" priority="448">
      <formula>COUNTIF(I72:BG72,"&lt;&gt;" &amp; "")&gt;0</formula>
    </cfRule>
    <cfRule type="expression" dxfId="1" priority="449">
      <formula>AND(COUNTIF(I72:BG72,"&lt;&gt;" &amp; "")&gt;0,NOT(ISBLANK(G72)))</formula>
    </cfRule>
  </conditionalFormatting>
  <conditionalFormatting sqref="G73">
    <cfRule type="expression" dxfId="0" priority="451">
      <formula>COUNTIF(I73:BG73,"&lt;&gt;" &amp; "")&gt;0</formula>
    </cfRule>
    <cfRule type="expression" dxfId="1" priority="452">
      <formula>AND(COUNTIF(I73:BG73,"&lt;&gt;" &amp; "")&gt;0,NOT(ISBLANK(G73)))</formula>
    </cfRule>
  </conditionalFormatting>
  <conditionalFormatting sqref="G74">
    <cfRule type="expression" dxfId="0" priority="454">
      <formula>COUNTIF(I74:BG74,"&lt;&gt;" &amp; "")&gt;0</formula>
    </cfRule>
    <cfRule type="expression" dxfId="1" priority="455">
      <formula>AND(COUNTIF(I74:BG74,"&lt;&gt;" &amp; "")&gt;0,NOT(ISBLANK(G74)))</formula>
    </cfRule>
  </conditionalFormatting>
  <conditionalFormatting sqref="G75">
    <cfRule type="expression" dxfId="0" priority="457">
      <formula>COUNTIF(I75:BG75,"&lt;&gt;" &amp; "")&gt;0</formula>
    </cfRule>
    <cfRule type="expression" dxfId="1" priority="458">
      <formula>AND(COUNTIF(I75:BG75,"&lt;&gt;" &amp; "")&gt;0,NOT(ISBLANK(G75)))</formula>
    </cfRule>
  </conditionalFormatting>
  <conditionalFormatting sqref="G76">
    <cfRule type="expression" dxfId="0" priority="460">
      <formula>COUNTIF(I76:BG76,"&lt;&gt;" &amp; "")&gt;0</formula>
    </cfRule>
    <cfRule type="expression" dxfId="1" priority="461">
      <formula>AND(COUNTIF(I76:BG76,"&lt;&gt;" &amp; "")&gt;0,NOT(ISBLANK(G76)))</formula>
    </cfRule>
  </conditionalFormatting>
  <conditionalFormatting sqref="G77">
    <cfRule type="expression" dxfId="0" priority="463">
      <formula>COUNTIF(I77:BG77,"&lt;&gt;" &amp; "")&gt;0</formula>
    </cfRule>
    <cfRule type="expression" dxfId="1" priority="464">
      <formula>AND(COUNTIF(I77:BG77,"&lt;&gt;" &amp; "")&gt;0,NOT(ISBLANK(G77)))</formula>
    </cfRule>
  </conditionalFormatting>
  <conditionalFormatting sqref="G78">
    <cfRule type="expression" dxfId="0" priority="466">
      <formula>COUNTIF(I78:BG78,"&lt;&gt;" &amp; "")&gt;0</formula>
    </cfRule>
    <cfRule type="expression" dxfId="1" priority="467">
      <formula>AND(COUNTIF(I78:BG78,"&lt;&gt;" &amp; "")&gt;0,NOT(ISBLANK(G78)))</formula>
    </cfRule>
  </conditionalFormatting>
  <conditionalFormatting sqref="G79">
    <cfRule type="expression" dxfId="0" priority="469">
      <formula>COUNTIF(I79:BG79,"&lt;&gt;" &amp; "")&gt;0</formula>
    </cfRule>
    <cfRule type="expression" dxfId="1" priority="470">
      <formula>AND(COUNTIF(I79:BG79,"&lt;&gt;" &amp; "")&gt;0,NOT(ISBLANK(G79)))</formula>
    </cfRule>
  </conditionalFormatting>
  <conditionalFormatting sqref="G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G80">
    <cfRule type="expression" dxfId="0" priority="472">
      <formula>COUNTIF(I80:BG80,"&lt;&gt;" &amp; "")&gt;0</formula>
    </cfRule>
    <cfRule type="expression" dxfId="1" priority="473">
      <formula>AND(COUNTIF(I80:BG80,"&lt;&gt;" &amp; "")&gt;0,NOT(ISBLANK(G80)))</formula>
    </cfRule>
  </conditionalFormatting>
  <conditionalFormatting sqref="G81">
    <cfRule type="expression" dxfId="0" priority="475">
      <formula>COUNTIF(I81:BG81,"&lt;&gt;" &amp; "")&gt;0</formula>
    </cfRule>
    <cfRule type="expression" dxfId="1" priority="476">
      <formula>AND(COUNTIF(I81:BG81,"&lt;&gt;" &amp; "")&gt;0,NOT(ISBLANK(G81)))</formula>
    </cfRule>
  </conditionalFormatting>
  <conditionalFormatting sqref="G82">
    <cfRule type="expression" dxfId="0" priority="478">
      <formula>COUNTIF(I82:BG82,"&lt;&gt;" &amp; "")&gt;0</formula>
    </cfRule>
    <cfRule type="expression" dxfId="1" priority="479">
      <formula>AND(COUNTIF(I82:BG82,"&lt;&gt;" &amp; "")&gt;0,NOT(ISBLANK(G82)))</formula>
    </cfRule>
  </conditionalFormatting>
  <conditionalFormatting sqref="G83">
    <cfRule type="expression" dxfId="0" priority="481">
      <formula>COUNTIF(I83:BG83,"&lt;&gt;" &amp; "")&gt;0</formula>
    </cfRule>
    <cfRule type="expression" dxfId="1" priority="482">
      <formula>AND(COUNTIF(I83:BG83,"&lt;&gt;" &amp; "")&gt;0,NOT(ISBLANK(G83)))</formula>
    </cfRule>
  </conditionalFormatting>
  <conditionalFormatting sqref="G84">
    <cfRule type="expression" dxfId="0" priority="484">
      <formula>COUNTIF(I84:BG84,"&lt;&gt;" &amp; "")&gt;0</formula>
    </cfRule>
    <cfRule type="expression" dxfId="1" priority="485">
      <formula>AND(COUNTIF(I84:BG84,"&lt;&gt;" &amp; "")&gt;0,NOT(ISBLANK(G84)))</formula>
    </cfRule>
  </conditionalFormatting>
  <conditionalFormatting sqref="G85">
    <cfRule type="expression" dxfId="0" priority="487">
      <formula>COUNTIF(I85:BG85,"&lt;&gt;" &amp; "")&gt;0</formula>
    </cfRule>
    <cfRule type="expression" dxfId="1" priority="488">
      <formula>AND(COUNTIF(I85:BG85,"&lt;&gt;" &amp; "")&gt;0,NOT(ISBLANK(G85)))</formula>
    </cfRule>
  </conditionalFormatting>
  <conditionalFormatting sqref="G86">
    <cfRule type="expression" dxfId="0" priority="490">
      <formula>COUNTIF(I86:BG86,"&lt;&gt;" &amp; "")&gt;0</formula>
    </cfRule>
    <cfRule type="expression" dxfId="1" priority="491">
      <formula>AND(COUNTIF(I86:BG86,"&lt;&gt;" &amp; "")&gt;0,NOT(ISBLANK(G86)))</formula>
    </cfRule>
  </conditionalFormatting>
  <conditionalFormatting sqref="G87">
    <cfRule type="expression" dxfId="0" priority="493">
      <formula>COUNTIF(I87:BG87,"&lt;&gt;" &amp; "")&gt;0</formula>
    </cfRule>
    <cfRule type="expression" dxfId="1" priority="494">
      <formula>AND(COUNTIF(I87:BG87,"&lt;&gt;" &amp; "")&gt;0,NOT(ISBLANK(G87)))</formula>
    </cfRule>
  </conditionalFormatting>
  <conditionalFormatting sqref="G88">
    <cfRule type="expression" dxfId="0" priority="496">
      <formula>COUNTIF(I88:BG88,"&lt;&gt;" &amp; "")&gt;0</formula>
    </cfRule>
    <cfRule type="expression" dxfId="1" priority="497">
      <formula>AND(COUNTIF(I88:BG88,"&lt;&gt;" &amp; "")&gt;0,NOT(ISBLANK(G88)))</formula>
    </cfRule>
  </conditionalFormatting>
  <conditionalFormatting sqref="G89">
    <cfRule type="expression" dxfId="0" priority="499">
      <formula>COUNTIF(I89:BG89,"&lt;&gt;" &amp; "")&gt;0</formula>
    </cfRule>
    <cfRule type="expression" dxfId="1" priority="500">
      <formula>AND(COUNTIF(I89:BG89,"&lt;&gt;" &amp; "")&gt;0,NOT(ISBLANK(G89)))</formula>
    </cfRule>
  </conditionalFormatting>
  <conditionalFormatting sqref="G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G90">
    <cfRule type="expression" dxfId="0" priority="502">
      <formula>COUNTIF(I90:BG90,"&lt;&gt;" &amp; "")&gt;0</formula>
    </cfRule>
    <cfRule type="expression" dxfId="1" priority="503">
      <formula>AND(COUNTIF(I90:BG90,"&lt;&gt;" &amp; "")&gt;0,NOT(ISBLANK(G90)))</formula>
    </cfRule>
  </conditionalFormatting>
  <conditionalFormatting sqref="G91">
    <cfRule type="expression" dxfId="0" priority="505">
      <formula>COUNTIF(I91:BG91,"&lt;&gt;" &amp; "")&gt;0</formula>
    </cfRule>
    <cfRule type="expression" dxfId="1" priority="506">
      <formula>AND(COUNTIF(I91:BG91,"&lt;&gt;" &amp; "")&gt;0,NOT(ISBLANK(G91)))</formula>
    </cfRule>
  </conditionalFormatting>
  <conditionalFormatting sqref="G92">
    <cfRule type="expression" dxfId="0" priority="508">
      <formula>COUNTIF(I92:BG92,"&lt;&gt;" &amp; "")&gt;0</formula>
    </cfRule>
    <cfRule type="expression" dxfId="1" priority="509">
      <formula>AND(COUNTIF(I92:BG92,"&lt;&gt;" &amp; "")&gt;0,NOT(ISBLANK(G92)))</formula>
    </cfRule>
  </conditionalFormatting>
  <conditionalFormatting sqref="G93">
    <cfRule type="expression" dxfId="0" priority="511">
      <formula>COUNTIF(I93:BG93,"&lt;&gt;" &amp; "")&gt;0</formula>
    </cfRule>
    <cfRule type="expression" dxfId="1" priority="512">
      <formula>AND(COUNTIF(I93:BG93,"&lt;&gt;" &amp; "")&gt;0,NOT(ISBLANK(G93)))</formula>
    </cfRule>
  </conditionalFormatting>
  <conditionalFormatting sqref="G94">
    <cfRule type="expression" dxfId="0" priority="514">
      <formula>COUNTIF(I94:BG94,"&lt;&gt;" &amp; "")&gt;0</formula>
    </cfRule>
    <cfRule type="expression" dxfId="1" priority="515">
      <formula>AND(COUNTIF(I94:BG94,"&lt;&gt;" &amp; "")&gt;0,NOT(ISBLANK(G94)))</formula>
    </cfRule>
  </conditionalFormatting>
  <conditionalFormatting sqref="G95">
    <cfRule type="expression" dxfId="0" priority="517">
      <formula>COUNTIF(I95:BG95,"&lt;&gt;" &amp; "")&gt;0</formula>
    </cfRule>
    <cfRule type="expression" dxfId="1" priority="518">
      <formula>AND(COUNTIF(I95:BG95,"&lt;&gt;" &amp; "")&gt;0,NOT(ISBLANK(G95)))</formula>
    </cfRule>
  </conditionalFormatting>
  <conditionalFormatting sqref="G96">
    <cfRule type="expression" dxfId="0" priority="520">
      <formula>COUNTIF(I96:BG96,"&lt;&gt;" &amp; "")&gt;0</formula>
    </cfRule>
    <cfRule type="expression" dxfId="1" priority="521">
      <formula>AND(COUNTIF(I96:BG96,"&lt;&gt;" &amp; "")&gt;0,NOT(ISBLANK(G96)))</formula>
    </cfRule>
  </conditionalFormatting>
  <conditionalFormatting sqref="G97">
    <cfRule type="expression" dxfId="0" priority="523">
      <formula>COUNTIF(I97:BG97,"&lt;&gt;" &amp; "")&gt;0</formula>
    </cfRule>
    <cfRule type="expression" dxfId="1" priority="524">
      <formula>AND(COUNTIF(I97:BG97,"&lt;&gt;" &amp; "")&gt;0,NOT(ISBLANK(G97)))</formula>
    </cfRule>
  </conditionalFormatting>
  <conditionalFormatting sqref="G98">
    <cfRule type="expression" dxfId="0" priority="526">
      <formula>COUNTIF(I98:BG98,"&lt;&gt;" &amp; "")&gt;0</formula>
    </cfRule>
    <cfRule type="expression" dxfId="1" priority="527">
      <formula>AND(COUNTIF(I98:BG98,"&lt;&gt;" &amp; "")&gt;0,NOT(ISBLANK(G98)))</formula>
    </cfRule>
  </conditionalFormatting>
  <conditionalFormatting sqref="G99">
    <cfRule type="expression" dxfId="0" priority="529">
      <formula>COUNTIF(I99:BG99,"&lt;&gt;" &amp; "")&gt;0</formula>
    </cfRule>
    <cfRule type="expression" dxfId="1" priority="530">
      <formula>AND(COUNTIF(I99:BG99,"&lt;&gt;" &amp; "")&gt;0,NOT(ISBLANK(G99)))</formula>
    </cfRule>
  </conditionalFormatting>
  <conditionalFormatting sqref="H10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H11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H12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H13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H14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H15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H16">
    <cfRule type="cellIs" dxfId="2" priority="277" operator="equal">
      <formula>"Y"</formula>
    </cfRule>
    <cfRule type="cellIs" dxfId="3" priority="278" operator="equal">
      <formula>"N"</formula>
    </cfRule>
  </conditionalFormatting>
  <conditionalFormatting sqref="H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H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H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H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H9">
    <cfRule type="cellIs" dxfId="2" priority="109" operator="equal">
      <formula>"Y"</formula>
    </cfRule>
    <cfRule type="cellIs" dxfId="3" priority="110" operator="equal">
      <formula>"N"</formula>
    </cfRule>
  </conditionalFormatting>
  <conditionalFormatting sqref="I10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I11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I12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I13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I14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I15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I16">
    <cfRule type="cellIs" dxfId="2" priority="279" operator="equal">
      <formula>"Y"</formula>
    </cfRule>
    <cfRule type="cellIs" dxfId="3" priority="280" operator="equal">
      <formula>"N"</formula>
    </cfRule>
  </conditionalFormatting>
  <conditionalFormatting sqref="I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I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I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I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I9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J10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J11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J12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J13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J14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J15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J16">
    <cfRule type="cellIs" dxfId="2" priority="281" operator="equal">
      <formula>"Y"</formula>
    </cfRule>
    <cfRule type="cellIs" dxfId="3" priority="282" operator="equal">
      <formula>"N"</formula>
    </cfRule>
  </conditionalFormatting>
  <conditionalFormatting sqref="J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J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J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J8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J9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K10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K11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K12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K13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K14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K15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K16">
    <cfRule type="cellIs" dxfId="2" priority="283" operator="equal">
      <formula>"Y"</formula>
    </cfRule>
    <cfRule type="cellIs" dxfId="3" priority="284" operator="equal">
      <formula>"N"</formula>
    </cfRule>
  </conditionalFormatting>
  <conditionalFormatting sqref="K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K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K7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K8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K9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L10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L11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L12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L13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L14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L15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L16">
    <cfRule type="cellIs" dxfId="2" priority="285" operator="equal">
      <formula>"Y"</formula>
    </cfRule>
    <cfRule type="cellIs" dxfId="3" priority="286" operator="equal">
      <formula>"N"</formula>
    </cfRule>
  </conditionalFormatting>
  <conditionalFormatting sqref="L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L6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L7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L8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L9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M10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M11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M12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M13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M14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M15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M16">
    <cfRule type="cellIs" dxfId="2" priority="287" operator="equal">
      <formula>"Y"</formula>
    </cfRule>
    <cfRule type="cellIs" dxfId="3" priority="288" operator="equal">
      <formula>"N"</formula>
    </cfRule>
  </conditionalFormatting>
  <conditionalFormatting sqref="M5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M6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M7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M8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M9">
    <cfRule type="cellIs" dxfId="2" priority="119" operator="equal">
      <formula>"Y"</formula>
    </cfRule>
    <cfRule type="cellIs" dxfId="3" priority="120" operator="equal">
      <formula>"N"</formula>
    </cfRule>
  </conditionalFormatting>
  <dataValidations count="288">
    <dataValidation type="list" allowBlank="1" showInputMessage="1" showErrorMessage="1" sqref="B5">
      <formula1>"Y,N"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"Y,N"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"Y,N"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"Y,N"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"Y,N"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"Y,N"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"Y,N"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"Y,N"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"Y,N"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"Y,N"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"Y,N"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"Y,N"</formula1>
    </dataValidation>
    <dataValidation type="list" allowBlank="1" showInputMessage="1" showErrorMessage="1" sqref="E19">
      <formula1>"N.A."</formula1>
    </dataValidation>
    <dataValidation type="list" allowBlank="1" showInputMessage="1" showErrorMessage="1" sqref="E20">
      <formula1>"N.A."</formula1>
    </dataValidation>
    <dataValidation type="list" allowBlank="1" showInputMessage="1" showErrorMessage="1" sqref="E21">
      <formula1>"N.A."</formula1>
    </dataValidation>
    <dataValidation type="list" allowBlank="1" showInputMessage="1" showErrorMessage="1" sqref="E22">
      <formula1>"N.A."</formula1>
    </dataValidation>
    <dataValidation type="list" allowBlank="1" showInputMessage="1" showErrorMessage="1" sqref="E23">
      <formula1>"N.A."</formula1>
    </dataValidation>
    <dataValidation type="list" allowBlank="1" showInputMessage="1" showErrorMessage="1" sqref="E24">
      <formula1>"N.A."</formula1>
    </dataValidation>
    <dataValidation type="list" allowBlank="1" showInputMessage="1" showErrorMessage="1" sqref="E25">
      <formula1>"N.A."</formula1>
    </dataValidation>
    <dataValidation type="list" allowBlank="1" showInputMessage="1" showErrorMessage="1" sqref="E26">
      <formula1>"N.A."</formula1>
    </dataValidation>
    <dataValidation type="list" allowBlank="1" showInputMessage="1" showErrorMessage="1" sqref="E27">
      <formula1>"N.A."</formula1>
    </dataValidation>
    <dataValidation type="list" allowBlank="1" showInputMessage="1" showErrorMessage="1" sqref="E28">
      <formula1>"N.A."</formula1>
    </dataValidation>
    <dataValidation type="list" allowBlank="1" showInputMessage="1" showErrorMessage="1" sqref="E29">
      <formula1>"N.A."</formula1>
    </dataValidation>
    <dataValidation type="list" allowBlank="1" showInputMessage="1" showErrorMessage="1" sqref="E30">
      <formula1>"N.A."</formula1>
    </dataValidation>
    <dataValidation type="list" allowBlank="1" showInputMessage="1" showErrorMessage="1" sqref="E31">
      <formula1>"N.A."</formula1>
    </dataValidation>
    <dataValidation type="list" allowBlank="1" showInputMessage="1" showErrorMessage="1" sqref="E32">
      <formula1>"N.A."</formula1>
    </dataValidation>
    <dataValidation type="list" allowBlank="1" showInputMessage="1" showErrorMessage="1" sqref="E33">
      <formula1>"N.A."</formula1>
    </dataValidation>
    <dataValidation type="list" allowBlank="1" showInputMessage="1" showErrorMessage="1" sqref="E34">
      <formula1>"N.A."</formula1>
    </dataValidation>
    <dataValidation type="list" allowBlank="1" showInputMessage="1" showErrorMessage="1" sqref="E35">
      <formula1>"N.A."</formula1>
    </dataValidation>
    <dataValidation type="list" allowBlank="1" showInputMessage="1" showErrorMessage="1" sqref="E36">
      <formula1>"N.A."</formula1>
    </dataValidation>
    <dataValidation type="list" allowBlank="1" showInputMessage="1" showErrorMessage="1" sqref="E37">
      <formula1>"N.A."</formula1>
    </dataValidation>
    <dataValidation type="list" allowBlank="1" showInputMessage="1" showErrorMessage="1" sqref="E38">
      <formula1>"N.A."</formula1>
    </dataValidation>
    <dataValidation type="list" allowBlank="1" showInputMessage="1" showErrorMessage="1" sqref="E39">
      <formula1>"N.A."</formula1>
    </dataValidation>
    <dataValidation type="list" allowBlank="1" showInputMessage="1" showErrorMessage="1" sqref="E40">
      <formula1>"N.A."</formula1>
    </dataValidation>
    <dataValidation type="list" allowBlank="1" showInputMessage="1" showErrorMessage="1" sqref="E41">
      <formula1>"N.A."</formula1>
    </dataValidation>
    <dataValidation type="list" allowBlank="1" showInputMessage="1" showErrorMessage="1" sqref="E42">
      <formula1>"N.A."</formula1>
    </dataValidation>
    <dataValidation type="list" allowBlank="1" showInputMessage="1" showErrorMessage="1" sqref="E43">
      <formula1>"N.A."</formula1>
    </dataValidation>
    <dataValidation type="list" allowBlank="1" showInputMessage="1" showErrorMessage="1" sqref="E44">
      <formula1>"N.A."</formula1>
    </dataValidation>
    <dataValidation type="list" allowBlank="1" showInputMessage="1" showErrorMessage="1" sqref="E45">
      <formula1>"N.A."</formula1>
    </dataValidation>
    <dataValidation type="list" allowBlank="1" showInputMessage="1" showErrorMessage="1" sqref="E46">
      <formula1>"N.A."</formula1>
    </dataValidation>
    <dataValidation type="list" allowBlank="1" showInputMessage="1" showErrorMessage="1" sqref="E47">
      <formula1>"N.A."</formula1>
    </dataValidation>
    <dataValidation type="list" allowBlank="1" showInputMessage="1" showErrorMessage="1" sqref="E48">
      <formula1>"N.A."</formula1>
    </dataValidation>
    <dataValidation type="list" allowBlank="1" showInputMessage="1" showErrorMessage="1" sqref="E49">
      <formula1>"N.A."</formula1>
    </dataValidation>
    <dataValidation type="list" allowBlank="1" showInputMessage="1" showErrorMessage="1" sqref="E50">
      <formula1>"N.A."</formula1>
    </dataValidation>
    <dataValidation type="list" allowBlank="1" showInputMessage="1" showErrorMessage="1" sqref="E51">
      <formula1>"N.A."</formula1>
    </dataValidation>
    <dataValidation type="list" allowBlank="1" showInputMessage="1" showErrorMessage="1" sqref="E52">
      <formula1>"N.A."</formula1>
    </dataValidation>
    <dataValidation type="list" allowBlank="1" showInputMessage="1" showErrorMessage="1" sqref="E53">
      <formula1>"N.A."</formula1>
    </dataValidation>
    <dataValidation type="list" allowBlank="1" showInputMessage="1" showErrorMessage="1" sqref="E54">
      <formula1>"N.A."</formula1>
    </dataValidation>
    <dataValidation type="list" allowBlank="1" showInputMessage="1" showErrorMessage="1" sqref="E55">
      <formula1>"N.A."</formula1>
    </dataValidation>
    <dataValidation type="list" allowBlank="1" showInputMessage="1" showErrorMessage="1" sqref="E56">
      <formula1>"N.A."</formula1>
    </dataValidation>
    <dataValidation type="list" allowBlank="1" showInputMessage="1" showErrorMessage="1" sqref="E57">
      <formula1>"N.A."</formula1>
    </dataValidation>
    <dataValidation type="list" allowBlank="1" showInputMessage="1" showErrorMessage="1" sqref="E58">
      <formula1>"N.A."</formula1>
    </dataValidation>
    <dataValidation type="list" allowBlank="1" showInputMessage="1" showErrorMessage="1" sqref="E59">
      <formula1>"N.A."</formula1>
    </dataValidation>
    <dataValidation type="list" allowBlank="1" showInputMessage="1" showErrorMessage="1" sqref="E60">
      <formula1>"N.A."</formula1>
    </dataValidation>
    <dataValidation type="list" allowBlank="1" showInputMessage="1" showErrorMessage="1" sqref="E61">
      <formula1>"N.A."</formula1>
    </dataValidation>
    <dataValidation type="list" allowBlank="1" showInputMessage="1" showErrorMessage="1" sqref="E62">
      <formula1>"N.A."</formula1>
    </dataValidation>
    <dataValidation type="list" allowBlank="1" showInputMessage="1" showErrorMessage="1" sqref="E63">
      <formula1>"N.A."</formula1>
    </dataValidation>
    <dataValidation type="list" allowBlank="1" showInputMessage="1" showErrorMessage="1" sqref="E64">
      <formula1>"N.A."</formula1>
    </dataValidation>
    <dataValidation type="list" allowBlank="1" showInputMessage="1" showErrorMessage="1" sqref="E65">
      <formula1>"N.A."</formula1>
    </dataValidation>
    <dataValidation type="list" allowBlank="1" showInputMessage="1" showErrorMessage="1" sqref="E66">
      <formula1>"N.A."</formula1>
    </dataValidation>
    <dataValidation type="list" allowBlank="1" showInputMessage="1" showErrorMessage="1" sqref="E67">
      <formula1>"N.A."</formula1>
    </dataValidation>
    <dataValidation type="list" allowBlank="1" showInputMessage="1" showErrorMessage="1" sqref="E68">
      <formula1>"N.A."</formula1>
    </dataValidation>
    <dataValidation type="list" allowBlank="1" showInputMessage="1" showErrorMessage="1" sqref="E69">
      <formula1>"N.A."</formula1>
    </dataValidation>
    <dataValidation type="list" allowBlank="1" showInputMessage="1" showErrorMessage="1" sqref="E70">
      <formula1>"N.A."</formula1>
    </dataValidation>
    <dataValidation type="list" allowBlank="1" showInputMessage="1" showErrorMessage="1" sqref="E71">
      <formula1>"N.A."</formula1>
    </dataValidation>
    <dataValidation type="list" allowBlank="1" showInputMessage="1" showErrorMessage="1" sqref="E72">
      <formula1>"N.A."</formula1>
    </dataValidation>
    <dataValidation type="list" allowBlank="1" showInputMessage="1" showErrorMessage="1" sqref="E73">
      <formula1>"N.A."</formula1>
    </dataValidation>
    <dataValidation type="list" allowBlank="1" showInputMessage="1" showErrorMessage="1" sqref="E74">
      <formula1>"N.A."</formula1>
    </dataValidation>
    <dataValidation type="list" allowBlank="1" showInputMessage="1" showErrorMessage="1" sqref="E75">
      <formula1>"N.A."</formula1>
    </dataValidation>
    <dataValidation type="list" allowBlank="1" showInputMessage="1" showErrorMessage="1" sqref="E76">
      <formula1>"N.A."</formula1>
    </dataValidation>
    <dataValidation type="list" allowBlank="1" showInputMessage="1" showErrorMessage="1" sqref="E77">
      <formula1>"N.A."</formula1>
    </dataValidation>
    <dataValidation type="list" allowBlank="1" showInputMessage="1" showErrorMessage="1" sqref="E78">
      <formula1>"N.A."</formula1>
    </dataValidation>
    <dataValidation type="list" allowBlank="1" showInputMessage="1" showErrorMessage="1" sqref="E79">
      <formula1>"N.A."</formula1>
    </dataValidation>
    <dataValidation type="list" allowBlank="1" showInputMessage="1" showErrorMessage="1" sqref="E80">
      <formula1>"N.A."</formula1>
    </dataValidation>
    <dataValidation type="list" allowBlank="1" showInputMessage="1" showErrorMessage="1" sqref="E81">
      <formula1>"N.A."</formula1>
    </dataValidation>
    <dataValidation type="list" allowBlank="1" showInputMessage="1" showErrorMessage="1" sqref="E82">
      <formula1>"N.A."</formula1>
    </dataValidation>
    <dataValidation type="list" allowBlank="1" showInputMessage="1" showErrorMessage="1" sqref="E83">
      <formula1>"N.A."</formula1>
    </dataValidation>
    <dataValidation type="list" allowBlank="1" showInputMessage="1" showErrorMessage="1" sqref="E84">
      <formula1>"N.A."</formula1>
    </dataValidation>
    <dataValidation type="list" allowBlank="1" showInputMessage="1" showErrorMessage="1" sqref="E85">
      <formula1>"N.A."</formula1>
    </dataValidation>
    <dataValidation type="list" allowBlank="1" showInputMessage="1" showErrorMessage="1" sqref="E86">
      <formula1>"N.A."</formula1>
    </dataValidation>
    <dataValidation type="list" allowBlank="1" showInputMessage="1" showErrorMessage="1" sqref="E87">
      <formula1>"N.A."</formula1>
    </dataValidation>
    <dataValidation type="list" allowBlank="1" showInputMessage="1" showErrorMessage="1" sqref="E88">
      <formula1>"N.A."</formula1>
    </dataValidation>
    <dataValidation type="list" allowBlank="1" showInputMessage="1" showErrorMessage="1" sqref="E89">
      <formula1>"N.A."</formula1>
    </dataValidation>
    <dataValidation type="list" allowBlank="1" showInputMessage="1" showErrorMessage="1" sqref="E90">
      <formula1>"N.A."</formula1>
    </dataValidation>
    <dataValidation type="list" allowBlank="1" showInputMessage="1" showErrorMessage="1" sqref="E91">
      <formula1>"N.A."</formula1>
    </dataValidation>
    <dataValidation type="list" allowBlank="1" showInputMessage="1" showErrorMessage="1" sqref="E92">
      <formula1>"N.A."</formula1>
    </dataValidation>
    <dataValidation type="list" allowBlank="1" showInputMessage="1" showErrorMessage="1" sqref="E93">
      <formula1>"N.A."</formula1>
    </dataValidation>
    <dataValidation type="list" allowBlank="1" showInputMessage="1" showErrorMessage="1" sqref="E94">
      <formula1>"N.A."</formula1>
    </dataValidation>
    <dataValidation type="list" allowBlank="1" showInputMessage="1" showErrorMessage="1" sqref="E95">
      <formula1>"N.A."</formula1>
    </dataValidation>
    <dataValidation type="list" allowBlank="1" showInputMessage="1" showErrorMessage="1" sqref="E96">
      <formula1>"N.A."</formula1>
    </dataValidation>
    <dataValidation type="list" allowBlank="1" showInputMessage="1" showErrorMessage="1" sqref="E97">
      <formula1>"N.A."</formula1>
    </dataValidation>
    <dataValidation type="list" allowBlank="1" showInputMessage="1" showErrorMessage="1" sqref="E98">
      <formula1>"N.A."</formula1>
    </dataValidation>
    <dataValidation type="list" allowBlank="1" showInputMessage="1" showErrorMessage="1" sqref="E99">
      <formula1>"N.A."</formula1>
    </dataValidation>
    <dataValidation type="list" allowBlank="1" showInputMessage="1" showErrorMessage="1" sqref="E100">
      <formula1>"N.A."</formula1>
    </dataValidation>
    <dataValidation type="list" allowBlank="1" showInputMessage="1" showErrorMessage="1" sqref="E101">
      <formula1>"N.A."</formula1>
    </dataValidation>
    <dataValidation type="list" allowBlank="1" showInputMessage="1" showErrorMessage="1" sqref="E102">
      <formula1>"N.A."</formula1>
    </dataValidation>
    <dataValidation type="list" allowBlank="1" showInputMessage="1" showErrorMessage="1" sqref="E103">
      <formula1>"N.A."</formula1>
    </dataValidation>
    <dataValidation type="list" allowBlank="1" showInputMessage="1" showErrorMessage="1" sqref="E104">
      <formula1>"N.A."</formula1>
    </dataValidation>
    <dataValidation type="list" allowBlank="1" showInputMessage="1" showErrorMessage="1" sqref="E105">
      <formula1>"N.A."</formula1>
    </dataValidation>
    <dataValidation type="list" allowBlank="1" showInputMessage="1" showErrorMessage="1" sqref="E106">
      <formula1>"N.A."</formula1>
    </dataValidation>
    <dataValidation type="list" allowBlank="1" showInputMessage="1" showErrorMessage="1" sqref="E107">
      <formula1>"N.A."</formula1>
    </dataValidation>
    <dataValidation type="list" allowBlank="1" showInputMessage="1" showErrorMessage="1" sqref="E108">
      <formula1>"N.A."</formula1>
    </dataValidation>
    <dataValidation type="list" allowBlank="1" showInputMessage="1" showErrorMessage="1" sqref="E109">
      <formula1>"N.A."</formula1>
    </dataValidation>
    <dataValidation type="list" allowBlank="1" showInputMessage="1" showErrorMessage="1" sqref="E110">
      <formula1>"N.A."</formula1>
    </dataValidation>
    <dataValidation type="list" allowBlank="1" showInputMessage="1" showErrorMessage="1" sqref="E111">
      <formula1>"N.A."</formula1>
    </dataValidation>
    <dataValidation type="list" allowBlank="1" showInputMessage="1" showErrorMessage="1" sqref="E112">
      <formula1>"N.A."</formula1>
    </dataValidation>
    <dataValidation type="list" allowBlank="1" showInputMessage="1" showErrorMessage="1" sqref="E113">
      <formula1>"N.A."</formula1>
    </dataValidation>
    <dataValidation type="list" allowBlank="1" showInputMessage="1" showErrorMessage="1" sqref="E114">
      <formula1>"N.A."</formula1>
    </dataValidation>
    <dataValidation type="list" allowBlank="1" showInputMessage="1" showErrorMessage="1" sqref="E115">
      <formula1>"N.A."</formula1>
    </dataValidation>
    <dataValidation type="list" allowBlank="1" showInputMessage="1" showErrorMessage="1" sqref="E116">
      <formula1>"N.A."</formula1>
    </dataValidation>
    <dataValidation type="list" allowBlank="1" showInputMessage="1" showErrorMessage="1" sqref="E117">
      <formula1>"N.A."</formula1>
    </dataValidation>
    <dataValidation type="list" allowBlank="1" showInputMessage="1" showErrorMessage="1" sqref="E118">
      <formula1>"N.A."</formula1>
    </dataValidation>
    <dataValidation type="list" allowBlank="1" showInputMessage="1" showErrorMessage="1" sqref="E119">
      <formula1>"N.A."</formula1>
    </dataValidation>
    <dataValidation type="list" allowBlank="1" showInputMessage="1" showErrorMessage="1" sqref="E120">
      <formula1>"N.A."</formula1>
    </dataValidation>
    <dataValidation type="list" allowBlank="1" showInputMessage="1" showErrorMessage="1" sqref="E121">
      <formula1>"N.A."</formula1>
    </dataValidation>
    <dataValidation type="list" allowBlank="1" showInputMessage="1" showErrorMessage="1" sqref="E122">
      <formula1>"N.A."</formula1>
    </dataValidation>
    <dataValidation type="list" allowBlank="1" showInputMessage="1" showErrorMessage="1" sqref="E123">
      <formula1>"N.A."</formula1>
    </dataValidation>
    <dataValidation type="list" allowBlank="1" showInputMessage="1" showErrorMessage="1" sqref="E124">
      <formula1>"N.A."</formula1>
    </dataValidation>
    <dataValidation type="list" allowBlank="1" showInputMessage="1" showErrorMessage="1" sqref="E125">
      <formula1>"N.A."</formula1>
    </dataValidation>
    <dataValidation type="list" allowBlank="1" showInputMessage="1" showErrorMessage="1" sqref="E126">
      <formula1>"N.A."</formula1>
    </dataValidation>
    <dataValidation type="list" allowBlank="1" showInputMessage="1" showErrorMessage="1" sqref="E127">
      <formula1>"N.A."</formula1>
    </dataValidation>
    <dataValidation type="list" allowBlank="1" showInputMessage="1" showErrorMessage="1" sqref="E128">
      <formula1>"N.A."</formula1>
    </dataValidation>
    <dataValidation type="list" allowBlank="1" showInputMessage="1" showErrorMessage="1" sqref="E129">
      <formula1>"N.A."</formula1>
    </dataValidation>
    <dataValidation type="list" allowBlank="1" showInputMessage="1" showErrorMessage="1" sqref="E130">
      <formula1>"N.A."</formula1>
    </dataValidation>
    <dataValidation type="list" allowBlank="1" showInputMessage="1" showErrorMessage="1" sqref="E131">
      <formula1>"N.A."</formula1>
    </dataValidation>
    <dataValidation type="list" allowBlank="1" showInputMessage="1" showErrorMessage="1" sqref="E132">
      <formula1>"N.A."</formula1>
    </dataValidation>
    <dataValidation type="list" allowBlank="1" showInputMessage="1" showErrorMessage="1" sqref="E133">
      <formula1>"N.A."</formula1>
    </dataValidation>
    <dataValidation type="list" allowBlank="1" showInputMessage="1" showErrorMessage="1" sqref="E134">
      <formula1>"N.A."</formula1>
    </dataValidation>
    <dataValidation type="list" allowBlank="1" showInputMessage="1" showErrorMessage="1" sqref="E135">
      <formula1>"N.A."</formula1>
    </dataValidation>
    <dataValidation type="list" allowBlank="1" showInputMessage="1" showErrorMessage="1" sqref="E136">
      <formula1>"N.A."</formula1>
    </dataValidation>
    <dataValidation type="list" allowBlank="1" showInputMessage="1" showErrorMessage="1" sqref="E137">
      <formula1>"N.A."</formula1>
    </dataValidation>
    <dataValidation type="list" allowBlank="1" showInputMessage="1" showErrorMessage="1" sqref="E138">
      <formula1>"N.A."</formula1>
    </dataValidation>
    <dataValidation type="list" allowBlank="1" showInputMessage="1" showErrorMessage="1" sqref="E139">
      <formula1>"N.A."</formula1>
    </dataValidation>
    <dataValidation type="list" allowBlank="1" showInputMessage="1" showErrorMessage="1" sqref="E140">
      <formula1>"N.A."</formula1>
    </dataValidation>
    <dataValidation type="list" allowBlank="1" showInputMessage="1" showErrorMessage="1" sqref="E141">
      <formula1>"N.A."</formula1>
    </dataValidation>
    <dataValidation type="list" allowBlank="1" showInputMessage="1" showErrorMessage="1" sqref="E142">
      <formula1>"N.A."</formula1>
    </dataValidation>
    <dataValidation type="list" allowBlank="1" showInputMessage="1" showErrorMessage="1" sqref="E143">
      <formula1>"N.A."</formula1>
    </dataValidation>
    <dataValidation type="list" allowBlank="1" showInputMessage="1" showErrorMessage="1" sqref="E144">
      <formula1>"N.A."</formula1>
    </dataValidation>
    <dataValidation type="list" allowBlank="1" showInputMessage="1" showErrorMessage="1" sqref="E145">
      <formula1>"N.A."</formula1>
    </dataValidation>
    <dataValidation type="list" allowBlank="1" showInputMessage="1" showErrorMessage="1" sqref="E146">
      <formula1>"N.A."</formula1>
    </dataValidation>
    <dataValidation type="list" allowBlank="1" showInputMessage="1" showErrorMessage="1" sqref="E147">
      <formula1>"N.A."</formula1>
    </dataValidation>
    <dataValidation type="list" allowBlank="1" showInputMessage="1" showErrorMessage="1" sqref="E148">
      <formula1>"N.A."</formula1>
    </dataValidation>
    <dataValidation type="list" allowBlank="1" showInputMessage="1" showErrorMessage="1" sqref="E149">
      <formula1>"N.A."</formula1>
    </dataValidation>
    <dataValidation type="list" allowBlank="1" showInputMessage="1" showErrorMessage="1" sqref="E150">
      <formula1>"N.A."</formula1>
    </dataValidation>
    <dataValidation type="list" allowBlank="1" showInputMessage="1" showErrorMessage="1" sqref="E151">
      <formula1>"N.A."</formula1>
    </dataValidation>
    <dataValidation type="list" allowBlank="1" showInputMessage="1" showErrorMessage="1" sqref="E152">
      <formula1>"N.A."</formula1>
    </dataValidation>
    <dataValidation type="list" allowBlank="1" showInputMessage="1" showErrorMessage="1" sqref="E153">
      <formula1>"N.A."</formula1>
    </dataValidation>
    <dataValidation type="list" allowBlank="1" showInputMessage="1" showErrorMessage="1" sqref="E154">
      <formula1>"N.A."</formula1>
    </dataValidation>
    <dataValidation type="list" allowBlank="1" showInputMessage="1" showErrorMessage="1" sqref="E155">
      <formula1>"N.A."</formula1>
    </dataValidation>
    <dataValidation type="list" allowBlank="1" showInputMessage="1" showErrorMessage="1" sqref="E156">
      <formula1>"N.A."</formula1>
    </dataValidation>
    <dataValidation type="list" allowBlank="1" showInputMessage="1" showErrorMessage="1" sqref="E157">
      <formula1>"N.A."</formula1>
    </dataValidation>
    <dataValidation type="list" allowBlank="1" showInputMessage="1" showErrorMessage="1" sqref="E158">
      <formula1>"N.A."</formula1>
    </dataValidation>
    <dataValidation type="list" allowBlank="1" showInputMessage="1" showErrorMessage="1" sqref="E159">
      <formula1>"N.A."</formula1>
    </dataValidation>
    <dataValidation type="list" allowBlank="1" showInputMessage="1" showErrorMessage="1" sqref="E160">
      <formula1>"N.A."</formula1>
    </dataValidation>
    <dataValidation type="list" allowBlank="1" showInputMessage="1" showErrorMessage="1" sqref="E161">
      <formula1>"N.A."</formula1>
    </dataValidation>
    <dataValidation type="list" allowBlank="1" showInputMessage="1" showErrorMessage="1" sqref="E162">
      <formula1>"N.A."</formula1>
    </dataValidation>
  </dataValidations>
  <hyperlinks>
    <hyperlink ref="B5" location="Interactions!B19" display="Y"/>
    <hyperlink ref="C5" location="Interactions!B20" display="Y"/>
    <hyperlink ref="D5" location="Interactions!B21" display="N"/>
    <hyperlink ref="E5" location="Interactions!B22" display="N"/>
    <hyperlink ref="F5" location="Interactions!B23" display="N"/>
    <hyperlink ref="G5" location="Interactions!B24" display="N"/>
    <hyperlink ref="H5" location="Interactions!B25" display="N"/>
    <hyperlink ref="I5" location="Interactions!B26" display="N"/>
    <hyperlink ref="J5" location="Interactions!B27" display="N"/>
    <hyperlink ref="K5" location="Interactions!B28" display="N"/>
    <hyperlink ref="L5" location="Interactions!B29" display="N"/>
    <hyperlink ref="M5" location="Interactions!B30" display="N"/>
    <hyperlink ref="B6" location="Interactions!B31" display="Y"/>
    <hyperlink ref="C6" location="Interactions!B32" display="Y"/>
    <hyperlink ref="D6" location="Interactions!B33" display="N"/>
    <hyperlink ref="E6" location="Interactions!B34" display="N"/>
    <hyperlink ref="F6" location="Interactions!B35" display="N"/>
    <hyperlink ref="G6" location="Interactions!B36" display="N"/>
    <hyperlink ref="H6" location="Interactions!B37" display="N"/>
    <hyperlink ref="I6" location="Interactions!B38" display="N"/>
    <hyperlink ref="J6" location="Interactions!B39" display="N"/>
    <hyperlink ref="K6" location="Interactions!B40" display="N"/>
    <hyperlink ref="L6" location="Interactions!B41" display="N"/>
    <hyperlink ref="M6" location="Interactions!B42" display="N"/>
    <hyperlink ref="B7" location="Interactions!B43" display="N"/>
    <hyperlink ref="C7" location="Interactions!B44" display="N"/>
    <hyperlink ref="D7" location="Interactions!B45" display="N"/>
    <hyperlink ref="E7" location="Interactions!B46" display="N"/>
    <hyperlink ref="F7" location="Interactions!B47" display="N"/>
    <hyperlink ref="G7" location="Interactions!B48" display="N"/>
    <hyperlink ref="H7" location="Interactions!B49" display="N"/>
    <hyperlink ref="I7" location="Interactions!B50" display="N"/>
    <hyperlink ref="J7" location="Interactions!B51" display="N"/>
    <hyperlink ref="K7" location="Interactions!B52" display="N"/>
    <hyperlink ref="L7" location="Interactions!B53" display="N"/>
    <hyperlink ref="M7" location="Interactions!B54" display="N"/>
    <hyperlink ref="B8" location="Interactions!B55" display="N"/>
    <hyperlink ref="C8" location="Interactions!B56" display="N"/>
    <hyperlink ref="D8" location="Interactions!B57" display="N"/>
    <hyperlink ref="E8" location="Interactions!B58" display="N"/>
    <hyperlink ref="F8" location="Interactions!B59" display="N"/>
    <hyperlink ref="G8" location="Interactions!B60" display="N"/>
    <hyperlink ref="H8" location="Interactions!B61" display="N"/>
    <hyperlink ref="I8" location="Interactions!B62" display="N"/>
    <hyperlink ref="J8" location="Interactions!B63" display="N"/>
    <hyperlink ref="K8" location="Interactions!B64" display="N"/>
    <hyperlink ref="L8" location="Interactions!B65" display="N"/>
    <hyperlink ref="M8" location="Interactions!B66" display="N"/>
    <hyperlink ref="B9" location="Interactions!B67" display="N"/>
    <hyperlink ref="C9" location="Interactions!B68" display="N"/>
    <hyperlink ref="D9" location="Interactions!B69" display="N"/>
    <hyperlink ref="E9" location="Interactions!B70" display="N"/>
    <hyperlink ref="F9" location="Interactions!B71" display="N"/>
    <hyperlink ref="G9" location="Interactions!B72" display="N"/>
    <hyperlink ref="H9" location="Interactions!B73" display="N"/>
    <hyperlink ref="I9" location="Interactions!B74" display="N"/>
    <hyperlink ref="J9" location="Interactions!B75" display="N"/>
    <hyperlink ref="K9" location="Interactions!B76" display="N"/>
    <hyperlink ref="L9" location="Interactions!B77" display="N"/>
    <hyperlink ref="M9" location="Interactions!B78" display="N"/>
    <hyperlink ref="B10" location="Interactions!B79" display="N"/>
    <hyperlink ref="C10" location="Interactions!B80" display="N"/>
    <hyperlink ref="D10" location="Interactions!B81" display="N"/>
    <hyperlink ref="E10" location="Interactions!B82" display="N"/>
    <hyperlink ref="F10" location="Interactions!B83" display="N"/>
    <hyperlink ref="G10" location="Interactions!B84" display="N"/>
    <hyperlink ref="H10" location="Interactions!B85" display="N"/>
    <hyperlink ref="I10" location="Interactions!B86" display="N"/>
    <hyperlink ref="J10" location="Interactions!B87" display="N"/>
    <hyperlink ref="K10" location="Interactions!B88" display="N"/>
    <hyperlink ref="L10" location="Interactions!B89" display="N"/>
    <hyperlink ref="M10" location="Interactions!B90" display="N"/>
    <hyperlink ref="B11" location="Interactions!B91" display="N"/>
    <hyperlink ref="C11" location="Interactions!B92" display="N"/>
    <hyperlink ref="D11" location="Interactions!B93" display="N"/>
    <hyperlink ref="E11" location="Interactions!B94" display="N"/>
    <hyperlink ref="F11" location="Interactions!B95" display="N"/>
    <hyperlink ref="G11" location="Interactions!B96" display="N"/>
    <hyperlink ref="H11" location="Interactions!B97" display="N"/>
    <hyperlink ref="I11" location="Interactions!B98" display="N"/>
    <hyperlink ref="J11" location="Interactions!B99" display="N"/>
    <hyperlink ref="K11" location="Interactions!B100" display="N"/>
    <hyperlink ref="L11" location="Interactions!B101" display="N"/>
    <hyperlink ref="M11" location="Interactions!B102" display="N"/>
    <hyperlink ref="B12" location="Interactions!B103" display="N"/>
    <hyperlink ref="C12" location="Interactions!B104" display="N"/>
    <hyperlink ref="D12" location="Interactions!B105" display="N"/>
    <hyperlink ref="E12" location="Interactions!B106" display="N"/>
    <hyperlink ref="F12" location="Interactions!B107" display="N"/>
    <hyperlink ref="G12" location="Interactions!B108" display="N"/>
    <hyperlink ref="H12" location="Interactions!B109" display="N"/>
    <hyperlink ref="I12" location="Interactions!B110" display="N"/>
    <hyperlink ref="J12" location="Interactions!B111" display="N"/>
    <hyperlink ref="K12" location="Interactions!B112" display="N"/>
    <hyperlink ref="L12" location="Interactions!B113" display="N"/>
    <hyperlink ref="M12" location="Interactions!B114" display="N"/>
    <hyperlink ref="B13" location="Interactions!B115" display="N"/>
    <hyperlink ref="C13" location="Interactions!B116" display="N"/>
    <hyperlink ref="D13" location="Interactions!B117" display="N"/>
    <hyperlink ref="E13" location="Interactions!B118" display="N"/>
    <hyperlink ref="F13" location="Interactions!B119" display="N"/>
    <hyperlink ref="G13" location="Interactions!B120" display="N"/>
    <hyperlink ref="H13" location="Interactions!B121" display="N"/>
    <hyperlink ref="I13" location="Interactions!B122" display="N"/>
    <hyperlink ref="J13" location="Interactions!B123" display="N"/>
    <hyperlink ref="K13" location="Interactions!B124" display="N"/>
    <hyperlink ref="L13" location="Interactions!B125" display="N"/>
    <hyperlink ref="M13" location="Interactions!B126" display="N"/>
    <hyperlink ref="B14" location="Interactions!B127" display="N"/>
    <hyperlink ref="C14" location="Interactions!B128" display="N"/>
    <hyperlink ref="D14" location="Interactions!B129" display="N"/>
    <hyperlink ref="E14" location="Interactions!B130" display="N"/>
    <hyperlink ref="F14" location="Interactions!B131" display="N"/>
    <hyperlink ref="G14" location="Interactions!B132" display="N"/>
    <hyperlink ref="H14" location="Interactions!B133" display="N"/>
    <hyperlink ref="I14" location="Interactions!B134" display="N"/>
    <hyperlink ref="J14" location="Interactions!B135" display="N"/>
    <hyperlink ref="K14" location="Interactions!B136" display="N"/>
    <hyperlink ref="L14" location="Interactions!B137" display="N"/>
    <hyperlink ref="M14" location="Interactions!B138" display="N"/>
    <hyperlink ref="B15" location="Interactions!B139" display="N"/>
    <hyperlink ref="C15" location="Interactions!B140" display="N"/>
    <hyperlink ref="D15" location="Interactions!B141" display="N"/>
    <hyperlink ref="E15" location="Interactions!B142" display="N"/>
    <hyperlink ref="F15" location="Interactions!B143" display="N"/>
    <hyperlink ref="G15" location="Interactions!B144" display="N"/>
    <hyperlink ref="H15" location="Interactions!B145" display="N"/>
    <hyperlink ref="I15" location="Interactions!B146" display="N"/>
    <hyperlink ref="J15" location="Interactions!B147" display="N"/>
    <hyperlink ref="K15" location="Interactions!B148" display="N"/>
    <hyperlink ref="L15" location="Interactions!B149" display="Y"/>
    <hyperlink ref="M15" location="Interactions!B150" display="N"/>
    <hyperlink ref="B16" location="Interactions!B151" display="N"/>
    <hyperlink ref="C16" location="Interactions!B152" display="N"/>
    <hyperlink ref="D16" location="Interactions!B153" display="N"/>
    <hyperlink ref="E16" location="Interactions!B154" display="N"/>
    <hyperlink ref="F16" location="Interactions!B155" display="N"/>
    <hyperlink ref="G16" location="Interactions!B156" display="N"/>
    <hyperlink ref="H16" location="Interactions!B157" display="N"/>
    <hyperlink ref="I16" location="Interactions!B158" display="N"/>
    <hyperlink ref="J16" location="Interactions!B159" display="N"/>
    <hyperlink ref="K16" location="Interactions!B160" display="N"/>
    <hyperlink ref="L16" location="Interactions!B161" display="N"/>
    <hyperlink ref="M16" location="Interactions!B162" display="Y"/>
    <hyperlink ref="B19" location="Interactions!$B$5" display="Interactions!$B$5"/>
    <hyperlink ref="B20" location="Interactions!$C$5" display="Interactions!$C$5"/>
    <hyperlink ref="B21" location="Interactions!$D$5" display="Interactions!$D$5"/>
    <hyperlink ref="B22" location="Interactions!$E$5" display="Interactions!$E$5"/>
    <hyperlink ref="B23" location="Interactions!$F$5" display="Interactions!$F$5"/>
    <hyperlink ref="B24" location="Interactions!$G$5" display="Interactions!$G$5"/>
    <hyperlink ref="B25" location="Interactions!$H$5" display="Interactions!$H$5"/>
    <hyperlink ref="B26" location="Interactions!$I$5" display="Interactions!$I$5"/>
    <hyperlink ref="B27" location="Interactions!$J$5" display="Interactions!$J$5"/>
    <hyperlink ref="B28" location="Interactions!$K$5" display="Interactions!$K$5"/>
    <hyperlink ref="B29" location="Interactions!$L$5" display="Interactions!$L$5"/>
    <hyperlink ref="B30" location="Interactions!$M$5" display="Interactions!$M$5"/>
    <hyperlink ref="B31" location="Interactions!$B$6" display="Interactions!$B$6"/>
    <hyperlink ref="B32" location="Interactions!$C$6" display="Interactions!$C$6"/>
    <hyperlink ref="B33" location="Interactions!$D$6" display="Interactions!$D$6"/>
    <hyperlink ref="B34" location="Interactions!$E$6" display="Interactions!$E$6"/>
    <hyperlink ref="B35" location="Interactions!$F$6" display="Interactions!$F$6"/>
    <hyperlink ref="B36" location="Interactions!$G$6" display="Interactions!$G$6"/>
    <hyperlink ref="B37" location="Interactions!$H$6" display="Interactions!$H$6"/>
    <hyperlink ref="B38" location="Interactions!$I$6" display="Interactions!$I$6"/>
    <hyperlink ref="B39" location="Interactions!$J$6" display="Interactions!$J$6"/>
    <hyperlink ref="B40" location="Interactions!$K$6" display="Interactions!$K$6"/>
    <hyperlink ref="B41" location="Interactions!$L$6" display="Interactions!$L$6"/>
    <hyperlink ref="B42" location="Interactions!$M$6" display="Interactions!$M$6"/>
    <hyperlink ref="B43" location="Interactions!$B$7" display="Interactions!$B$7"/>
    <hyperlink ref="B44" location="Interactions!$C$7" display="Interactions!$C$7"/>
    <hyperlink ref="B45" location="Interactions!$D$7" display="Interactions!$D$7"/>
    <hyperlink ref="B46" location="Interactions!$E$7" display="Interactions!$E$7"/>
    <hyperlink ref="B47" location="Interactions!$F$7" display="Interactions!$F$7"/>
    <hyperlink ref="B48" location="Interactions!$G$7" display="Interactions!$G$7"/>
    <hyperlink ref="B49" location="Interactions!$H$7" display="Interactions!$H$7"/>
    <hyperlink ref="B50" location="Interactions!$I$7" display="Interactions!$I$7"/>
    <hyperlink ref="B51" location="Interactions!$J$7" display="Interactions!$J$7"/>
    <hyperlink ref="B52" location="Interactions!$K$7" display="Interactions!$K$7"/>
    <hyperlink ref="B53" location="Interactions!$L$7" display="Interactions!$L$7"/>
    <hyperlink ref="B54" location="Interactions!$M$7" display="Interactions!$M$7"/>
    <hyperlink ref="B55" location="Interactions!$B$8" display="Interactions!$B$8"/>
    <hyperlink ref="B56" location="Interactions!$C$8" display="Interactions!$C$8"/>
    <hyperlink ref="B57" location="Interactions!$D$8" display="Interactions!$D$8"/>
    <hyperlink ref="B58" location="Interactions!$E$8" display="Interactions!$E$8"/>
    <hyperlink ref="B59" location="Interactions!$F$8" display="Interactions!$F$8"/>
    <hyperlink ref="B60" location="Interactions!$G$8" display="Interactions!$G$8"/>
    <hyperlink ref="B61" location="Interactions!$H$8" display="Interactions!$H$8"/>
    <hyperlink ref="B62" location="Interactions!$I$8" display="Interactions!$I$8"/>
    <hyperlink ref="B63" location="Interactions!$J$8" display="Interactions!$J$8"/>
    <hyperlink ref="B64" location="Interactions!$K$8" display="Interactions!$K$8"/>
    <hyperlink ref="B65" location="Interactions!$L$8" display="Interactions!$L$8"/>
    <hyperlink ref="B66" location="Interactions!$M$8" display="Interactions!$M$8"/>
    <hyperlink ref="B67" location="Interactions!$B$9" display="Interactions!$B$9"/>
    <hyperlink ref="B68" location="Interactions!$C$9" display="Interactions!$C$9"/>
    <hyperlink ref="B69" location="Interactions!$D$9" display="Interactions!$D$9"/>
    <hyperlink ref="B70" location="Interactions!$E$9" display="Interactions!$E$9"/>
    <hyperlink ref="B71" location="Interactions!$F$9" display="Interactions!$F$9"/>
    <hyperlink ref="B72" location="Interactions!$G$9" display="Interactions!$G$9"/>
    <hyperlink ref="B73" location="Interactions!$H$9" display="Interactions!$H$9"/>
    <hyperlink ref="B74" location="Interactions!$I$9" display="Interactions!$I$9"/>
    <hyperlink ref="B75" location="Interactions!$J$9" display="Interactions!$J$9"/>
    <hyperlink ref="B76" location="Interactions!$K$9" display="Interactions!$K$9"/>
    <hyperlink ref="B77" location="Interactions!$L$9" display="Interactions!$L$9"/>
    <hyperlink ref="B78" location="Interactions!$M$9" display="Interactions!$M$9"/>
    <hyperlink ref="B79" location="Interactions!$B$10" display="Interactions!$B$10"/>
    <hyperlink ref="B80" location="Interactions!$C$10" display="Interactions!$C$10"/>
    <hyperlink ref="B81" location="Interactions!$D$10" display="Interactions!$D$10"/>
    <hyperlink ref="B82" location="Interactions!$E$10" display="Interactions!$E$10"/>
    <hyperlink ref="B83" location="Interactions!$F$10" display="Interactions!$F$10"/>
    <hyperlink ref="B84" location="Interactions!$G$10" display="Interactions!$G$10"/>
    <hyperlink ref="B85" location="Interactions!$H$10" display="Interactions!$H$10"/>
    <hyperlink ref="B86" location="Interactions!$I$10" display="Interactions!$I$10"/>
    <hyperlink ref="B87" location="Interactions!$J$10" display="Interactions!$J$10"/>
    <hyperlink ref="B88" location="Interactions!$K$10" display="Interactions!$K$10"/>
    <hyperlink ref="B89" location="Interactions!$L$10" display="Interactions!$L$10"/>
    <hyperlink ref="B90" location="Interactions!$M$10" display="Interactions!$M$10"/>
    <hyperlink ref="B91" location="Interactions!$B$11" display="Interactions!$B$11"/>
    <hyperlink ref="B92" location="Interactions!$C$11" display="Interactions!$C$11"/>
    <hyperlink ref="B93" location="Interactions!$D$11" display="Interactions!$D$11"/>
    <hyperlink ref="B94" location="Interactions!$E$11" display="Interactions!$E$11"/>
    <hyperlink ref="B95" location="Interactions!$F$11" display="Interactions!$F$11"/>
    <hyperlink ref="B96" location="Interactions!$G$11" display="Interactions!$G$11"/>
    <hyperlink ref="B97" location="Interactions!$H$11" display="Interactions!$H$11"/>
    <hyperlink ref="B98" location="Interactions!$I$11" display="Interactions!$I$11"/>
    <hyperlink ref="B99" location="Interactions!$J$11" display="Interactions!$J$11"/>
    <hyperlink ref="B100" location="Interactions!$K$11" display="Interactions!$K$11"/>
    <hyperlink ref="B101" location="Interactions!$L$11" display="Interactions!$L$11"/>
    <hyperlink ref="B102" location="Interactions!$M$11" display="Interactions!$M$11"/>
    <hyperlink ref="B103" location="Interactions!$B$12" display="Interactions!$B$12"/>
    <hyperlink ref="B104" location="Interactions!$C$12" display="Interactions!$C$12"/>
    <hyperlink ref="B105" location="Interactions!$D$12" display="Interactions!$D$12"/>
    <hyperlink ref="B106" location="Interactions!$E$12" display="Interactions!$E$12"/>
    <hyperlink ref="B107" location="Interactions!$F$12" display="Interactions!$F$12"/>
    <hyperlink ref="B108" location="Interactions!$G$12" display="Interactions!$G$12"/>
    <hyperlink ref="B109" location="Interactions!$H$12" display="Interactions!$H$12"/>
    <hyperlink ref="B110" location="Interactions!$I$12" display="Interactions!$I$12"/>
    <hyperlink ref="B111" location="Interactions!$J$12" display="Interactions!$J$12"/>
    <hyperlink ref="B112" location="Interactions!$K$12" display="Interactions!$K$12"/>
    <hyperlink ref="B113" location="Interactions!$L$12" display="Interactions!$L$12"/>
    <hyperlink ref="B114" location="Interactions!$M$12" display="Interactions!$M$12"/>
    <hyperlink ref="B115" location="Interactions!$B$13" display="Interactions!$B$13"/>
    <hyperlink ref="B116" location="Interactions!$C$13" display="Interactions!$C$13"/>
    <hyperlink ref="B117" location="Interactions!$D$13" display="Interactions!$D$13"/>
    <hyperlink ref="B118" location="Interactions!$E$13" display="Interactions!$E$13"/>
    <hyperlink ref="B119" location="Interactions!$F$13" display="Interactions!$F$13"/>
    <hyperlink ref="B120" location="Interactions!$G$13" display="Interactions!$G$13"/>
    <hyperlink ref="B121" location="Interactions!$H$13" display="Interactions!$H$13"/>
    <hyperlink ref="B122" location="Interactions!$I$13" display="Interactions!$I$13"/>
    <hyperlink ref="B123" location="Interactions!$J$13" display="Interactions!$J$13"/>
    <hyperlink ref="B124" location="Interactions!$K$13" display="Interactions!$K$13"/>
    <hyperlink ref="B125" location="Interactions!$L$13" display="Interactions!$L$13"/>
    <hyperlink ref="B126" location="Interactions!$M$13" display="Interactions!$M$13"/>
    <hyperlink ref="B127" location="Interactions!$B$14" display="Interactions!$B$14"/>
    <hyperlink ref="B128" location="Interactions!$C$14" display="Interactions!$C$14"/>
    <hyperlink ref="B129" location="Interactions!$D$14" display="Interactions!$D$14"/>
    <hyperlink ref="B130" location="Interactions!$E$14" display="Interactions!$E$14"/>
    <hyperlink ref="B131" location="Interactions!$F$14" display="Interactions!$F$14"/>
    <hyperlink ref="B132" location="Interactions!$G$14" display="Interactions!$G$14"/>
    <hyperlink ref="B133" location="Interactions!$H$14" display="Interactions!$H$14"/>
    <hyperlink ref="B134" location="Interactions!$I$14" display="Interactions!$I$14"/>
    <hyperlink ref="B135" location="Interactions!$J$14" display="Interactions!$J$14"/>
    <hyperlink ref="B136" location="Interactions!$K$14" display="Interactions!$K$14"/>
    <hyperlink ref="B137" location="Interactions!$L$14" display="Interactions!$L$14"/>
    <hyperlink ref="B138" location="Interactions!$M$14" display="Interactions!$M$14"/>
    <hyperlink ref="B139" location="Interactions!$B$15" display="Interactions!$B$15"/>
    <hyperlink ref="B140" location="Interactions!$C$15" display="Interactions!$C$15"/>
    <hyperlink ref="B141" location="Interactions!$D$15" display="Interactions!$D$15"/>
    <hyperlink ref="B142" location="Interactions!$E$15" display="Interactions!$E$15"/>
    <hyperlink ref="B143" location="Interactions!$F$15" display="Interactions!$F$15"/>
    <hyperlink ref="B144" location="Interactions!$G$15" display="Interactions!$G$15"/>
    <hyperlink ref="B145" location="Interactions!$H$15" display="Interactions!$H$15"/>
    <hyperlink ref="B146" location="Interactions!$I$15" display="Interactions!$I$15"/>
    <hyperlink ref="B147" location="Interactions!$J$15" display="Interactions!$J$15"/>
    <hyperlink ref="B148" location="Interactions!$K$15" display="Interactions!$K$15"/>
    <hyperlink ref="B149" location="Interactions!$L$15" display="Interactions!$L$15"/>
    <hyperlink ref="B150" location="Interactions!$M$15" display="Interactions!$M$15"/>
    <hyperlink ref="B151" location="Interactions!$B$16" display="Interactions!$B$16"/>
    <hyperlink ref="B152" location="Interactions!$C$16" display="Interactions!$C$16"/>
    <hyperlink ref="B153" location="Interactions!$D$16" display="Interactions!$D$16"/>
    <hyperlink ref="B154" location="Interactions!$E$16" display="Interactions!$E$16"/>
    <hyperlink ref="B155" location="Interactions!$F$16" display="Interactions!$F$16"/>
    <hyperlink ref="B156" location="Interactions!$G$16" display="Interactions!$G$16"/>
    <hyperlink ref="B157" location="Interactions!$H$16" display="Interactions!$H$16"/>
    <hyperlink ref="B158" location="Interactions!$I$16" display="Interactions!$I$16"/>
    <hyperlink ref="B159" location="Interactions!$J$16" display="Interactions!$J$16"/>
    <hyperlink ref="B160" location="Interactions!$K$16" display="Interactions!$K$16"/>
    <hyperlink ref="B161" location="Interactions!$L$16" display="Interactions!$L$16"/>
    <hyperlink ref="B162" location="Interactions!$M$16" display="Interactions!$M$16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sheetPr>
    <tabColor rgb="FF808080"/>
  </sheetPr>
  <dimension ref="A1:BG488"/>
  <sheetViews>
    <sheetView workbookViewId="0"/>
  </sheetViews>
  <sheetFormatPr defaultRowHeight="15"/>
  <cols>
    <col min="1" max="1" width="20.42578125" customWidth="1"/>
    <col min="2" max="2" width="44.5703125" customWidth="1"/>
    <col min="3" max="3" width="23.7109375" customWidth="1"/>
    <col min="4" max="4" width="21.5703125" customWidth="1"/>
    <col min="5" max="5" width="18.28515625" customWidth="1"/>
    <col min="6" max="6" width="13.85546875" customWidth="1"/>
    <col min="7" max="7" width="16" customWidth="1"/>
    <col min="8" max="8" width="13.85546875" customWidth="1"/>
    <col min="9" max="9" width="16" customWidth="1"/>
    <col min="10" max="10" width="11.5703125" customWidth="1"/>
    <col min="11" max="11" width="13.85546875" customWidth="1"/>
    <col min="12" max="12" width="18.28515625" customWidth="1"/>
    <col min="13" max="13" width="20.42578125" customWidth="1"/>
    <col min="14" max="59" width="9.42578125" customWidth="1"/>
  </cols>
  <sheetData>
    <row r="1" spans="1:13">
      <c r="A1" s="1" t="s">
        <v>0</v>
      </c>
      <c r="B1" s="1" t="s">
        <v>1</v>
      </c>
      <c r="C1" s="1" t="s">
        <v>223</v>
      </c>
      <c r="D1" s="1" t="s">
        <v>224</v>
      </c>
    </row>
    <row r="2" spans="1:13">
      <c r="A2" t="s">
        <v>373</v>
      </c>
      <c r="B2" t="s">
        <v>374</v>
      </c>
      <c r="C2" t="s">
        <v>5</v>
      </c>
      <c r="D2" t="s">
        <v>5</v>
      </c>
    </row>
    <row r="4" spans="1:13">
      <c r="B4" s="1" t="str">
        <f>'Population Definitions'!$A$2</f>
        <v>PWID_males</v>
      </c>
      <c r="C4" s="1" t="str">
        <f>'Population Definitions'!$A$3</f>
        <v>PWID_females</v>
      </c>
      <c r="D4" s="1" t="str">
        <f>'Population Definitions'!$A$4</f>
        <v>0-9_males</v>
      </c>
      <c r="E4" s="1" t="str">
        <f>'Population Definitions'!$A$5</f>
        <v>0-9_females</v>
      </c>
      <c r="F4" s="1" t="str">
        <f>'Population Definitions'!$A$6</f>
        <v>10-17_males</v>
      </c>
      <c r="G4" s="1" t="str">
        <f>'Population Definitions'!$A$7</f>
        <v>10-17_females</v>
      </c>
      <c r="H4" s="1" t="str">
        <f>'Population Definitions'!$A$8</f>
        <v>18-64_males</v>
      </c>
      <c r="I4" s="1" t="str">
        <f>'Population Definitions'!$A$9</f>
        <v>18-64_females</v>
      </c>
      <c r="J4" s="1" t="str">
        <f>'Population Definitions'!$A$10</f>
        <v>65+_males</v>
      </c>
      <c r="K4" s="1" t="str">
        <f>'Population Definitions'!$A$11</f>
        <v>65+_females</v>
      </c>
      <c r="L4" s="1" t="str">
        <f>'Population Definitions'!$A$12</f>
        <v>Prisoners_males</v>
      </c>
      <c r="M4" s="1" t="str">
        <f>'Population Definitions'!$A$13</f>
        <v>Prisoners_females</v>
      </c>
    </row>
    <row r="5" spans="1:13">
      <c r="A5" s="1" t="str">
        <f>'Population Definitions'!$A$2</f>
        <v>PWID_males</v>
      </c>
      <c r="B5" s="4" t="s">
        <v>56</v>
      </c>
      <c r="C5" s="5" t="s">
        <v>226</v>
      </c>
      <c r="D5" s="5" t="s">
        <v>226</v>
      </c>
      <c r="E5" s="5" t="s">
        <v>226</v>
      </c>
      <c r="F5" s="5" t="s">
        <v>226</v>
      </c>
      <c r="G5" s="5" t="s">
        <v>226</v>
      </c>
      <c r="H5" s="5" t="s">
        <v>226</v>
      </c>
      <c r="I5" s="5" t="s">
        <v>226</v>
      </c>
      <c r="J5" s="5" t="s">
        <v>226</v>
      </c>
      <c r="K5" s="5" t="s">
        <v>226</v>
      </c>
      <c r="L5" s="5" t="s">
        <v>226</v>
      </c>
      <c r="M5" s="5" t="s">
        <v>226</v>
      </c>
    </row>
    <row r="6" spans="1:13">
      <c r="A6" s="1" t="str">
        <f>'Population Definitions'!$A$3</f>
        <v>PWID_females</v>
      </c>
      <c r="B6" s="5" t="s">
        <v>226</v>
      </c>
      <c r="C6" s="4" t="s">
        <v>56</v>
      </c>
      <c r="D6" s="5" t="s">
        <v>226</v>
      </c>
      <c r="E6" s="5" t="s">
        <v>226</v>
      </c>
      <c r="F6" s="5" t="s">
        <v>226</v>
      </c>
      <c r="G6" s="5" t="s">
        <v>226</v>
      </c>
      <c r="H6" s="5" t="s">
        <v>226</v>
      </c>
      <c r="I6" s="5" t="s">
        <v>226</v>
      </c>
      <c r="J6" s="5" t="s">
        <v>226</v>
      </c>
      <c r="K6" s="5" t="s">
        <v>226</v>
      </c>
      <c r="L6" s="5" t="s">
        <v>226</v>
      </c>
      <c r="M6" s="5" t="s">
        <v>226</v>
      </c>
    </row>
    <row r="7" spans="1:13">
      <c r="A7" s="1" t="str">
        <f>'Population Definitions'!$A$4</f>
        <v>0-9_males</v>
      </c>
      <c r="B7" s="5" t="s">
        <v>226</v>
      </c>
      <c r="C7" s="5" t="s">
        <v>226</v>
      </c>
      <c r="D7" s="4" t="s">
        <v>56</v>
      </c>
      <c r="E7" s="5" t="s">
        <v>226</v>
      </c>
      <c r="F7" s="5" t="s">
        <v>225</v>
      </c>
      <c r="G7" s="5" t="s">
        <v>226</v>
      </c>
      <c r="H7" s="5" t="s">
        <v>226</v>
      </c>
      <c r="I7" s="5" t="s">
        <v>226</v>
      </c>
      <c r="J7" s="5" t="s">
        <v>226</v>
      </c>
      <c r="K7" s="5" t="s">
        <v>226</v>
      </c>
      <c r="L7" s="5" t="s">
        <v>226</v>
      </c>
      <c r="M7" s="5" t="s">
        <v>226</v>
      </c>
    </row>
    <row r="8" spans="1:13">
      <c r="A8" s="1" t="str">
        <f>'Population Definitions'!$A$5</f>
        <v>0-9_females</v>
      </c>
      <c r="B8" s="5" t="s">
        <v>226</v>
      </c>
      <c r="C8" s="5" t="s">
        <v>226</v>
      </c>
      <c r="D8" s="5" t="s">
        <v>226</v>
      </c>
      <c r="E8" s="4" t="s">
        <v>56</v>
      </c>
      <c r="F8" s="5" t="s">
        <v>226</v>
      </c>
      <c r="G8" s="5" t="s">
        <v>225</v>
      </c>
      <c r="H8" s="5" t="s">
        <v>226</v>
      </c>
      <c r="I8" s="5" t="s">
        <v>226</v>
      </c>
      <c r="J8" s="5" t="s">
        <v>226</v>
      </c>
      <c r="K8" s="5" t="s">
        <v>226</v>
      </c>
      <c r="L8" s="5" t="s">
        <v>226</v>
      </c>
      <c r="M8" s="5" t="s">
        <v>226</v>
      </c>
    </row>
    <row r="9" spans="1:13">
      <c r="A9" s="1" t="str">
        <f>'Population Definitions'!$A$6</f>
        <v>10-17_males</v>
      </c>
      <c r="B9" s="5" t="s">
        <v>226</v>
      </c>
      <c r="C9" s="5" t="s">
        <v>226</v>
      </c>
      <c r="D9" s="5" t="s">
        <v>226</v>
      </c>
      <c r="E9" s="5" t="s">
        <v>226</v>
      </c>
      <c r="F9" s="4" t="s">
        <v>56</v>
      </c>
      <c r="G9" s="5" t="s">
        <v>226</v>
      </c>
      <c r="H9" s="5" t="s">
        <v>225</v>
      </c>
      <c r="I9" s="5" t="s">
        <v>226</v>
      </c>
      <c r="J9" s="5" t="s">
        <v>226</v>
      </c>
      <c r="K9" s="5" t="s">
        <v>226</v>
      </c>
      <c r="L9" s="5" t="s">
        <v>226</v>
      </c>
      <c r="M9" s="5" t="s">
        <v>226</v>
      </c>
    </row>
    <row r="10" spans="1:13">
      <c r="A10" s="1" t="str">
        <f>'Population Definitions'!$A$7</f>
        <v>10-17_females</v>
      </c>
      <c r="B10" s="5" t="s">
        <v>226</v>
      </c>
      <c r="C10" s="5" t="s">
        <v>226</v>
      </c>
      <c r="D10" s="5" t="s">
        <v>226</v>
      </c>
      <c r="E10" s="5" t="s">
        <v>226</v>
      </c>
      <c r="F10" s="5" t="s">
        <v>226</v>
      </c>
      <c r="G10" s="4" t="s">
        <v>56</v>
      </c>
      <c r="H10" s="5" t="s">
        <v>226</v>
      </c>
      <c r="I10" s="5" t="s">
        <v>225</v>
      </c>
      <c r="J10" s="5" t="s">
        <v>226</v>
      </c>
      <c r="K10" s="5" t="s">
        <v>226</v>
      </c>
      <c r="L10" s="5" t="s">
        <v>226</v>
      </c>
      <c r="M10" s="5" t="s">
        <v>226</v>
      </c>
    </row>
    <row r="11" spans="1:13">
      <c r="A11" s="1" t="str">
        <f>'Population Definitions'!$A$8</f>
        <v>18-64_males</v>
      </c>
      <c r="B11" s="5" t="s">
        <v>226</v>
      </c>
      <c r="C11" s="5" t="s">
        <v>226</v>
      </c>
      <c r="D11" s="5" t="s">
        <v>226</v>
      </c>
      <c r="E11" s="5" t="s">
        <v>226</v>
      </c>
      <c r="F11" s="5" t="s">
        <v>226</v>
      </c>
      <c r="G11" s="5" t="s">
        <v>226</v>
      </c>
      <c r="H11" s="4" t="s">
        <v>56</v>
      </c>
      <c r="I11" s="5" t="s">
        <v>226</v>
      </c>
      <c r="J11" s="5" t="s">
        <v>225</v>
      </c>
      <c r="K11" s="5" t="s">
        <v>226</v>
      </c>
      <c r="L11" s="5" t="s">
        <v>226</v>
      </c>
      <c r="M11" s="5" t="s">
        <v>226</v>
      </c>
    </row>
    <row r="12" spans="1:13">
      <c r="A12" s="1" t="str">
        <f>'Population Definitions'!$A$9</f>
        <v>18-64_females</v>
      </c>
      <c r="B12" s="5" t="s">
        <v>226</v>
      </c>
      <c r="C12" s="5" t="s">
        <v>226</v>
      </c>
      <c r="D12" s="5" t="s">
        <v>226</v>
      </c>
      <c r="E12" s="5" t="s">
        <v>226</v>
      </c>
      <c r="F12" s="5" t="s">
        <v>226</v>
      </c>
      <c r="G12" s="5" t="s">
        <v>226</v>
      </c>
      <c r="H12" s="5" t="s">
        <v>226</v>
      </c>
      <c r="I12" s="4" t="s">
        <v>56</v>
      </c>
      <c r="J12" s="5" t="s">
        <v>226</v>
      </c>
      <c r="K12" s="5" t="s">
        <v>225</v>
      </c>
      <c r="L12" s="5" t="s">
        <v>226</v>
      </c>
      <c r="M12" s="5" t="s">
        <v>226</v>
      </c>
    </row>
    <row r="13" spans="1:13">
      <c r="A13" s="1" t="str">
        <f>'Population Definitions'!$A$10</f>
        <v>65+_males</v>
      </c>
      <c r="B13" s="5" t="s">
        <v>226</v>
      </c>
      <c r="C13" s="5" t="s">
        <v>226</v>
      </c>
      <c r="D13" s="5" t="s">
        <v>226</v>
      </c>
      <c r="E13" s="5" t="s">
        <v>226</v>
      </c>
      <c r="F13" s="5" t="s">
        <v>226</v>
      </c>
      <c r="G13" s="5" t="s">
        <v>226</v>
      </c>
      <c r="H13" s="5" t="s">
        <v>226</v>
      </c>
      <c r="I13" s="5" t="s">
        <v>226</v>
      </c>
      <c r="J13" s="4" t="s">
        <v>56</v>
      </c>
      <c r="K13" s="5" t="s">
        <v>226</v>
      </c>
      <c r="L13" s="5" t="s">
        <v>226</v>
      </c>
      <c r="M13" s="5" t="s">
        <v>226</v>
      </c>
    </row>
    <row r="14" spans="1:13">
      <c r="A14" s="1" t="str">
        <f>'Population Definitions'!$A$11</f>
        <v>65+_females</v>
      </c>
      <c r="B14" s="5" t="s">
        <v>226</v>
      </c>
      <c r="C14" s="5" t="s">
        <v>226</v>
      </c>
      <c r="D14" s="5" t="s">
        <v>226</v>
      </c>
      <c r="E14" s="5" t="s">
        <v>226</v>
      </c>
      <c r="F14" s="5" t="s">
        <v>226</v>
      </c>
      <c r="G14" s="5" t="s">
        <v>226</v>
      </c>
      <c r="H14" s="5" t="s">
        <v>226</v>
      </c>
      <c r="I14" s="5" t="s">
        <v>226</v>
      </c>
      <c r="J14" s="5" t="s">
        <v>226</v>
      </c>
      <c r="K14" s="4" t="s">
        <v>56</v>
      </c>
      <c r="L14" s="5" t="s">
        <v>226</v>
      </c>
      <c r="M14" s="5" t="s">
        <v>226</v>
      </c>
    </row>
    <row r="15" spans="1:13">
      <c r="A15" s="1" t="str">
        <f>'Population Definitions'!$A$12</f>
        <v>Prisoners_males</v>
      </c>
      <c r="B15" s="5" t="s">
        <v>226</v>
      </c>
      <c r="C15" s="5" t="s">
        <v>226</v>
      </c>
      <c r="D15" s="5" t="s">
        <v>226</v>
      </c>
      <c r="E15" s="5" t="s">
        <v>226</v>
      </c>
      <c r="F15" s="5" t="s">
        <v>226</v>
      </c>
      <c r="G15" s="5" t="s">
        <v>226</v>
      </c>
      <c r="H15" s="5" t="s">
        <v>226</v>
      </c>
      <c r="I15" s="5" t="s">
        <v>226</v>
      </c>
      <c r="J15" s="5" t="s">
        <v>226</v>
      </c>
      <c r="K15" s="5" t="s">
        <v>226</v>
      </c>
      <c r="L15" s="4" t="s">
        <v>56</v>
      </c>
      <c r="M15" s="5" t="s">
        <v>226</v>
      </c>
    </row>
    <row r="16" spans="1:13">
      <c r="A16" s="1" t="str">
        <f>'Population Definitions'!$A$13</f>
        <v>Prisoners_females</v>
      </c>
      <c r="B16" s="5" t="s">
        <v>226</v>
      </c>
      <c r="C16" s="5" t="s">
        <v>226</v>
      </c>
      <c r="D16" s="5" t="s">
        <v>226</v>
      </c>
      <c r="E16" s="5" t="s">
        <v>226</v>
      </c>
      <c r="F16" s="5" t="s">
        <v>226</v>
      </c>
      <c r="G16" s="5" t="s">
        <v>226</v>
      </c>
      <c r="H16" s="5" t="s">
        <v>226</v>
      </c>
      <c r="I16" s="5" t="s">
        <v>226</v>
      </c>
      <c r="J16" s="5" t="s">
        <v>226</v>
      </c>
      <c r="K16" s="5" t="s">
        <v>226</v>
      </c>
      <c r="L16" s="5" t="s">
        <v>226</v>
      </c>
      <c r="M16" s="4" t="s">
        <v>56</v>
      </c>
    </row>
    <row r="18" spans="1:59">
      <c r="A18" s="1" t="s">
        <v>227</v>
      </c>
      <c r="B18" s="1"/>
      <c r="C18" s="1" t="s">
        <v>228</v>
      </c>
      <c r="D18" s="1" t="s">
        <v>29</v>
      </c>
      <c r="E18" s="1" t="s">
        <v>30</v>
      </c>
      <c r="F18" s="1" t="s">
        <v>31</v>
      </c>
      <c r="G18" s="1" t="s">
        <v>36</v>
      </c>
      <c r="H18" s="1"/>
      <c r="I18" s="1">
        <v>2000</v>
      </c>
      <c r="J18" s="1">
        <v>2001</v>
      </c>
      <c r="K18" s="1">
        <v>2002</v>
      </c>
      <c r="L18" s="1">
        <v>2003</v>
      </c>
      <c r="M18" s="1">
        <v>2004</v>
      </c>
      <c r="N18" s="1">
        <v>2005</v>
      </c>
      <c r="O18" s="1">
        <v>2006</v>
      </c>
      <c r="P18" s="1">
        <v>2007</v>
      </c>
      <c r="Q18" s="1">
        <v>2008</v>
      </c>
      <c r="R18" s="1">
        <v>2009</v>
      </c>
      <c r="S18" s="1">
        <v>2010</v>
      </c>
      <c r="T18" s="1">
        <v>2011</v>
      </c>
      <c r="U18" s="1">
        <v>2012</v>
      </c>
      <c r="V18" s="1">
        <v>2013</v>
      </c>
      <c r="W18" s="1">
        <v>2014</v>
      </c>
      <c r="X18" s="1">
        <v>2015</v>
      </c>
      <c r="Y18" s="1">
        <v>2016</v>
      </c>
      <c r="Z18" s="1">
        <v>2017</v>
      </c>
      <c r="AA18" s="1">
        <v>2018</v>
      </c>
      <c r="AB18" s="1">
        <v>2019</v>
      </c>
      <c r="AC18" s="1">
        <v>2020</v>
      </c>
      <c r="AD18" s="1">
        <v>2021</v>
      </c>
      <c r="AE18" s="1">
        <v>2022</v>
      </c>
      <c r="AF18" s="1">
        <v>2023</v>
      </c>
      <c r="AG18" s="1">
        <v>2024</v>
      </c>
      <c r="AH18" s="1">
        <v>2025</v>
      </c>
      <c r="AI18" s="1">
        <v>2026</v>
      </c>
      <c r="AJ18" s="1">
        <v>2027</v>
      </c>
      <c r="AK18" s="1">
        <v>2028</v>
      </c>
      <c r="AL18" s="1">
        <v>2029</v>
      </c>
      <c r="AM18" s="1">
        <v>2030</v>
      </c>
      <c r="AN18" s="1">
        <v>2031</v>
      </c>
      <c r="AO18" s="1">
        <v>2032</v>
      </c>
      <c r="AP18" s="1">
        <v>2033</v>
      </c>
      <c r="AQ18" s="1">
        <v>2034</v>
      </c>
      <c r="AR18" s="1">
        <v>2035</v>
      </c>
      <c r="AS18" s="1">
        <v>2036</v>
      </c>
      <c r="AT18" s="1">
        <v>2037</v>
      </c>
      <c r="AU18" s="1">
        <v>2038</v>
      </c>
      <c r="AV18" s="1">
        <v>2039</v>
      </c>
      <c r="AW18" s="1">
        <v>2040</v>
      </c>
      <c r="AX18" s="1">
        <v>2041</v>
      </c>
      <c r="AY18" s="1">
        <v>2042</v>
      </c>
      <c r="AZ18" s="1">
        <v>2043</v>
      </c>
      <c r="BA18" s="1">
        <v>2044</v>
      </c>
      <c r="BB18" s="1">
        <v>2045</v>
      </c>
      <c r="BC18" s="1">
        <v>2046</v>
      </c>
      <c r="BD18" s="1">
        <v>2047</v>
      </c>
      <c r="BE18" s="1">
        <v>2048</v>
      </c>
      <c r="BF18" s="1">
        <v>2049</v>
      </c>
      <c r="BG18" s="1">
        <v>2050</v>
      </c>
    </row>
    <row r="19" spans="1:59">
      <c r="A19" s="1" t="str">
        <f>IF($B$5="Y",'Population Definitions'!$A$2,"...")</f>
        <v>...</v>
      </c>
      <c r="B19" s="4" t="str">
        <f>IF($B$5="Y","---&gt;","...")</f>
        <v>...</v>
      </c>
      <c r="C19" s="1" t="str">
        <f>IF($B$5="Y",'Population Definitions'!$A$2,"...")</f>
        <v>...</v>
      </c>
      <c r="E19" s="2"/>
      <c r="F19" s="3"/>
      <c r="G19" s="2"/>
      <c r="H19" s="4" t="str">
        <f>IF($B$5="Y","OR","...")</f>
        <v>...</v>
      </c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</row>
    <row r="20" spans="1:59">
      <c r="A20" s="1" t="str">
        <f>IF($C$5="Y",'Population Definitions'!$A$2,"...")</f>
        <v>...</v>
      </c>
      <c r="B20" s="4" t="str">
        <f>IF($C$5="Y","---&gt;","...")</f>
        <v>...</v>
      </c>
      <c r="C20" s="1" t="str">
        <f>IF($C$5="Y",'Population Definitions'!$A$3,"...")</f>
        <v>...</v>
      </c>
      <c r="E20" s="2"/>
      <c r="F20" s="3"/>
      <c r="G20" s="2"/>
      <c r="H20" s="4" t="str">
        <f>IF($C$5="Y","OR","...")</f>
        <v>...</v>
      </c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</row>
    <row r="21" spans="1:59">
      <c r="A21" s="1" t="str">
        <f>IF($D$5="Y",'Population Definitions'!$A$2,"...")</f>
        <v>...</v>
      </c>
      <c r="B21" s="4" t="str">
        <f>IF($D$5="Y","---&gt;","...")</f>
        <v>...</v>
      </c>
      <c r="C21" s="1" t="str">
        <f>IF($D$5="Y",'Population Definitions'!$A$4,"...")</f>
        <v>...</v>
      </c>
      <c r="E21" s="2"/>
      <c r="F21" s="3"/>
      <c r="G21" s="2"/>
      <c r="H21" s="4" t="str">
        <f>IF($D$5="Y","OR","...")</f>
        <v>...</v>
      </c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</row>
    <row r="22" spans="1:59">
      <c r="A22" s="1" t="str">
        <f>IF($E$5="Y",'Population Definitions'!$A$2,"...")</f>
        <v>...</v>
      </c>
      <c r="B22" s="4" t="str">
        <f>IF($E$5="Y","---&gt;","...")</f>
        <v>...</v>
      </c>
      <c r="C22" s="1" t="str">
        <f>IF($E$5="Y",'Population Definitions'!$A$5,"...")</f>
        <v>...</v>
      </c>
      <c r="E22" s="2"/>
      <c r="F22" s="3"/>
      <c r="G22" s="2"/>
      <c r="H22" s="4" t="str">
        <f>IF($E$5="Y","OR","...")</f>
        <v>...</v>
      </c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</row>
    <row r="23" spans="1:59">
      <c r="A23" s="1" t="str">
        <f>IF($F$5="Y",'Population Definitions'!$A$2,"...")</f>
        <v>...</v>
      </c>
      <c r="B23" s="4" t="str">
        <f>IF($F$5="Y","---&gt;","...")</f>
        <v>...</v>
      </c>
      <c r="C23" s="1" t="str">
        <f>IF($F$5="Y",'Population Definitions'!$A$6,"...")</f>
        <v>...</v>
      </c>
      <c r="E23" s="2"/>
      <c r="F23" s="3"/>
      <c r="G23" s="2"/>
      <c r="H23" s="4" t="str">
        <f>IF($F$5="Y","OR","...")</f>
        <v>...</v>
      </c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</row>
    <row r="24" spans="1:59">
      <c r="A24" s="1" t="str">
        <f>IF($G$5="Y",'Population Definitions'!$A$2,"...")</f>
        <v>...</v>
      </c>
      <c r="B24" s="4" t="str">
        <f>IF($G$5="Y","---&gt;","...")</f>
        <v>...</v>
      </c>
      <c r="C24" s="1" t="str">
        <f>IF($G$5="Y",'Population Definitions'!$A$7,"...")</f>
        <v>...</v>
      </c>
      <c r="E24" s="2"/>
      <c r="F24" s="3"/>
      <c r="G24" s="2"/>
      <c r="H24" s="4" t="str">
        <f>IF($G$5="Y","OR","...")</f>
        <v>...</v>
      </c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</row>
    <row r="25" spans="1:59">
      <c r="A25" s="1" t="str">
        <f>IF($H$5="Y",'Population Definitions'!$A$2,"...")</f>
        <v>...</v>
      </c>
      <c r="B25" s="4" t="str">
        <f>IF($H$5="Y","---&gt;","...")</f>
        <v>...</v>
      </c>
      <c r="C25" s="1" t="str">
        <f>IF($H$5="Y",'Population Definitions'!$A$8,"...")</f>
        <v>...</v>
      </c>
      <c r="E25" s="2"/>
      <c r="F25" s="3"/>
      <c r="G25" s="2"/>
      <c r="H25" s="4" t="str">
        <f>IF($H$5="Y","OR","...")</f>
        <v>...</v>
      </c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</row>
    <row r="26" spans="1:59">
      <c r="A26" s="1" t="str">
        <f>IF($I$5="Y",'Population Definitions'!$A$2,"...")</f>
        <v>...</v>
      </c>
      <c r="B26" s="4" t="str">
        <f>IF($I$5="Y","---&gt;","...")</f>
        <v>...</v>
      </c>
      <c r="C26" s="1" t="str">
        <f>IF($I$5="Y",'Population Definitions'!$A$9,"...")</f>
        <v>...</v>
      </c>
      <c r="E26" s="2"/>
      <c r="F26" s="3"/>
      <c r="G26" s="2"/>
      <c r="H26" s="4" t="str">
        <f>IF($I$5="Y","OR","...")</f>
        <v>...</v>
      </c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</row>
    <row r="27" spans="1:59">
      <c r="A27" s="1" t="str">
        <f>IF($J$5="Y",'Population Definitions'!$A$2,"...")</f>
        <v>...</v>
      </c>
      <c r="B27" s="4" t="str">
        <f>IF($J$5="Y","---&gt;","...")</f>
        <v>...</v>
      </c>
      <c r="C27" s="1" t="str">
        <f>IF($J$5="Y",'Population Definitions'!$A$10,"...")</f>
        <v>...</v>
      </c>
      <c r="E27" s="2"/>
      <c r="F27" s="3"/>
      <c r="G27" s="2"/>
      <c r="H27" s="4" t="str">
        <f>IF($J$5="Y","OR","...")</f>
        <v>...</v>
      </c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</row>
    <row r="28" spans="1:59">
      <c r="A28" s="1" t="str">
        <f>IF($K$5="Y",'Population Definitions'!$A$2,"...")</f>
        <v>...</v>
      </c>
      <c r="B28" s="4" t="str">
        <f>IF($K$5="Y","---&gt;","...")</f>
        <v>...</v>
      </c>
      <c r="C28" s="1" t="str">
        <f>IF($K$5="Y",'Population Definitions'!$A$11,"...")</f>
        <v>...</v>
      </c>
      <c r="E28" s="2"/>
      <c r="F28" s="3"/>
      <c r="G28" s="2"/>
      <c r="H28" s="4" t="str">
        <f>IF($K$5="Y","OR","...")</f>
        <v>...</v>
      </c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</row>
    <row r="29" spans="1:59">
      <c r="A29" s="1" t="str">
        <f>IF($L$5="Y",'Population Definitions'!$A$2,"...")</f>
        <v>...</v>
      </c>
      <c r="B29" s="4" t="str">
        <f>IF($L$5="Y","---&gt;","...")</f>
        <v>...</v>
      </c>
      <c r="C29" s="1" t="str">
        <f>IF($L$5="Y",'Population Definitions'!$A$12,"...")</f>
        <v>...</v>
      </c>
      <c r="E29" s="2"/>
      <c r="F29" s="3"/>
      <c r="G29" s="2"/>
      <c r="H29" s="4" t="str">
        <f>IF($L$5="Y","OR","...")</f>
        <v>...</v>
      </c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</row>
    <row r="30" spans="1:59">
      <c r="A30" s="1" t="str">
        <f>IF($M$5="Y",'Population Definitions'!$A$2,"...")</f>
        <v>...</v>
      </c>
      <c r="B30" s="4" t="str">
        <f>IF($M$5="Y","---&gt;","...")</f>
        <v>...</v>
      </c>
      <c r="C30" s="1" t="str">
        <f>IF($M$5="Y",'Population Definitions'!$A$13,"...")</f>
        <v>...</v>
      </c>
      <c r="E30" s="2"/>
      <c r="F30" s="3"/>
      <c r="G30" s="2"/>
      <c r="H30" s="4" t="str">
        <f>IF($M$5="Y","OR","...")</f>
        <v>...</v>
      </c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</row>
    <row r="31" spans="1:59">
      <c r="A31" s="1" t="str">
        <f>IF($B$6="Y",'Population Definitions'!$A$3,"...")</f>
        <v>...</v>
      </c>
      <c r="B31" s="4" t="str">
        <f>IF($B$6="Y","---&gt;","...")</f>
        <v>...</v>
      </c>
      <c r="C31" s="1" t="str">
        <f>IF($B$6="Y",'Population Definitions'!$A$2,"...")</f>
        <v>...</v>
      </c>
      <c r="E31" s="2"/>
      <c r="F31" s="3"/>
      <c r="G31" s="2"/>
      <c r="H31" s="4" t="str">
        <f>IF($B$6="Y","OR","...")</f>
        <v>...</v>
      </c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</row>
    <row r="32" spans="1:59">
      <c r="A32" s="1" t="str">
        <f>IF($C$6="Y",'Population Definitions'!$A$3,"...")</f>
        <v>...</v>
      </c>
      <c r="B32" s="4" t="str">
        <f>IF($C$6="Y","---&gt;","...")</f>
        <v>...</v>
      </c>
      <c r="C32" s="1" t="str">
        <f>IF($C$6="Y",'Population Definitions'!$A$3,"...")</f>
        <v>...</v>
      </c>
      <c r="E32" s="2"/>
      <c r="F32" s="3"/>
      <c r="G32" s="2"/>
      <c r="H32" s="4" t="str">
        <f>IF($C$6="Y","OR","...")</f>
        <v>...</v>
      </c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</row>
    <row r="33" spans="1:59">
      <c r="A33" s="1" t="str">
        <f>IF($D$6="Y",'Population Definitions'!$A$3,"...")</f>
        <v>...</v>
      </c>
      <c r="B33" s="4" t="str">
        <f>IF($D$6="Y","---&gt;","...")</f>
        <v>...</v>
      </c>
      <c r="C33" s="1" t="str">
        <f>IF($D$6="Y",'Population Definitions'!$A$4,"...")</f>
        <v>...</v>
      </c>
      <c r="E33" s="2"/>
      <c r="F33" s="3"/>
      <c r="G33" s="2"/>
      <c r="H33" s="4" t="str">
        <f>IF($D$6="Y","OR","...")</f>
        <v>...</v>
      </c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</row>
    <row r="34" spans="1:59">
      <c r="A34" s="1" t="str">
        <f>IF($E$6="Y",'Population Definitions'!$A$3,"...")</f>
        <v>...</v>
      </c>
      <c r="B34" s="4" t="str">
        <f>IF($E$6="Y","---&gt;","...")</f>
        <v>...</v>
      </c>
      <c r="C34" s="1" t="str">
        <f>IF($E$6="Y",'Population Definitions'!$A$5,"...")</f>
        <v>...</v>
      </c>
      <c r="E34" s="2"/>
      <c r="F34" s="3"/>
      <c r="G34" s="2"/>
      <c r="H34" s="4" t="str">
        <f>IF($E$6="Y","OR","...")</f>
        <v>...</v>
      </c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</row>
    <row r="35" spans="1:59">
      <c r="A35" s="1" t="str">
        <f>IF($F$6="Y",'Population Definitions'!$A$3,"...")</f>
        <v>...</v>
      </c>
      <c r="B35" s="4" t="str">
        <f>IF($F$6="Y","---&gt;","...")</f>
        <v>...</v>
      </c>
      <c r="C35" s="1" t="str">
        <f>IF($F$6="Y",'Population Definitions'!$A$6,"...")</f>
        <v>...</v>
      </c>
      <c r="E35" s="2"/>
      <c r="F35" s="3"/>
      <c r="G35" s="2"/>
      <c r="H35" s="4" t="str">
        <f>IF($F$6="Y","OR","...")</f>
        <v>...</v>
      </c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</row>
    <row r="36" spans="1:59">
      <c r="A36" s="1" t="str">
        <f>IF($G$6="Y",'Population Definitions'!$A$3,"...")</f>
        <v>...</v>
      </c>
      <c r="B36" s="4" t="str">
        <f>IF($G$6="Y","---&gt;","...")</f>
        <v>...</v>
      </c>
      <c r="C36" s="1" t="str">
        <f>IF($G$6="Y",'Population Definitions'!$A$7,"...")</f>
        <v>...</v>
      </c>
      <c r="E36" s="2"/>
      <c r="F36" s="3"/>
      <c r="G36" s="2"/>
      <c r="H36" s="4" t="str">
        <f>IF($G$6="Y","OR","...")</f>
        <v>...</v>
      </c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</row>
    <row r="37" spans="1:59">
      <c r="A37" s="1" t="str">
        <f>IF($H$6="Y",'Population Definitions'!$A$3,"...")</f>
        <v>...</v>
      </c>
      <c r="B37" s="4" t="str">
        <f>IF($H$6="Y","---&gt;","...")</f>
        <v>...</v>
      </c>
      <c r="C37" s="1" t="str">
        <f>IF($H$6="Y",'Population Definitions'!$A$8,"...")</f>
        <v>...</v>
      </c>
      <c r="E37" s="2"/>
      <c r="F37" s="3"/>
      <c r="G37" s="2"/>
      <c r="H37" s="4" t="str">
        <f>IF($H$6="Y","OR","...")</f>
        <v>...</v>
      </c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</row>
    <row r="38" spans="1:59">
      <c r="A38" s="1" t="str">
        <f>IF($I$6="Y",'Population Definitions'!$A$3,"...")</f>
        <v>...</v>
      </c>
      <c r="B38" s="4" t="str">
        <f>IF($I$6="Y","---&gt;","...")</f>
        <v>...</v>
      </c>
      <c r="C38" s="1" t="str">
        <f>IF($I$6="Y",'Population Definitions'!$A$9,"...")</f>
        <v>...</v>
      </c>
      <c r="E38" s="2"/>
      <c r="F38" s="3"/>
      <c r="G38" s="2"/>
      <c r="H38" s="4" t="str">
        <f>IF($I$6="Y","OR","...")</f>
        <v>...</v>
      </c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</row>
    <row r="39" spans="1:59">
      <c r="A39" s="1" t="str">
        <f>IF($J$6="Y",'Population Definitions'!$A$3,"...")</f>
        <v>...</v>
      </c>
      <c r="B39" s="4" t="str">
        <f>IF($J$6="Y","---&gt;","...")</f>
        <v>...</v>
      </c>
      <c r="C39" s="1" t="str">
        <f>IF($J$6="Y",'Population Definitions'!$A$10,"...")</f>
        <v>...</v>
      </c>
      <c r="E39" s="2"/>
      <c r="F39" s="3"/>
      <c r="G39" s="2"/>
      <c r="H39" s="4" t="str">
        <f>IF($J$6="Y","OR","...")</f>
        <v>...</v>
      </c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</row>
    <row r="40" spans="1:59">
      <c r="A40" s="1" t="str">
        <f>IF($K$6="Y",'Population Definitions'!$A$3,"...")</f>
        <v>...</v>
      </c>
      <c r="B40" s="4" t="str">
        <f>IF($K$6="Y","---&gt;","...")</f>
        <v>...</v>
      </c>
      <c r="C40" s="1" t="str">
        <f>IF($K$6="Y",'Population Definitions'!$A$11,"...")</f>
        <v>...</v>
      </c>
      <c r="E40" s="2"/>
      <c r="F40" s="3"/>
      <c r="G40" s="2"/>
      <c r="H40" s="4" t="str">
        <f>IF($K$6="Y","OR","...")</f>
        <v>...</v>
      </c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</row>
    <row r="41" spans="1:59">
      <c r="A41" s="1" t="str">
        <f>IF($L$6="Y",'Population Definitions'!$A$3,"...")</f>
        <v>...</v>
      </c>
      <c r="B41" s="4" t="str">
        <f>IF($L$6="Y","---&gt;","...")</f>
        <v>...</v>
      </c>
      <c r="C41" s="1" t="str">
        <f>IF($L$6="Y",'Population Definitions'!$A$12,"...")</f>
        <v>...</v>
      </c>
      <c r="E41" s="2"/>
      <c r="F41" s="3"/>
      <c r="G41" s="2"/>
      <c r="H41" s="4" t="str">
        <f>IF($L$6="Y","OR","...")</f>
        <v>...</v>
      </c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</row>
    <row r="42" spans="1:59">
      <c r="A42" s="1" t="str">
        <f>IF($M$6="Y",'Population Definitions'!$A$3,"...")</f>
        <v>...</v>
      </c>
      <c r="B42" s="4" t="str">
        <f>IF($M$6="Y","---&gt;","...")</f>
        <v>...</v>
      </c>
      <c r="C42" s="1" t="str">
        <f>IF($M$6="Y",'Population Definitions'!$A$13,"...")</f>
        <v>...</v>
      </c>
      <c r="E42" s="2"/>
      <c r="F42" s="3"/>
      <c r="G42" s="2"/>
      <c r="H42" s="4" t="str">
        <f>IF($M$6="Y","OR","...")</f>
        <v>...</v>
      </c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</row>
    <row r="43" spans="1:59">
      <c r="A43" s="1" t="str">
        <f>IF($B$7="Y",'Population Definitions'!$A$4,"...")</f>
        <v>...</v>
      </c>
      <c r="B43" s="4" t="str">
        <f>IF($B$7="Y","---&gt;","...")</f>
        <v>...</v>
      </c>
      <c r="C43" s="1" t="str">
        <f>IF($B$7="Y",'Population Definitions'!$A$2,"...")</f>
        <v>...</v>
      </c>
      <c r="E43" s="2"/>
      <c r="F43" s="3"/>
      <c r="G43" s="2"/>
      <c r="H43" s="4" t="str">
        <f>IF($B$7="Y","OR","...")</f>
        <v>...</v>
      </c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</row>
    <row r="44" spans="1:59">
      <c r="A44" s="1" t="str">
        <f>IF($C$7="Y",'Population Definitions'!$A$4,"...")</f>
        <v>...</v>
      </c>
      <c r="B44" s="4" t="str">
        <f>IF($C$7="Y","---&gt;","...")</f>
        <v>...</v>
      </c>
      <c r="C44" s="1" t="str">
        <f>IF($C$7="Y",'Population Definitions'!$A$3,"...")</f>
        <v>...</v>
      </c>
      <c r="E44" s="2"/>
      <c r="F44" s="3"/>
      <c r="G44" s="2"/>
      <c r="H44" s="4" t="str">
        <f>IF($C$7="Y","OR","...")</f>
        <v>...</v>
      </c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</row>
    <row r="45" spans="1:59">
      <c r="A45" s="1" t="str">
        <f>IF($D$7="Y",'Population Definitions'!$A$4,"...")</f>
        <v>...</v>
      </c>
      <c r="B45" s="4" t="str">
        <f>IF($D$7="Y","---&gt;","...")</f>
        <v>...</v>
      </c>
      <c r="C45" s="1" t="str">
        <f>IF($D$7="Y",'Population Definitions'!$A$4,"...")</f>
        <v>...</v>
      </c>
      <c r="E45" s="2"/>
      <c r="F45" s="3"/>
      <c r="G45" s="2"/>
      <c r="H45" s="4" t="str">
        <f>IF($D$7="Y","OR","...")</f>
        <v>...</v>
      </c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</row>
    <row r="46" spans="1:59">
      <c r="A46" s="1" t="str">
        <f>IF($E$7="Y",'Population Definitions'!$A$4,"...")</f>
        <v>...</v>
      </c>
      <c r="B46" s="4" t="str">
        <f>IF($E$7="Y","---&gt;","...")</f>
        <v>...</v>
      </c>
      <c r="C46" s="1" t="str">
        <f>IF($E$7="Y",'Population Definitions'!$A$5,"...")</f>
        <v>...</v>
      </c>
      <c r="E46" s="2"/>
      <c r="F46" s="3"/>
      <c r="G46" s="2"/>
      <c r="H46" s="4" t="str">
        <f>IF($E$7="Y","OR","...")</f>
        <v>...</v>
      </c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</row>
    <row r="47" spans="1:59">
      <c r="A47" s="1" t="str">
        <f>IF($F$7="Y",'Population Definitions'!$A$4,"...")</f>
        <v>0-9_males</v>
      </c>
      <c r="B47" s="4" t="str">
        <f>IF($F$7="Y","---&gt;","...")</f>
        <v>---&gt;</v>
      </c>
      <c r="C47" s="1" t="str">
        <f>IF($F$7="Y",'Population Definitions'!$A$6,"...")</f>
        <v>10-17_males</v>
      </c>
      <c r="E47" s="3" t="s">
        <v>401</v>
      </c>
      <c r="F47" s="3"/>
      <c r="G47" s="3"/>
      <c r="H47" s="4" t="str">
        <f>IF($F$7="Y","OR","...")</f>
        <v>OR</v>
      </c>
      <c r="I47" s="3">
        <v>167952</v>
      </c>
      <c r="J47" s="3">
        <v>171988.5</v>
      </c>
      <c r="K47" s="3">
        <v>175637.5</v>
      </c>
      <c r="L47" s="3">
        <v>178969</v>
      </c>
      <c r="M47" s="3">
        <v>183010</v>
      </c>
      <c r="N47" s="3">
        <v>188248.5</v>
      </c>
      <c r="O47" s="3">
        <v>194233.5</v>
      </c>
      <c r="P47" s="3">
        <v>200140</v>
      </c>
      <c r="Q47" s="3">
        <v>205766.5</v>
      </c>
      <c r="R47" s="3">
        <v>211584.5</v>
      </c>
      <c r="S47" s="3">
        <v>218582.5</v>
      </c>
      <c r="T47" s="3">
        <v>225921</v>
      </c>
      <c r="U47" s="3">
        <v>232521.5</v>
      </c>
      <c r="V47" s="3">
        <v>240364.5</v>
      </c>
      <c r="W47" s="3">
        <v>248807.5</v>
      </c>
      <c r="X47" s="3">
        <v>257407.5</v>
      </c>
      <c r="Y47" s="3">
        <v>268197</v>
      </c>
      <c r="Z47" s="3">
        <v>278864.5</v>
      </c>
      <c r="AA47" s="3">
        <v>287874.5</v>
      </c>
      <c r="AB47" s="3">
        <v>296148.5</v>
      </c>
      <c r="AC47" s="3">
        <v>304299.5</v>
      </c>
      <c r="AD47" s="3">
        <v>312518.5</v>
      </c>
      <c r="AE47" s="3">
        <v>320354</v>
      </c>
      <c r="AF47" s="3">
        <v>327694.5</v>
      </c>
      <c r="AG47" s="3">
        <v>333489.5</v>
      </c>
      <c r="AH47" s="3">
        <v>338023</v>
      </c>
      <c r="AI47" s="3">
        <v>340964</v>
      </c>
      <c r="AJ47" s="3">
        <v>341715</v>
      </c>
      <c r="AK47" s="3">
        <v>338793</v>
      </c>
      <c r="AL47" s="3">
        <v>332457</v>
      </c>
      <c r="AM47" s="3">
        <v>325578</v>
      </c>
      <c r="AN47" s="3">
        <v>324294</v>
      </c>
      <c r="AO47" s="3">
        <v>328685</v>
      </c>
      <c r="AP47" s="3">
        <v>332125</v>
      </c>
      <c r="AQ47" s="3">
        <v>335057</v>
      </c>
      <c r="AR47" s="3">
        <v>337823</v>
      </c>
      <c r="AS47" s="3">
        <v>340513</v>
      </c>
      <c r="AT47" s="3">
        <v>343426</v>
      </c>
      <c r="AU47" s="3">
        <v>346417</v>
      </c>
      <c r="AV47" s="3">
        <v>349432</v>
      </c>
      <c r="AW47" s="3">
        <v>352770</v>
      </c>
      <c r="AX47" s="3">
        <v>356706</v>
      </c>
      <c r="AY47" s="3">
        <v>360496</v>
      </c>
      <c r="AZ47" s="3">
        <v>364830</v>
      </c>
      <c r="BA47" s="3">
        <v>368730</v>
      </c>
      <c r="BB47" s="3">
        <v>370878</v>
      </c>
      <c r="BC47" s="3">
        <v>372234</v>
      </c>
      <c r="BD47" s="3">
        <v>373413</v>
      </c>
      <c r="BE47" s="3">
        <v>374332</v>
      </c>
      <c r="BF47" s="3">
        <v>375529</v>
      </c>
      <c r="BG47" s="3">
        <v>376507</v>
      </c>
    </row>
    <row r="48" spans="1:59">
      <c r="A48" s="1" t="str">
        <f>IF($G$7="Y",'Population Definitions'!$A$4,"...")</f>
        <v>...</v>
      </c>
      <c r="B48" s="4" t="str">
        <f>IF($G$7="Y","---&gt;","...")</f>
        <v>...</v>
      </c>
      <c r="C48" s="1" t="str">
        <f>IF($G$7="Y",'Population Definitions'!$A$7,"...")</f>
        <v>...</v>
      </c>
      <c r="E48" s="2"/>
      <c r="F48" s="3"/>
      <c r="G48" s="2"/>
      <c r="H48" s="4" t="str">
        <f>IF($G$7="Y","OR","...")</f>
        <v>...</v>
      </c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</row>
    <row r="49" spans="1:59">
      <c r="A49" s="1" t="str">
        <f>IF($H$7="Y",'Population Definitions'!$A$4,"...")</f>
        <v>...</v>
      </c>
      <c r="B49" s="4" t="str">
        <f>IF($H$7="Y","---&gt;","...")</f>
        <v>...</v>
      </c>
      <c r="C49" s="1" t="str">
        <f>IF($H$7="Y",'Population Definitions'!$A$8,"...")</f>
        <v>...</v>
      </c>
      <c r="E49" s="2"/>
      <c r="F49" s="3"/>
      <c r="G49" s="2"/>
      <c r="H49" s="4" t="str">
        <f>IF($H$7="Y","OR","...")</f>
        <v>...</v>
      </c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</row>
    <row r="50" spans="1:59">
      <c r="A50" s="1" t="str">
        <f>IF($I$7="Y",'Population Definitions'!$A$4,"...")</f>
        <v>...</v>
      </c>
      <c r="B50" s="4" t="str">
        <f>IF($I$7="Y","---&gt;","...")</f>
        <v>...</v>
      </c>
      <c r="C50" s="1" t="str">
        <f>IF($I$7="Y",'Population Definitions'!$A$9,"...")</f>
        <v>...</v>
      </c>
      <c r="E50" s="2"/>
      <c r="F50" s="3"/>
      <c r="G50" s="2"/>
      <c r="H50" s="4" t="str">
        <f>IF($I$7="Y","OR","...")</f>
        <v>...</v>
      </c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</row>
    <row r="51" spans="1:59">
      <c r="A51" s="1" t="str">
        <f>IF($J$7="Y",'Population Definitions'!$A$4,"...")</f>
        <v>...</v>
      </c>
      <c r="B51" s="4" t="str">
        <f>IF($J$7="Y","---&gt;","...")</f>
        <v>...</v>
      </c>
      <c r="C51" s="1" t="str">
        <f>IF($J$7="Y",'Population Definitions'!$A$10,"...")</f>
        <v>...</v>
      </c>
      <c r="E51" s="2"/>
      <c r="F51" s="3"/>
      <c r="G51" s="2"/>
      <c r="H51" s="4" t="str">
        <f>IF($J$7="Y","OR","...")</f>
        <v>...</v>
      </c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</row>
    <row r="52" spans="1:59">
      <c r="A52" s="1" t="str">
        <f>IF($K$7="Y",'Population Definitions'!$A$4,"...")</f>
        <v>...</v>
      </c>
      <c r="B52" s="4" t="str">
        <f>IF($K$7="Y","---&gt;","...")</f>
        <v>...</v>
      </c>
      <c r="C52" s="1" t="str">
        <f>IF($K$7="Y",'Population Definitions'!$A$11,"...")</f>
        <v>...</v>
      </c>
      <c r="E52" s="2"/>
      <c r="F52" s="3"/>
      <c r="G52" s="2"/>
      <c r="H52" s="4" t="str">
        <f>IF($K$7="Y","OR","...")</f>
        <v>...</v>
      </c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</row>
    <row r="53" spans="1:59">
      <c r="A53" s="1" t="str">
        <f>IF($L$7="Y",'Population Definitions'!$A$4,"...")</f>
        <v>...</v>
      </c>
      <c r="B53" s="4" t="str">
        <f>IF($L$7="Y","---&gt;","...")</f>
        <v>...</v>
      </c>
      <c r="C53" s="1" t="str">
        <f>IF($L$7="Y",'Population Definitions'!$A$12,"...")</f>
        <v>...</v>
      </c>
      <c r="E53" s="2"/>
      <c r="F53" s="3"/>
      <c r="G53" s="2"/>
      <c r="H53" s="4" t="str">
        <f>IF($L$7="Y","OR","...")</f>
        <v>...</v>
      </c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</row>
    <row r="54" spans="1:59">
      <c r="A54" s="1" t="str">
        <f>IF($M$7="Y",'Population Definitions'!$A$4,"...")</f>
        <v>...</v>
      </c>
      <c r="B54" s="4" t="str">
        <f>IF($M$7="Y","---&gt;","...")</f>
        <v>...</v>
      </c>
      <c r="C54" s="1" t="str">
        <f>IF($M$7="Y",'Population Definitions'!$A$13,"...")</f>
        <v>...</v>
      </c>
      <c r="E54" s="2"/>
      <c r="F54" s="3"/>
      <c r="G54" s="2"/>
      <c r="H54" s="4" t="str">
        <f>IF($M$7="Y","OR","...")</f>
        <v>...</v>
      </c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</row>
    <row r="55" spans="1:59">
      <c r="A55" s="1" t="str">
        <f>IF($B$8="Y",'Population Definitions'!$A$5,"...")</f>
        <v>...</v>
      </c>
      <c r="B55" s="4" t="str">
        <f>IF($B$8="Y","---&gt;","...")</f>
        <v>...</v>
      </c>
      <c r="C55" s="1" t="str">
        <f>IF($B$8="Y",'Population Definitions'!$A$2,"...")</f>
        <v>...</v>
      </c>
      <c r="E55" s="2"/>
      <c r="F55" s="3"/>
      <c r="G55" s="2"/>
      <c r="H55" s="4" t="str">
        <f>IF($B$8="Y","OR","...")</f>
        <v>...</v>
      </c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</row>
    <row r="56" spans="1:59">
      <c r="A56" s="1" t="str">
        <f>IF($C$8="Y",'Population Definitions'!$A$5,"...")</f>
        <v>...</v>
      </c>
      <c r="B56" s="4" t="str">
        <f>IF($C$8="Y","---&gt;","...")</f>
        <v>...</v>
      </c>
      <c r="C56" s="1" t="str">
        <f>IF($C$8="Y",'Population Definitions'!$A$3,"...")</f>
        <v>...</v>
      </c>
      <c r="E56" s="2"/>
      <c r="F56" s="3"/>
      <c r="G56" s="2"/>
      <c r="H56" s="4" t="str">
        <f>IF($C$8="Y","OR","...")</f>
        <v>...</v>
      </c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</row>
    <row r="57" spans="1:59">
      <c r="A57" s="1" t="str">
        <f>IF($D$8="Y",'Population Definitions'!$A$5,"...")</f>
        <v>...</v>
      </c>
      <c r="B57" s="4" t="str">
        <f>IF($D$8="Y","---&gt;","...")</f>
        <v>...</v>
      </c>
      <c r="C57" s="1" t="str">
        <f>IF($D$8="Y",'Population Definitions'!$A$4,"...")</f>
        <v>...</v>
      </c>
      <c r="E57" s="2"/>
      <c r="F57" s="3"/>
      <c r="G57" s="2"/>
      <c r="H57" s="4" t="str">
        <f>IF($D$8="Y","OR","...")</f>
        <v>...</v>
      </c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</row>
    <row r="58" spans="1:59">
      <c r="A58" s="1" t="str">
        <f>IF($E$8="Y",'Population Definitions'!$A$5,"...")</f>
        <v>...</v>
      </c>
      <c r="B58" s="4" t="str">
        <f>IF($E$8="Y","---&gt;","...")</f>
        <v>...</v>
      </c>
      <c r="C58" s="1" t="str">
        <f>IF($E$8="Y",'Population Definitions'!$A$5,"...")</f>
        <v>...</v>
      </c>
      <c r="E58" s="2"/>
      <c r="F58" s="3"/>
      <c r="G58" s="2"/>
      <c r="H58" s="4" t="str">
        <f>IF($E$8="Y","OR","...")</f>
        <v>...</v>
      </c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</row>
    <row r="59" spans="1:59">
      <c r="A59" s="1" t="str">
        <f>IF($F$8="Y",'Population Definitions'!$A$5,"...")</f>
        <v>...</v>
      </c>
      <c r="B59" s="4" t="str">
        <f>IF($F$8="Y","---&gt;","...")</f>
        <v>...</v>
      </c>
      <c r="C59" s="1" t="str">
        <f>IF($F$8="Y",'Population Definitions'!$A$6,"...")</f>
        <v>...</v>
      </c>
      <c r="E59" s="2"/>
      <c r="F59" s="3"/>
      <c r="G59" s="2"/>
      <c r="H59" s="4" t="str">
        <f>IF($F$8="Y","OR","...")</f>
        <v>...</v>
      </c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</row>
    <row r="60" spans="1:59">
      <c r="A60" s="1" t="str">
        <f>IF($G$8="Y",'Population Definitions'!$A$5,"...")</f>
        <v>0-9_females</v>
      </c>
      <c r="B60" s="4" t="str">
        <f>IF($G$8="Y","---&gt;","...")</f>
        <v>---&gt;</v>
      </c>
      <c r="C60" s="1" t="str">
        <f>IF($G$8="Y",'Population Definitions'!$A$7,"...")</f>
        <v>10-17_females</v>
      </c>
      <c r="E60" s="3" t="s">
        <v>401</v>
      </c>
      <c r="F60" s="3"/>
      <c r="G60" s="3"/>
      <c r="H60" s="4" t="str">
        <f>IF($G$8="Y","OR","...")</f>
        <v>OR</v>
      </c>
      <c r="I60" s="3">
        <v>163530</v>
      </c>
      <c r="J60" s="3">
        <v>167577</v>
      </c>
      <c r="K60" s="3">
        <v>171335.5</v>
      </c>
      <c r="L60" s="3">
        <v>174747</v>
      </c>
      <c r="M60" s="3">
        <v>178831.5</v>
      </c>
      <c r="N60" s="3">
        <v>184019</v>
      </c>
      <c r="O60" s="3">
        <v>189762.5</v>
      </c>
      <c r="P60" s="3">
        <v>195404.5</v>
      </c>
      <c r="Q60" s="3">
        <v>200756</v>
      </c>
      <c r="R60" s="3">
        <v>206124.5</v>
      </c>
      <c r="S60" s="3">
        <v>212590</v>
      </c>
      <c r="T60" s="3">
        <v>219526</v>
      </c>
      <c r="U60" s="3">
        <v>225909</v>
      </c>
      <c r="V60" s="3">
        <v>233596.5</v>
      </c>
      <c r="W60" s="3">
        <v>241743</v>
      </c>
      <c r="X60" s="3">
        <v>249975.5</v>
      </c>
      <c r="Y60" s="3">
        <v>260491</v>
      </c>
      <c r="Z60" s="3">
        <v>270851</v>
      </c>
      <c r="AA60" s="3">
        <v>279439</v>
      </c>
      <c r="AB60" s="3">
        <v>287351.5</v>
      </c>
      <c r="AC60" s="3">
        <v>295271.5</v>
      </c>
      <c r="AD60" s="3">
        <v>303202.5</v>
      </c>
      <c r="AE60" s="3">
        <v>310696.5</v>
      </c>
      <c r="AF60" s="3">
        <v>317729.5</v>
      </c>
      <c r="AG60" s="3">
        <v>323281</v>
      </c>
      <c r="AH60" s="3">
        <v>327703</v>
      </c>
      <c r="AI60" s="3">
        <v>330624</v>
      </c>
      <c r="AJ60" s="3">
        <v>331433</v>
      </c>
      <c r="AK60" s="3">
        <v>328728</v>
      </c>
      <c r="AL60" s="3">
        <v>322756</v>
      </c>
      <c r="AM60" s="3">
        <v>316274</v>
      </c>
      <c r="AN60" s="3">
        <v>315437</v>
      </c>
      <c r="AO60" s="3">
        <v>319830</v>
      </c>
      <c r="AP60" s="3">
        <v>323554</v>
      </c>
      <c r="AQ60" s="3">
        <v>327533</v>
      </c>
      <c r="AR60" s="3">
        <v>330799</v>
      </c>
      <c r="AS60" s="3">
        <v>333490</v>
      </c>
      <c r="AT60" s="3">
        <v>336412</v>
      </c>
      <c r="AU60" s="3">
        <v>339360</v>
      </c>
      <c r="AV60" s="3">
        <v>342325</v>
      </c>
      <c r="AW60" s="3">
        <v>345646</v>
      </c>
      <c r="AX60" s="3">
        <v>349535</v>
      </c>
      <c r="AY60" s="3">
        <v>353268</v>
      </c>
      <c r="AZ60" s="3">
        <v>357578</v>
      </c>
      <c r="BA60" s="3">
        <v>361477</v>
      </c>
      <c r="BB60" s="3">
        <v>363612</v>
      </c>
      <c r="BC60" s="3">
        <v>364982</v>
      </c>
      <c r="BD60" s="3">
        <v>366236</v>
      </c>
      <c r="BE60" s="3">
        <v>367226</v>
      </c>
      <c r="BF60" s="3">
        <v>368429</v>
      </c>
      <c r="BG60" s="3">
        <v>369416</v>
      </c>
    </row>
    <row r="61" spans="1:59">
      <c r="A61" s="1" t="str">
        <f>IF($H$8="Y",'Population Definitions'!$A$5,"...")</f>
        <v>...</v>
      </c>
      <c r="B61" s="4" t="str">
        <f>IF($H$8="Y","---&gt;","...")</f>
        <v>...</v>
      </c>
      <c r="C61" s="1" t="str">
        <f>IF($H$8="Y",'Population Definitions'!$A$8,"...")</f>
        <v>...</v>
      </c>
      <c r="E61" s="2"/>
      <c r="F61" s="3"/>
      <c r="G61" s="2"/>
      <c r="H61" s="4" t="str">
        <f>IF($H$8="Y","OR","...")</f>
        <v>...</v>
      </c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</row>
    <row r="62" spans="1:59">
      <c r="A62" s="1" t="str">
        <f>IF($I$8="Y",'Population Definitions'!$A$5,"...")</f>
        <v>...</v>
      </c>
      <c r="B62" s="4" t="str">
        <f>IF($I$8="Y","---&gt;","...")</f>
        <v>...</v>
      </c>
      <c r="C62" s="1" t="str">
        <f>IF($I$8="Y",'Population Definitions'!$A$9,"...")</f>
        <v>...</v>
      </c>
      <c r="E62" s="2"/>
      <c r="F62" s="3"/>
      <c r="G62" s="2"/>
      <c r="H62" s="4" t="str">
        <f>IF($I$8="Y","OR","...")</f>
        <v>...</v>
      </c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</row>
    <row r="63" spans="1:59">
      <c r="A63" s="1" t="str">
        <f>IF($J$8="Y",'Population Definitions'!$A$5,"...")</f>
        <v>...</v>
      </c>
      <c r="B63" s="4" t="str">
        <f>IF($J$8="Y","---&gt;","...")</f>
        <v>...</v>
      </c>
      <c r="C63" s="1" t="str">
        <f>IF($J$8="Y",'Population Definitions'!$A$10,"...")</f>
        <v>...</v>
      </c>
      <c r="E63" s="2"/>
      <c r="F63" s="3"/>
      <c r="G63" s="2"/>
      <c r="H63" s="4" t="str">
        <f>IF($J$8="Y","OR","...")</f>
        <v>...</v>
      </c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</row>
    <row r="64" spans="1:59">
      <c r="A64" s="1" t="str">
        <f>IF($K$8="Y",'Population Definitions'!$A$5,"...")</f>
        <v>...</v>
      </c>
      <c r="B64" s="4" t="str">
        <f>IF($K$8="Y","---&gt;","...")</f>
        <v>...</v>
      </c>
      <c r="C64" s="1" t="str">
        <f>IF($K$8="Y",'Population Definitions'!$A$11,"...")</f>
        <v>...</v>
      </c>
      <c r="E64" s="2"/>
      <c r="F64" s="3"/>
      <c r="G64" s="2"/>
      <c r="H64" s="4" t="str">
        <f>IF($K$8="Y","OR","...")</f>
        <v>...</v>
      </c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</row>
    <row r="65" spans="1:59">
      <c r="A65" s="1" t="str">
        <f>IF($L$8="Y",'Population Definitions'!$A$5,"...")</f>
        <v>...</v>
      </c>
      <c r="B65" s="4" t="str">
        <f>IF($L$8="Y","---&gt;","...")</f>
        <v>...</v>
      </c>
      <c r="C65" s="1" t="str">
        <f>IF($L$8="Y",'Population Definitions'!$A$12,"...")</f>
        <v>...</v>
      </c>
      <c r="E65" s="2"/>
      <c r="F65" s="3"/>
      <c r="G65" s="2"/>
      <c r="H65" s="4" t="str">
        <f>IF($L$8="Y","OR","...")</f>
        <v>...</v>
      </c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</row>
    <row r="66" spans="1:59">
      <c r="A66" s="1" t="str">
        <f>IF($M$8="Y",'Population Definitions'!$A$5,"...")</f>
        <v>...</v>
      </c>
      <c r="B66" s="4" t="str">
        <f>IF($M$8="Y","---&gt;","...")</f>
        <v>...</v>
      </c>
      <c r="C66" s="1" t="str">
        <f>IF($M$8="Y",'Population Definitions'!$A$13,"...")</f>
        <v>...</v>
      </c>
      <c r="E66" s="2"/>
      <c r="F66" s="3"/>
      <c r="G66" s="2"/>
      <c r="H66" s="4" t="str">
        <f>IF($M$8="Y","OR","...")</f>
        <v>...</v>
      </c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</row>
    <row r="67" spans="1:59">
      <c r="A67" s="1" t="str">
        <f>IF($B$9="Y",'Population Definitions'!$A$6,"...")</f>
        <v>...</v>
      </c>
      <c r="B67" s="4" t="str">
        <f>IF($B$9="Y","---&gt;","...")</f>
        <v>...</v>
      </c>
      <c r="C67" s="1" t="str">
        <f>IF($B$9="Y",'Population Definitions'!$A$2,"...")</f>
        <v>...</v>
      </c>
      <c r="E67" s="2"/>
      <c r="F67" s="3"/>
      <c r="G67" s="2"/>
      <c r="H67" s="4" t="str">
        <f>IF($B$9="Y","OR","...")</f>
        <v>...</v>
      </c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</row>
    <row r="68" spans="1:59">
      <c r="A68" s="1" t="str">
        <f>IF($C$9="Y",'Population Definitions'!$A$6,"...")</f>
        <v>...</v>
      </c>
      <c r="B68" s="4" t="str">
        <f>IF($C$9="Y","---&gt;","...")</f>
        <v>...</v>
      </c>
      <c r="C68" s="1" t="str">
        <f>IF($C$9="Y",'Population Definitions'!$A$3,"...")</f>
        <v>...</v>
      </c>
      <c r="E68" s="2"/>
      <c r="F68" s="3"/>
      <c r="G68" s="2"/>
      <c r="H68" s="4" t="str">
        <f>IF($C$9="Y","OR","...")</f>
        <v>...</v>
      </c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</row>
    <row r="69" spans="1:59">
      <c r="A69" s="1" t="str">
        <f>IF($D$9="Y",'Population Definitions'!$A$6,"...")</f>
        <v>...</v>
      </c>
      <c r="B69" s="4" t="str">
        <f>IF($D$9="Y","---&gt;","...")</f>
        <v>...</v>
      </c>
      <c r="C69" s="1" t="str">
        <f>IF($D$9="Y",'Population Definitions'!$A$4,"...")</f>
        <v>...</v>
      </c>
      <c r="E69" s="2"/>
      <c r="F69" s="3"/>
      <c r="G69" s="2"/>
      <c r="H69" s="4" t="str">
        <f>IF($D$9="Y","OR","...")</f>
        <v>...</v>
      </c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</row>
    <row r="70" spans="1:59">
      <c r="A70" s="1" t="str">
        <f>IF($E$9="Y",'Population Definitions'!$A$6,"...")</f>
        <v>...</v>
      </c>
      <c r="B70" s="4" t="str">
        <f>IF($E$9="Y","---&gt;","...")</f>
        <v>...</v>
      </c>
      <c r="C70" s="1" t="str">
        <f>IF($E$9="Y",'Population Definitions'!$A$5,"...")</f>
        <v>...</v>
      </c>
      <c r="E70" s="2"/>
      <c r="F70" s="3"/>
      <c r="G70" s="2"/>
      <c r="H70" s="4" t="str">
        <f>IF($E$9="Y","OR","...")</f>
        <v>...</v>
      </c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</row>
    <row r="71" spans="1:59">
      <c r="A71" s="1" t="str">
        <f>IF($F$9="Y",'Population Definitions'!$A$6,"...")</f>
        <v>...</v>
      </c>
      <c r="B71" s="4" t="str">
        <f>IF($F$9="Y","---&gt;","...")</f>
        <v>...</v>
      </c>
      <c r="C71" s="1" t="str">
        <f>IF($F$9="Y",'Population Definitions'!$A$6,"...")</f>
        <v>...</v>
      </c>
      <c r="E71" s="2"/>
      <c r="F71" s="3"/>
      <c r="G71" s="2"/>
      <c r="H71" s="4" t="str">
        <f>IF($F$9="Y","OR","...")</f>
        <v>...</v>
      </c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</row>
    <row r="72" spans="1:59">
      <c r="A72" s="1" t="str">
        <f>IF($G$9="Y",'Population Definitions'!$A$6,"...")</f>
        <v>...</v>
      </c>
      <c r="B72" s="4" t="str">
        <f>IF($G$9="Y","---&gt;","...")</f>
        <v>...</v>
      </c>
      <c r="C72" s="1" t="str">
        <f>IF($G$9="Y",'Population Definitions'!$A$7,"...")</f>
        <v>...</v>
      </c>
      <c r="E72" s="2"/>
      <c r="F72" s="3"/>
      <c r="G72" s="2"/>
      <c r="H72" s="4" t="str">
        <f>IF($G$9="Y","OR","...")</f>
        <v>...</v>
      </c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</row>
    <row r="73" spans="1:59">
      <c r="A73" s="1" t="str">
        <f>IF($H$9="Y",'Population Definitions'!$A$6,"...")</f>
        <v>10-17_males</v>
      </c>
      <c r="B73" s="4" t="str">
        <f>IF($H$9="Y","---&gt;","...")</f>
        <v>---&gt;</v>
      </c>
      <c r="C73" s="1" t="str">
        <f>IF($H$9="Y",'Population Definitions'!$A$8,"...")</f>
        <v>18-64_males</v>
      </c>
      <c r="E73" s="3" t="s">
        <v>401</v>
      </c>
      <c r="F73" s="3"/>
      <c r="G73" s="3"/>
      <c r="H73" s="4" t="str">
        <f>IF($H$9="Y","OR","...")</f>
        <v>OR</v>
      </c>
      <c r="I73" s="3">
        <v>131709</v>
      </c>
      <c r="J73" s="3">
        <v>136049.5</v>
      </c>
      <c r="K73" s="3">
        <v>140870</v>
      </c>
      <c r="L73" s="3">
        <v>146023</v>
      </c>
      <c r="M73" s="3">
        <v>150600.5</v>
      </c>
      <c r="N73" s="3">
        <v>154399.5</v>
      </c>
      <c r="O73" s="3">
        <v>157693.5</v>
      </c>
      <c r="P73" s="3">
        <v>160846.5</v>
      </c>
      <c r="Q73" s="3">
        <v>164249</v>
      </c>
      <c r="R73" s="3">
        <v>167737</v>
      </c>
      <c r="S73" s="3">
        <v>170918</v>
      </c>
      <c r="T73" s="3">
        <v>173929.5</v>
      </c>
      <c r="U73" s="3">
        <v>177808</v>
      </c>
      <c r="V73" s="3">
        <v>183076.5</v>
      </c>
      <c r="W73" s="3">
        <v>189078.5</v>
      </c>
      <c r="X73" s="3">
        <v>195021</v>
      </c>
      <c r="Y73" s="3">
        <v>200780.5</v>
      </c>
      <c r="Z73" s="3">
        <v>206770</v>
      </c>
      <c r="AA73" s="3">
        <v>213900.5</v>
      </c>
      <c r="AB73" s="3">
        <v>221203</v>
      </c>
      <c r="AC73" s="3">
        <v>227682.5</v>
      </c>
      <c r="AD73" s="3">
        <v>235510</v>
      </c>
      <c r="AE73" s="3">
        <v>244013.5</v>
      </c>
      <c r="AF73" s="3">
        <v>252508.5</v>
      </c>
      <c r="AG73" s="3">
        <v>263049</v>
      </c>
      <c r="AH73" s="3">
        <v>273547</v>
      </c>
      <c r="AI73" s="3">
        <v>282521</v>
      </c>
      <c r="AJ73" s="3">
        <v>290786</v>
      </c>
      <c r="AK73" s="3">
        <v>298896</v>
      </c>
      <c r="AL73" s="3">
        <v>307002</v>
      </c>
      <c r="AM73" s="3">
        <v>314664</v>
      </c>
      <c r="AN73" s="3">
        <v>321813</v>
      </c>
      <c r="AO73" s="3">
        <v>327427</v>
      </c>
      <c r="AP73" s="3">
        <v>331855</v>
      </c>
      <c r="AQ73" s="3">
        <v>334780</v>
      </c>
      <c r="AR73" s="3">
        <v>335555</v>
      </c>
      <c r="AS73" s="3">
        <v>332706</v>
      </c>
      <c r="AT73" s="3">
        <v>326489</v>
      </c>
      <c r="AU73" s="3">
        <v>319736</v>
      </c>
      <c r="AV73" s="3">
        <v>318502</v>
      </c>
      <c r="AW73" s="3">
        <v>322864</v>
      </c>
      <c r="AX73" s="3">
        <v>326283</v>
      </c>
      <c r="AY73" s="3">
        <v>329204</v>
      </c>
      <c r="AZ73" s="3">
        <v>331960</v>
      </c>
      <c r="BA73" s="3">
        <v>334635</v>
      </c>
      <c r="BB73" s="3">
        <v>337535</v>
      </c>
      <c r="BC73" s="3">
        <v>340519</v>
      </c>
      <c r="BD73" s="3">
        <v>343517</v>
      </c>
      <c r="BE73" s="3">
        <v>346836</v>
      </c>
      <c r="BF73" s="3">
        <v>350742</v>
      </c>
      <c r="BG73" s="3">
        <v>354503</v>
      </c>
    </row>
    <row r="74" spans="1:59">
      <c r="A74" s="1" t="str">
        <f>IF($I$9="Y",'Population Definitions'!$A$6,"...")</f>
        <v>...</v>
      </c>
      <c r="B74" s="4" t="str">
        <f>IF($I$9="Y","---&gt;","...")</f>
        <v>...</v>
      </c>
      <c r="C74" s="1" t="str">
        <f>IF($I$9="Y",'Population Definitions'!$A$9,"...")</f>
        <v>...</v>
      </c>
      <c r="E74" s="2"/>
      <c r="F74" s="3"/>
      <c r="G74" s="2"/>
      <c r="H74" s="4" t="str">
        <f>IF($I$9="Y","OR","...")</f>
        <v>...</v>
      </c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</row>
    <row r="75" spans="1:59">
      <c r="A75" s="1" t="str">
        <f>IF($J$9="Y",'Population Definitions'!$A$6,"...")</f>
        <v>...</v>
      </c>
      <c r="B75" s="4" t="str">
        <f>IF($J$9="Y","---&gt;","...")</f>
        <v>...</v>
      </c>
      <c r="C75" s="1" t="str">
        <f>IF($J$9="Y",'Population Definitions'!$A$10,"...")</f>
        <v>...</v>
      </c>
      <c r="E75" s="2"/>
      <c r="F75" s="3"/>
      <c r="G75" s="2"/>
      <c r="H75" s="4" t="str">
        <f>IF($J$9="Y","OR","...")</f>
        <v>...</v>
      </c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</row>
    <row r="76" spans="1:59">
      <c r="A76" s="1" t="str">
        <f>IF($K$9="Y",'Population Definitions'!$A$6,"...")</f>
        <v>...</v>
      </c>
      <c r="B76" s="4" t="str">
        <f>IF($K$9="Y","---&gt;","...")</f>
        <v>...</v>
      </c>
      <c r="C76" s="1" t="str">
        <f>IF($K$9="Y",'Population Definitions'!$A$11,"...")</f>
        <v>...</v>
      </c>
      <c r="E76" s="2"/>
      <c r="F76" s="3"/>
      <c r="G76" s="2"/>
      <c r="H76" s="4" t="str">
        <f>IF($K$9="Y","OR","...")</f>
        <v>...</v>
      </c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</row>
    <row r="77" spans="1:59">
      <c r="A77" s="1" t="str">
        <f>IF($L$9="Y",'Population Definitions'!$A$6,"...")</f>
        <v>...</v>
      </c>
      <c r="B77" s="4" t="str">
        <f>IF($L$9="Y","---&gt;","...")</f>
        <v>...</v>
      </c>
      <c r="C77" s="1" t="str">
        <f>IF($L$9="Y",'Population Definitions'!$A$12,"...")</f>
        <v>...</v>
      </c>
      <c r="E77" s="2"/>
      <c r="F77" s="3"/>
      <c r="G77" s="2"/>
      <c r="H77" s="4" t="str">
        <f>IF($L$9="Y","OR","...")</f>
        <v>...</v>
      </c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</row>
    <row r="78" spans="1:59">
      <c r="A78" s="1" t="str">
        <f>IF($M$9="Y",'Population Definitions'!$A$6,"...")</f>
        <v>...</v>
      </c>
      <c r="B78" s="4" t="str">
        <f>IF($M$9="Y","---&gt;","...")</f>
        <v>...</v>
      </c>
      <c r="C78" s="1" t="str">
        <f>IF($M$9="Y",'Population Definitions'!$A$13,"...")</f>
        <v>...</v>
      </c>
      <c r="E78" s="2"/>
      <c r="F78" s="3"/>
      <c r="G78" s="2"/>
      <c r="H78" s="4" t="str">
        <f>IF($M$9="Y","OR","...")</f>
        <v>...</v>
      </c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</row>
    <row r="79" spans="1:59">
      <c r="A79" s="1" t="str">
        <f>IF($B$10="Y",'Population Definitions'!$A$7,"...")</f>
        <v>...</v>
      </c>
      <c r="B79" s="4" t="str">
        <f>IF($B$10="Y","---&gt;","...")</f>
        <v>...</v>
      </c>
      <c r="C79" s="1" t="str">
        <f>IF($B$10="Y",'Population Definitions'!$A$2,"...")</f>
        <v>...</v>
      </c>
      <c r="E79" s="2"/>
      <c r="F79" s="3"/>
      <c r="G79" s="2"/>
      <c r="H79" s="4" t="str">
        <f>IF($B$10="Y","OR","...")</f>
        <v>...</v>
      </c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</row>
    <row r="80" spans="1:59">
      <c r="A80" s="1" t="str">
        <f>IF($C$10="Y",'Population Definitions'!$A$7,"...")</f>
        <v>...</v>
      </c>
      <c r="B80" s="4" t="str">
        <f>IF($C$10="Y","---&gt;","...")</f>
        <v>...</v>
      </c>
      <c r="C80" s="1" t="str">
        <f>IF($C$10="Y",'Population Definitions'!$A$3,"...")</f>
        <v>...</v>
      </c>
      <c r="E80" s="2"/>
      <c r="F80" s="3"/>
      <c r="G80" s="2"/>
      <c r="H80" s="4" t="str">
        <f>IF($C$10="Y","OR","...")</f>
        <v>...</v>
      </c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</row>
    <row r="81" spans="1:59">
      <c r="A81" s="1" t="str">
        <f>IF($D$10="Y",'Population Definitions'!$A$7,"...")</f>
        <v>...</v>
      </c>
      <c r="B81" s="4" t="str">
        <f>IF($D$10="Y","---&gt;","...")</f>
        <v>...</v>
      </c>
      <c r="C81" s="1" t="str">
        <f>IF($D$10="Y",'Population Definitions'!$A$4,"...")</f>
        <v>...</v>
      </c>
      <c r="E81" s="2"/>
      <c r="F81" s="3"/>
      <c r="G81" s="2"/>
      <c r="H81" s="4" t="str">
        <f>IF($D$10="Y","OR","...")</f>
        <v>...</v>
      </c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</row>
    <row r="82" spans="1:59">
      <c r="A82" s="1" t="str">
        <f>IF($E$10="Y",'Population Definitions'!$A$7,"...")</f>
        <v>...</v>
      </c>
      <c r="B82" s="4" t="str">
        <f>IF($E$10="Y","---&gt;","...")</f>
        <v>...</v>
      </c>
      <c r="C82" s="1" t="str">
        <f>IF($E$10="Y",'Population Definitions'!$A$5,"...")</f>
        <v>...</v>
      </c>
      <c r="E82" s="2"/>
      <c r="F82" s="3"/>
      <c r="G82" s="2"/>
      <c r="H82" s="4" t="str">
        <f>IF($E$10="Y","OR","...")</f>
        <v>...</v>
      </c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</row>
    <row r="83" spans="1:59">
      <c r="A83" s="1" t="str">
        <f>IF($F$10="Y",'Population Definitions'!$A$7,"...")</f>
        <v>...</v>
      </c>
      <c r="B83" s="4" t="str">
        <f>IF($F$10="Y","---&gt;","...")</f>
        <v>...</v>
      </c>
      <c r="C83" s="1" t="str">
        <f>IF($F$10="Y",'Population Definitions'!$A$6,"...")</f>
        <v>...</v>
      </c>
      <c r="E83" s="2"/>
      <c r="F83" s="3"/>
      <c r="G83" s="2"/>
      <c r="H83" s="4" t="str">
        <f>IF($F$10="Y","OR","...")</f>
        <v>...</v>
      </c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</row>
    <row r="84" spans="1:59">
      <c r="A84" s="1" t="str">
        <f>IF($G$10="Y",'Population Definitions'!$A$7,"...")</f>
        <v>...</v>
      </c>
      <c r="B84" s="4" t="str">
        <f>IF($G$10="Y","---&gt;","...")</f>
        <v>...</v>
      </c>
      <c r="C84" s="1" t="str">
        <f>IF($G$10="Y",'Population Definitions'!$A$7,"...")</f>
        <v>...</v>
      </c>
      <c r="E84" s="2"/>
      <c r="F84" s="3"/>
      <c r="G84" s="2"/>
      <c r="H84" s="4" t="str">
        <f>IF($G$10="Y","OR","...")</f>
        <v>...</v>
      </c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</row>
    <row r="85" spans="1:59">
      <c r="A85" s="1" t="str">
        <f>IF($H$10="Y",'Population Definitions'!$A$7,"...")</f>
        <v>...</v>
      </c>
      <c r="B85" s="4" t="str">
        <f>IF($H$10="Y","---&gt;","...")</f>
        <v>...</v>
      </c>
      <c r="C85" s="1" t="str">
        <f>IF($H$10="Y",'Population Definitions'!$A$8,"...")</f>
        <v>...</v>
      </c>
      <c r="E85" s="2"/>
      <c r="F85" s="3"/>
      <c r="G85" s="2"/>
      <c r="H85" s="4" t="str">
        <f>IF($H$10="Y","OR","...")</f>
        <v>...</v>
      </c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</row>
    <row r="86" spans="1:59">
      <c r="A86" s="1" t="str">
        <f>IF($I$10="Y",'Population Definitions'!$A$7,"...")</f>
        <v>10-17_females</v>
      </c>
      <c r="B86" s="4" t="str">
        <f>IF($I$10="Y","---&gt;","...")</f>
        <v>---&gt;</v>
      </c>
      <c r="C86" s="1" t="str">
        <f>IF($I$10="Y",'Population Definitions'!$A$9,"...")</f>
        <v>18-64_females</v>
      </c>
      <c r="E86" s="3" t="s">
        <v>401</v>
      </c>
      <c r="F86" s="3"/>
      <c r="G86" s="3"/>
      <c r="H86" s="4" t="str">
        <f>IF($I$10="Y","OR","...")</f>
        <v>OR</v>
      </c>
      <c r="I86" s="3">
        <v>128909</v>
      </c>
      <c r="J86" s="3">
        <v>132933</v>
      </c>
      <c r="K86" s="3">
        <v>137449</v>
      </c>
      <c r="L86" s="3">
        <v>142292</v>
      </c>
      <c r="M86" s="3">
        <v>146619</v>
      </c>
      <c r="N86" s="3">
        <v>150185.5</v>
      </c>
      <c r="O86" s="3">
        <v>153302.5</v>
      </c>
      <c r="P86" s="3">
        <v>156391</v>
      </c>
      <c r="Q86" s="3">
        <v>159844</v>
      </c>
      <c r="R86" s="3">
        <v>163588</v>
      </c>
      <c r="S86" s="3">
        <v>167088</v>
      </c>
      <c r="T86" s="3">
        <v>170325.5</v>
      </c>
      <c r="U86" s="3">
        <v>174323.5</v>
      </c>
      <c r="V86" s="3">
        <v>179525</v>
      </c>
      <c r="W86" s="3">
        <v>185272</v>
      </c>
      <c r="X86" s="3">
        <v>190933</v>
      </c>
      <c r="Y86" s="3">
        <v>196374.5</v>
      </c>
      <c r="Z86" s="3">
        <v>201867.5</v>
      </c>
      <c r="AA86" s="3">
        <v>208430.5</v>
      </c>
      <c r="AB86" s="3">
        <v>215368.5</v>
      </c>
      <c r="AC86" s="3">
        <v>221710.5</v>
      </c>
      <c r="AD86" s="3">
        <v>229403.5</v>
      </c>
      <c r="AE86" s="3">
        <v>237596.5</v>
      </c>
      <c r="AF86" s="3">
        <v>245786</v>
      </c>
      <c r="AG86" s="3">
        <v>256173</v>
      </c>
      <c r="AH86" s="3">
        <v>266397</v>
      </c>
      <c r="AI86" s="3">
        <v>274889</v>
      </c>
      <c r="AJ86" s="3">
        <v>282752</v>
      </c>
      <c r="AK86" s="3">
        <v>290622</v>
      </c>
      <c r="AL86" s="3">
        <v>298464</v>
      </c>
      <c r="AM86" s="3">
        <v>305836</v>
      </c>
      <c r="AN86" s="3">
        <v>312744</v>
      </c>
      <c r="AO86" s="3">
        <v>318192</v>
      </c>
      <c r="AP86" s="3">
        <v>322558</v>
      </c>
      <c r="AQ86" s="3">
        <v>325480</v>
      </c>
      <c r="AR86" s="3">
        <v>326322</v>
      </c>
      <c r="AS86" s="3">
        <v>323690</v>
      </c>
      <c r="AT86" s="3">
        <v>317823</v>
      </c>
      <c r="AU86" s="3">
        <v>311456</v>
      </c>
      <c r="AV86" s="3">
        <v>310669</v>
      </c>
      <c r="AW86" s="3">
        <v>315052</v>
      </c>
      <c r="AX86" s="3">
        <v>318770</v>
      </c>
      <c r="AY86" s="3">
        <v>322743</v>
      </c>
      <c r="AZ86" s="3">
        <v>326010</v>
      </c>
      <c r="BA86" s="3">
        <v>328702</v>
      </c>
      <c r="BB86" s="3">
        <v>331629</v>
      </c>
      <c r="BC86" s="3">
        <v>334587</v>
      </c>
      <c r="BD86" s="3">
        <v>337553</v>
      </c>
      <c r="BE86" s="3">
        <v>340873</v>
      </c>
      <c r="BF86" s="3">
        <v>344754</v>
      </c>
      <c r="BG86" s="3">
        <v>348479</v>
      </c>
    </row>
    <row r="87" spans="1:59">
      <c r="A87" s="1" t="str">
        <f>IF($J$10="Y",'Population Definitions'!$A$7,"...")</f>
        <v>...</v>
      </c>
      <c r="B87" s="4" t="str">
        <f>IF($J$10="Y","---&gt;","...")</f>
        <v>...</v>
      </c>
      <c r="C87" s="1" t="str">
        <f>IF($J$10="Y",'Population Definitions'!$A$10,"...")</f>
        <v>...</v>
      </c>
      <c r="E87" s="2"/>
      <c r="F87" s="3"/>
      <c r="G87" s="2"/>
      <c r="H87" s="4" t="str">
        <f>IF($J$10="Y","OR","...")</f>
        <v>...</v>
      </c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</row>
    <row r="88" spans="1:59">
      <c r="A88" s="1" t="str">
        <f>IF($K$10="Y",'Population Definitions'!$A$7,"...")</f>
        <v>...</v>
      </c>
      <c r="B88" s="4" t="str">
        <f>IF($K$10="Y","---&gt;","...")</f>
        <v>...</v>
      </c>
      <c r="C88" s="1" t="str">
        <f>IF($K$10="Y",'Population Definitions'!$A$11,"...")</f>
        <v>...</v>
      </c>
      <c r="E88" s="2"/>
      <c r="F88" s="3"/>
      <c r="G88" s="2"/>
      <c r="H88" s="4" t="str">
        <f>IF($K$10="Y","OR","...")</f>
        <v>...</v>
      </c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</row>
    <row r="89" spans="1:59">
      <c r="A89" s="1" t="str">
        <f>IF($L$10="Y",'Population Definitions'!$A$7,"...")</f>
        <v>...</v>
      </c>
      <c r="B89" s="4" t="str">
        <f>IF($L$10="Y","---&gt;","...")</f>
        <v>...</v>
      </c>
      <c r="C89" s="1" t="str">
        <f>IF($L$10="Y",'Population Definitions'!$A$12,"...")</f>
        <v>...</v>
      </c>
      <c r="E89" s="2"/>
      <c r="F89" s="3"/>
      <c r="G89" s="2"/>
      <c r="H89" s="4" t="str">
        <f>IF($L$10="Y","OR","...")</f>
        <v>...</v>
      </c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</row>
    <row r="90" spans="1:59">
      <c r="A90" s="1" t="str">
        <f>IF($M$10="Y",'Population Definitions'!$A$7,"...")</f>
        <v>...</v>
      </c>
      <c r="B90" s="4" t="str">
        <f>IF($M$10="Y","---&gt;","...")</f>
        <v>...</v>
      </c>
      <c r="C90" s="1" t="str">
        <f>IF($M$10="Y",'Population Definitions'!$A$13,"...")</f>
        <v>...</v>
      </c>
      <c r="E90" s="2"/>
      <c r="F90" s="3"/>
      <c r="G90" s="2"/>
      <c r="H90" s="4" t="str">
        <f>IF($M$10="Y","OR","...")</f>
        <v>...</v>
      </c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</row>
    <row r="91" spans="1:59">
      <c r="A91" s="1" t="str">
        <f>IF($B$11="Y",'Population Definitions'!$A$8,"...")</f>
        <v>...</v>
      </c>
      <c r="B91" s="4" t="str">
        <f>IF($B$11="Y","---&gt;","...")</f>
        <v>...</v>
      </c>
      <c r="C91" s="1" t="str">
        <f>IF($B$11="Y",'Population Definitions'!$A$2,"...")</f>
        <v>...</v>
      </c>
      <c r="E91" s="2"/>
      <c r="F91" s="3"/>
      <c r="G91" s="2"/>
      <c r="H91" s="4" t="str">
        <f>IF($B$11="Y","OR","...")</f>
        <v>...</v>
      </c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</row>
    <row r="92" spans="1:59">
      <c r="A92" s="1" t="str">
        <f>IF($C$11="Y",'Population Definitions'!$A$8,"...")</f>
        <v>...</v>
      </c>
      <c r="B92" s="4" t="str">
        <f>IF($C$11="Y","---&gt;","...")</f>
        <v>...</v>
      </c>
      <c r="C92" s="1" t="str">
        <f>IF($C$11="Y",'Population Definitions'!$A$3,"...")</f>
        <v>...</v>
      </c>
      <c r="E92" s="2"/>
      <c r="F92" s="3"/>
      <c r="G92" s="2"/>
      <c r="H92" s="4" t="str">
        <f>IF($C$11="Y","OR","...")</f>
        <v>...</v>
      </c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</row>
    <row r="93" spans="1:59">
      <c r="A93" s="1" t="str">
        <f>IF($D$11="Y",'Population Definitions'!$A$8,"...")</f>
        <v>...</v>
      </c>
      <c r="B93" s="4" t="str">
        <f>IF($D$11="Y","---&gt;","...")</f>
        <v>...</v>
      </c>
      <c r="C93" s="1" t="str">
        <f>IF($D$11="Y",'Population Definitions'!$A$4,"...")</f>
        <v>...</v>
      </c>
      <c r="E93" s="2"/>
      <c r="F93" s="3"/>
      <c r="G93" s="2"/>
      <c r="H93" s="4" t="str">
        <f>IF($D$11="Y","OR","...")</f>
        <v>...</v>
      </c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</row>
    <row r="94" spans="1:59">
      <c r="A94" s="1" t="str">
        <f>IF($E$11="Y",'Population Definitions'!$A$8,"...")</f>
        <v>...</v>
      </c>
      <c r="B94" s="4" t="str">
        <f>IF($E$11="Y","---&gt;","...")</f>
        <v>...</v>
      </c>
      <c r="C94" s="1" t="str">
        <f>IF($E$11="Y",'Population Definitions'!$A$5,"...")</f>
        <v>...</v>
      </c>
      <c r="E94" s="2"/>
      <c r="F94" s="3"/>
      <c r="G94" s="2"/>
      <c r="H94" s="4" t="str">
        <f>IF($E$11="Y","OR","...")</f>
        <v>...</v>
      </c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</row>
    <row r="95" spans="1:59">
      <c r="A95" s="1" t="str">
        <f>IF($F$11="Y",'Population Definitions'!$A$8,"...")</f>
        <v>...</v>
      </c>
      <c r="B95" s="4" t="str">
        <f>IF($F$11="Y","---&gt;","...")</f>
        <v>...</v>
      </c>
      <c r="C95" s="1" t="str">
        <f>IF($F$11="Y",'Population Definitions'!$A$6,"...")</f>
        <v>...</v>
      </c>
      <c r="E95" s="2"/>
      <c r="F95" s="3"/>
      <c r="G95" s="2"/>
      <c r="H95" s="4" t="str">
        <f>IF($F$11="Y","OR","...")</f>
        <v>...</v>
      </c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</row>
    <row r="96" spans="1:59">
      <c r="A96" s="1" t="str">
        <f>IF($G$11="Y",'Population Definitions'!$A$8,"...")</f>
        <v>...</v>
      </c>
      <c r="B96" s="4" t="str">
        <f>IF($G$11="Y","---&gt;","...")</f>
        <v>...</v>
      </c>
      <c r="C96" s="1" t="str">
        <f>IF($G$11="Y",'Population Definitions'!$A$7,"...")</f>
        <v>...</v>
      </c>
      <c r="E96" s="2"/>
      <c r="F96" s="3"/>
      <c r="G96" s="2"/>
      <c r="H96" s="4" t="str">
        <f>IF($G$11="Y","OR","...")</f>
        <v>...</v>
      </c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</row>
    <row r="97" spans="1:59">
      <c r="A97" s="1" t="str">
        <f>IF($H$11="Y",'Population Definitions'!$A$8,"...")</f>
        <v>...</v>
      </c>
      <c r="B97" s="4" t="str">
        <f>IF($H$11="Y","---&gt;","...")</f>
        <v>...</v>
      </c>
      <c r="C97" s="1" t="str">
        <f>IF($H$11="Y",'Population Definitions'!$A$8,"...")</f>
        <v>...</v>
      </c>
      <c r="E97" s="2"/>
      <c r="F97" s="3"/>
      <c r="G97" s="2"/>
      <c r="H97" s="4" t="str">
        <f>IF($H$11="Y","OR","...")</f>
        <v>...</v>
      </c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</row>
    <row r="98" spans="1:59">
      <c r="A98" s="1" t="str">
        <f>IF($I$11="Y",'Population Definitions'!$A$8,"...")</f>
        <v>...</v>
      </c>
      <c r="B98" s="4" t="str">
        <f>IF($I$11="Y","---&gt;","...")</f>
        <v>...</v>
      </c>
      <c r="C98" s="1" t="str">
        <f>IF($I$11="Y",'Population Definitions'!$A$9,"...")</f>
        <v>...</v>
      </c>
      <c r="E98" s="2"/>
      <c r="F98" s="3"/>
      <c r="G98" s="2"/>
      <c r="H98" s="4" t="str">
        <f>IF($I$11="Y","OR","...")</f>
        <v>...</v>
      </c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</row>
    <row r="99" spans="1:59">
      <c r="A99" s="1" t="str">
        <f>IF($J$11="Y",'Population Definitions'!$A$8,"...")</f>
        <v>18-64_males</v>
      </c>
      <c r="B99" s="4" t="str">
        <f>IF($J$11="Y","---&gt;","...")</f>
        <v>---&gt;</v>
      </c>
      <c r="C99" s="1" t="str">
        <f>IF($J$11="Y",'Population Definitions'!$A$10,"...")</f>
        <v>65+_males</v>
      </c>
      <c r="E99" s="3" t="s">
        <v>401</v>
      </c>
      <c r="F99" s="3"/>
      <c r="G99" s="3"/>
      <c r="H99" s="4" t="str">
        <f>IF($J$11="Y","OR","...")</f>
        <v>OR</v>
      </c>
      <c r="I99" s="3">
        <v>15018</v>
      </c>
      <c r="J99" s="3">
        <v>15389</v>
      </c>
      <c r="K99" s="3">
        <v>15882</v>
      </c>
      <c r="L99" s="3">
        <v>16384.5</v>
      </c>
      <c r="M99" s="3">
        <v>16818.5</v>
      </c>
      <c r="N99" s="3">
        <v>17250.5</v>
      </c>
      <c r="O99" s="3">
        <v>17789.5</v>
      </c>
      <c r="P99" s="3">
        <v>18433.5</v>
      </c>
      <c r="Q99" s="3">
        <v>19164</v>
      </c>
      <c r="R99" s="3">
        <v>19938</v>
      </c>
      <c r="S99" s="3">
        <v>20668.5</v>
      </c>
      <c r="T99" s="3">
        <v>21194.5</v>
      </c>
      <c r="U99" s="3">
        <v>21194.5</v>
      </c>
      <c r="V99" s="3">
        <v>19450</v>
      </c>
      <c r="W99" s="3">
        <v>18112</v>
      </c>
      <c r="X99" s="3">
        <v>18850.5</v>
      </c>
      <c r="Y99" s="3">
        <v>19897.5</v>
      </c>
      <c r="Z99" s="3">
        <v>20997.5</v>
      </c>
      <c r="AA99" s="3">
        <v>22136.5</v>
      </c>
      <c r="AB99" s="3">
        <v>23252</v>
      </c>
      <c r="AC99" s="3">
        <v>24383.5</v>
      </c>
      <c r="AD99" s="3">
        <v>25525.5</v>
      </c>
      <c r="AE99" s="3">
        <v>26625</v>
      </c>
      <c r="AF99" s="3">
        <v>27770</v>
      </c>
      <c r="AG99" s="3">
        <v>28989</v>
      </c>
      <c r="AH99" s="3">
        <v>30168</v>
      </c>
      <c r="AI99" s="3">
        <v>31319</v>
      </c>
      <c r="AJ99" s="3">
        <v>32481</v>
      </c>
      <c r="AK99" s="3">
        <v>33626</v>
      </c>
      <c r="AL99" s="3">
        <v>34868</v>
      </c>
      <c r="AM99" s="3">
        <v>36189</v>
      </c>
      <c r="AN99" s="3">
        <v>37532</v>
      </c>
      <c r="AO99" s="3">
        <v>38953</v>
      </c>
      <c r="AP99" s="3">
        <v>40496</v>
      </c>
      <c r="AQ99" s="3">
        <v>42038</v>
      </c>
      <c r="AR99" s="3">
        <v>43638</v>
      </c>
      <c r="AS99" s="3">
        <v>45450</v>
      </c>
      <c r="AT99" s="3">
        <v>47484</v>
      </c>
      <c r="AU99" s="3">
        <v>49870</v>
      </c>
      <c r="AV99" s="3">
        <v>52588</v>
      </c>
      <c r="AW99" s="3">
        <v>55538</v>
      </c>
      <c r="AX99" s="3">
        <v>58579</v>
      </c>
      <c r="AY99" s="3">
        <v>61886</v>
      </c>
      <c r="AZ99" s="3">
        <v>65584</v>
      </c>
      <c r="BA99" s="3">
        <v>69216</v>
      </c>
      <c r="BB99" s="3">
        <v>72446</v>
      </c>
      <c r="BC99" s="3">
        <v>75430</v>
      </c>
      <c r="BD99" s="3">
        <v>78218</v>
      </c>
      <c r="BE99" s="3">
        <v>80878</v>
      </c>
      <c r="BF99" s="3">
        <v>83803</v>
      </c>
      <c r="BG99" s="3">
        <v>86932</v>
      </c>
    </row>
    <row r="100" spans="1:59">
      <c r="A100" s="1" t="str">
        <f>IF($K$11="Y",'Population Definitions'!$A$8,"...")</f>
        <v>...</v>
      </c>
      <c r="B100" s="4" t="str">
        <f>IF($K$11="Y","---&gt;","...")</f>
        <v>...</v>
      </c>
      <c r="C100" s="1" t="str">
        <f>IF($K$11="Y",'Population Definitions'!$A$11,"...")</f>
        <v>...</v>
      </c>
      <c r="E100" s="2"/>
      <c r="F100" s="3"/>
      <c r="G100" s="2"/>
      <c r="H100" s="4" t="str">
        <f>IF($K$11="Y","OR","...")</f>
        <v>...</v>
      </c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</row>
    <row r="101" spans="1:59">
      <c r="A101" s="1" t="str">
        <f>IF($L$11="Y",'Population Definitions'!$A$8,"...")</f>
        <v>...</v>
      </c>
      <c r="B101" s="4" t="str">
        <f>IF($L$11="Y","---&gt;","...")</f>
        <v>...</v>
      </c>
      <c r="C101" s="1" t="str">
        <f>IF($L$11="Y",'Population Definitions'!$A$12,"...")</f>
        <v>...</v>
      </c>
      <c r="E101" s="2"/>
      <c r="F101" s="3"/>
      <c r="G101" s="2"/>
      <c r="H101" s="4" t="str">
        <f>IF($L$11="Y","OR","...")</f>
        <v>...</v>
      </c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</row>
    <row r="102" spans="1:59">
      <c r="A102" s="1" t="str">
        <f>IF($M$11="Y",'Population Definitions'!$A$8,"...")</f>
        <v>...</v>
      </c>
      <c r="B102" s="4" t="str">
        <f>IF($M$11="Y","---&gt;","...")</f>
        <v>...</v>
      </c>
      <c r="C102" s="1" t="str">
        <f>IF($M$11="Y",'Population Definitions'!$A$13,"...")</f>
        <v>...</v>
      </c>
      <c r="E102" s="2"/>
      <c r="F102" s="3"/>
      <c r="G102" s="2"/>
      <c r="H102" s="4" t="str">
        <f>IF($M$11="Y","OR","...")</f>
        <v>...</v>
      </c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</row>
    <row r="103" spans="1:59">
      <c r="A103" s="1" t="str">
        <f>IF($B$12="Y",'Population Definitions'!$A$9,"...")</f>
        <v>...</v>
      </c>
      <c r="B103" s="4" t="str">
        <f>IF($B$12="Y","---&gt;","...")</f>
        <v>...</v>
      </c>
      <c r="C103" s="1" t="str">
        <f>IF($B$12="Y",'Population Definitions'!$A$2,"...")</f>
        <v>...</v>
      </c>
      <c r="E103" s="2"/>
      <c r="F103" s="3"/>
      <c r="G103" s="2"/>
      <c r="H103" s="4" t="str">
        <f>IF($B$12="Y","OR","...")</f>
        <v>...</v>
      </c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</row>
    <row r="104" spans="1:59">
      <c r="A104" s="1" t="str">
        <f>IF($C$12="Y",'Population Definitions'!$A$9,"...")</f>
        <v>...</v>
      </c>
      <c r="B104" s="4" t="str">
        <f>IF($C$12="Y","---&gt;","...")</f>
        <v>...</v>
      </c>
      <c r="C104" s="1" t="str">
        <f>IF($C$12="Y",'Population Definitions'!$A$3,"...")</f>
        <v>...</v>
      </c>
      <c r="E104" s="2"/>
      <c r="F104" s="3"/>
      <c r="G104" s="2"/>
      <c r="H104" s="4" t="str">
        <f>IF($C$12="Y","OR","...")</f>
        <v>...</v>
      </c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</row>
    <row r="105" spans="1:59">
      <c r="A105" s="1" t="str">
        <f>IF($D$12="Y",'Population Definitions'!$A$9,"...")</f>
        <v>...</v>
      </c>
      <c r="B105" s="4" t="str">
        <f>IF($D$12="Y","---&gt;","...")</f>
        <v>...</v>
      </c>
      <c r="C105" s="1" t="str">
        <f>IF($D$12="Y",'Population Definitions'!$A$4,"...")</f>
        <v>...</v>
      </c>
      <c r="E105" s="2"/>
      <c r="F105" s="3"/>
      <c r="G105" s="2"/>
      <c r="H105" s="4" t="str">
        <f>IF($D$12="Y","OR","...")</f>
        <v>...</v>
      </c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</row>
    <row r="106" spans="1:59">
      <c r="A106" s="1" t="str">
        <f>IF($E$12="Y",'Population Definitions'!$A$9,"...")</f>
        <v>...</v>
      </c>
      <c r="B106" s="4" t="str">
        <f>IF($E$12="Y","---&gt;","...")</f>
        <v>...</v>
      </c>
      <c r="C106" s="1" t="str">
        <f>IF($E$12="Y",'Population Definitions'!$A$5,"...")</f>
        <v>...</v>
      </c>
      <c r="E106" s="2"/>
      <c r="F106" s="3"/>
      <c r="G106" s="2"/>
      <c r="H106" s="4" t="str">
        <f>IF($E$12="Y","OR","...")</f>
        <v>...</v>
      </c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</row>
    <row r="107" spans="1:59">
      <c r="A107" s="1" t="str">
        <f>IF($F$12="Y",'Population Definitions'!$A$9,"...")</f>
        <v>...</v>
      </c>
      <c r="B107" s="4" t="str">
        <f>IF($F$12="Y","---&gt;","...")</f>
        <v>...</v>
      </c>
      <c r="C107" s="1" t="str">
        <f>IF($F$12="Y",'Population Definitions'!$A$6,"...")</f>
        <v>...</v>
      </c>
      <c r="E107" s="2"/>
      <c r="F107" s="3"/>
      <c r="G107" s="2"/>
      <c r="H107" s="4" t="str">
        <f>IF($F$12="Y","OR","...")</f>
        <v>...</v>
      </c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</row>
    <row r="108" spans="1:59">
      <c r="A108" s="1" t="str">
        <f>IF($G$12="Y",'Population Definitions'!$A$9,"...")</f>
        <v>...</v>
      </c>
      <c r="B108" s="4" t="str">
        <f>IF($G$12="Y","---&gt;","...")</f>
        <v>...</v>
      </c>
      <c r="C108" s="1" t="str">
        <f>IF($G$12="Y",'Population Definitions'!$A$7,"...")</f>
        <v>...</v>
      </c>
      <c r="E108" s="2"/>
      <c r="F108" s="3"/>
      <c r="G108" s="2"/>
      <c r="H108" s="4" t="str">
        <f>IF($G$12="Y","OR","...")</f>
        <v>...</v>
      </c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</row>
    <row r="109" spans="1:59">
      <c r="A109" s="1" t="str">
        <f>IF($H$12="Y",'Population Definitions'!$A$9,"...")</f>
        <v>...</v>
      </c>
      <c r="B109" s="4" t="str">
        <f>IF($H$12="Y","---&gt;","...")</f>
        <v>...</v>
      </c>
      <c r="C109" s="1" t="str">
        <f>IF($H$12="Y",'Population Definitions'!$A$8,"...")</f>
        <v>...</v>
      </c>
      <c r="E109" s="2"/>
      <c r="F109" s="3"/>
      <c r="G109" s="2"/>
      <c r="H109" s="4" t="str">
        <f>IF($H$12="Y","OR","...")</f>
        <v>...</v>
      </c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</row>
    <row r="110" spans="1:59">
      <c r="A110" s="1" t="str">
        <f>IF($I$12="Y",'Population Definitions'!$A$9,"...")</f>
        <v>...</v>
      </c>
      <c r="B110" s="4" t="str">
        <f>IF($I$12="Y","---&gt;","...")</f>
        <v>...</v>
      </c>
      <c r="C110" s="1" t="str">
        <f>IF($I$12="Y",'Population Definitions'!$A$9,"...")</f>
        <v>...</v>
      </c>
      <c r="E110" s="2"/>
      <c r="F110" s="3"/>
      <c r="G110" s="2"/>
      <c r="H110" s="4" t="str">
        <f>IF($I$12="Y","OR","...")</f>
        <v>...</v>
      </c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</row>
    <row r="111" spans="1:59">
      <c r="A111" s="1" t="str">
        <f>IF($J$12="Y",'Population Definitions'!$A$9,"...")</f>
        <v>...</v>
      </c>
      <c r="B111" s="4" t="str">
        <f>IF($J$12="Y","---&gt;","...")</f>
        <v>...</v>
      </c>
      <c r="C111" s="1" t="str">
        <f>IF($J$12="Y",'Population Definitions'!$A$10,"...")</f>
        <v>...</v>
      </c>
      <c r="E111" s="2"/>
      <c r="F111" s="3"/>
      <c r="G111" s="2"/>
      <c r="H111" s="4" t="str">
        <f>IF($J$12="Y","OR","...")</f>
        <v>...</v>
      </c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</row>
    <row r="112" spans="1:59">
      <c r="A112" s="1" t="str">
        <f>IF($K$12="Y",'Population Definitions'!$A$9,"...")</f>
        <v>18-64_females</v>
      </c>
      <c r="B112" s="4" t="str">
        <f>IF($K$12="Y","---&gt;","...")</f>
        <v>---&gt;</v>
      </c>
      <c r="C112" s="1" t="str">
        <f>IF($K$12="Y",'Population Definitions'!$A$11,"...")</f>
        <v>65+_females</v>
      </c>
      <c r="E112" s="3" t="s">
        <v>401</v>
      </c>
      <c r="F112" s="3"/>
      <c r="G112" s="3"/>
      <c r="H112" s="4" t="str">
        <f>IF($K$12="Y","OR","...")</f>
        <v>OR</v>
      </c>
      <c r="I112" s="3">
        <v>20097.5</v>
      </c>
      <c r="J112" s="3">
        <v>20578</v>
      </c>
      <c r="K112" s="3">
        <v>21167.5</v>
      </c>
      <c r="L112" s="3">
        <v>21747</v>
      </c>
      <c r="M112" s="3">
        <v>22249</v>
      </c>
      <c r="N112" s="3">
        <v>22738.5</v>
      </c>
      <c r="O112" s="3">
        <v>23328</v>
      </c>
      <c r="P112" s="3">
        <v>24047.5</v>
      </c>
      <c r="Q112" s="3">
        <v>24887.5</v>
      </c>
      <c r="R112" s="3">
        <v>25785.5</v>
      </c>
      <c r="S112" s="3">
        <v>26635</v>
      </c>
      <c r="T112" s="3">
        <v>27274</v>
      </c>
      <c r="U112" s="3">
        <v>27399</v>
      </c>
      <c r="V112" s="3">
        <v>26237</v>
      </c>
      <c r="W112" s="3">
        <v>25488</v>
      </c>
      <c r="X112" s="3">
        <v>26490.5</v>
      </c>
      <c r="Y112" s="3">
        <v>27770.5</v>
      </c>
      <c r="Z112" s="3">
        <v>28943.5</v>
      </c>
      <c r="AA112" s="3">
        <v>30141.5</v>
      </c>
      <c r="AB112" s="3">
        <v>31317.5</v>
      </c>
      <c r="AC112" s="3">
        <v>32515.5</v>
      </c>
      <c r="AD112" s="3">
        <v>33742.5</v>
      </c>
      <c r="AE112" s="3">
        <v>34927</v>
      </c>
      <c r="AF112" s="3">
        <v>36152.5</v>
      </c>
      <c r="AG112" s="3">
        <v>37484.5</v>
      </c>
      <c r="AH112" s="3">
        <v>38805</v>
      </c>
      <c r="AI112" s="3">
        <v>40106</v>
      </c>
      <c r="AJ112" s="3">
        <v>41434</v>
      </c>
      <c r="AK112" s="3">
        <v>42746</v>
      </c>
      <c r="AL112" s="3">
        <v>44168</v>
      </c>
      <c r="AM112" s="3">
        <v>45668</v>
      </c>
      <c r="AN112" s="3">
        <v>47164</v>
      </c>
      <c r="AO112" s="3">
        <v>48729</v>
      </c>
      <c r="AP112" s="3">
        <v>50405</v>
      </c>
      <c r="AQ112" s="3">
        <v>52044</v>
      </c>
      <c r="AR112" s="3">
        <v>53668</v>
      </c>
      <c r="AS112" s="3">
        <v>55460</v>
      </c>
      <c r="AT112" s="3">
        <v>57481</v>
      </c>
      <c r="AU112" s="3">
        <v>59873</v>
      </c>
      <c r="AV112" s="3">
        <v>62611</v>
      </c>
      <c r="AW112" s="3">
        <v>65599</v>
      </c>
      <c r="AX112" s="3">
        <v>68703</v>
      </c>
      <c r="AY112" s="3">
        <v>72137</v>
      </c>
      <c r="AZ112" s="3">
        <v>76033</v>
      </c>
      <c r="BA112" s="3">
        <v>79886</v>
      </c>
      <c r="BB112" s="3">
        <v>83318</v>
      </c>
      <c r="BC112" s="3">
        <v>86524</v>
      </c>
      <c r="BD112" s="3">
        <v>89578</v>
      </c>
      <c r="BE112" s="3">
        <v>92544</v>
      </c>
      <c r="BF112" s="3">
        <v>95840</v>
      </c>
      <c r="BG112" s="3">
        <v>99370</v>
      </c>
    </row>
    <row r="113" spans="1:59">
      <c r="A113" s="1" t="str">
        <f>IF($L$12="Y",'Population Definitions'!$A$9,"...")</f>
        <v>...</v>
      </c>
      <c r="B113" s="4" t="str">
        <f>IF($L$12="Y","---&gt;","...")</f>
        <v>...</v>
      </c>
      <c r="C113" s="1" t="str">
        <f>IF($L$12="Y",'Population Definitions'!$A$12,"...")</f>
        <v>...</v>
      </c>
      <c r="E113" s="2"/>
      <c r="F113" s="3"/>
      <c r="G113" s="2"/>
      <c r="H113" s="4" t="str">
        <f>IF($L$12="Y","OR","...")</f>
        <v>...</v>
      </c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</row>
    <row r="114" spans="1:59">
      <c r="A114" s="1" t="str">
        <f>IF($M$12="Y",'Population Definitions'!$A$9,"...")</f>
        <v>...</v>
      </c>
      <c r="B114" s="4" t="str">
        <f>IF($M$12="Y","---&gt;","...")</f>
        <v>...</v>
      </c>
      <c r="C114" s="1" t="str">
        <f>IF($M$12="Y",'Population Definitions'!$A$13,"...")</f>
        <v>...</v>
      </c>
      <c r="E114" s="2"/>
      <c r="F114" s="3"/>
      <c r="G114" s="2"/>
      <c r="H114" s="4" t="str">
        <f>IF($M$12="Y","OR","...")</f>
        <v>...</v>
      </c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</row>
    <row r="115" spans="1:59">
      <c r="A115" s="1" t="str">
        <f>IF($B$13="Y",'Population Definitions'!$A$10,"...")</f>
        <v>...</v>
      </c>
      <c r="B115" s="4" t="str">
        <f>IF($B$13="Y","---&gt;","...")</f>
        <v>...</v>
      </c>
      <c r="C115" s="1" t="str">
        <f>IF($B$13="Y",'Population Definitions'!$A$2,"...")</f>
        <v>...</v>
      </c>
      <c r="E115" s="2"/>
      <c r="F115" s="3"/>
      <c r="G115" s="2"/>
      <c r="H115" s="4" t="str">
        <f>IF($B$13="Y","OR","...")</f>
        <v>...</v>
      </c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</row>
    <row r="116" spans="1:59">
      <c r="A116" s="1" t="str">
        <f>IF($C$13="Y",'Population Definitions'!$A$10,"...")</f>
        <v>...</v>
      </c>
      <c r="B116" s="4" t="str">
        <f>IF($C$13="Y","---&gt;","...")</f>
        <v>...</v>
      </c>
      <c r="C116" s="1" t="str">
        <f>IF($C$13="Y",'Population Definitions'!$A$3,"...")</f>
        <v>...</v>
      </c>
      <c r="E116" s="2"/>
      <c r="F116" s="3"/>
      <c r="G116" s="2"/>
      <c r="H116" s="4" t="str">
        <f>IF($C$13="Y","OR","...")</f>
        <v>...</v>
      </c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</row>
    <row r="117" spans="1:59">
      <c r="A117" s="1" t="str">
        <f>IF($D$13="Y",'Population Definitions'!$A$10,"...")</f>
        <v>...</v>
      </c>
      <c r="B117" s="4" t="str">
        <f>IF($D$13="Y","---&gt;","...")</f>
        <v>...</v>
      </c>
      <c r="C117" s="1" t="str">
        <f>IF($D$13="Y",'Population Definitions'!$A$4,"...")</f>
        <v>...</v>
      </c>
      <c r="E117" s="2"/>
      <c r="F117" s="3"/>
      <c r="G117" s="2"/>
      <c r="H117" s="4" t="str">
        <f>IF($D$13="Y","OR","...")</f>
        <v>...</v>
      </c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</row>
    <row r="118" spans="1:59">
      <c r="A118" s="1" t="str">
        <f>IF($E$13="Y",'Population Definitions'!$A$10,"...")</f>
        <v>...</v>
      </c>
      <c r="B118" s="4" t="str">
        <f>IF($E$13="Y","---&gt;","...")</f>
        <v>...</v>
      </c>
      <c r="C118" s="1" t="str">
        <f>IF($E$13="Y",'Population Definitions'!$A$5,"...")</f>
        <v>...</v>
      </c>
      <c r="E118" s="2"/>
      <c r="F118" s="3"/>
      <c r="G118" s="2"/>
      <c r="H118" s="4" t="str">
        <f>IF($E$13="Y","OR","...")</f>
        <v>...</v>
      </c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</row>
    <row r="119" spans="1:59">
      <c r="A119" s="1" t="str">
        <f>IF($F$13="Y",'Population Definitions'!$A$10,"...")</f>
        <v>...</v>
      </c>
      <c r="B119" s="4" t="str">
        <f>IF($F$13="Y","---&gt;","...")</f>
        <v>...</v>
      </c>
      <c r="C119" s="1" t="str">
        <f>IF($F$13="Y",'Population Definitions'!$A$6,"...")</f>
        <v>...</v>
      </c>
      <c r="E119" s="2"/>
      <c r="F119" s="3"/>
      <c r="G119" s="2"/>
      <c r="H119" s="4" t="str">
        <f>IF($F$13="Y","OR","...")</f>
        <v>...</v>
      </c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</row>
    <row r="120" spans="1:59">
      <c r="A120" s="1" t="str">
        <f>IF($G$13="Y",'Population Definitions'!$A$10,"...")</f>
        <v>...</v>
      </c>
      <c r="B120" s="4" t="str">
        <f>IF($G$13="Y","---&gt;","...")</f>
        <v>...</v>
      </c>
      <c r="C120" s="1" t="str">
        <f>IF($G$13="Y",'Population Definitions'!$A$7,"...")</f>
        <v>...</v>
      </c>
      <c r="E120" s="2"/>
      <c r="F120" s="3"/>
      <c r="G120" s="2"/>
      <c r="H120" s="4" t="str">
        <f>IF($G$13="Y","OR","...")</f>
        <v>...</v>
      </c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</row>
    <row r="121" spans="1:59">
      <c r="A121" s="1" t="str">
        <f>IF($H$13="Y",'Population Definitions'!$A$10,"...")</f>
        <v>...</v>
      </c>
      <c r="B121" s="4" t="str">
        <f>IF($H$13="Y","---&gt;","...")</f>
        <v>...</v>
      </c>
      <c r="C121" s="1" t="str">
        <f>IF($H$13="Y",'Population Definitions'!$A$8,"...")</f>
        <v>...</v>
      </c>
      <c r="E121" s="2"/>
      <c r="F121" s="3"/>
      <c r="G121" s="2"/>
      <c r="H121" s="4" t="str">
        <f>IF($H$13="Y","OR","...")</f>
        <v>...</v>
      </c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</row>
    <row r="122" spans="1:59">
      <c r="A122" s="1" t="str">
        <f>IF($I$13="Y",'Population Definitions'!$A$10,"...")</f>
        <v>...</v>
      </c>
      <c r="B122" s="4" t="str">
        <f>IF($I$13="Y","---&gt;","...")</f>
        <v>...</v>
      </c>
      <c r="C122" s="1" t="str">
        <f>IF($I$13="Y",'Population Definitions'!$A$9,"...")</f>
        <v>...</v>
      </c>
      <c r="E122" s="2"/>
      <c r="F122" s="3"/>
      <c r="G122" s="2"/>
      <c r="H122" s="4" t="str">
        <f>IF($I$13="Y","OR","...")</f>
        <v>...</v>
      </c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</row>
    <row r="123" spans="1:59">
      <c r="A123" s="1" t="str">
        <f>IF($J$13="Y",'Population Definitions'!$A$10,"...")</f>
        <v>...</v>
      </c>
      <c r="B123" s="4" t="str">
        <f>IF($J$13="Y","---&gt;","...")</f>
        <v>...</v>
      </c>
      <c r="C123" s="1" t="str">
        <f>IF($J$13="Y",'Population Definitions'!$A$10,"...")</f>
        <v>...</v>
      </c>
      <c r="E123" s="2"/>
      <c r="F123" s="3"/>
      <c r="G123" s="2"/>
      <c r="H123" s="4" t="str">
        <f>IF($J$13="Y","OR","...")</f>
        <v>...</v>
      </c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</row>
    <row r="124" spans="1:59">
      <c r="A124" s="1" t="str">
        <f>IF($K$13="Y",'Population Definitions'!$A$10,"...")</f>
        <v>...</v>
      </c>
      <c r="B124" s="4" t="str">
        <f>IF($K$13="Y","---&gt;","...")</f>
        <v>...</v>
      </c>
      <c r="C124" s="1" t="str">
        <f>IF($K$13="Y",'Population Definitions'!$A$11,"...")</f>
        <v>...</v>
      </c>
      <c r="E124" s="2"/>
      <c r="F124" s="3"/>
      <c r="G124" s="2"/>
      <c r="H124" s="4" t="str">
        <f>IF($K$13="Y","OR","...")</f>
        <v>...</v>
      </c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</row>
    <row r="125" spans="1:59">
      <c r="A125" s="1" t="str">
        <f>IF($L$13="Y",'Population Definitions'!$A$10,"...")</f>
        <v>...</v>
      </c>
      <c r="B125" s="4" t="str">
        <f>IF($L$13="Y","---&gt;","...")</f>
        <v>...</v>
      </c>
      <c r="C125" s="1" t="str">
        <f>IF($L$13="Y",'Population Definitions'!$A$12,"...")</f>
        <v>...</v>
      </c>
      <c r="E125" s="2"/>
      <c r="F125" s="3"/>
      <c r="G125" s="2"/>
      <c r="H125" s="4" t="str">
        <f>IF($L$13="Y","OR","...")</f>
        <v>...</v>
      </c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</row>
    <row r="126" spans="1:59">
      <c r="A126" s="1" t="str">
        <f>IF($M$13="Y",'Population Definitions'!$A$10,"...")</f>
        <v>...</v>
      </c>
      <c r="B126" s="4" t="str">
        <f>IF($M$13="Y","---&gt;","...")</f>
        <v>...</v>
      </c>
      <c r="C126" s="1" t="str">
        <f>IF($M$13="Y",'Population Definitions'!$A$13,"...")</f>
        <v>...</v>
      </c>
      <c r="E126" s="2"/>
      <c r="F126" s="3"/>
      <c r="G126" s="2"/>
      <c r="H126" s="4" t="str">
        <f>IF($M$13="Y","OR","...")</f>
        <v>...</v>
      </c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</row>
    <row r="127" spans="1:59">
      <c r="A127" s="1" t="str">
        <f>IF($B$14="Y",'Population Definitions'!$A$11,"...")</f>
        <v>...</v>
      </c>
      <c r="B127" s="4" t="str">
        <f>IF($B$14="Y","---&gt;","...")</f>
        <v>...</v>
      </c>
      <c r="C127" s="1" t="str">
        <f>IF($B$14="Y",'Population Definitions'!$A$2,"...")</f>
        <v>...</v>
      </c>
      <c r="E127" s="2"/>
      <c r="F127" s="3"/>
      <c r="G127" s="2"/>
      <c r="H127" s="4" t="str">
        <f>IF($B$14="Y","OR","...")</f>
        <v>...</v>
      </c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</row>
    <row r="128" spans="1:59">
      <c r="A128" s="1" t="str">
        <f>IF($C$14="Y",'Population Definitions'!$A$11,"...")</f>
        <v>...</v>
      </c>
      <c r="B128" s="4" t="str">
        <f>IF($C$14="Y","---&gt;","...")</f>
        <v>...</v>
      </c>
      <c r="C128" s="1" t="str">
        <f>IF($C$14="Y",'Population Definitions'!$A$3,"...")</f>
        <v>...</v>
      </c>
      <c r="E128" s="2"/>
      <c r="F128" s="3"/>
      <c r="G128" s="2"/>
      <c r="H128" s="4" t="str">
        <f>IF($C$14="Y","OR","...")</f>
        <v>...</v>
      </c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</row>
    <row r="129" spans="1:59">
      <c r="A129" s="1" t="str">
        <f>IF($D$14="Y",'Population Definitions'!$A$11,"...")</f>
        <v>...</v>
      </c>
      <c r="B129" s="4" t="str">
        <f>IF($D$14="Y","---&gt;","...")</f>
        <v>...</v>
      </c>
      <c r="C129" s="1" t="str">
        <f>IF($D$14="Y",'Population Definitions'!$A$4,"...")</f>
        <v>...</v>
      </c>
      <c r="E129" s="2"/>
      <c r="F129" s="3"/>
      <c r="G129" s="2"/>
      <c r="H129" s="4" t="str">
        <f>IF($D$14="Y","OR","...")</f>
        <v>...</v>
      </c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</row>
    <row r="130" spans="1:59">
      <c r="A130" s="1" t="str">
        <f>IF($E$14="Y",'Population Definitions'!$A$11,"...")</f>
        <v>...</v>
      </c>
      <c r="B130" s="4" t="str">
        <f>IF($E$14="Y","---&gt;","...")</f>
        <v>...</v>
      </c>
      <c r="C130" s="1" t="str">
        <f>IF($E$14="Y",'Population Definitions'!$A$5,"...")</f>
        <v>...</v>
      </c>
      <c r="E130" s="2"/>
      <c r="F130" s="3"/>
      <c r="G130" s="2"/>
      <c r="H130" s="4" t="str">
        <f>IF($E$14="Y","OR","...")</f>
        <v>...</v>
      </c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</row>
    <row r="131" spans="1:59">
      <c r="A131" s="1" t="str">
        <f>IF($F$14="Y",'Population Definitions'!$A$11,"...")</f>
        <v>...</v>
      </c>
      <c r="B131" s="4" t="str">
        <f>IF($F$14="Y","---&gt;","...")</f>
        <v>...</v>
      </c>
      <c r="C131" s="1" t="str">
        <f>IF($F$14="Y",'Population Definitions'!$A$6,"...")</f>
        <v>...</v>
      </c>
      <c r="E131" s="2"/>
      <c r="F131" s="3"/>
      <c r="G131" s="2"/>
      <c r="H131" s="4" t="str">
        <f>IF($F$14="Y","OR","...")</f>
        <v>...</v>
      </c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</row>
    <row r="132" spans="1:59">
      <c r="A132" s="1" t="str">
        <f>IF($G$14="Y",'Population Definitions'!$A$11,"...")</f>
        <v>...</v>
      </c>
      <c r="B132" s="4" t="str">
        <f>IF($G$14="Y","---&gt;","...")</f>
        <v>...</v>
      </c>
      <c r="C132" s="1" t="str">
        <f>IF($G$14="Y",'Population Definitions'!$A$7,"...")</f>
        <v>...</v>
      </c>
      <c r="E132" s="2"/>
      <c r="F132" s="3"/>
      <c r="G132" s="2"/>
      <c r="H132" s="4" t="str">
        <f>IF($G$14="Y","OR","...")</f>
        <v>...</v>
      </c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</row>
    <row r="133" spans="1:59">
      <c r="A133" s="1" t="str">
        <f>IF($H$14="Y",'Population Definitions'!$A$11,"...")</f>
        <v>...</v>
      </c>
      <c r="B133" s="4" t="str">
        <f>IF($H$14="Y","---&gt;","...")</f>
        <v>...</v>
      </c>
      <c r="C133" s="1" t="str">
        <f>IF($H$14="Y",'Population Definitions'!$A$8,"...")</f>
        <v>...</v>
      </c>
      <c r="E133" s="2"/>
      <c r="F133" s="3"/>
      <c r="G133" s="2"/>
      <c r="H133" s="4" t="str">
        <f>IF($H$14="Y","OR","...")</f>
        <v>...</v>
      </c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</row>
    <row r="134" spans="1:59">
      <c r="A134" s="1" t="str">
        <f>IF($I$14="Y",'Population Definitions'!$A$11,"...")</f>
        <v>...</v>
      </c>
      <c r="B134" s="4" t="str">
        <f>IF($I$14="Y","---&gt;","...")</f>
        <v>...</v>
      </c>
      <c r="C134" s="1" t="str">
        <f>IF($I$14="Y",'Population Definitions'!$A$9,"...")</f>
        <v>...</v>
      </c>
      <c r="E134" s="2"/>
      <c r="F134" s="3"/>
      <c r="G134" s="2"/>
      <c r="H134" s="4" t="str">
        <f>IF($I$14="Y","OR","...")</f>
        <v>...</v>
      </c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</row>
    <row r="135" spans="1:59">
      <c r="A135" s="1" t="str">
        <f>IF($J$14="Y",'Population Definitions'!$A$11,"...")</f>
        <v>...</v>
      </c>
      <c r="B135" s="4" t="str">
        <f>IF($J$14="Y","---&gt;","...")</f>
        <v>...</v>
      </c>
      <c r="C135" s="1" t="str">
        <f>IF($J$14="Y",'Population Definitions'!$A$10,"...")</f>
        <v>...</v>
      </c>
      <c r="E135" s="2"/>
      <c r="F135" s="3"/>
      <c r="G135" s="2"/>
      <c r="H135" s="4" t="str">
        <f>IF($J$14="Y","OR","...")</f>
        <v>...</v>
      </c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</row>
    <row r="136" spans="1:59">
      <c r="A136" s="1" t="str">
        <f>IF($K$14="Y",'Population Definitions'!$A$11,"...")</f>
        <v>...</v>
      </c>
      <c r="B136" s="4" t="str">
        <f>IF($K$14="Y","---&gt;","...")</f>
        <v>...</v>
      </c>
      <c r="C136" s="1" t="str">
        <f>IF($K$14="Y",'Population Definitions'!$A$11,"...")</f>
        <v>...</v>
      </c>
      <c r="E136" s="2"/>
      <c r="F136" s="3"/>
      <c r="G136" s="2"/>
      <c r="H136" s="4" t="str">
        <f>IF($K$14="Y","OR","...")</f>
        <v>...</v>
      </c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</row>
    <row r="137" spans="1:59">
      <c r="A137" s="1" t="str">
        <f>IF($L$14="Y",'Population Definitions'!$A$11,"...")</f>
        <v>...</v>
      </c>
      <c r="B137" s="4" t="str">
        <f>IF($L$14="Y","---&gt;","...")</f>
        <v>...</v>
      </c>
      <c r="C137" s="1" t="str">
        <f>IF($L$14="Y",'Population Definitions'!$A$12,"...")</f>
        <v>...</v>
      </c>
      <c r="E137" s="2"/>
      <c r="F137" s="3"/>
      <c r="G137" s="2"/>
      <c r="H137" s="4" t="str">
        <f>IF($L$14="Y","OR","...")</f>
        <v>...</v>
      </c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</row>
    <row r="138" spans="1:59">
      <c r="A138" s="1" t="str">
        <f>IF($M$14="Y",'Population Definitions'!$A$11,"...")</f>
        <v>...</v>
      </c>
      <c r="B138" s="4" t="str">
        <f>IF($M$14="Y","---&gt;","...")</f>
        <v>...</v>
      </c>
      <c r="C138" s="1" t="str">
        <f>IF($M$14="Y",'Population Definitions'!$A$13,"...")</f>
        <v>...</v>
      </c>
      <c r="E138" s="2"/>
      <c r="F138" s="3"/>
      <c r="G138" s="2"/>
      <c r="H138" s="4" t="str">
        <f>IF($M$14="Y","OR","...")</f>
        <v>...</v>
      </c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</row>
    <row r="139" spans="1:59">
      <c r="A139" s="1" t="str">
        <f>IF($B$15="Y",'Population Definitions'!$A$12,"...")</f>
        <v>...</v>
      </c>
      <c r="B139" s="4" t="str">
        <f>IF($B$15="Y","---&gt;","...")</f>
        <v>...</v>
      </c>
      <c r="C139" s="1" t="str">
        <f>IF($B$15="Y",'Population Definitions'!$A$2,"...")</f>
        <v>...</v>
      </c>
      <c r="E139" s="2"/>
      <c r="F139" s="3"/>
      <c r="G139" s="2"/>
      <c r="H139" s="4" t="str">
        <f>IF($B$15="Y","OR","...")</f>
        <v>...</v>
      </c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</row>
    <row r="140" spans="1:59">
      <c r="A140" s="1" t="str">
        <f>IF($C$15="Y",'Population Definitions'!$A$12,"...")</f>
        <v>...</v>
      </c>
      <c r="B140" s="4" t="str">
        <f>IF($C$15="Y","---&gt;","...")</f>
        <v>...</v>
      </c>
      <c r="C140" s="1" t="str">
        <f>IF($C$15="Y",'Population Definitions'!$A$3,"...")</f>
        <v>...</v>
      </c>
      <c r="E140" s="2"/>
      <c r="F140" s="3"/>
      <c r="G140" s="2"/>
      <c r="H140" s="4" t="str">
        <f>IF($C$15="Y","OR","...")</f>
        <v>...</v>
      </c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</row>
    <row r="141" spans="1:59">
      <c r="A141" s="1" t="str">
        <f>IF($D$15="Y",'Population Definitions'!$A$12,"...")</f>
        <v>...</v>
      </c>
      <c r="B141" s="4" t="str">
        <f>IF($D$15="Y","---&gt;","...")</f>
        <v>...</v>
      </c>
      <c r="C141" s="1" t="str">
        <f>IF($D$15="Y",'Population Definitions'!$A$4,"...")</f>
        <v>...</v>
      </c>
      <c r="E141" s="2"/>
      <c r="F141" s="3"/>
      <c r="G141" s="2"/>
      <c r="H141" s="4" t="str">
        <f>IF($D$15="Y","OR","...")</f>
        <v>...</v>
      </c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</row>
    <row r="142" spans="1:59">
      <c r="A142" s="1" t="str">
        <f>IF($E$15="Y",'Population Definitions'!$A$12,"...")</f>
        <v>...</v>
      </c>
      <c r="B142" s="4" t="str">
        <f>IF($E$15="Y","---&gt;","...")</f>
        <v>...</v>
      </c>
      <c r="C142" s="1" t="str">
        <f>IF($E$15="Y",'Population Definitions'!$A$5,"...")</f>
        <v>...</v>
      </c>
      <c r="E142" s="2"/>
      <c r="F142" s="3"/>
      <c r="G142" s="2"/>
      <c r="H142" s="4" t="str">
        <f>IF($E$15="Y","OR","...")</f>
        <v>...</v>
      </c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</row>
    <row r="143" spans="1:59">
      <c r="A143" s="1" t="str">
        <f>IF($F$15="Y",'Population Definitions'!$A$12,"...")</f>
        <v>...</v>
      </c>
      <c r="B143" s="4" t="str">
        <f>IF($F$15="Y","---&gt;","...")</f>
        <v>...</v>
      </c>
      <c r="C143" s="1" t="str">
        <f>IF($F$15="Y",'Population Definitions'!$A$6,"...")</f>
        <v>...</v>
      </c>
      <c r="E143" s="2"/>
      <c r="F143" s="3"/>
      <c r="G143" s="2"/>
      <c r="H143" s="4" t="str">
        <f>IF($F$15="Y","OR","...")</f>
        <v>...</v>
      </c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</row>
    <row r="144" spans="1:59">
      <c r="A144" s="1" t="str">
        <f>IF($G$15="Y",'Population Definitions'!$A$12,"...")</f>
        <v>...</v>
      </c>
      <c r="B144" s="4" t="str">
        <f>IF($G$15="Y","---&gt;","...")</f>
        <v>...</v>
      </c>
      <c r="C144" s="1" t="str">
        <f>IF($G$15="Y",'Population Definitions'!$A$7,"...")</f>
        <v>...</v>
      </c>
      <c r="E144" s="2"/>
      <c r="F144" s="3"/>
      <c r="G144" s="2"/>
      <c r="H144" s="4" t="str">
        <f>IF($G$15="Y","OR","...")</f>
        <v>...</v>
      </c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</row>
    <row r="145" spans="1:59">
      <c r="A145" s="1" t="str">
        <f>IF($H$15="Y",'Population Definitions'!$A$12,"...")</f>
        <v>...</v>
      </c>
      <c r="B145" s="4" t="str">
        <f>IF($H$15="Y","---&gt;","...")</f>
        <v>...</v>
      </c>
      <c r="C145" s="1" t="str">
        <f>IF($H$15="Y",'Population Definitions'!$A$8,"...")</f>
        <v>...</v>
      </c>
      <c r="E145" s="2"/>
      <c r="F145" s="3"/>
      <c r="G145" s="2"/>
      <c r="H145" s="4" t="str">
        <f>IF($H$15="Y","OR","...")</f>
        <v>...</v>
      </c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</row>
    <row r="146" spans="1:59">
      <c r="A146" s="1" t="str">
        <f>IF($I$15="Y",'Population Definitions'!$A$12,"...")</f>
        <v>...</v>
      </c>
      <c r="B146" s="4" t="str">
        <f>IF($I$15="Y","---&gt;","...")</f>
        <v>...</v>
      </c>
      <c r="C146" s="1" t="str">
        <f>IF($I$15="Y",'Population Definitions'!$A$9,"...")</f>
        <v>...</v>
      </c>
      <c r="E146" s="2"/>
      <c r="F146" s="3"/>
      <c r="G146" s="2"/>
      <c r="H146" s="4" t="str">
        <f>IF($I$15="Y","OR","...")</f>
        <v>...</v>
      </c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</row>
    <row r="147" spans="1:59">
      <c r="A147" s="1" t="str">
        <f>IF($J$15="Y",'Population Definitions'!$A$12,"...")</f>
        <v>...</v>
      </c>
      <c r="B147" s="4" t="str">
        <f>IF($J$15="Y","---&gt;","...")</f>
        <v>...</v>
      </c>
      <c r="C147" s="1" t="str">
        <f>IF($J$15="Y",'Population Definitions'!$A$10,"...")</f>
        <v>...</v>
      </c>
      <c r="E147" s="2"/>
      <c r="F147" s="3"/>
      <c r="G147" s="2"/>
      <c r="H147" s="4" t="str">
        <f>IF($J$15="Y","OR","...")</f>
        <v>...</v>
      </c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</row>
    <row r="148" spans="1:59">
      <c r="A148" s="1" t="str">
        <f>IF($K$15="Y",'Population Definitions'!$A$12,"...")</f>
        <v>...</v>
      </c>
      <c r="B148" s="4" t="str">
        <f>IF($K$15="Y","---&gt;","...")</f>
        <v>...</v>
      </c>
      <c r="C148" s="1" t="str">
        <f>IF($K$15="Y",'Population Definitions'!$A$11,"...")</f>
        <v>...</v>
      </c>
      <c r="E148" s="2"/>
      <c r="F148" s="3"/>
      <c r="G148" s="2"/>
      <c r="H148" s="4" t="str">
        <f>IF($K$15="Y","OR","...")</f>
        <v>...</v>
      </c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</row>
    <row r="149" spans="1:59">
      <c r="A149" s="1" t="str">
        <f>IF($L$15="Y",'Population Definitions'!$A$12,"...")</f>
        <v>...</v>
      </c>
      <c r="B149" s="4" t="str">
        <f>IF($L$15="Y","---&gt;","...")</f>
        <v>...</v>
      </c>
      <c r="C149" s="1" t="str">
        <f>IF($L$15="Y",'Population Definitions'!$A$12,"...")</f>
        <v>...</v>
      </c>
      <c r="E149" s="2"/>
      <c r="F149" s="3"/>
      <c r="G149" s="2"/>
      <c r="H149" s="4" t="str">
        <f>IF($L$15="Y","OR","...")</f>
        <v>...</v>
      </c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</row>
    <row r="150" spans="1:59">
      <c r="A150" s="1" t="str">
        <f>IF($M$15="Y",'Population Definitions'!$A$12,"...")</f>
        <v>...</v>
      </c>
      <c r="B150" s="4" t="str">
        <f>IF($M$15="Y","---&gt;","...")</f>
        <v>...</v>
      </c>
      <c r="C150" s="1" t="str">
        <f>IF($M$15="Y",'Population Definitions'!$A$13,"...")</f>
        <v>...</v>
      </c>
      <c r="E150" s="2"/>
      <c r="F150" s="3"/>
      <c r="G150" s="2"/>
      <c r="H150" s="4" t="str">
        <f>IF($M$15="Y","OR","...")</f>
        <v>...</v>
      </c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</row>
    <row r="151" spans="1:59">
      <c r="A151" s="1" t="str">
        <f>IF($B$16="Y",'Population Definitions'!$A$13,"...")</f>
        <v>...</v>
      </c>
      <c r="B151" s="4" t="str">
        <f>IF($B$16="Y","---&gt;","...")</f>
        <v>...</v>
      </c>
      <c r="C151" s="1" t="str">
        <f>IF($B$16="Y",'Population Definitions'!$A$2,"...")</f>
        <v>...</v>
      </c>
      <c r="E151" s="2"/>
      <c r="F151" s="3"/>
      <c r="G151" s="2"/>
      <c r="H151" s="4" t="str">
        <f>IF($B$16="Y","OR","...")</f>
        <v>...</v>
      </c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</row>
    <row r="152" spans="1:59">
      <c r="A152" s="1" t="str">
        <f>IF($C$16="Y",'Population Definitions'!$A$13,"...")</f>
        <v>...</v>
      </c>
      <c r="B152" s="4" t="str">
        <f>IF($C$16="Y","---&gt;","...")</f>
        <v>...</v>
      </c>
      <c r="C152" s="1" t="str">
        <f>IF($C$16="Y",'Population Definitions'!$A$3,"...")</f>
        <v>...</v>
      </c>
      <c r="E152" s="2"/>
      <c r="F152" s="3"/>
      <c r="G152" s="2"/>
      <c r="H152" s="4" t="str">
        <f>IF($C$16="Y","OR","...")</f>
        <v>...</v>
      </c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</row>
    <row r="153" spans="1:59">
      <c r="A153" s="1" t="str">
        <f>IF($D$16="Y",'Population Definitions'!$A$13,"...")</f>
        <v>...</v>
      </c>
      <c r="B153" s="4" t="str">
        <f>IF($D$16="Y","---&gt;","...")</f>
        <v>...</v>
      </c>
      <c r="C153" s="1" t="str">
        <f>IF($D$16="Y",'Population Definitions'!$A$4,"...")</f>
        <v>...</v>
      </c>
      <c r="E153" s="2"/>
      <c r="F153" s="3"/>
      <c r="G153" s="2"/>
      <c r="H153" s="4" t="str">
        <f>IF($D$16="Y","OR","...")</f>
        <v>...</v>
      </c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</row>
    <row r="154" spans="1:59">
      <c r="A154" s="1" t="str">
        <f>IF($E$16="Y",'Population Definitions'!$A$13,"...")</f>
        <v>...</v>
      </c>
      <c r="B154" s="4" t="str">
        <f>IF($E$16="Y","---&gt;","...")</f>
        <v>...</v>
      </c>
      <c r="C154" s="1" t="str">
        <f>IF($E$16="Y",'Population Definitions'!$A$5,"...")</f>
        <v>...</v>
      </c>
      <c r="E154" s="2"/>
      <c r="F154" s="3"/>
      <c r="G154" s="2"/>
      <c r="H154" s="4" t="str">
        <f>IF($E$16="Y","OR","...")</f>
        <v>...</v>
      </c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</row>
    <row r="155" spans="1:59">
      <c r="A155" s="1" t="str">
        <f>IF($F$16="Y",'Population Definitions'!$A$13,"...")</f>
        <v>...</v>
      </c>
      <c r="B155" s="4" t="str">
        <f>IF($F$16="Y","---&gt;","...")</f>
        <v>...</v>
      </c>
      <c r="C155" s="1" t="str">
        <f>IF($F$16="Y",'Population Definitions'!$A$6,"...")</f>
        <v>...</v>
      </c>
      <c r="E155" s="2"/>
      <c r="F155" s="3"/>
      <c r="G155" s="2"/>
      <c r="H155" s="4" t="str">
        <f>IF($F$16="Y","OR","...")</f>
        <v>...</v>
      </c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</row>
    <row r="156" spans="1:59">
      <c r="A156" s="1" t="str">
        <f>IF($G$16="Y",'Population Definitions'!$A$13,"...")</f>
        <v>...</v>
      </c>
      <c r="B156" s="4" t="str">
        <f>IF($G$16="Y","---&gt;","...")</f>
        <v>...</v>
      </c>
      <c r="C156" s="1" t="str">
        <f>IF($G$16="Y",'Population Definitions'!$A$7,"...")</f>
        <v>...</v>
      </c>
      <c r="E156" s="2"/>
      <c r="F156" s="3"/>
      <c r="G156" s="2"/>
      <c r="H156" s="4" t="str">
        <f>IF($G$16="Y","OR","...")</f>
        <v>...</v>
      </c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</row>
    <row r="157" spans="1:59">
      <c r="A157" s="1" t="str">
        <f>IF($H$16="Y",'Population Definitions'!$A$13,"...")</f>
        <v>...</v>
      </c>
      <c r="B157" s="4" t="str">
        <f>IF($H$16="Y","---&gt;","...")</f>
        <v>...</v>
      </c>
      <c r="C157" s="1" t="str">
        <f>IF($H$16="Y",'Population Definitions'!$A$8,"...")</f>
        <v>...</v>
      </c>
      <c r="E157" s="2"/>
      <c r="F157" s="3"/>
      <c r="G157" s="2"/>
      <c r="H157" s="4" t="str">
        <f>IF($H$16="Y","OR","...")</f>
        <v>...</v>
      </c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</row>
    <row r="158" spans="1:59">
      <c r="A158" s="1" t="str">
        <f>IF($I$16="Y",'Population Definitions'!$A$13,"...")</f>
        <v>...</v>
      </c>
      <c r="B158" s="4" t="str">
        <f>IF($I$16="Y","---&gt;","...")</f>
        <v>...</v>
      </c>
      <c r="C158" s="1" t="str">
        <f>IF($I$16="Y",'Population Definitions'!$A$9,"...")</f>
        <v>...</v>
      </c>
      <c r="E158" s="2"/>
      <c r="F158" s="3"/>
      <c r="G158" s="2"/>
      <c r="H158" s="4" t="str">
        <f>IF($I$16="Y","OR","...")</f>
        <v>...</v>
      </c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</row>
    <row r="159" spans="1:59">
      <c r="A159" s="1" t="str">
        <f>IF($J$16="Y",'Population Definitions'!$A$13,"...")</f>
        <v>...</v>
      </c>
      <c r="B159" s="4" t="str">
        <f>IF($J$16="Y","---&gt;","...")</f>
        <v>...</v>
      </c>
      <c r="C159" s="1" t="str">
        <f>IF($J$16="Y",'Population Definitions'!$A$10,"...")</f>
        <v>...</v>
      </c>
      <c r="E159" s="2"/>
      <c r="F159" s="3"/>
      <c r="G159" s="2"/>
      <c r="H159" s="4" t="str">
        <f>IF($J$16="Y","OR","...")</f>
        <v>...</v>
      </c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</row>
    <row r="160" spans="1:59">
      <c r="A160" s="1" t="str">
        <f>IF($K$16="Y",'Population Definitions'!$A$13,"...")</f>
        <v>...</v>
      </c>
      <c r="B160" s="4" t="str">
        <f>IF($K$16="Y","---&gt;","...")</f>
        <v>...</v>
      </c>
      <c r="C160" s="1" t="str">
        <f>IF($K$16="Y",'Population Definitions'!$A$11,"...")</f>
        <v>...</v>
      </c>
      <c r="E160" s="2"/>
      <c r="F160" s="3"/>
      <c r="G160" s="2"/>
      <c r="H160" s="4" t="str">
        <f>IF($K$16="Y","OR","...")</f>
        <v>...</v>
      </c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</row>
    <row r="161" spans="1:59">
      <c r="A161" s="1" t="str">
        <f>IF($L$16="Y",'Population Definitions'!$A$13,"...")</f>
        <v>...</v>
      </c>
      <c r="B161" s="4" t="str">
        <f>IF($L$16="Y","---&gt;","...")</f>
        <v>...</v>
      </c>
      <c r="C161" s="1" t="str">
        <f>IF($L$16="Y",'Population Definitions'!$A$12,"...")</f>
        <v>...</v>
      </c>
      <c r="E161" s="2"/>
      <c r="F161" s="3"/>
      <c r="G161" s="2"/>
      <c r="H161" s="4" t="str">
        <f>IF($L$16="Y","OR","...")</f>
        <v>...</v>
      </c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</row>
    <row r="162" spans="1:59">
      <c r="A162" s="1" t="str">
        <f>IF($M$16="Y",'Population Definitions'!$A$13,"...")</f>
        <v>...</v>
      </c>
      <c r="B162" s="4" t="str">
        <f>IF($M$16="Y","---&gt;","...")</f>
        <v>...</v>
      </c>
      <c r="C162" s="1" t="str">
        <f>IF($M$16="Y",'Population Definitions'!$A$13,"...")</f>
        <v>...</v>
      </c>
      <c r="E162" s="2"/>
      <c r="F162" s="3"/>
      <c r="G162" s="2"/>
      <c r="H162" s="4" t="str">
        <f>IF($M$16="Y","OR","...")</f>
        <v>...</v>
      </c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</row>
    <row r="164" spans="1:59">
      <c r="A164" s="1" t="s">
        <v>0</v>
      </c>
      <c r="B164" s="1" t="s">
        <v>1</v>
      </c>
      <c r="C164" s="1" t="s">
        <v>223</v>
      </c>
      <c r="D164" s="1" t="s">
        <v>224</v>
      </c>
    </row>
    <row r="165" spans="1:59">
      <c r="A165" t="s">
        <v>508</v>
      </c>
      <c r="B165" t="s">
        <v>509</v>
      </c>
      <c r="C165" t="s">
        <v>5</v>
      </c>
      <c r="D165" t="s">
        <v>5</v>
      </c>
    </row>
    <row r="167" spans="1:59">
      <c r="B167" s="1" t="str">
        <f>'Population Definitions'!$A$2</f>
        <v>PWID_males</v>
      </c>
      <c r="C167" s="1" t="str">
        <f>'Population Definitions'!$A$3</f>
        <v>PWID_females</v>
      </c>
      <c r="D167" s="1" t="str">
        <f>'Population Definitions'!$A$4</f>
        <v>0-9_males</v>
      </c>
      <c r="E167" s="1" t="str">
        <f>'Population Definitions'!$A$5</f>
        <v>0-9_females</v>
      </c>
      <c r="F167" s="1" t="str">
        <f>'Population Definitions'!$A$6</f>
        <v>10-17_males</v>
      </c>
      <c r="G167" s="1" t="str">
        <f>'Population Definitions'!$A$7</f>
        <v>10-17_females</v>
      </c>
      <c r="H167" s="1" t="str">
        <f>'Population Definitions'!$A$8</f>
        <v>18-64_males</v>
      </c>
      <c r="I167" s="1" t="str">
        <f>'Population Definitions'!$A$9</f>
        <v>18-64_females</v>
      </c>
      <c r="J167" s="1" t="str">
        <f>'Population Definitions'!$A$10</f>
        <v>65+_males</v>
      </c>
      <c r="K167" s="1" t="str">
        <f>'Population Definitions'!$A$11</f>
        <v>65+_females</v>
      </c>
      <c r="L167" s="1" t="str">
        <f>'Population Definitions'!$A$12</f>
        <v>Prisoners_males</v>
      </c>
      <c r="M167" s="1" t="str">
        <f>'Population Definitions'!$A$13</f>
        <v>Prisoners_females</v>
      </c>
    </row>
    <row r="168" spans="1:59">
      <c r="A168" s="1" t="str">
        <f>'Population Definitions'!$A$2</f>
        <v>PWID_males</v>
      </c>
      <c r="B168" s="4" t="s">
        <v>56</v>
      </c>
      <c r="C168" s="5" t="s">
        <v>226</v>
      </c>
      <c r="D168" s="5" t="s">
        <v>226</v>
      </c>
      <c r="E168" s="5" t="s">
        <v>226</v>
      </c>
      <c r="F168" s="5" t="s">
        <v>226</v>
      </c>
      <c r="G168" s="5" t="s">
        <v>226</v>
      </c>
      <c r="H168" s="5" t="s">
        <v>225</v>
      </c>
      <c r="I168" s="5" t="s">
        <v>226</v>
      </c>
      <c r="J168" s="5" t="s">
        <v>226</v>
      </c>
      <c r="K168" s="5" t="s">
        <v>226</v>
      </c>
      <c r="L168" s="5" t="s">
        <v>226</v>
      </c>
      <c r="M168" s="5" t="s">
        <v>226</v>
      </c>
    </row>
    <row r="169" spans="1:59">
      <c r="A169" s="1" t="str">
        <f>'Population Definitions'!$A$3</f>
        <v>PWID_females</v>
      </c>
      <c r="B169" s="5" t="s">
        <v>226</v>
      </c>
      <c r="C169" s="4" t="s">
        <v>56</v>
      </c>
      <c r="D169" s="5" t="s">
        <v>226</v>
      </c>
      <c r="E169" s="5" t="s">
        <v>226</v>
      </c>
      <c r="F169" s="5" t="s">
        <v>226</v>
      </c>
      <c r="G169" s="5" t="s">
        <v>226</v>
      </c>
      <c r="H169" s="5" t="s">
        <v>226</v>
      </c>
      <c r="I169" s="5" t="s">
        <v>225</v>
      </c>
      <c r="J169" s="5" t="s">
        <v>226</v>
      </c>
      <c r="K169" s="5" t="s">
        <v>226</v>
      </c>
      <c r="L169" s="5" t="s">
        <v>226</v>
      </c>
      <c r="M169" s="5" t="s">
        <v>226</v>
      </c>
    </row>
    <row r="170" spans="1:59">
      <c r="A170" s="1" t="str">
        <f>'Population Definitions'!$A$4</f>
        <v>0-9_males</v>
      </c>
      <c r="B170" s="5" t="s">
        <v>226</v>
      </c>
      <c r="C170" s="5" t="s">
        <v>226</v>
      </c>
      <c r="D170" s="4" t="s">
        <v>56</v>
      </c>
      <c r="E170" s="5" t="s">
        <v>226</v>
      </c>
      <c r="F170" s="5" t="s">
        <v>226</v>
      </c>
      <c r="G170" s="5" t="s">
        <v>226</v>
      </c>
      <c r="H170" s="5" t="s">
        <v>226</v>
      </c>
      <c r="I170" s="5" t="s">
        <v>226</v>
      </c>
      <c r="J170" s="5" t="s">
        <v>226</v>
      </c>
      <c r="K170" s="5" t="s">
        <v>226</v>
      </c>
      <c r="L170" s="5" t="s">
        <v>226</v>
      </c>
      <c r="M170" s="5" t="s">
        <v>226</v>
      </c>
    </row>
    <row r="171" spans="1:59">
      <c r="A171" s="1" t="str">
        <f>'Population Definitions'!$A$5</f>
        <v>0-9_females</v>
      </c>
      <c r="B171" s="5" t="s">
        <v>226</v>
      </c>
      <c r="C171" s="5" t="s">
        <v>226</v>
      </c>
      <c r="D171" s="5" t="s">
        <v>226</v>
      </c>
      <c r="E171" s="4" t="s">
        <v>56</v>
      </c>
      <c r="F171" s="5" t="s">
        <v>226</v>
      </c>
      <c r="G171" s="5" t="s">
        <v>226</v>
      </c>
      <c r="H171" s="5" t="s">
        <v>226</v>
      </c>
      <c r="I171" s="5" t="s">
        <v>226</v>
      </c>
      <c r="J171" s="5" t="s">
        <v>226</v>
      </c>
      <c r="K171" s="5" t="s">
        <v>226</v>
      </c>
      <c r="L171" s="5" t="s">
        <v>226</v>
      </c>
      <c r="M171" s="5" t="s">
        <v>226</v>
      </c>
    </row>
    <row r="172" spans="1:59">
      <c r="A172" s="1" t="str">
        <f>'Population Definitions'!$A$6</f>
        <v>10-17_males</v>
      </c>
      <c r="B172" s="5" t="s">
        <v>226</v>
      </c>
      <c r="C172" s="5" t="s">
        <v>226</v>
      </c>
      <c r="D172" s="5" t="s">
        <v>226</v>
      </c>
      <c r="E172" s="5" t="s">
        <v>226</v>
      </c>
      <c r="F172" s="4" t="s">
        <v>56</v>
      </c>
      <c r="G172" s="5" t="s">
        <v>226</v>
      </c>
      <c r="H172" s="5" t="s">
        <v>226</v>
      </c>
      <c r="I172" s="5" t="s">
        <v>226</v>
      </c>
      <c r="J172" s="5" t="s">
        <v>226</v>
      </c>
      <c r="K172" s="5" t="s">
        <v>226</v>
      </c>
      <c r="L172" s="5" t="s">
        <v>226</v>
      </c>
      <c r="M172" s="5" t="s">
        <v>226</v>
      </c>
    </row>
    <row r="173" spans="1:59">
      <c r="A173" s="1" t="str">
        <f>'Population Definitions'!$A$7</f>
        <v>10-17_females</v>
      </c>
      <c r="B173" s="5" t="s">
        <v>226</v>
      </c>
      <c r="C173" s="5" t="s">
        <v>226</v>
      </c>
      <c r="D173" s="5" t="s">
        <v>226</v>
      </c>
      <c r="E173" s="5" t="s">
        <v>226</v>
      </c>
      <c r="F173" s="5" t="s">
        <v>226</v>
      </c>
      <c r="G173" s="4" t="s">
        <v>56</v>
      </c>
      <c r="H173" s="5" t="s">
        <v>226</v>
      </c>
      <c r="I173" s="5" t="s">
        <v>226</v>
      </c>
      <c r="J173" s="5" t="s">
        <v>226</v>
      </c>
      <c r="K173" s="5" t="s">
        <v>226</v>
      </c>
      <c r="L173" s="5" t="s">
        <v>226</v>
      </c>
      <c r="M173" s="5" t="s">
        <v>226</v>
      </c>
    </row>
    <row r="174" spans="1:59">
      <c r="A174" s="1" t="str">
        <f>'Population Definitions'!$A$8</f>
        <v>18-64_males</v>
      </c>
      <c r="B174" s="5" t="s">
        <v>225</v>
      </c>
      <c r="C174" s="5" t="s">
        <v>226</v>
      </c>
      <c r="D174" s="5" t="s">
        <v>226</v>
      </c>
      <c r="E174" s="5" t="s">
        <v>226</v>
      </c>
      <c r="F174" s="5" t="s">
        <v>226</v>
      </c>
      <c r="G174" s="5" t="s">
        <v>226</v>
      </c>
      <c r="H174" s="4" t="s">
        <v>56</v>
      </c>
      <c r="I174" s="5" t="s">
        <v>226</v>
      </c>
      <c r="J174" s="5" t="s">
        <v>226</v>
      </c>
      <c r="K174" s="5" t="s">
        <v>226</v>
      </c>
      <c r="L174" s="5" t="s">
        <v>226</v>
      </c>
      <c r="M174" s="5" t="s">
        <v>226</v>
      </c>
    </row>
    <row r="175" spans="1:59">
      <c r="A175" s="1" t="str">
        <f>'Population Definitions'!$A$9</f>
        <v>18-64_females</v>
      </c>
      <c r="B175" s="5" t="s">
        <v>226</v>
      </c>
      <c r="C175" s="5" t="s">
        <v>225</v>
      </c>
      <c r="D175" s="5" t="s">
        <v>226</v>
      </c>
      <c r="E175" s="5" t="s">
        <v>226</v>
      </c>
      <c r="F175" s="5" t="s">
        <v>226</v>
      </c>
      <c r="G175" s="5" t="s">
        <v>226</v>
      </c>
      <c r="H175" s="5" t="s">
        <v>226</v>
      </c>
      <c r="I175" s="4" t="s">
        <v>56</v>
      </c>
      <c r="J175" s="5" t="s">
        <v>226</v>
      </c>
      <c r="K175" s="5" t="s">
        <v>226</v>
      </c>
      <c r="L175" s="5" t="s">
        <v>226</v>
      </c>
      <c r="M175" s="5" t="s">
        <v>226</v>
      </c>
    </row>
    <row r="176" spans="1:59">
      <c r="A176" s="1" t="str">
        <f>'Population Definitions'!$A$10</f>
        <v>65+_males</v>
      </c>
      <c r="B176" s="5" t="s">
        <v>226</v>
      </c>
      <c r="C176" s="5" t="s">
        <v>226</v>
      </c>
      <c r="D176" s="5" t="s">
        <v>226</v>
      </c>
      <c r="E176" s="5" t="s">
        <v>226</v>
      </c>
      <c r="F176" s="5" t="s">
        <v>226</v>
      </c>
      <c r="G176" s="5" t="s">
        <v>226</v>
      </c>
      <c r="H176" s="5" t="s">
        <v>226</v>
      </c>
      <c r="I176" s="5" t="s">
        <v>226</v>
      </c>
      <c r="J176" s="4" t="s">
        <v>56</v>
      </c>
      <c r="K176" s="5" t="s">
        <v>226</v>
      </c>
      <c r="L176" s="5" t="s">
        <v>226</v>
      </c>
      <c r="M176" s="5" t="s">
        <v>226</v>
      </c>
    </row>
    <row r="177" spans="1:59">
      <c r="A177" s="1" t="str">
        <f>'Population Definitions'!$A$11</f>
        <v>65+_females</v>
      </c>
      <c r="B177" s="5" t="s">
        <v>226</v>
      </c>
      <c r="C177" s="5" t="s">
        <v>226</v>
      </c>
      <c r="D177" s="5" t="s">
        <v>226</v>
      </c>
      <c r="E177" s="5" t="s">
        <v>226</v>
      </c>
      <c r="F177" s="5" t="s">
        <v>226</v>
      </c>
      <c r="G177" s="5" t="s">
        <v>226</v>
      </c>
      <c r="H177" s="5" t="s">
        <v>226</v>
      </c>
      <c r="I177" s="5" t="s">
        <v>226</v>
      </c>
      <c r="J177" s="5" t="s">
        <v>226</v>
      </c>
      <c r="K177" s="4" t="s">
        <v>56</v>
      </c>
      <c r="L177" s="5" t="s">
        <v>226</v>
      </c>
      <c r="M177" s="5" t="s">
        <v>226</v>
      </c>
    </row>
    <row r="178" spans="1:59">
      <c r="A178" s="1" t="str">
        <f>'Population Definitions'!$A$12</f>
        <v>Prisoners_males</v>
      </c>
      <c r="B178" s="5" t="s">
        <v>226</v>
      </c>
      <c r="C178" s="5" t="s">
        <v>226</v>
      </c>
      <c r="D178" s="5" t="s">
        <v>226</v>
      </c>
      <c r="E178" s="5" t="s">
        <v>226</v>
      </c>
      <c r="F178" s="5" t="s">
        <v>226</v>
      </c>
      <c r="G178" s="5" t="s">
        <v>226</v>
      </c>
      <c r="H178" s="5" t="s">
        <v>226</v>
      </c>
      <c r="I178" s="5" t="s">
        <v>226</v>
      </c>
      <c r="J178" s="5" t="s">
        <v>226</v>
      </c>
      <c r="K178" s="5" t="s">
        <v>226</v>
      </c>
      <c r="L178" s="4" t="s">
        <v>56</v>
      </c>
      <c r="M178" s="5" t="s">
        <v>226</v>
      </c>
    </row>
    <row r="179" spans="1:59">
      <c r="A179" s="1" t="str">
        <f>'Population Definitions'!$A$13</f>
        <v>Prisoners_females</v>
      </c>
      <c r="B179" s="5" t="s">
        <v>226</v>
      </c>
      <c r="C179" s="5" t="s">
        <v>226</v>
      </c>
      <c r="D179" s="5" t="s">
        <v>226</v>
      </c>
      <c r="E179" s="5" t="s">
        <v>226</v>
      </c>
      <c r="F179" s="5" t="s">
        <v>226</v>
      </c>
      <c r="G179" s="5" t="s">
        <v>226</v>
      </c>
      <c r="H179" s="5" t="s">
        <v>226</v>
      </c>
      <c r="I179" s="5" t="s">
        <v>226</v>
      </c>
      <c r="J179" s="5" t="s">
        <v>226</v>
      </c>
      <c r="K179" s="5" t="s">
        <v>226</v>
      </c>
      <c r="L179" s="5" t="s">
        <v>226</v>
      </c>
      <c r="M179" s="4" t="s">
        <v>56</v>
      </c>
    </row>
    <row r="181" spans="1:59">
      <c r="A181" s="1" t="s">
        <v>227</v>
      </c>
      <c r="B181" s="1"/>
      <c r="C181" s="1" t="s">
        <v>228</v>
      </c>
      <c r="D181" s="1" t="s">
        <v>29</v>
      </c>
      <c r="E181" s="1" t="s">
        <v>30</v>
      </c>
      <c r="F181" s="1" t="s">
        <v>31</v>
      </c>
      <c r="G181" s="1" t="s">
        <v>36</v>
      </c>
      <c r="H181" s="1"/>
      <c r="I181" s="1">
        <v>2000</v>
      </c>
      <c r="J181" s="1">
        <v>2001</v>
      </c>
      <c r="K181" s="1">
        <v>2002</v>
      </c>
      <c r="L181" s="1">
        <v>2003</v>
      </c>
      <c r="M181" s="1">
        <v>2004</v>
      </c>
      <c r="N181" s="1">
        <v>2005</v>
      </c>
      <c r="O181" s="1">
        <v>2006</v>
      </c>
      <c r="P181" s="1">
        <v>2007</v>
      </c>
      <c r="Q181" s="1">
        <v>2008</v>
      </c>
      <c r="R181" s="1">
        <v>2009</v>
      </c>
      <c r="S181" s="1">
        <v>2010</v>
      </c>
      <c r="T181" s="1">
        <v>2011</v>
      </c>
      <c r="U181" s="1">
        <v>2012</v>
      </c>
      <c r="V181" s="1">
        <v>2013</v>
      </c>
      <c r="W181" s="1">
        <v>2014</v>
      </c>
      <c r="X181" s="1">
        <v>2015</v>
      </c>
      <c r="Y181" s="1">
        <v>2016</v>
      </c>
      <c r="Z181" s="1">
        <v>2017</v>
      </c>
      <c r="AA181" s="1">
        <v>2018</v>
      </c>
      <c r="AB181" s="1">
        <v>2019</v>
      </c>
      <c r="AC181" s="1">
        <v>2020</v>
      </c>
      <c r="AD181" s="1">
        <v>2021</v>
      </c>
      <c r="AE181" s="1">
        <v>2022</v>
      </c>
      <c r="AF181" s="1">
        <v>2023</v>
      </c>
      <c r="AG181" s="1">
        <v>2024</v>
      </c>
      <c r="AH181" s="1">
        <v>2025</v>
      </c>
      <c r="AI181" s="1">
        <v>2026</v>
      </c>
      <c r="AJ181" s="1">
        <v>2027</v>
      </c>
      <c r="AK181" s="1">
        <v>2028</v>
      </c>
      <c r="AL181" s="1">
        <v>2029</v>
      </c>
      <c r="AM181" s="1">
        <v>2030</v>
      </c>
      <c r="AN181" s="1">
        <v>2031</v>
      </c>
      <c r="AO181" s="1">
        <v>2032</v>
      </c>
      <c r="AP181" s="1">
        <v>2033</v>
      </c>
      <c r="AQ181" s="1">
        <v>2034</v>
      </c>
      <c r="AR181" s="1">
        <v>2035</v>
      </c>
      <c r="AS181" s="1">
        <v>2036</v>
      </c>
      <c r="AT181" s="1">
        <v>2037</v>
      </c>
      <c r="AU181" s="1">
        <v>2038</v>
      </c>
      <c r="AV181" s="1">
        <v>2039</v>
      </c>
      <c r="AW181" s="1">
        <v>2040</v>
      </c>
      <c r="AX181" s="1">
        <v>2041</v>
      </c>
      <c r="AY181" s="1">
        <v>2042</v>
      </c>
      <c r="AZ181" s="1">
        <v>2043</v>
      </c>
      <c r="BA181" s="1">
        <v>2044</v>
      </c>
      <c r="BB181" s="1">
        <v>2045</v>
      </c>
      <c r="BC181" s="1">
        <v>2046</v>
      </c>
      <c r="BD181" s="1">
        <v>2047</v>
      </c>
      <c r="BE181" s="1">
        <v>2048</v>
      </c>
      <c r="BF181" s="1">
        <v>2049</v>
      </c>
      <c r="BG181" s="1">
        <v>2050</v>
      </c>
    </row>
    <row r="182" spans="1:59">
      <c r="A182" s="1" t="str">
        <f>IF($B$168="Y",'Population Definitions'!$A$2,"...")</f>
        <v>...</v>
      </c>
      <c r="B182" s="4" t="str">
        <f>IF($B$168="Y","---&gt;","...")</f>
        <v>...</v>
      </c>
      <c r="C182" s="1" t="str">
        <f>IF($B$168="Y",'Population Definitions'!$A$2,"...")</f>
        <v>...</v>
      </c>
      <c r="E182" s="2"/>
      <c r="F182" s="3"/>
      <c r="G182" s="2"/>
      <c r="H182" s="4" t="str">
        <f>IF($B$168="Y","OR","...")</f>
        <v>...</v>
      </c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</row>
    <row r="183" spans="1:59">
      <c r="A183" s="1" t="str">
        <f>IF($C$168="Y",'Population Definitions'!$A$2,"...")</f>
        <v>...</v>
      </c>
      <c r="B183" s="4" t="str">
        <f>IF($C$168="Y","---&gt;","...")</f>
        <v>...</v>
      </c>
      <c r="C183" s="1" t="str">
        <f>IF($C$168="Y",'Population Definitions'!$A$3,"...")</f>
        <v>...</v>
      </c>
      <c r="E183" s="2"/>
      <c r="F183" s="3"/>
      <c r="G183" s="2"/>
      <c r="H183" s="4" t="str">
        <f>IF($C$168="Y","OR","...")</f>
        <v>...</v>
      </c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</row>
    <row r="184" spans="1:59">
      <c r="A184" s="1" t="str">
        <f>IF($D$168="Y",'Population Definitions'!$A$2,"...")</f>
        <v>...</v>
      </c>
      <c r="B184" s="4" t="str">
        <f>IF($D$168="Y","---&gt;","...")</f>
        <v>...</v>
      </c>
      <c r="C184" s="1" t="str">
        <f>IF($D$168="Y",'Population Definitions'!$A$4,"...")</f>
        <v>...</v>
      </c>
      <c r="E184" s="2"/>
      <c r="F184" s="3"/>
      <c r="G184" s="2"/>
      <c r="H184" s="4" t="str">
        <f>IF($D$168="Y","OR","...")</f>
        <v>...</v>
      </c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</row>
    <row r="185" spans="1:59">
      <c r="A185" s="1" t="str">
        <f>IF($E$168="Y",'Population Definitions'!$A$2,"...")</f>
        <v>...</v>
      </c>
      <c r="B185" s="4" t="str">
        <f>IF($E$168="Y","---&gt;","...")</f>
        <v>...</v>
      </c>
      <c r="C185" s="1" t="str">
        <f>IF($E$168="Y",'Population Definitions'!$A$5,"...")</f>
        <v>...</v>
      </c>
      <c r="E185" s="2"/>
      <c r="F185" s="3"/>
      <c r="G185" s="2"/>
      <c r="H185" s="4" t="str">
        <f>IF($E$168="Y","OR","...")</f>
        <v>...</v>
      </c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</row>
    <row r="186" spans="1:59">
      <c r="A186" s="1" t="str">
        <f>IF($F$168="Y",'Population Definitions'!$A$2,"...")</f>
        <v>...</v>
      </c>
      <c r="B186" s="4" t="str">
        <f>IF($F$168="Y","---&gt;","...")</f>
        <v>...</v>
      </c>
      <c r="C186" s="1" t="str">
        <f>IF($F$168="Y",'Population Definitions'!$A$6,"...")</f>
        <v>...</v>
      </c>
      <c r="E186" s="2"/>
      <c r="F186" s="3"/>
      <c r="G186" s="2"/>
      <c r="H186" s="4" t="str">
        <f>IF($F$168="Y","OR","...")</f>
        <v>...</v>
      </c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</row>
    <row r="187" spans="1:59">
      <c r="A187" s="1" t="str">
        <f>IF($G$168="Y",'Population Definitions'!$A$2,"...")</f>
        <v>...</v>
      </c>
      <c r="B187" s="4" t="str">
        <f>IF($G$168="Y","---&gt;","...")</f>
        <v>...</v>
      </c>
      <c r="C187" s="1" t="str">
        <f>IF($G$168="Y",'Population Definitions'!$A$7,"...")</f>
        <v>...</v>
      </c>
      <c r="E187" s="2"/>
      <c r="F187" s="3"/>
      <c r="G187" s="2"/>
      <c r="H187" s="4" t="str">
        <f>IF($G$168="Y","OR","...")</f>
        <v>...</v>
      </c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</row>
    <row r="188" spans="1:59">
      <c r="A188" s="1" t="str">
        <f>IF($H$168="Y",'Population Definitions'!$A$2,"...")</f>
        <v>PWID_males</v>
      </c>
      <c r="B188" s="4" t="str">
        <f>IF($H$168="Y","---&gt;","...")</f>
        <v>---&gt;</v>
      </c>
      <c r="C188" s="1" t="str">
        <f>IF($H$168="Y",'Population Definitions'!$A$8,"...")</f>
        <v>18-64_males</v>
      </c>
      <c r="E188" s="3" t="s">
        <v>53</v>
      </c>
      <c r="F188" s="3"/>
      <c r="G188" s="3">
        <v>0.0588235294117647</v>
      </c>
      <c r="H188" s="4" t="str">
        <f>IF($H$168="Y","OR","...")</f>
        <v>OR</v>
      </c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</row>
    <row r="189" spans="1:59">
      <c r="A189" s="1" t="str">
        <f>IF($I$168="Y",'Population Definitions'!$A$2,"...")</f>
        <v>...</v>
      </c>
      <c r="B189" s="4" t="str">
        <f>IF($I$168="Y","---&gt;","...")</f>
        <v>...</v>
      </c>
      <c r="C189" s="1" t="str">
        <f>IF($I$168="Y",'Population Definitions'!$A$9,"...")</f>
        <v>...</v>
      </c>
      <c r="E189" s="2"/>
      <c r="F189" s="3"/>
      <c r="G189" s="2"/>
      <c r="H189" s="4" t="str">
        <f>IF($I$168="Y","OR","...")</f>
        <v>...</v>
      </c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</row>
    <row r="190" spans="1:59">
      <c r="A190" s="1" t="str">
        <f>IF($J$168="Y",'Population Definitions'!$A$2,"...")</f>
        <v>...</v>
      </c>
      <c r="B190" s="4" t="str">
        <f>IF($J$168="Y","---&gt;","...")</f>
        <v>...</v>
      </c>
      <c r="C190" s="1" t="str">
        <f>IF($J$168="Y",'Population Definitions'!$A$10,"...")</f>
        <v>...</v>
      </c>
      <c r="E190" s="2"/>
      <c r="F190" s="3"/>
      <c r="G190" s="2"/>
      <c r="H190" s="4" t="str">
        <f>IF($J$168="Y","OR","...")</f>
        <v>...</v>
      </c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</row>
    <row r="191" spans="1:59">
      <c r="A191" s="1" t="str">
        <f>IF($K$168="Y",'Population Definitions'!$A$2,"...")</f>
        <v>...</v>
      </c>
      <c r="B191" s="4" t="str">
        <f>IF($K$168="Y","---&gt;","...")</f>
        <v>...</v>
      </c>
      <c r="C191" s="1" t="str">
        <f>IF($K$168="Y",'Population Definitions'!$A$11,"...")</f>
        <v>...</v>
      </c>
      <c r="E191" s="2"/>
      <c r="F191" s="3"/>
      <c r="G191" s="2"/>
      <c r="H191" s="4" t="str">
        <f>IF($K$168="Y","OR","...")</f>
        <v>...</v>
      </c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</row>
    <row r="192" spans="1:59">
      <c r="A192" s="1" t="str">
        <f>IF($L$168="Y",'Population Definitions'!$A$2,"...")</f>
        <v>...</v>
      </c>
      <c r="B192" s="4" t="str">
        <f>IF($L$168="Y","---&gt;","...")</f>
        <v>...</v>
      </c>
      <c r="C192" s="1" t="str">
        <f>IF($L$168="Y",'Population Definitions'!$A$12,"...")</f>
        <v>...</v>
      </c>
      <c r="E192" s="2"/>
      <c r="F192" s="3"/>
      <c r="G192" s="2"/>
      <c r="H192" s="4" t="str">
        <f>IF($L$168="Y","OR","...")</f>
        <v>...</v>
      </c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</row>
    <row r="193" spans="1:59">
      <c r="A193" s="1" t="str">
        <f>IF($M$168="Y",'Population Definitions'!$A$2,"...")</f>
        <v>...</v>
      </c>
      <c r="B193" s="4" t="str">
        <f>IF($M$168="Y","---&gt;","...")</f>
        <v>...</v>
      </c>
      <c r="C193" s="1" t="str">
        <f>IF($M$168="Y",'Population Definitions'!$A$13,"...")</f>
        <v>...</v>
      </c>
      <c r="E193" s="2"/>
      <c r="F193" s="3"/>
      <c r="G193" s="2"/>
      <c r="H193" s="4" t="str">
        <f>IF($M$168="Y","OR","...")</f>
        <v>...</v>
      </c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</row>
    <row r="194" spans="1:59">
      <c r="A194" s="1" t="str">
        <f>IF($B$169="Y",'Population Definitions'!$A$3,"...")</f>
        <v>...</v>
      </c>
      <c r="B194" s="4" t="str">
        <f>IF($B$169="Y","---&gt;","...")</f>
        <v>...</v>
      </c>
      <c r="C194" s="1" t="str">
        <f>IF($B$169="Y",'Population Definitions'!$A$2,"...")</f>
        <v>...</v>
      </c>
      <c r="E194" s="2"/>
      <c r="F194" s="3"/>
      <c r="G194" s="2"/>
      <c r="H194" s="4" t="str">
        <f>IF($B$169="Y","OR","...")</f>
        <v>...</v>
      </c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</row>
    <row r="195" spans="1:59">
      <c r="A195" s="1" t="str">
        <f>IF($C$169="Y",'Population Definitions'!$A$3,"...")</f>
        <v>...</v>
      </c>
      <c r="B195" s="4" t="str">
        <f>IF($C$169="Y","---&gt;","...")</f>
        <v>...</v>
      </c>
      <c r="C195" s="1" t="str">
        <f>IF($C$169="Y",'Population Definitions'!$A$3,"...")</f>
        <v>...</v>
      </c>
      <c r="E195" s="2"/>
      <c r="F195" s="3"/>
      <c r="G195" s="2"/>
      <c r="H195" s="4" t="str">
        <f>IF($C$169="Y","OR","...")</f>
        <v>...</v>
      </c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</row>
    <row r="196" spans="1:59">
      <c r="A196" s="1" t="str">
        <f>IF($D$169="Y",'Population Definitions'!$A$3,"...")</f>
        <v>...</v>
      </c>
      <c r="B196" s="4" t="str">
        <f>IF($D$169="Y","---&gt;","...")</f>
        <v>...</v>
      </c>
      <c r="C196" s="1" t="str">
        <f>IF($D$169="Y",'Population Definitions'!$A$4,"...")</f>
        <v>...</v>
      </c>
      <c r="E196" s="2"/>
      <c r="F196" s="3"/>
      <c r="G196" s="2"/>
      <c r="H196" s="4" t="str">
        <f>IF($D$169="Y","OR","...")</f>
        <v>...</v>
      </c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</row>
    <row r="197" spans="1:59">
      <c r="A197" s="1" t="str">
        <f>IF($E$169="Y",'Population Definitions'!$A$3,"...")</f>
        <v>...</v>
      </c>
      <c r="B197" s="4" t="str">
        <f>IF($E$169="Y","---&gt;","...")</f>
        <v>...</v>
      </c>
      <c r="C197" s="1" t="str">
        <f>IF($E$169="Y",'Population Definitions'!$A$5,"...")</f>
        <v>...</v>
      </c>
      <c r="E197" s="2"/>
      <c r="F197" s="3"/>
      <c r="G197" s="2"/>
      <c r="H197" s="4" t="str">
        <f>IF($E$169="Y","OR","...")</f>
        <v>...</v>
      </c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</row>
    <row r="198" spans="1:59">
      <c r="A198" s="1" t="str">
        <f>IF($F$169="Y",'Population Definitions'!$A$3,"...")</f>
        <v>...</v>
      </c>
      <c r="B198" s="4" t="str">
        <f>IF($F$169="Y","---&gt;","...")</f>
        <v>...</v>
      </c>
      <c r="C198" s="1" t="str">
        <f>IF($F$169="Y",'Population Definitions'!$A$6,"...")</f>
        <v>...</v>
      </c>
      <c r="E198" s="2"/>
      <c r="F198" s="3"/>
      <c r="G198" s="2"/>
      <c r="H198" s="4" t="str">
        <f>IF($F$169="Y","OR","...")</f>
        <v>...</v>
      </c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</row>
    <row r="199" spans="1:59">
      <c r="A199" s="1" t="str">
        <f>IF($G$169="Y",'Population Definitions'!$A$3,"...")</f>
        <v>...</v>
      </c>
      <c r="B199" s="4" t="str">
        <f>IF($G$169="Y","---&gt;","...")</f>
        <v>...</v>
      </c>
      <c r="C199" s="1" t="str">
        <f>IF($G$169="Y",'Population Definitions'!$A$7,"...")</f>
        <v>...</v>
      </c>
      <c r="E199" s="2"/>
      <c r="F199" s="3"/>
      <c r="G199" s="2"/>
      <c r="H199" s="4" t="str">
        <f>IF($G$169="Y","OR","...")</f>
        <v>...</v>
      </c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</row>
    <row r="200" spans="1:59">
      <c r="A200" s="1" t="str">
        <f>IF($H$169="Y",'Population Definitions'!$A$3,"...")</f>
        <v>...</v>
      </c>
      <c r="B200" s="4" t="str">
        <f>IF($H$169="Y","---&gt;","...")</f>
        <v>...</v>
      </c>
      <c r="C200" s="1" t="str">
        <f>IF($H$169="Y",'Population Definitions'!$A$8,"...")</f>
        <v>...</v>
      </c>
      <c r="E200" s="2"/>
      <c r="F200" s="3"/>
      <c r="G200" s="2"/>
      <c r="H200" s="4" t="str">
        <f>IF($H$169="Y","OR","...")</f>
        <v>...</v>
      </c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</row>
    <row r="201" spans="1:59">
      <c r="A201" s="1" t="str">
        <f>IF($I$169="Y",'Population Definitions'!$A$3,"...")</f>
        <v>PWID_females</v>
      </c>
      <c r="B201" s="4" t="str">
        <f>IF($I$169="Y","---&gt;","...")</f>
        <v>---&gt;</v>
      </c>
      <c r="C201" s="1" t="str">
        <f>IF($I$169="Y",'Population Definitions'!$A$9,"...")</f>
        <v>18-64_females</v>
      </c>
      <c r="E201" s="3" t="s">
        <v>53</v>
      </c>
      <c r="F201" s="3"/>
      <c r="G201" s="3">
        <v>0.0588235294117647</v>
      </c>
      <c r="H201" s="4" t="str">
        <f>IF($I$169="Y","OR","...")</f>
        <v>OR</v>
      </c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</row>
    <row r="202" spans="1:59">
      <c r="A202" s="1" t="str">
        <f>IF($J$169="Y",'Population Definitions'!$A$3,"...")</f>
        <v>...</v>
      </c>
      <c r="B202" s="4" t="str">
        <f>IF($J$169="Y","---&gt;","...")</f>
        <v>...</v>
      </c>
      <c r="C202" s="1" t="str">
        <f>IF($J$169="Y",'Population Definitions'!$A$10,"...")</f>
        <v>...</v>
      </c>
      <c r="E202" s="2"/>
      <c r="F202" s="3"/>
      <c r="G202" s="2"/>
      <c r="H202" s="4" t="str">
        <f>IF($J$169="Y","OR","...")</f>
        <v>...</v>
      </c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</row>
    <row r="203" spans="1:59">
      <c r="A203" s="1" t="str">
        <f>IF($K$169="Y",'Population Definitions'!$A$3,"...")</f>
        <v>...</v>
      </c>
      <c r="B203" s="4" t="str">
        <f>IF($K$169="Y","---&gt;","...")</f>
        <v>...</v>
      </c>
      <c r="C203" s="1" t="str">
        <f>IF($K$169="Y",'Population Definitions'!$A$11,"...")</f>
        <v>...</v>
      </c>
      <c r="E203" s="2"/>
      <c r="F203" s="3"/>
      <c r="G203" s="2"/>
      <c r="H203" s="4" t="str">
        <f>IF($K$169="Y","OR","...")</f>
        <v>...</v>
      </c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</row>
    <row r="204" spans="1:59">
      <c r="A204" s="1" t="str">
        <f>IF($L$169="Y",'Population Definitions'!$A$3,"...")</f>
        <v>...</v>
      </c>
      <c r="B204" s="4" t="str">
        <f>IF($L$169="Y","---&gt;","...")</f>
        <v>...</v>
      </c>
      <c r="C204" s="1" t="str">
        <f>IF($L$169="Y",'Population Definitions'!$A$12,"...")</f>
        <v>...</v>
      </c>
      <c r="E204" s="2"/>
      <c r="F204" s="3"/>
      <c r="G204" s="2"/>
      <c r="H204" s="4" t="str">
        <f>IF($L$169="Y","OR","...")</f>
        <v>...</v>
      </c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</row>
    <row r="205" spans="1:59">
      <c r="A205" s="1" t="str">
        <f>IF($M$169="Y",'Population Definitions'!$A$3,"...")</f>
        <v>...</v>
      </c>
      <c r="B205" s="4" t="str">
        <f>IF($M$169="Y","---&gt;","...")</f>
        <v>...</v>
      </c>
      <c r="C205" s="1" t="str">
        <f>IF($M$169="Y",'Population Definitions'!$A$13,"...")</f>
        <v>...</v>
      </c>
      <c r="E205" s="2"/>
      <c r="F205" s="3"/>
      <c r="G205" s="2"/>
      <c r="H205" s="4" t="str">
        <f>IF($M$169="Y","OR","...")</f>
        <v>...</v>
      </c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</row>
    <row r="206" spans="1:59">
      <c r="A206" s="1" t="str">
        <f>IF($B$170="Y",'Population Definitions'!$A$4,"...")</f>
        <v>...</v>
      </c>
      <c r="B206" s="4" t="str">
        <f>IF($B$170="Y","---&gt;","...")</f>
        <v>...</v>
      </c>
      <c r="C206" s="1" t="str">
        <f>IF($B$170="Y",'Population Definitions'!$A$2,"...")</f>
        <v>...</v>
      </c>
      <c r="E206" s="2"/>
      <c r="F206" s="3"/>
      <c r="G206" s="2"/>
      <c r="H206" s="4" t="str">
        <f>IF($B$170="Y","OR","...")</f>
        <v>...</v>
      </c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</row>
    <row r="207" spans="1:59">
      <c r="A207" s="1" t="str">
        <f>IF($C$170="Y",'Population Definitions'!$A$4,"...")</f>
        <v>...</v>
      </c>
      <c r="B207" s="4" t="str">
        <f>IF($C$170="Y","---&gt;","...")</f>
        <v>...</v>
      </c>
      <c r="C207" s="1" t="str">
        <f>IF($C$170="Y",'Population Definitions'!$A$3,"...")</f>
        <v>...</v>
      </c>
      <c r="E207" s="2"/>
      <c r="F207" s="3"/>
      <c r="G207" s="2"/>
      <c r="H207" s="4" t="str">
        <f>IF($C$170="Y","OR","...")</f>
        <v>...</v>
      </c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</row>
    <row r="208" spans="1:59">
      <c r="A208" s="1" t="str">
        <f>IF($D$170="Y",'Population Definitions'!$A$4,"...")</f>
        <v>...</v>
      </c>
      <c r="B208" s="4" t="str">
        <f>IF($D$170="Y","---&gt;","...")</f>
        <v>...</v>
      </c>
      <c r="C208" s="1" t="str">
        <f>IF($D$170="Y",'Population Definitions'!$A$4,"...")</f>
        <v>...</v>
      </c>
      <c r="E208" s="2"/>
      <c r="F208" s="3"/>
      <c r="G208" s="2"/>
      <c r="H208" s="4" t="str">
        <f>IF($D$170="Y","OR","...")</f>
        <v>...</v>
      </c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</row>
    <row r="209" spans="1:59">
      <c r="A209" s="1" t="str">
        <f>IF($E$170="Y",'Population Definitions'!$A$4,"...")</f>
        <v>...</v>
      </c>
      <c r="B209" s="4" t="str">
        <f>IF($E$170="Y","---&gt;","...")</f>
        <v>...</v>
      </c>
      <c r="C209" s="1" t="str">
        <f>IF($E$170="Y",'Population Definitions'!$A$5,"...")</f>
        <v>...</v>
      </c>
      <c r="E209" s="2"/>
      <c r="F209" s="3"/>
      <c r="G209" s="2"/>
      <c r="H209" s="4" t="str">
        <f>IF($E$170="Y","OR","...")</f>
        <v>...</v>
      </c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</row>
    <row r="210" spans="1:59">
      <c r="A210" s="1" t="str">
        <f>IF($F$170="Y",'Population Definitions'!$A$4,"...")</f>
        <v>...</v>
      </c>
      <c r="B210" s="4" t="str">
        <f>IF($F$170="Y","---&gt;","...")</f>
        <v>...</v>
      </c>
      <c r="C210" s="1" t="str">
        <f>IF($F$170="Y",'Population Definitions'!$A$6,"...")</f>
        <v>...</v>
      </c>
      <c r="E210" s="2"/>
      <c r="F210" s="3"/>
      <c r="G210" s="2"/>
      <c r="H210" s="4" t="str">
        <f>IF($F$170="Y","OR","...")</f>
        <v>...</v>
      </c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</row>
    <row r="211" spans="1:59">
      <c r="A211" s="1" t="str">
        <f>IF($G$170="Y",'Population Definitions'!$A$4,"...")</f>
        <v>...</v>
      </c>
      <c r="B211" s="4" t="str">
        <f>IF($G$170="Y","---&gt;","...")</f>
        <v>...</v>
      </c>
      <c r="C211" s="1" t="str">
        <f>IF($G$170="Y",'Population Definitions'!$A$7,"...")</f>
        <v>...</v>
      </c>
      <c r="E211" s="2"/>
      <c r="F211" s="3"/>
      <c r="G211" s="2"/>
      <c r="H211" s="4" t="str">
        <f>IF($G$170="Y","OR","...")</f>
        <v>...</v>
      </c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</row>
    <row r="212" spans="1:59">
      <c r="A212" s="1" t="str">
        <f>IF($H$170="Y",'Population Definitions'!$A$4,"...")</f>
        <v>...</v>
      </c>
      <c r="B212" s="4" t="str">
        <f>IF($H$170="Y","---&gt;","...")</f>
        <v>...</v>
      </c>
      <c r="C212" s="1" t="str">
        <f>IF($H$170="Y",'Population Definitions'!$A$8,"...")</f>
        <v>...</v>
      </c>
      <c r="E212" s="2"/>
      <c r="F212" s="3"/>
      <c r="G212" s="2"/>
      <c r="H212" s="4" t="str">
        <f>IF($H$170="Y","OR","...")</f>
        <v>...</v>
      </c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</row>
    <row r="213" spans="1:59">
      <c r="A213" s="1" t="str">
        <f>IF($I$170="Y",'Population Definitions'!$A$4,"...")</f>
        <v>...</v>
      </c>
      <c r="B213" s="4" t="str">
        <f>IF($I$170="Y","---&gt;","...")</f>
        <v>...</v>
      </c>
      <c r="C213" s="1" t="str">
        <f>IF($I$170="Y",'Population Definitions'!$A$9,"...")</f>
        <v>...</v>
      </c>
      <c r="E213" s="2"/>
      <c r="F213" s="3"/>
      <c r="G213" s="2"/>
      <c r="H213" s="4" t="str">
        <f>IF($I$170="Y","OR","...")</f>
        <v>...</v>
      </c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</row>
    <row r="214" spans="1:59">
      <c r="A214" s="1" t="str">
        <f>IF($J$170="Y",'Population Definitions'!$A$4,"...")</f>
        <v>...</v>
      </c>
      <c r="B214" s="4" t="str">
        <f>IF($J$170="Y","---&gt;","...")</f>
        <v>...</v>
      </c>
      <c r="C214" s="1" t="str">
        <f>IF($J$170="Y",'Population Definitions'!$A$10,"...")</f>
        <v>...</v>
      </c>
      <c r="E214" s="2"/>
      <c r="F214" s="3"/>
      <c r="G214" s="2"/>
      <c r="H214" s="4" t="str">
        <f>IF($J$170="Y","OR","...")</f>
        <v>...</v>
      </c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</row>
    <row r="215" spans="1:59">
      <c r="A215" s="1" t="str">
        <f>IF($K$170="Y",'Population Definitions'!$A$4,"...")</f>
        <v>...</v>
      </c>
      <c r="B215" s="4" t="str">
        <f>IF($K$170="Y","---&gt;","...")</f>
        <v>...</v>
      </c>
      <c r="C215" s="1" t="str">
        <f>IF($K$170="Y",'Population Definitions'!$A$11,"...")</f>
        <v>...</v>
      </c>
      <c r="E215" s="2"/>
      <c r="F215" s="3"/>
      <c r="G215" s="2"/>
      <c r="H215" s="4" t="str">
        <f>IF($K$170="Y","OR","...")</f>
        <v>...</v>
      </c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</row>
    <row r="216" spans="1:59">
      <c r="A216" s="1" t="str">
        <f>IF($L$170="Y",'Population Definitions'!$A$4,"...")</f>
        <v>...</v>
      </c>
      <c r="B216" s="4" t="str">
        <f>IF($L$170="Y","---&gt;","...")</f>
        <v>...</v>
      </c>
      <c r="C216" s="1" t="str">
        <f>IF($L$170="Y",'Population Definitions'!$A$12,"...")</f>
        <v>...</v>
      </c>
      <c r="E216" s="2"/>
      <c r="F216" s="3"/>
      <c r="G216" s="2"/>
      <c r="H216" s="4" t="str">
        <f>IF($L$170="Y","OR","...")</f>
        <v>...</v>
      </c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</row>
    <row r="217" spans="1:59">
      <c r="A217" s="1" t="str">
        <f>IF($M$170="Y",'Population Definitions'!$A$4,"...")</f>
        <v>...</v>
      </c>
      <c r="B217" s="4" t="str">
        <f>IF($M$170="Y","---&gt;","...")</f>
        <v>...</v>
      </c>
      <c r="C217" s="1" t="str">
        <f>IF($M$170="Y",'Population Definitions'!$A$13,"...")</f>
        <v>...</v>
      </c>
      <c r="E217" s="2"/>
      <c r="F217" s="3"/>
      <c r="G217" s="2"/>
      <c r="H217" s="4" t="str">
        <f>IF($M$170="Y","OR","...")</f>
        <v>...</v>
      </c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</row>
    <row r="218" spans="1:59">
      <c r="A218" s="1" t="str">
        <f>IF($B$171="Y",'Population Definitions'!$A$5,"...")</f>
        <v>...</v>
      </c>
      <c r="B218" s="4" t="str">
        <f>IF($B$171="Y","---&gt;","...")</f>
        <v>...</v>
      </c>
      <c r="C218" s="1" t="str">
        <f>IF($B$171="Y",'Population Definitions'!$A$2,"...")</f>
        <v>...</v>
      </c>
      <c r="E218" s="2"/>
      <c r="F218" s="3"/>
      <c r="G218" s="2"/>
      <c r="H218" s="4" t="str">
        <f>IF($B$171="Y","OR","...")</f>
        <v>...</v>
      </c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</row>
    <row r="219" spans="1:59">
      <c r="A219" s="1" t="str">
        <f>IF($C$171="Y",'Population Definitions'!$A$5,"...")</f>
        <v>...</v>
      </c>
      <c r="B219" s="4" t="str">
        <f>IF($C$171="Y","---&gt;","...")</f>
        <v>...</v>
      </c>
      <c r="C219" s="1" t="str">
        <f>IF($C$171="Y",'Population Definitions'!$A$3,"...")</f>
        <v>...</v>
      </c>
      <c r="E219" s="2"/>
      <c r="F219" s="3"/>
      <c r="G219" s="2"/>
      <c r="H219" s="4" t="str">
        <f>IF($C$171="Y","OR","...")</f>
        <v>...</v>
      </c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</row>
    <row r="220" spans="1:59">
      <c r="A220" s="1" t="str">
        <f>IF($D$171="Y",'Population Definitions'!$A$5,"...")</f>
        <v>...</v>
      </c>
      <c r="B220" s="4" t="str">
        <f>IF($D$171="Y","---&gt;","...")</f>
        <v>...</v>
      </c>
      <c r="C220" s="1" t="str">
        <f>IF($D$171="Y",'Population Definitions'!$A$4,"...")</f>
        <v>...</v>
      </c>
      <c r="E220" s="2"/>
      <c r="F220" s="3"/>
      <c r="G220" s="2"/>
      <c r="H220" s="4" t="str">
        <f>IF($D$171="Y","OR","...")</f>
        <v>...</v>
      </c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</row>
    <row r="221" spans="1:59">
      <c r="A221" s="1" t="str">
        <f>IF($E$171="Y",'Population Definitions'!$A$5,"...")</f>
        <v>...</v>
      </c>
      <c r="B221" s="4" t="str">
        <f>IF($E$171="Y","---&gt;","...")</f>
        <v>...</v>
      </c>
      <c r="C221" s="1" t="str">
        <f>IF($E$171="Y",'Population Definitions'!$A$5,"...")</f>
        <v>...</v>
      </c>
      <c r="E221" s="2"/>
      <c r="F221" s="3"/>
      <c r="G221" s="2"/>
      <c r="H221" s="4" t="str">
        <f>IF($E$171="Y","OR","...")</f>
        <v>...</v>
      </c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</row>
    <row r="222" spans="1:59">
      <c r="A222" s="1" t="str">
        <f>IF($F$171="Y",'Population Definitions'!$A$5,"...")</f>
        <v>...</v>
      </c>
      <c r="B222" s="4" t="str">
        <f>IF($F$171="Y","---&gt;","...")</f>
        <v>...</v>
      </c>
      <c r="C222" s="1" t="str">
        <f>IF($F$171="Y",'Population Definitions'!$A$6,"...")</f>
        <v>...</v>
      </c>
      <c r="E222" s="2"/>
      <c r="F222" s="3"/>
      <c r="G222" s="2"/>
      <c r="H222" s="4" t="str">
        <f>IF($F$171="Y","OR","...")</f>
        <v>...</v>
      </c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</row>
    <row r="223" spans="1:59">
      <c r="A223" s="1" t="str">
        <f>IF($G$171="Y",'Population Definitions'!$A$5,"...")</f>
        <v>...</v>
      </c>
      <c r="B223" s="4" t="str">
        <f>IF($G$171="Y","---&gt;","...")</f>
        <v>...</v>
      </c>
      <c r="C223" s="1" t="str">
        <f>IF($G$171="Y",'Population Definitions'!$A$7,"...")</f>
        <v>...</v>
      </c>
      <c r="E223" s="2"/>
      <c r="F223" s="3"/>
      <c r="G223" s="2"/>
      <c r="H223" s="4" t="str">
        <f>IF($G$171="Y","OR","...")</f>
        <v>...</v>
      </c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</row>
    <row r="224" spans="1:59">
      <c r="A224" s="1" t="str">
        <f>IF($H$171="Y",'Population Definitions'!$A$5,"...")</f>
        <v>...</v>
      </c>
      <c r="B224" s="4" t="str">
        <f>IF($H$171="Y","---&gt;","...")</f>
        <v>...</v>
      </c>
      <c r="C224" s="1" t="str">
        <f>IF($H$171="Y",'Population Definitions'!$A$8,"...")</f>
        <v>...</v>
      </c>
      <c r="E224" s="2"/>
      <c r="F224" s="3"/>
      <c r="G224" s="2"/>
      <c r="H224" s="4" t="str">
        <f>IF($H$171="Y","OR","...")</f>
        <v>...</v>
      </c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</row>
    <row r="225" spans="1:59">
      <c r="A225" s="1" t="str">
        <f>IF($I$171="Y",'Population Definitions'!$A$5,"...")</f>
        <v>...</v>
      </c>
      <c r="B225" s="4" t="str">
        <f>IF($I$171="Y","---&gt;","...")</f>
        <v>...</v>
      </c>
      <c r="C225" s="1" t="str">
        <f>IF($I$171="Y",'Population Definitions'!$A$9,"...")</f>
        <v>...</v>
      </c>
      <c r="E225" s="2"/>
      <c r="F225" s="3"/>
      <c r="G225" s="2"/>
      <c r="H225" s="4" t="str">
        <f>IF($I$171="Y","OR","...")</f>
        <v>...</v>
      </c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</row>
    <row r="226" spans="1:59">
      <c r="A226" s="1" t="str">
        <f>IF($J$171="Y",'Population Definitions'!$A$5,"...")</f>
        <v>...</v>
      </c>
      <c r="B226" s="4" t="str">
        <f>IF($J$171="Y","---&gt;","...")</f>
        <v>...</v>
      </c>
      <c r="C226" s="1" t="str">
        <f>IF($J$171="Y",'Population Definitions'!$A$10,"...")</f>
        <v>...</v>
      </c>
      <c r="E226" s="2"/>
      <c r="F226" s="3"/>
      <c r="G226" s="2"/>
      <c r="H226" s="4" t="str">
        <f>IF($J$171="Y","OR","...")</f>
        <v>...</v>
      </c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</row>
    <row r="227" spans="1:59">
      <c r="A227" s="1" t="str">
        <f>IF($K$171="Y",'Population Definitions'!$A$5,"...")</f>
        <v>...</v>
      </c>
      <c r="B227" s="4" t="str">
        <f>IF($K$171="Y","---&gt;","...")</f>
        <v>...</v>
      </c>
      <c r="C227" s="1" t="str">
        <f>IF($K$171="Y",'Population Definitions'!$A$11,"...")</f>
        <v>...</v>
      </c>
      <c r="E227" s="2"/>
      <c r="F227" s="3"/>
      <c r="G227" s="2"/>
      <c r="H227" s="4" t="str">
        <f>IF($K$171="Y","OR","...")</f>
        <v>...</v>
      </c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</row>
    <row r="228" spans="1:59">
      <c r="A228" s="1" t="str">
        <f>IF($L$171="Y",'Population Definitions'!$A$5,"...")</f>
        <v>...</v>
      </c>
      <c r="B228" s="4" t="str">
        <f>IF($L$171="Y","---&gt;","...")</f>
        <v>...</v>
      </c>
      <c r="C228" s="1" t="str">
        <f>IF($L$171="Y",'Population Definitions'!$A$12,"...")</f>
        <v>...</v>
      </c>
      <c r="E228" s="2"/>
      <c r="F228" s="3"/>
      <c r="G228" s="2"/>
      <c r="H228" s="4" t="str">
        <f>IF($L$171="Y","OR","...")</f>
        <v>...</v>
      </c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</row>
    <row r="229" spans="1:59">
      <c r="A229" s="1" t="str">
        <f>IF($M$171="Y",'Population Definitions'!$A$5,"...")</f>
        <v>...</v>
      </c>
      <c r="B229" s="4" t="str">
        <f>IF($M$171="Y","---&gt;","...")</f>
        <v>...</v>
      </c>
      <c r="C229" s="1" t="str">
        <f>IF($M$171="Y",'Population Definitions'!$A$13,"...")</f>
        <v>...</v>
      </c>
      <c r="E229" s="2"/>
      <c r="F229" s="3"/>
      <c r="G229" s="2"/>
      <c r="H229" s="4" t="str">
        <f>IF($M$171="Y","OR","...")</f>
        <v>...</v>
      </c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</row>
    <row r="230" spans="1:59">
      <c r="A230" s="1" t="str">
        <f>IF($B$172="Y",'Population Definitions'!$A$6,"...")</f>
        <v>...</v>
      </c>
      <c r="B230" s="4" t="str">
        <f>IF($B$172="Y","---&gt;","...")</f>
        <v>...</v>
      </c>
      <c r="C230" s="1" t="str">
        <f>IF($B$172="Y",'Population Definitions'!$A$2,"...")</f>
        <v>...</v>
      </c>
      <c r="E230" s="2"/>
      <c r="F230" s="3"/>
      <c r="G230" s="2"/>
      <c r="H230" s="4" t="str">
        <f>IF($B$172="Y","OR","...")</f>
        <v>...</v>
      </c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</row>
    <row r="231" spans="1:59">
      <c r="A231" s="1" t="str">
        <f>IF($C$172="Y",'Population Definitions'!$A$6,"...")</f>
        <v>...</v>
      </c>
      <c r="B231" s="4" t="str">
        <f>IF($C$172="Y","---&gt;","...")</f>
        <v>...</v>
      </c>
      <c r="C231" s="1" t="str">
        <f>IF($C$172="Y",'Population Definitions'!$A$3,"...")</f>
        <v>...</v>
      </c>
      <c r="E231" s="2"/>
      <c r="F231" s="3"/>
      <c r="G231" s="2"/>
      <c r="H231" s="4" t="str">
        <f>IF($C$172="Y","OR","...")</f>
        <v>...</v>
      </c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</row>
    <row r="232" spans="1:59">
      <c r="A232" s="1" t="str">
        <f>IF($D$172="Y",'Population Definitions'!$A$6,"...")</f>
        <v>...</v>
      </c>
      <c r="B232" s="4" t="str">
        <f>IF($D$172="Y","---&gt;","...")</f>
        <v>...</v>
      </c>
      <c r="C232" s="1" t="str">
        <f>IF($D$172="Y",'Population Definitions'!$A$4,"...")</f>
        <v>...</v>
      </c>
      <c r="E232" s="2"/>
      <c r="F232" s="3"/>
      <c r="G232" s="2"/>
      <c r="H232" s="4" t="str">
        <f>IF($D$172="Y","OR","...")</f>
        <v>...</v>
      </c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</row>
    <row r="233" spans="1:59">
      <c r="A233" s="1" t="str">
        <f>IF($E$172="Y",'Population Definitions'!$A$6,"...")</f>
        <v>...</v>
      </c>
      <c r="B233" s="4" t="str">
        <f>IF($E$172="Y","---&gt;","...")</f>
        <v>...</v>
      </c>
      <c r="C233" s="1" t="str">
        <f>IF($E$172="Y",'Population Definitions'!$A$5,"...")</f>
        <v>...</v>
      </c>
      <c r="E233" s="2"/>
      <c r="F233" s="3"/>
      <c r="G233" s="2"/>
      <c r="H233" s="4" t="str">
        <f>IF($E$172="Y","OR","...")</f>
        <v>...</v>
      </c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</row>
    <row r="234" spans="1:59">
      <c r="A234" s="1" t="str">
        <f>IF($F$172="Y",'Population Definitions'!$A$6,"...")</f>
        <v>...</v>
      </c>
      <c r="B234" s="4" t="str">
        <f>IF($F$172="Y","---&gt;","...")</f>
        <v>...</v>
      </c>
      <c r="C234" s="1" t="str">
        <f>IF($F$172="Y",'Population Definitions'!$A$6,"...")</f>
        <v>...</v>
      </c>
      <c r="E234" s="2"/>
      <c r="F234" s="3"/>
      <c r="G234" s="2"/>
      <c r="H234" s="4" t="str">
        <f>IF($F$172="Y","OR","...")</f>
        <v>...</v>
      </c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</row>
    <row r="235" spans="1:59">
      <c r="A235" s="1" t="str">
        <f>IF($G$172="Y",'Population Definitions'!$A$6,"...")</f>
        <v>...</v>
      </c>
      <c r="B235" s="4" t="str">
        <f>IF($G$172="Y","---&gt;","...")</f>
        <v>...</v>
      </c>
      <c r="C235" s="1" t="str">
        <f>IF($G$172="Y",'Population Definitions'!$A$7,"...")</f>
        <v>...</v>
      </c>
      <c r="E235" s="2"/>
      <c r="F235" s="3"/>
      <c r="G235" s="2"/>
      <c r="H235" s="4" t="str">
        <f>IF($G$172="Y","OR","...")</f>
        <v>...</v>
      </c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</row>
    <row r="236" spans="1:59">
      <c r="A236" s="1" t="str">
        <f>IF($H$172="Y",'Population Definitions'!$A$6,"...")</f>
        <v>...</v>
      </c>
      <c r="B236" s="4" t="str">
        <f>IF($H$172="Y","---&gt;","...")</f>
        <v>...</v>
      </c>
      <c r="C236" s="1" t="str">
        <f>IF($H$172="Y",'Population Definitions'!$A$8,"...")</f>
        <v>...</v>
      </c>
      <c r="E236" s="2"/>
      <c r="F236" s="3"/>
      <c r="G236" s="2"/>
      <c r="H236" s="4" t="str">
        <f>IF($H$172="Y","OR","...")</f>
        <v>...</v>
      </c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</row>
    <row r="237" spans="1:59">
      <c r="A237" s="1" t="str">
        <f>IF($I$172="Y",'Population Definitions'!$A$6,"...")</f>
        <v>...</v>
      </c>
      <c r="B237" s="4" t="str">
        <f>IF($I$172="Y","---&gt;","...")</f>
        <v>...</v>
      </c>
      <c r="C237" s="1" t="str">
        <f>IF($I$172="Y",'Population Definitions'!$A$9,"...")</f>
        <v>...</v>
      </c>
      <c r="E237" s="2"/>
      <c r="F237" s="3"/>
      <c r="G237" s="2"/>
      <c r="H237" s="4" t="str">
        <f>IF($I$172="Y","OR","...")</f>
        <v>...</v>
      </c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</row>
    <row r="238" spans="1:59">
      <c r="A238" s="1" t="str">
        <f>IF($J$172="Y",'Population Definitions'!$A$6,"...")</f>
        <v>...</v>
      </c>
      <c r="B238" s="4" t="str">
        <f>IF($J$172="Y","---&gt;","...")</f>
        <v>...</v>
      </c>
      <c r="C238" s="1" t="str">
        <f>IF($J$172="Y",'Population Definitions'!$A$10,"...")</f>
        <v>...</v>
      </c>
      <c r="E238" s="2"/>
      <c r="F238" s="3"/>
      <c r="G238" s="2"/>
      <c r="H238" s="4" t="str">
        <f>IF($J$172="Y","OR","...")</f>
        <v>...</v>
      </c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</row>
    <row r="239" spans="1:59">
      <c r="A239" s="1" t="str">
        <f>IF($K$172="Y",'Population Definitions'!$A$6,"...")</f>
        <v>...</v>
      </c>
      <c r="B239" s="4" t="str">
        <f>IF($K$172="Y","---&gt;","...")</f>
        <v>...</v>
      </c>
      <c r="C239" s="1" t="str">
        <f>IF($K$172="Y",'Population Definitions'!$A$11,"...")</f>
        <v>...</v>
      </c>
      <c r="E239" s="2"/>
      <c r="F239" s="3"/>
      <c r="G239" s="2"/>
      <c r="H239" s="4" t="str">
        <f>IF($K$172="Y","OR","...")</f>
        <v>...</v>
      </c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</row>
    <row r="240" spans="1:59">
      <c r="A240" s="1" t="str">
        <f>IF($L$172="Y",'Population Definitions'!$A$6,"...")</f>
        <v>...</v>
      </c>
      <c r="B240" s="4" t="str">
        <f>IF($L$172="Y","---&gt;","...")</f>
        <v>...</v>
      </c>
      <c r="C240" s="1" t="str">
        <f>IF($L$172="Y",'Population Definitions'!$A$12,"...")</f>
        <v>...</v>
      </c>
      <c r="E240" s="2"/>
      <c r="F240" s="3"/>
      <c r="G240" s="2"/>
      <c r="H240" s="4" t="str">
        <f>IF($L$172="Y","OR","...")</f>
        <v>...</v>
      </c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</row>
    <row r="241" spans="1:59">
      <c r="A241" s="1" t="str">
        <f>IF($M$172="Y",'Population Definitions'!$A$6,"...")</f>
        <v>...</v>
      </c>
      <c r="B241" s="4" t="str">
        <f>IF($M$172="Y","---&gt;","...")</f>
        <v>...</v>
      </c>
      <c r="C241" s="1" t="str">
        <f>IF($M$172="Y",'Population Definitions'!$A$13,"...")</f>
        <v>...</v>
      </c>
      <c r="E241" s="2"/>
      <c r="F241" s="3"/>
      <c r="G241" s="2"/>
      <c r="H241" s="4" t="str">
        <f>IF($M$172="Y","OR","...")</f>
        <v>...</v>
      </c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</row>
    <row r="242" spans="1:59">
      <c r="A242" s="1" t="str">
        <f>IF($B$173="Y",'Population Definitions'!$A$7,"...")</f>
        <v>...</v>
      </c>
      <c r="B242" s="4" t="str">
        <f>IF($B$173="Y","---&gt;","...")</f>
        <v>...</v>
      </c>
      <c r="C242" s="1" t="str">
        <f>IF($B$173="Y",'Population Definitions'!$A$2,"...")</f>
        <v>...</v>
      </c>
      <c r="E242" s="2"/>
      <c r="F242" s="3"/>
      <c r="G242" s="2"/>
      <c r="H242" s="4" t="str">
        <f>IF($B$173="Y","OR","...")</f>
        <v>...</v>
      </c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</row>
    <row r="243" spans="1:59">
      <c r="A243" s="1" t="str">
        <f>IF($C$173="Y",'Population Definitions'!$A$7,"...")</f>
        <v>...</v>
      </c>
      <c r="B243" s="4" t="str">
        <f>IF($C$173="Y","---&gt;","...")</f>
        <v>...</v>
      </c>
      <c r="C243" s="1" t="str">
        <f>IF($C$173="Y",'Population Definitions'!$A$3,"...")</f>
        <v>...</v>
      </c>
      <c r="E243" s="2"/>
      <c r="F243" s="3"/>
      <c r="G243" s="2"/>
      <c r="H243" s="4" t="str">
        <f>IF($C$173="Y","OR","...")</f>
        <v>...</v>
      </c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</row>
    <row r="244" spans="1:59">
      <c r="A244" s="1" t="str">
        <f>IF($D$173="Y",'Population Definitions'!$A$7,"...")</f>
        <v>...</v>
      </c>
      <c r="B244" s="4" t="str">
        <f>IF($D$173="Y","---&gt;","...")</f>
        <v>...</v>
      </c>
      <c r="C244" s="1" t="str">
        <f>IF($D$173="Y",'Population Definitions'!$A$4,"...")</f>
        <v>...</v>
      </c>
      <c r="E244" s="2"/>
      <c r="F244" s="3"/>
      <c r="G244" s="2"/>
      <c r="H244" s="4" t="str">
        <f>IF($D$173="Y","OR","...")</f>
        <v>...</v>
      </c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</row>
    <row r="245" spans="1:59">
      <c r="A245" s="1" t="str">
        <f>IF($E$173="Y",'Population Definitions'!$A$7,"...")</f>
        <v>...</v>
      </c>
      <c r="B245" s="4" t="str">
        <f>IF($E$173="Y","---&gt;","...")</f>
        <v>...</v>
      </c>
      <c r="C245" s="1" t="str">
        <f>IF($E$173="Y",'Population Definitions'!$A$5,"...")</f>
        <v>...</v>
      </c>
      <c r="E245" s="2"/>
      <c r="F245" s="3"/>
      <c r="G245" s="2"/>
      <c r="H245" s="4" t="str">
        <f>IF($E$173="Y","OR","...")</f>
        <v>...</v>
      </c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</row>
    <row r="246" spans="1:59">
      <c r="A246" s="1" t="str">
        <f>IF($F$173="Y",'Population Definitions'!$A$7,"...")</f>
        <v>...</v>
      </c>
      <c r="B246" s="4" t="str">
        <f>IF($F$173="Y","---&gt;","...")</f>
        <v>...</v>
      </c>
      <c r="C246" s="1" t="str">
        <f>IF($F$173="Y",'Population Definitions'!$A$6,"...")</f>
        <v>...</v>
      </c>
      <c r="E246" s="2"/>
      <c r="F246" s="3"/>
      <c r="G246" s="2"/>
      <c r="H246" s="4" t="str">
        <f>IF($F$173="Y","OR","...")</f>
        <v>...</v>
      </c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</row>
    <row r="247" spans="1:59">
      <c r="A247" s="1" t="str">
        <f>IF($G$173="Y",'Population Definitions'!$A$7,"...")</f>
        <v>...</v>
      </c>
      <c r="B247" s="4" t="str">
        <f>IF($G$173="Y","---&gt;","...")</f>
        <v>...</v>
      </c>
      <c r="C247" s="1" t="str">
        <f>IF($G$173="Y",'Population Definitions'!$A$7,"...")</f>
        <v>...</v>
      </c>
      <c r="E247" s="2"/>
      <c r="F247" s="3"/>
      <c r="G247" s="2"/>
      <c r="H247" s="4" t="str">
        <f>IF($G$173="Y","OR","...")</f>
        <v>...</v>
      </c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</row>
    <row r="248" spans="1:59">
      <c r="A248" s="1" t="str">
        <f>IF($H$173="Y",'Population Definitions'!$A$7,"...")</f>
        <v>...</v>
      </c>
      <c r="B248" s="4" t="str">
        <f>IF($H$173="Y","---&gt;","...")</f>
        <v>...</v>
      </c>
      <c r="C248" s="1" t="str">
        <f>IF($H$173="Y",'Population Definitions'!$A$8,"...")</f>
        <v>...</v>
      </c>
      <c r="E248" s="2"/>
      <c r="F248" s="3"/>
      <c r="G248" s="2"/>
      <c r="H248" s="4" t="str">
        <f>IF($H$173="Y","OR","...")</f>
        <v>...</v>
      </c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</row>
    <row r="249" spans="1:59">
      <c r="A249" s="1" t="str">
        <f>IF($I$173="Y",'Population Definitions'!$A$7,"...")</f>
        <v>...</v>
      </c>
      <c r="B249" s="4" t="str">
        <f>IF($I$173="Y","---&gt;","...")</f>
        <v>...</v>
      </c>
      <c r="C249" s="1" t="str">
        <f>IF($I$173="Y",'Population Definitions'!$A$9,"...")</f>
        <v>...</v>
      </c>
      <c r="E249" s="2"/>
      <c r="F249" s="3"/>
      <c r="G249" s="2"/>
      <c r="H249" s="4" t="str">
        <f>IF($I$173="Y","OR","...")</f>
        <v>...</v>
      </c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</row>
    <row r="250" spans="1:59">
      <c r="A250" s="1" t="str">
        <f>IF($J$173="Y",'Population Definitions'!$A$7,"...")</f>
        <v>...</v>
      </c>
      <c r="B250" s="4" t="str">
        <f>IF($J$173="Y","---&gt;","...")</f>
        <v>...</v>
      </c>
      <c r="C250" s="1" t="str">
        <f>IF($J$173="Y",'Population Definitions'!$A$10,"...")</f>
        <v>...</v>
      </c>
      <c r="E250" s="2"/>
      <c r="F250" s="3"/>
      <c r="G250" s="2"/>
      <c r="H250" s="4" t="str">
        <f>IF($J$173="Y","OR","...")</f>
        <v>...</v>
      </c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</row>
    <row r="251" spans="1:59">
      <c r="A251" s="1" t="str">
        <f>IF($K$173="Y",'Population Definitions'!$A$7,"...")</f>
        <v>...</v>
      </c>
      <c r="B251" s="4" t="str">
        <f>IF($K$173="Y","---&gt;","...")</f>
        <v>...</v>
      </c>
      <c r="C251" s="1" t="str">
        <f>IF($K$173="Y",'Population Definitions'!$A$11,"...")</f>
        <v>...</v>
      </c>
      <c r="E251" s="2"/>
      <c r="F251" s="3"/>
      <c r="G251" s="2"/>
      <c r="H251" s="4" t="str">
        <f>IF($K$173="Y","OR","...")</f>
        <v>...</v>
      </c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</row>
    <row r="252" spans="1:59">
      <c r="A252" s="1" t="str">
        <f>IF($L$173="Y",'Population Definitions'!$A$7,"...")</f>
        <v>...</v>
      </c>
      <c r="B252" s="4" t="str">
        <f>IF($L$173="Y","---&gt;","...")</f>
        <v>...</v>
      </c>
      <c r="C252" s="1" t="str">
        <f>IF($L$173="Y",'Population Definitions'!$A$12,"...")</f>
        <v>...</v>
      </c>
      <c r="E252" s="2"/>
      <c r="F252" s="3"/>
      <c r="G252" s="2"/>
      <c r="H252" s="4" t="str">
        <f>IF($L$173="Y","OR","...")</f>
        <v>...</v>
      </c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</row>
    <row r="253" spans="1:59">
      <c r="A253" s="1" t="str">
        <f>IF($M$173="Y",'Population Definitions'!$A$7,"...")</f>
        <v>...</v>
      </c>
      <c r="B253" s="4" t="str">
        <f>IF($M$173="Y","---&gt;","...")</f>
        <v>...</v>
      </c>
      <c r="C253" s="1" t="str">
        <f>IF($M$173="Y",'Population Definitions'!$A$13,"...")</f>
        <v>...</v>
      </c>
      <c r="E253" s="2"/>
      <c r="F253" s="3"/>
      <c r="G253" s="2"/>
      <c r="H253" s="4" t="str">
        <f>IF($M$173="Y","OR","...")</f>
        <v>...</v>
      </c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</row>
    <row r="254" spans="1:59">
      <c r="A254" s="1" t="str">
        <f>IF($B$174="Y",'Population Definitions'!$A$8,"...")</f>
        <v>18-64_males</v>
      </c>
      <c r="B254" s="4" t="str">
        <f>IF($B$174="Y","---&gt;","...")</f>
        <v>---&gt;</v>
      </c>
      <c r="C254" s="1" t="str">
        <f>IF($B$174="Y",'Population Definitions'!$A$2,"...")</f>
        <v>PWID_males</v>
      </c>
      <c r="E254" s="3" t="s">
        <v>53</v>
      </c>
      <c r="F254" s="3"/>
      <c r="G254" s="3">
        <v>0.0001583557315226429</v>
      </c>
      <c r="H254" s="4" t="str">
        <f>IF($B$174="Y","OR","...")</f>
        <v>OR</v>
      </c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</row>
    <row r="255" spans="1:59">
      <c r="A255" s="1" t="str">
        <f>IF($C$174="Y",'Population Definitions'!$A$8,"...")</f>
        <v>...</v>
      </c>
      <c r="B255" s="4" t="str">
        <f>IF($C$174="Y","---&gt;","...")</f>
        <v>...</v>
      </c>
      <c r="C255" s="1" t="str">
        <f>IF($C$174="Y",'Population Definitions'!$A$3,"...")</f>
        <v>...</v>
      </c>
      <c r="E255" s="2"/>
      <c r="F255" s="3"/>
      <c r="G255" s="2"/>
      <c r="H255" s="4" t="str">
        <f>IF($C$174="Y","OR","...")</f>
        <v>...</v>
      </c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</row>
    <row r="256" spans="1:59">
      <c r="A256" s="1" t="str">
        <f>IF($D$174="Y",'Population Definitions'!$A$8,"...")</f>
        <v>...</v>
      </c>
      <c r="B256" s="4" t="str">
        <f>IF($D$174="Y","---&gt;","...")</f>
        <v>...</v>
      </c>
      <c r="C256" s="1" t="str">
        <f>IF($D$174="Y",'Population Definitions'!$A$4,"...")</f>
        <v>...</v>
      </c>
      <c r="E256" s="2"/>
      <c r="F256" s="3"/>
      <c r="G256" s="2"/>
      <c r="H256" s="4" t="str">
        <f>IF($D$174="Y","OR","...")</f>
        <v>...</v>
      </c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</row>
    <row r="257" spans="1:59">
      <c r="A257" s="1" t="str">
        <f>IF($E$174="Y",'Population Definitions'!$A$8,"...")</f>
        <v>...</v>
      </c>
      <c r="B257" s="4" t="str">
        <f>IF($E$174="Y","---&gt;","...")</f>
        <v>...</v>
      </c>
      <c r="C257" s="1" t="str">
        <f>IF($E$174="Y",'Population Definitions'!$A$5,"...")</f>
        <v>...</v>
      </c>
      <c r="E257" s="2"/>
      <c r="F257" s="3"/>
      <c r="G257" s="2"/>
      <c r="H257" s="4" t="str">
        <f>IF($E$174="Y","OR","...")</f>
        <v>...</v>
      </c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</row>
    <row r="258" spans="1:59">
      <c r="A258" s="1" t="str">
        <f>IF($F$174="Y",'Population Definitions'!$A$8,"...")</f>
        <v>...</v>
      </c>
      <c r="B258" s="4" t="str">
        <f>IF($F$174="Y","---&gt;","...")</f>
        <v>...</v>
      </c>
      <c r="C258" s="1" t="str">
        <f>IF($F$174="Y",'Population Definitions'!$A$6,"...")</f>
        <v>...</v>
      </c>
      <c r="E258" s="2"/>
      <c r="F258" s="3"/>
      <c r="G258" s="2"/>
      <c r="H258" s="4" t="str">
        <f>IF($F$174="Y","OR","...")</f>
        <v>...</v>
      </c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</row>
    <row r="259" spans="1:59">
      <c r="A259" s="1" t="str">
        <f>IF($G$174="Y",'Population Definitions'!$A$8,"...")</f>
        <v>...</v>
      </c>
      <c r="B259" s="4" t="str">
        <f>IF($G$174="Y","---&gt;","...")</f>
        <v>...</v>
      </c>
      <c r="C259" s="1" t="str">
        <f>IF($G$174="Y",'Population Definitions'!$A$7,"...")</f>
        <v>...</v>
      </c>
      <c r="E259" s="2"/>
      <c r="F259" s="3"/>
      <c r="G259" s="2"/>
      <c r="H259" s="4" t="str">
        <f>IF($G$174="Y","OR","...")</f>
        <v>...</v>
      </c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</row>
    <row r="260" spans="1:59">
      <c r="A260" s="1" t="str">
        <f>IF($H$174="Y",'Population Definitions'!$A$8,"...")</f>
        <v>...</v>
      </c>
      <c r="B260" s="4" t="str">
        <f>IF($H$174="Y","---&gt;","...")</f>
        <v>...</v>
      </c>
      <c r="C260" s="1" t="str">
        <f>IF($H$174="Y",'Population Definitions'!$A$8,"...")</f>
        <v>...</v>
      </c>
      <c r="E260" s="2"/>
      <c r="F260" s="3"/>
      <c r="G260" s="2"/>
      <c r="H260" s="4" t="str">
        <f>IF($H$174="Y","OR","...")</f>
        <v>...</v>
      </c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</row>
    <row r="261" spans="1:59">
      <c r="A261" s="1" t="str">
        <f>IF($I$174="Y",'Population Definitions'!$A$8,"...")</f>
        <v>...</v>
      </c>
      <c r="B261" s="4" t="str">
        <f>IF($I$174="Y","---&gt;","...")</f>
        <v>...</v>
      </c>
      <c r="C261" s="1" t="str">
        <f>IF($I$174="Y",'Population Definitions'!$A$9,"...")</f>
        <v>...</v>
      </c>
      <c r="E261" s="2"/>
      <c r="F261" s="3"/>
      <c r="G261" s="2"/>
      <c r="H261" s="4" t="str">
        <f>IF($I$174="Y","OR","...")</f>
        <v>...</v>
      </c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</row>
    <row r="262" spans="1:59">
      <c r="A262" s="1" t="str">
        <f>IF($J$174="Y",'Population Definitions'!$A$8,"...")</f>
        <v>...</v>
      </c>
      <c r="B262" s="4" t="str">
        <f>IF($J$174="Y","---&gt;","...")</f>
        <v>...</v>
      </c>
      <c r="C262" s="1" t="str">
        <f>IF($J$174="Y",'Population Definitions'!$A$10,"...")</f>
        <v>...</v>
      </c>
      <c r="E262" s="2"/>
      <c r="F262" s="3"/>
      <c r="G262" s="2"/>
      <c r="H262" s="4" t="str">
        <f>IF($J$174="Y","OR","...")</f>
        <v>...</v>
      </c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</row>
    <row r="263" spans="1:59">
      <c r="A263" s="1" t="str">
        <f>IF($K$174="Y",'Population Definitions'!$A$8,"...")</f>
        <v>...</v>
      </c>
      <c r="B263" s="4" t="str">
        <f>IF($K$174="Y","---&gt;","...")</f>
        <v>...</v>
      </c>
      <c r="C263" s="1" t="str">
        <f>IF($K$174="Y",'Population Definitions'!$A$11,"...")</f>
        <v>...</v>
      </c>
      <c r="E263" s="2"/>
      <c r="F263" s="3"/>
      <c r="G263" s="2"/>
      <c r="H263" s="4" t="str">
        <f>IF($K$174="Y","OR","...")</f>
        <v>...</v>
      </c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</row>
    <row r="264" spans="1:59">
      <c r="A264" s="1" t="str">
        <f>IF($L$174="Y",'Population Definitions'!$A$8,"...")</f>
        <v>...</v>
      </c>
      <c r="B264" s="4" t="str">
        <f>IF($L$174="Y","---&gt;","...")</f>
        <v>...</v>
      </c>
      <c r="C264" s="1" t="str">
        <f>IF($L$174="Y",'Population Definitions'!$A$12,"...")</f>
        <v>...</v>
      </c>
      <c r="E264" s="2"/>
      <c r="F264" s="3"/>
      <c r="G264" s="2"/>
      <c r="H264" s="4" t="str">
        <f>IF($L$174="Y","OR","...")</f>
        <v>...</v>
      </c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</row>
    <row r="265" spans="1:59">
      <c r="A265" s="1" t="str">
        <f>IF($M$174="Y",'Population Definitions'!$A$8,"...")</f>
        <v>...</v>
      </c>
      <c r="B265" s="4" t="str">
        <f>IF($M$174="Y","---&gt;","...")</f>
        <v>...</v>
      </c>
      <c r="C265" s="1" t="str">
        <f>IF($M$174="Y",'Population Definitions'!$A$13,"...")</f>
        <v>...</v>
      </c>
      <c r="E265" s="2"/>
      <c r="F265" s="3"/>
      <c r="G265" s="2"/>
      <c r="H265" s="4" t="str">
        <f>IF($M$174="Y","OR","...")</f>
        <v>...</v>
      </c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</row>
    <row r="266" spans="1:59">
      <c r="A266" s="1" t="str">
        <f>IF($B$175="Y",'Population Definitions'!$A$9,"...")</f>
        <v>...</v>
      </c>
      <c r="B266" s="4" t="str">
        <f>IF($B$175="Y","---&gt;","...")</f>
        <v>...</v>
      </c>
      <c r="C266" s="1" t="str">
        <f>IF($B$175="Y",'Population Definitions'!$A$2,"...")</f>
        <v>...</v>
      </c>
      <c r="E266" s="2"/>
      <c r="F266" s="3"/>
      <c r="G266" s="2"/>
      <c r="H266" s="4" t="str">
        <f>IF($B$175="Y","OR","...")</f>
        <v>...</v>
      </c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</row>
    <row r="267" spans="1:59">
      <c r="A267" s="1" t="str">
        <f>IF($C$175="Y",'Population Definitions'!$A$9,"...")</f>
        <v>18-64_females</v>
      </c>
      <c r="B267" s="4" t="str">
        <f>IF($C$175="Y","---&gt;","...")</f>
        <v>---&gt;</v>
      </c>
      <c r="C267" s="1" t="str">
        <f>IF($C$175="Y",'Population Definitions'!$A$3,"...")</f>
        <v>PWID_females</v>
      </c>
      <c r="E267" s="3" t="s">
        <v>53</v>
      </c>
      <c r="F267" s="3"/>
      <c r="G267" s="3">
        <v>2.286232687798519E-05</v>
      </c>
      <c r="H267" s="4" t="str">
        <f>IF($C$175="Y","OR","...")</f>
        <v>OR</v>
      </c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</row>
    <row r="268" spans="1:59">
      <c r="A268" s="1" t="str">
        <f>IF($D$175="Y",'Population Definitions'!$A$9,"...")</f>
        <v>...</v>
      </c>
      <c r="B268" s="4" t="str">
        <f>IF($D$175="Y","---&gt;","...")</f>
        <v>...</v>
      </c>
      <c r="C268" s="1" t="str">
        <f>IF($D$175="Y",'Population Definitions'!$A$4,"...")</f>
        <v>...</v>
      </c>
      <c r="E268" s="2"/>
      <c r="F268" s="3"/>
      <c r="G268" s="2"/>
      <c r="H268" s="4" t="str">
        <f>IF($D$175="Y","OR","...")</f>
        <v>...</v>
      </c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</row>
    <row r="269" spans="1:59">
      <c r="A269" s="1" t="str">
        <f>IF($E$175="Y",'Population Definitions'!$A$9,"...")</f>
        <v>...</v>
      </c>
      <c r="B269" s="4" t="str">
        <f>IF($E$175="Y","---&gt;","...")</f>
        <v>...</v>
      </c>
      <c r="C269" s="1" t="str">
        <f>IF($E$175="Y",'Population Definitions'!$A$5,"...")</f>
        <v>...</v>
      </c>
      <c r="E269" s="2"/>
      <c r="F269" s="3"/>
      <c r="G269" s="2"/>
      <c r="H269" s="4" t="str">
        <f>IF($E$175="Y","OR","...")</f>
        <v>...</v>
      </c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</row>
    <row r="270" spans="1:59">
      <c r="A270" s="1" t="str">
        <f>IF($F$175="Y",'Population Definitions'!$A$9,"...")</f>
        <v>...</v>
      </c>
      <c r="B270" s="4" t="str">
        <f>IF($F$175="Y","---&gt;","...")</f>
        <v>...</v>
      </c>
      <c r="C270" s="1" t="str">
        <f>IF($F$175="Y",'Population Definitions'!$A$6,"...")</f>
        <v>...</v>
      </c>
      <c r="E270" s="2"/>
      <c r="F270" s="3"/>
      <c r="G270" s="2"/>
      <c r="H270" s="4" t="str">
        <f>IF($F$175="Y","OR","...")</f>
        <v>...</v>
      </c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</row>
    <row r="271" spans="1:59">
      <c r="A271" s="1" t="str">
        <f>IF($G$175="Y",'Population Definitions'!$A$9,"...")</f>
        <v>...</v>
      </c>
      <c r="B271" s="4" t="str">
        <f>IF($G$175="Y","---&gt;","...")</f>
        <v>...</v>
      </c>
      <c r="C271" s="1" t="str">
        <f>IF($G$175="Y",'Population Definitions'!$A$7,"...")</f>
        <v>...</v>
      </c>
      <c r="E271" s="2"/>
      <c r="F271" s="3"/>
      <c r="G271" s="2"/>
      <c r="H271" s="4" t="str">
        <f>IF($G$175="Y","OR","...")</f>
        <v>...</v>
      </c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</row>
    <row r="272" spans="1:59">
      <c r="A272" s="1" t="str">
        <f>IF($H$175="Y",'Population Definitions'!$A$9,"...")</f>
        <v>...</v>
      </c>
      <c r="B272" s="4" t="str">
        <f>IF($H$175="Y","---&gt;","...")</f>
        <v>...</v>
      </c>
      <c r="C272" s="1" t="str">
        <f>IF($H$175="Y",'Population Definitions'!$A$8,"...")</f>
        <v>...</v>
      </c>
      <c r="E272" s="2"/>
      <c r="F272" s="3"/>
      <c r="G272" s="2"/>
      <c r="H272" s="4" t="str">
        <f>IF($H$175="Y","OR","...")</f>
        <v>...</v>
      </c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</row>
    <row r="273" spans="1:59">
      <c r="A273" s="1" t="str">
        <f>IF($I$175="Y",'Population Definitions'!$A$9,"...")</f>
        <v>...</v>
      </c>
      <c r="B273" s="4" t="str">
        <f>IF($I$175="Y","---&gt;","...")</f>
        <v>...</v>
      </c>
      <c r="C273" s="1" t="str">
        <f>IF($I$175="Y",'Population Definitions'!$A$9,"...")</f>
        <v>...</v>
      </c>
      <c r="E273" s="2"/>
      <c r="F273" s="3"/>
      <c r="G273" s="2"/>
      <c r="H273" s="4" t="str">
        <f>IF($I$175="Y","OR","...")</f>
        <v>...</v>
      </c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</row>
    <row r="274" spans="1:59">
      <c r="A274" s="1" t="str">
        <f>IF($J$175="Y",'Population Definitions'!$A$9,"...")</f>
        <v>...</v>
      </c>
      <c r="B274" s="4" t="str">
        <f>IF($J$175="Y","---&gt;","...")</f>
        <v>...</v>
      </c>
      <c r="C274" s="1" t="str">
        <f>IF($J$175="Y",'Population Definitions'!$A$10,"...")</f>
        <v>...</v>
      </c>
      <c r="E274" s="2"/>
      <c r="F274" s="3"/>
      <c r="G274" s="2"/>
      <c r="H274" s="4" t="str">
        <f>IF($J$175="Y","OR","...")</f>
        <v>...</v>
      </c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</row>
    <row r="275" spans="1:59">
      <c r="A275" s="1" t="str">
        <f>IF($K$175="Y",'Population Definitions'!$A$9,"...")</f>
        <v>...</v>
      </c>
      <c r="B275" s="4" t="str">
        <f>IF($K$175="Y","---&gt;","...")</f>
        <v>...</v>
      </c>
      <c r="C275" s="1" t="str">
        <f>IF($K$175="Y",'Population Definitions'!$A$11,"...")</f>
        <v>...</v>
      </c>
      <c r="E275" s="2"/>
      <c r="F275" s="3"/>
      <c r="G275" s="2"/>
      <c r="H275" s="4" t="str">
        <f>IF($K$175="Y","OR","...")</f>
        <v>...</v>
      </c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</row>
    <row r="276" spans="1:59">
      <c r="A276" s="1" t="str">
        <f>IF($L$175="Y",'Population Definitions'!$A$9,"...")</f>
        <v>...</v>
      </c>
      <c r="B276" s="4" t="str">
        <f>IF($L$175="Y","---&gt;","...")</f>
        <v>...</v>
      </c>
      <c r="C276" s="1" t="str">
        <f>IF($L$175="Y",'Population Definitions'!$A$12,"...")</f>
        <v>...</v>
      </c>
      <c r="E276" s="2"/>
      <c r="F276" s="3"/>
      <c r="G276" s="2"/>
      <c r="H276" s="4" t="str">
        <f>IF($L$175="Y","OR","...")</f>
        <v>...</v>
      </c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</row>
    <row r="277" spans="1:59">
      <c r="A277" s="1" t="str">
        <f>IF($M$175="Y",'Population Definitions'!$A$9,"...")</f>
        <v>...</v>
      </c>
      <c r="B277" s="4" t="str">
        <f>IF($M$175="Y","---&gt;","...")</f>
        <v>...</v>
      </c>
      <c r="C277" s="1" t="str">
        <f>IF($M$175="Y",'Population Definitions'!$A$13,"...")</f>
        <v>...</v>
      </c>
      <c r="E277" s="2"/>
      <c r="F277" s="3"/>
      <c r="G277" s="2"/>
      <c r="H277" s="4" t="str">
        <f>IF($M$175="Y","OR","...")</f>
        <v>...</v>
      </c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</row>
    <row r="278" spans="1:59">
      <c r="A278" s="1" t="str">
        <f>IF($B$176="Y",'Population Definitions'!$A$10,"...")</f>
        <v>...</v>
      </c>
      <c r="B278" s="4" t="str">
        <f>IF($B$176="Y","---&gt;","...")</f>
        <v>...</v>
      </c>
      <c r="C278" s="1" t="str">
        <f>IF($B$176="Y",'Population Definitions'!$A$2,"...")</f>
        <v>...</v>
      </c>
      <c r="E278" s="2"/>
      <c r="F278" s="3"/>
      <c r="G278" s="2"/>
      <c r="H278" s="4" t="str">
        <f>IF($B$176="Y","OR","...")</f>
        <v>...</v>
      </c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</row>
    <row r="279" spans="1:59">
      <c r="A279" s="1" t="str">
        <f>IF($C$176="Y",'Population Definitions'!$A$10,"...")</f>
        <v>...</v>
      </c>
      <c r="B279" s="4" t="str">
        <f>IF($C$176="Y","---&gt;","...")</f>
        <v>...</v>
      </c>
      <c r="C279" s="1" t="str">
        <f>IF($C$176="Y",'Population Definitions'!$A$3,"...")</f>
        <v>...</v>
      </c>
      <c r="E279" s="2"/>
      <c r="F279" s="3"/>
      <c r="G279" s="2"/>
      <c r="H279" s="4" t="str">
        <f>IF($C$176="Y","OR","...")</f>
        <v>...</v>
      </c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</row>
    <row r="280" spans="1:59">
      <c r="A280" s="1" t="str">
        <f>IF($D$176="Y",'Population Definitions'!$A$10,"...")</f>
        <v>...</v>
      </c>
      <c r="B280" s="4" t="str">
        <f>IF($D$176="Y","---&gt;","...")</f>
        <v>...</v>
      </c>
      <c r="C280" s="1" t="str">
        <f>IF($D$176="Y",'Population Definitions'!$A$4,"...")</f>
        <v>...</v>
      </c>
      <c r="E280" s="2"/>
      <c r="F280" s="3"/>
      <c r="G280" s="2"/>
      <c r="H280" s="4" t="str">
        <f>IF($D$176="Y","OR","...")</f>
        <v>...</v>
      </c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</row>
    <row r="281" spans="1:59">
      <c r="A281" s="1" t="str">
        <f>IF($E$176="Y",'Population Definitions'!$A$10,"...")</f>
        <v>...</v>
      </c>
      <c r="B281" s="4" t="str">
        <f>IF($E$176="Y","---&gt;","...")</f>
        <v>...</v>
      </c>
      <c r="C281" s="1" t="str">
        <f>IF($E$176="Y",'Population Definitions'!$A$5,"...")</f>
        <v>...</v>
      </c>
      <c r="E281" s="2"/>
      <c r="F281" s="3"/>
      <c r="G281" s="2"/>
      <c r="H281" s="4" t="str">
        <f>IF($E$176="Y","OR","...")</f>
        <v>...</v>
      </c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</row>
    <row r="282" spans="1:59">
      <c r="A282" s="1" t="str">
        <f>IF($F$176="Y",'Population Definitions'!$A$10,"...")</f>
        <v>...</v>
      </c>
      <c r="B282" s="4" t="str">
        <f>IF($F$176="Y","---&gt;","...")</f>
        <v>...</v>
      </c>
      <c r="C282" s="1" t="str">
        <f>IF($F$176="Y",'Population Definitions'!$A$6,"...")</f>
        <v>...</v>
      </c>
      <c r="E282" s="2"/>
      <c r="F282" s="3"/>
      <c r="G282" s="2"/>
      <c r="H282" s="4" t="str">
        <f>IF($F$176="Y","OR","...")</f>
        <v>...</v>
      </c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</row>
    <row r="283" spans="1:59">
      <c r="A283" s="1" t="str">
        <f>IF($G$176="Y",'Population Definitions'!$A$10,"...")</f>
        <v>...</v>
      </c>
      <c r="B283" s="4" t="str">
        <f>IF($G$176="Y","---&gt;","...")</f>
        <v>...</v>
      </c>
      <c r="C283" s="1" t="str">
        <f>IF($G$176="Y",'Population Definitions'!$A$7,"...")</f>
        <v>...</v>
      </c>
      <c r="E283" s="2"/>
      <c r="F283" s="3"/>
      <c r="G283" s="2"/>
      <c r="H283" s="4" t="str">
        <f>IF($G$176="Y","OR","...")</f>
        <v>...</v>
      </c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</row>
    <row r="284" spans="1:59">
      <c r="A284" s="1" t="str">
        <f>IF($H$176="Y",'Population Definitions'!$A$10,"...")</f>
        <v>...</v>
      </c>
      <c r="B284" s="4" t="str">
        <f>IF($H$176="Y","---&gt;","...")</f>
        <v>...</v>
      </c>
      <c r="C284" s="1" t="str">
        <f>IF($H$176="Y",'Population Definitions'!$A$8,"...")</f>
        <v>...</v>
      </c>
      <c r="E284" s="2"/>
      <c r="F284" s="3"/>
      <c r="G284" s="2"/>
      <c r="H284" s="4" t="str">
        <f>IF($H$176="Y","OR","...")</f>
        <v>...</v>
      </c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</row>
    <row r="285" spans="1:59">
      <c r="A285" s="1" t="str">
        <f>IF($I$176="Y",'Population Definitions'!$A$10,"...")</f>
        <v>...</v>
      </c>
      <c r="B285" s="4" t="str">
        <f>IF($I$176="Y","---&gt;","...")</f>
        <v>...</v>
      </c>
      <c r="C285" s="1" t="str">
        <f>IF($I$176="Y",'Population Definitions'!$A$9,"...")</f>
        <v>...</v>
      </c>
      <c r="E285" s="2"/>
      <c r="F285" s="3"/>
      <c r="G285" s="2"/>
      <c r="H285" s="4" t="str">
        <f>IF($I$176="Y","OR","...")</f>
        <v>...</v>
      </c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</row>
    <row r="286" spans="1:59">
      <c r="A286" s="1" t="str">
        <f>IF($J$176="Y",'Population Definitions'!$A$10,"...")</f>
        <v>...</v>
      </c>
      <c r="B286" s="4" t="str">
        <f>IF($J$176="Y","---&gt;","...")</f>
        <v>...</v>
      </c>
      <c r="C286" s="1" t="str">
        <f>IF($J$176="Y",'Population Definitions'!$A$10,"...")</f>
        <v>...</v>
      </c>
      <c r="E286" s="2"/>
      <c r="F286" s="3"/>
      <c r="G286" s="2"/>
      <c r="H286" s="4" t="str">
        <f>IF($J$176="Y","OR","...")</f>
        <v>...</v>
      </c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</row>
    <row r="287" spans="1:59">
      <c r="A287" s="1" t="str">
        <f>IF($K$176="Y",'Population Definitions'!$A$10,"...")</f>
        <v>...</v>
      </c>
      <c r="B287" s="4" t="str">
        <f>IF($K$176="Y","---&gt;","...")</f>
        <v>...</v>
      </c>
      <c r="C287" s="1" t="str">
        <f>IF($K$176="Y",'Population Definitions'!$A$11,"...")</f>
        <v>...</v>
      </c>
      <c r="E287" s="2"/>
      <c r="F287" s="3"/>
      <c r="G287" s="2"/>
      <c r="H287" s="4" t="str">
        <f>IF($K$176="Y","OR","...")</f>
        <v>...</v>
      </c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</row>
    <row r="288" spans="1:59">
      <c r="A288" s="1" t="str">
        <f>IF($L$176="Y",'Population Definitions'!$A$10,"...")</f>
        <v>...</v>
      </c>
      <c r="B288" s="4" t="str">
        <f>IF($L$176="Y","---&gt;","...")</f>
        <v>...</v>
      </c>
      <c r="C288" s="1" t="str">
        <f>IF($L$176="Y",'Population Definitions'!$A$12,"...")</f>
        <v>...</v>
      </c>
      <c r="E288" s="2"/>
      <c r="F288" s="3"/>
      <c r="G288" s="2"/>
      <c r="H288" s="4" t="str">
        <f>IF($L$176="Y","OR","...")</f>
        <v>...</v>
      </c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</row>
    <row r="289" spans="1:59">
      <c r="A289" s="1" t="str">
        <f>IF($M$176="Y",'Population Definitions'!$A$10,"...")</f>
        <v>...</v>
      </c>
      <c r="B289" s="4" t="str">
        <f>IF($M$176="Y","---&gt;","...")</f>
        <v>...</v>
      </c>
      <c r="C289" s="1" t="str">
        <f>IF($M$176="Y",'Population Definitions'!$A$13,"...")</f>
        <v>...</v>
      </c>
      <c r="E289" s="2"/>
      <c r="F289" s="3"/>
      <c r="G289" s="2"/>
      <c r="H289" s="4" t="str">
        <f>IF($M$176="Y","OR","...")</f>
        <v>...</v>
      </c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</row>
    <row r="290" spans="1:59">
      <c r="A290" s="1" t="str">
        <f>IF($B$177="Y",'Population Definitions'!$A$11,"...")</f>
        <v>...</v>
      </c>
      <c r="B290" s="4" t="str">
        <f>IF($B$177="Y","---&gt;","...")</f>
        <v>...</v>
      </c>
      <c r="C290" s="1" t="str">
        <f>IF($B$177="Y",'Population Definitions'!$A$2,"...")</f>
        <v>...</v>
      </c>
      <c r="E290" s="2"/>
      <c r="F290" s="3"/>
      <c r="G290" s="2"/>
      <c r="H290" s="4" t="str">
        <f>IF($B$177="Y","OR","...")</f>
        <v>...</v>
      </c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</row>
    <row r="291" spans="1:59">
      <c r="A291" s="1" t="str">
        <f>IF($C$177="Y",'Population Definitions'!$A$11,"...")</f>
        <v>...</v>
      </c>
      <c r="B291" s="4" t="str">
        <f>IF($C$177="Y","---&gt;","...")</f>
        <v>...</v>
      </c>
      <c r="C291" s="1" t="str">
        <f>IF($C$177="Y",'Population Definitions'!$A$3,"...")</f>
        <v>...</v>
      </c>
      <c r="E291" s="2"/>
      <c r="F291" s="3"/>
      <c r="G291" s="2"/>
      <c r="H291" s="4" t="str">
        <f>IF($C$177="Y","OR","...")</f>
        <v>...</v>
      </c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</row>
    <row r="292" spans="1:59">
      <c r="A292" s="1" t="str">
        <f>IF($D$177="Y",'Population Definitions'!$A$11,"...")</f>
        <v>...</v>
      </c>
      <c r="B292" s="4" t="str">
        <f>IF($D$177="Y","---&gt;","...")</f>
        <v>...</v>
      </c>
      <c r="C292" s="1" t="str">
        <f>IF($D$177="Y",'Population Definitions'!$A$4,"...")</f>
        <v>...</v>
      </c>
      <c r="E292" s="2"/>
      <c r="F292" s="3"/>
      <c r="G292" s="2"/>
      <c r="H292" s="4" t="str">
        <f>IF($D$177="Y","OR","...")</f>
        <v>...</v>
      </c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</row>
    <row r="293" spans="1:59">
      <c r="A293" s="1" t="str">
        <f>IF($E$177="Y",'Population Definitions'!$A$11,"...")</f>
        <v>...</v>
      </c>
      <c r="B293" s="4" t="str">
        <f>IF($E$177="Y","---&gt;","...")</f>
        <v>...</v>
      </c>
      <c r="C293" s="1" t="str">
        <f>IF($E$177="Y",'Population Definitions'!$A$5,"...")</f>
        <v>...</v>
      </c>
      <c r="E293" s="2"/>
      <c r="F293" s="3"/>
      <c r="G293" s="2"/>
      <c r="H293" s="4" t="str">
        <f>IF($E$177="Y","OR","...")</f>
        <v>...</v>
      </c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</row>
    <row r="294" spans="1:59">
      <c r="A294" s="1" t="str">
        <f>IF($F$177="Y",'Population Definitions'!$A$11,"...")</f>
        <v>...</v>
      </c>
      <c r="B294" s="4" t="str">
        <f>IF($F$177="Y","---&gt;","...")</f>
        <v>...</v>
      </c>
      <c r="C294" s="1" t="str">
        <f>IF($F$177="Y",'Population Definitions'!$A$6,"...")</f>
        <v>...</v>
      </c>
      <c r="E294" s="2"/>
      <c r="F294" s="3"/>
      <c r="G294" s="2"/>
      <c r="H294" s="4" t="str">
        <f>IF($F$177="Y","OR","...")</f>
        <v>...</v>
      </c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</row>
    <row r="295" spans="1:59">
      <c r="A295" s="1" t="str">
        <f>IF($G$177="Y",'Population Definitions'!$A$11,"...")</f>
        <v>...</v>
      </c>
      <c r="B295" s="4" t="str">
        <f>IF($G$177="Y","---&gt;","...")</f>
        <v>...</v>
      </c>
      <c r="C295" s="1" t="str">
        <f>IF($G$177="Y",'Population Definitions'!$A$7,"...")</f>
        <v>...</v>
      </c>
      <c r="E295" s="2"/>
      <c r="F295" s="3"/>
      <c r="G295" s="2"/>
      <c r="H295" s="4" t="str">
        <f>IF($G$177="Y","OR","...")</f>
        <v>...</v>
      </c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</row>
    <row r="296" spans="1:59">
      <c r="A296" s="1" t="str">
        <f>IF($H$177="Y",'Population Definitions'!$A$11,"...")</f>
        <v>...</v>
      </c>
      <c r="B296" s="4" t="str">
        <f>IF($H$177="Y","---&gt;","...")</f>
        <v>...</v>
      </c>
      <c r="C296" s="1" t="str">
        <f>IF($H$177="Y",'Population Definitions'!$A$8,"...")</f>
        <v>...</v>
      </c>
      <c r="E296" s="2"/>
      <c r="F296" s="3"/>
      <c r="G296" s="2"/>
      <c r="H296" s="4" t="str">
        <f>IF($H$177="Y","OR","...")</f>
        <v>...</v>
      </c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</row>
    <row r="297" spans="1:59">
      <c r="A297" s="1" t="str">
        <f>IF($I$177="Y",'Population Definitions'!$A$11,"...")</f>
        <v>...</v>
      </c>
      <c r="B297" s="4" t="str">
        <f>IF($I$177="Y","---&gt;","...")</f>
        <v>...</v>
      </c>
      <c r="C297" s="1" t="str">
        <f>IF($I$177="Y",'Population Definitions'!$A$9,"...")</f>
        <v>...</v>
      </c>
      <c r="E297" s="2"/>
      <c r="F297" s="3"/>
      <c r="G297" s="2"/>
      <c r="H297" s="4" t="str">
        <f>IF($I$177="Y","OR","...")</f>
        <v>...</v>
      </c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</row>
    <row r="298" spans="1:59">
      <c r="A298" s="1" t="str">
        <f>IF($J$177="Y",'Population Definitions'!$A$11,"...")</f>
        <v>...</v>
      </c>
      <c r="B298" s="4" t="str">
        <f>IF($J$177="Y","---&gt;","...")</f>
        <v>...</v>
      </c>
      <c r="C298" s="1" t="str">
        <f>IF($J$177="Y",'Population Definitions'!$A$10,"...")</f>
        <v>...</v>
      </c>
      <c r="E298" s="2"/>
      <c r="F298" s="3"/>
      <c r="G298" s="2"/>
      <c r="H298" s="4" t="str">
        <f>IF($J$177="Y","OR","...")</f>
        <v>...</v>
      </c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</row>
    <row r="299" spans="1:59">
      <c r="A299" s="1" t="str">
        <f>IF($K$177="Y",'Population Definitions'!$A$11,"...")</f>
        <v>...</v>
      </c>
      <c r="B299" s="4" t="str">
        <f>IF($K$177="Y","---&gt;","...")</f>
        <v>...</v>
      </c>
      <c r="C299" s="1" t="str">
        <f>IF($K$177="Y",'Population Definitions'!$A$11,"...")</f>
        <v>...</v>
      </c>
      <c r="E299" s="2"/>
      <c r="F299" s="3"/>
      <c r="G299" s="2"/>
      <c r="H299" s="4" t="str">
        <f>IF($K$177="Y","OR","...")</f>
        <v>...</v>
      </c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</row>
    <row r="300" spans="1:59">
      <c r="A300" s="1" t="str">
        <f>IF($L$177="Y",'Population Definitions'!$A$11,"...")</f>
        <v>...</v>
      </c>
      <c r="B300" s="4" t="str">
        <f>IF($L$177="Y","---&gt;","...")</f>
        <v>...</v>
      </c>
      <c r="C300" s="1" t="str">
        <f>IF($L$177="Y",'Population Definitions'!$A$12,"...")</f>
        <v>...</v>
      </c>
      <c r="E300" s="2"/>
      <c r="F300" s="3"/>
      <c r="G300" s="2"/>
      <c r="H300" s="4" t="str">
        <f>IF($L$177="Y","OR","...")</f>
        <v>...</v>
      </c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</row>
    <row r="301" spans="1:59">
      <c r="A301" s="1" t="str">
        <f>IF($M$177="Y",'Population Definitions'!$A$11,"...")</f>
        <v>...</v>
      </c>
      <c r="B301" s="4" t="str">
        <f>IF($M$177="Y","---&gt;","...")</f>
        <v>...</v>
      </c>
      <c r="C301" s="1" t="str">
        <f>IF($M$177="Y",'Population Definitions'!$A$13,"...")</f>
        <v>...</v>
      </c>
      <c r="E301" s="2"/>
      <c r="F301" s="3"/>
      <c r="G301" s="2"/>
      <c r="H301" s="4" t="str">
        <f>IF($M$177="Y","OR","...")</f>
        <v>...</v>
      </c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</row>
    <row r="302" spans="1:59">
      <c r="A302" s="1" t="str">
        <f>IF($B$178="Y",'Population Definitions'!$A$12,"...")</f>
        <v>...</v>
      </c>
      <c r="B302" s="4" t="str">
        <f>IF($B$178="Y","---&gt;","...")</f>
        <v>...</v>
      </c>
      <c r="C302" s="1" t="str">
        <f>IF($B$178="Y",'Population Definitions'!$A$2,"...")</f>
        <v>...</v>
      </c>
      <c r="E302" s="2"/>
      <c r="F302" s="3"/>
      <c r="G302" s="2"/>
      <c r="H302" s="4" t="str">
        <f>IF($B$178="Y","OR","...")</f>
        <v>...</v>
      </c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</row>
    <row r="303" spans="1:59">
      <c r="A303" s="1" t="str">
        <f>IF($C$178="Y",'Population Definitions'!$A$12,"...")</f>
        <v>...</v>
      </c>
      <c r="B303" s="4" t="str">
        <f>IF($C$178="Y","---&gt;","...")</f>
        <v>...</v>
      </c>
      <c r="C303" s="1" t="str">
        <f>IF($C$178="Y",'Population Definitions'!$A$3,"...")</f>
        <v>...</v>
      </c>
      <c r="E303" s="2"/>
      <c r="F303" s="3"/>
      <c r="G303" s="2"/>
      <c r="H303" s="4" t="str">
        <f>IF($C$178="Y","OR","...")</f>
        <v>...</v>
      </c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</row>
    <row r="304" spans="1:59">
      <c r="A304" s="1" t="str">
        <f>IF($D$178="Y",'Population Definitions'!$A$12,"...")</f>
        <v>...</v>
      </c>
      <c r="B304" s="4" t="str">
        <f>IF($D$178="Y","---&gt;","...")</f>
        <v>...</v>
      </c>
      <c r="C304" s="1" t="str">
        <f>IF($D$178="Y",'Population Definitions'!$A$4,"...")</f>
        <v>...</v>
      </c>
      <c r="E304" s="2"/>
      <c r="F304" s="3"/>
      <c r="G304" s="2"/>
      <c r="H304" s="4" t="str">
        <f>IF($D$178="Y","OR","...")</f>
        <v>...</v>
      </c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</row>
    <row r="305" spans="1:59">
      <c r="A305" s="1" t="str">
        <f>IF($E$178="Y",'Population Definitions'!$A$12,"...")</f>
        <v>...</v>
      </c>
      <c r="B305" s="4" t="str">
        <f>IF($E$178="Y","---&gt;","...")</f>
        <v>...</v>
      </c>
      <c r="C305" s="1" t="str">
        <f>IF($E$178="Y",'Population Definitions'!$A$5,"...")</f>
        <v>...</v>
      </c>
      <c r="E305" s="2"/>
      <c r="F305" s="3"/>
      <c r="G305" s="2"/>
      <c r="H305" s="4" t="str">
        <f>IF($E$178="Y","OR","...")</f>
        <v>...</v>
      </c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</row>
    <row r="306" spans="1:59">
      <c r="A306" s="1" t="str">
        <f>IF($F$178="Y",'Population Definitions'!$A$12,"...")</f>
        <v>...</v>
      </c>
      <c r="B306" s="4" t="str">
        <f>IF($F$178="Y","---&gt;","...")</f>
        <v>...</v>
      </c>
      <c r="C306" s="1" t="str">
        <f>IF($F$178="Y",'Population Definitions'!$A$6,"...")</f>
        <v>...</v>
      </c>
      <c r="E306" s="2"/>
      <c r="F306" s="3"/>
      <c r="G306" s="2"/>
      <c r="H306" s="4" t="str">
        <f>IF($F$178="Y","OR","...")</f>
        <v>...</v>
      </c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</row>
    <row r="307" spans="1:59">
      <c r="A307" s="1" t="str">
        <f>IF($G$178="Y",'Population Definitions'!$A$12,"...")</f>
        <v>...</v>
      </c>
      <c r="B307" s="4" t="str">
        <f>IF($G$178="Y","---&gt;","...")</f>
        <v>...</v>
      </c>
      <c r="C307" s="1" t="str">
        <f>IF($G$178="Y",'Population Definitions'!$A$7,"...")</f>
        <v>...</v>
      </c>
      <c r="E307" s="2"/>
      <c r="F307" s="3"/>
      <c r="G307" s="2"/>
      <c r="H307" s="4" t="str">
        <f>IF($G$178="Y","OR","...")</f>
        <v>...</v>
      </c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</row>
    <row r="308" spans="1:59">
      <c r="A308" s="1" t="str">
        <f>IF($H$178="Y",'Population Definitions'!$A$12,"...")</f>
        <v>...</v>
      </c>
      <c r="B308" s="4" t="str">
        <f>IF($H$178="Y","---&gt;","...")</f>
        <v>...</v>
      </c>
      <c r="C308" s="1" t="str">
        <f>IF($H$178="Y",'Population Definitions'!$A$8,"...")</f>
        <v>...</v>
      </c>
      <c r="E308" s="2"/>
      <c r="F308" s="3"/>
      <c r="G308" s="2"/>
      <c r="H308" s="4" t="str">
        <f>IF($H$178="Y","OR","...")</f>
        <v>...</v>
      </c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</row>
    <row r="309" spans="1:59">
      <c r="A309" s="1" t="str">
        <f>IF($I$178="Y",'Population Definitions'!$A$12,"...")</f>
        <v>...</v>
      </c>
      <c r="B309" s="4" t="str">
        <f>IF($I$178="Y","---&gt;","...")</f>
        <v>...</v>
      </c>
      <c r="C309" s="1" t="str">
        <f>IF($I$178="Y",'Population Definitions'!$A$9,"...")</f>
        <v>...</v>
      </c>
      <c r="E309" s="2"/>
      <c r="F309" s="3"/>
      <c r="G309" s="2"/>
      <c r="H309" s="4" t="str">
        <f>IF($I$178="Y","OR","...")</f>
        <v>...</v>
      </c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</row>
    <row r="310" spans="1:59">
      <c r="A310" s="1" t="str">
        <f>IF($J$178="Y",'Population Definitions'!$A$12,"...")</f>
        <v>...</v>
      </c>
      <c r="B310" s="4" t="str">
        <f>IF($J$178="Y","---&gt;","...")</f>
        <v>...</v>
      </c>
      <c r="C310" s="1" t="str">
        <f>IF($J$178="Y",'Population Definitions'!$A$10,"...")</f>
        <v>...</v>
      </c>
      <c r="E310" s="2"/>
      <c r="F310" s="3"/>
      <c r="G310" s="2"/>
      <c r="H310" s="4" t="str">
        <f>IF($J$178="Y","OR","...")</f>
        <v>...</v>
      </c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</row>
    <row r="311" spans="1:59">
      <c r="A311" s="1" t="str">
        <f>IF($K$178="Y",'Population Definitions'!$A$12,"...")</f>
        <v>...</v>
      </c>
      <c r="B311" s="4" t="str">
        <f>IF($K$178="Y","---&gt;","...")</f>
        <v>...</v>
      </c>
      <c r="C311" s="1" t="str">
        <f>IF($K$178="Y",'Population Definitions'!$A$11,"...")</f>
        <v>...</v>
      </c>
      <c r="E311" s="2"/>
      <c r="F311" s="3"/>
      <c r="G311" s="2"/>
      <c r="H311" s="4" t="str">
        <f>IF($K$178="Y","OR","...")</f>
        <v>...</v>
      </c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</row>
    <row r="312" spans="1:59">
      <c r="A312" s="1" t="str">
        <f>IF($L$178="Y",'Population Definitions'!$A$12,"...")</f>
        <v>...</v>
      </c>
      <c r="B312" s="4" t="str">
        <f>IF($L$178="Y","---&gt;","...")</f>
        <v>...</v>
      </c>
      <c r="C312" s="1" t="str">
        <f>IF($L$178="Y",'Population Definitions'!$A$12,"...")</f>
        <v>...</v>
      </c>
      <c r="E312" s="2"/>
      <c r="F312" s="3"/>
      <c r="G312" s="2"/>
      <c r="H312" s="4" t="str">
        <f>IF($L$178="Y","OR","...")</f>
        <v>...</v>
      </c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</row>
    <row r="313" spans="1:59">
      <c r="A313" s="1" t="str">
        <f>IF($M$178="Y",'Population Definitions'!$A$12,"...")</f>
        <v>...</v>
      </c>
      <c r="B313" s="4" t="str">
        <f>IF($M$178="Y","---&gt;","...")</f>
        <v>...</v>
      </c>
      <c r="C313" s="1" t="str">
        <f>IF($M$178="Y",'Population Definitions'!$A$13,"...")</f>
        <v>...</v>
      </c>
      <c r="E313" s="2"/>
      <c r="F313" s="3"/>
      <c r="G313" s="2"/>
      <c r="H313" s="4" t="str">
        <f>IF($M$178="Y","OR","...")</f>
        <v>...</v>
      </c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</row>
    <row r="314" spans="1:59">
      <c r="A314" s="1" t="str">
        <f>IF($B$179="Y",'Population Definitions'!$A$13,"...")</f>
        <v>...</v>
      </c>
      <c r="B314" s="4" t="str">
        <f>IF($B$179="Y","---&gt;","...")</f>
        <v>...</v>
      </c>
      <c r="C314" s="1" t="str">
        <f>IF($B$179="Y",'Population Definitions'!$A$2,"...")</f>
        <v>...</v>
      </c>
      <c r="E314" s="2"/>
      <c r="F314" s="3"/>
      <c r="G314" s="2"/>
      <c r="H314" s="4" t="str">
        <f>IF($B$179="Y","OR","...")</f>
        <v>...</v>
      </c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</row>
    <row r="315" spans="1:59">
      <c r="A315" s="1" t="str">
        <f>IF($C$179="Y",'Population Definitions'!$A$13,"...")</f>
        <v>...</v>
      </c>
      <c r="B315" s="4" t="str">
        <f>IF($C$179="Y","---&gt;","...")</f>
        <v>...</v>
      </c>
      <c r="C315" s="1" t="str">
        <f>IF($C$179="Y",'Population Definitions'!$A$3,"...")</f>
        <v>...</v>
      </c>
      <c r="E315" s="2"/>
      <c r="F315" s="3"/>
      <c r="G315" s="2"/>
      <c r="H315" s="4" t="str">
        <f>IF($C$179="Y","OR","...")</f>
        <v>...</v>
      </c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</row>
    <row r="316" spans="1:59">
      <c r="A316" s="1" t="str">
        <f>IF($D$179="Y",'Population Definitions'!$A$13,"...")</f>
        <v>...</v>
      </c>
      <c r="B316" s="4" t="str">
        <f>IF($D$179="Y","---&gt;","...")</f>
        <v>...</v>
      </c>
      <c r="C316" s="1" t="str">
        <f>IF($D$179="Y",'Population Definitions'!$A$4,"...")</f>
        <v>...</v>
      </c>
      <c r="E316" s="2"/>
      <c r="F316" s="3"/>
      <c r="G316" s="2"/>
      <c r="H316" s="4" t="str">
        <f>IF($D$179="Y","OR","...")</f>
        <v>...</v>
      </c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</row>
    <row r="317" spans="1:59">
      <c r="A317" s="1" t="str">
        <f>IF($E$179="Y",'Population Definitions'!$A$13,"...")</f>
        <v>...</v>
      </c>
      <c r="B317" s="4" t="str">
        <f>IF($E$179="Y","---&gt;","...")</f>
        <v>...</v>
      </c>
      <c r="C317" s="1" t="str">
        <f>IF($E$179="Y",'Population Definitions'!$A$5,"...")</f>
        <v>...</v>
      </c>
      <c r="E317" s="2"/>
      <c r="F317" s="3"/>
      <c r="G317" s="2"/>
      <c r="H317" s="4" t="str">
        <f>IF($E$179="Y","OR","...")</f>
        <v>...</v>
      </c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</row>
    <row r="318" spans="1:59">
      <c r="A318" s="1" t="str">
        <f>IF($F$179="Y",'Population Definitions'!$A$13,"...")</f>
        <v>...</v>
      </c>
      <c r="B318" s="4" t="str">
        <f>IF($F$179="Y","---&gt;","...")</f>
        <v>...</v>
      </c>
      <c r="C318" s="1" t="str">
        <f>IF($F$179="Y",'Population Definitions'!$A$6,"...")</f>
        <v>...</v>
      </c>
      <c r="E318" s="2"/>
      <c r="F318" s="3"/>
      <c r="G318" s="2"/>
      <c r="H318" s="4" t="str">
        <f>IF($F$179="Y","OR","...")</f>
        <v>...</v>
      </c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</row>
    <row r="319" spans="1:59">
      <c r="A319" s="1" t="str">
        <f>IF($G$179="Y",'Population Definitions'!$A$13,"...")</f>
        <v>...</v>
      </c>
      <c r="B319" s="4" t="str">
        <f>IF($G$179="Y","---&gt;","...")</f>
        <v>...</v>
      </c>
      <c r="C319" s="1" t="str">
        <f>IF($G$179="Y",'Population Definitions'!$A$7,"...")</f>
        <v>...</v>
      </c>
      <c r="E319" s="2"/>
      <c r="F319" s="3"/>
      <c r="G319" s="2"/>
      <c r="H319" s="4" t="str">
        <f>IF($G$179="Y","OR","...")</f>
        <v>...</v>
      </c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</row>
    <row r="320" spans="1:59">
      <c r="A320" s="1" t="str">
        <f>IF($H$179="Y",'Population Definitions'!$A$13,"...")</f>
        <v>...</v>
      </c>
      <c r="B320" s="4" t="str">
        <f>IF($H$179="Y","---&gt;","...")</f>
        <v>...</v>
      </c>
      <c r="C320" s="1" t="str">
        <f>IF($H$179="Y",'Population Definitions'!$A$8,"...")</f>
        <v>...</v>
      </c>
      <c r="E320" s="2"/>
      <c r="F320" s="3"/>
      <c r="G320" s="2"/>
      <c r="H320" s="4" t="str">
        <f>IF($H$179="Y","OR","...")</f>
        <v>...</v>
      </c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</row>
    <row r="321" spans="1:59">
      <c r="A321" s="1" t="str">
        <f>IF($I$179="Y",'Population Definitions'!$A$13,"...")</f>
        <v>...</v>
      </c>
      <c r="B321" s="4" t="str">
        <f>IF($I$179="Y","---&gt;","...")</f>
        <v>...</v>
      </c>
      <c r="C321" s="1" t="str">
        <f>IF($I$179="Y",'Population Definitions'!$A$9,"...")</f>
        <v>...</v>
      </c>
      <c r="E321" s="2"/>
      <c r="F321" s="3"/>
      <c r="G321" s="2"/>
      <c r="H321" s="4" t="str">
        <f>IF($I$179="Y","OR","...")</f>
        <v>...</v>
      </c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</row>
    <row r="322" spans="1:59">
      <c r="A322" s="1" t="str">
        <f>IF($J$179="Y",'Population Definitions'!$A$13,"...")</f>
        <v>...</v>
      </c>
      <c r="B322" s="4" t="str">
        <f>IF($J$179="Y","---&gt;","...")</f>
        <v>...</v>
      </c>
      <c r="C322" s="1" t="str">
        <f>IF($J$179="Y",'Population Definitions'!$A$10,"...")</f>
        <v>...</v>
      </c>
      <c r="E322" s="2"/>
      <c r="F322" s="3"/>
      <c r="G322" s="2"/>
      <c r="H322" s="4" t="str">
        <f>IF($J$179="Y","OR","...")</f>
        <v>...</v>
      </c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</row>
    <row r="323" spans="1:59">
      <c r="A323" s="1" t="str">
        <f>IF($K$179="Y",'Population Definitions'!$A$13,"...")</f>
        <v>...</v>
      </c>
      <c r="B323" s="4" t="str">
        <f>IF($K$179="Y","---&gt;","...")</f>
        <v>...</v>
      </c>
      <c r="C323" s="1" t="str">
        <f>IF($K$179="Y",'Population Definitions'!$A$11,"...")</f>
        <v>...</v>
      </c>
      <c r="E323" s="2"/>
      <c r="F323" s="3"/>
      <c r="G323" s="2"/>
      <c r="H323" s="4" t="str">
        <f>IF($K$179="Y","OR","...")</f>
        <v>...</v>
      </c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</row>
    <row r="324" spans="1:59">
      <c r="A324" s="1" t="str">
        <f>IF($L$179="Y",'Population Definitions'!$A$13,"...")</f>
        <v>...</v>
      </c>
      <c r="B324" s="4" t="str">
        <f>IF($L$179="Y","---&gt;","...")</f>
        <v>...</v>
      </c>
      <c r="C324" s="1" t="str">
        <f>IF($L$179="Y",'Population Definitions'!$A$12,"...")</f>
        <v>...</v>
      </c>
      <c r="E324" s="2"/>
      <c r="F324" s="3"/>
      <c r="G324" s="2"/>
      <c r="H324" s="4" t="str">
        <f>IF($L$179="Y","OR","...")</f>
        <v>...</v>
      </c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</row>
    <row r="325" spans="1:59">
      <c r="A325" s="1" t="str">
        <f>IF($M$179="Y",'Population Definitions'!$A$13,"...")</f>
        <v>...</v>
      </c>
      <c r="B325" s="4" t="str">
        <f>IF($M$179="Y","---&gt;","...")</f>
        <v>...</v>
      </c>
      <c r="C325" s="1" t="str">
        <f>IF($M$179="Y",'Population Definitions'!$A$13,"...")</f>
        <v>...</v>
      </c>
      <c r="E325" s="2"/>
      <c r="F325" s="3"/>
      <c r="G325" s="2"/>
      <c r="H325" s="4" t="str">
        <f>IF($M$179="Y","OR","...")</f>
        <v>...</v>
      </c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</row>
    <row r="327" spans="1:59">
      <c r="A327" s="1" t="s">
        <v>0</v>
      </c>
      <c r="B327" s="1" t="s">
        <v>1</v>
      </c>
      <c r="C327" s="1" t="s">
        <v>223</v>
      </c>
      <c r="D327" s="1" t="s">
        <v>224</v>
      </c>
    </row>
    <row r="328" spans="1:59">
      <c r="A328" t="s">
        <v>642</v>
      </c>
      <c r="B328" t="s">
        <v>643</v>
      </c>
      <c r="C328" t="s">
        <v>5</v>
      </c>
      <c r="D328" t="s">
        <v>5</v>
      </c>
    </row>
    <row r="330" spans="1:59">
      <c r="B330" s="1" t="str">
        <f>'Population Definitions'!$A$2</f>
        <v>PWID_males</v>
      </c>
      <c r="C330" s="1" t="str">
        <f>'Population Definitions'!$A$3</f>
        <v>PWID_females</v>
      </c>
      <c r="D330" s="1" t="str">
        <f>'Population Definitions'!$A$4</f>
        <v>0-9_males</v>
      </c>
      <c r="E330" s="1" t="str">
        <f>'Population Definitions'!$A$5</f>
        <v>0-9_females</v>
      </c>
      <c r="F330" s="1" t="str">
        <f>'Population Definitions'!$A$6</f>
        <v>10-17_males</v>
      </c>
      <c r="G330" s="1" t="str">
        <f>'Population Definitions'!$A$7</f>
        <v>10-17_females</v>
      </c>
      <c r="H330" s="1" t="str">
        <f>'Population Definitions'!$A$8</f>
        <v>18-64_males</v>
      </c>
      <c r="I330" s="1" t="str">
        <f>'Population Definitions'!$A$9</f>
        <v>18-64_females</v>
      </c>
      <c r="J330" s="1" t="str">
        <f>'Population Definitions'!$A$10</f>
        <v>65+_males</v>
      </c>
      <c r="K330" s="1" t="str">
        <f>'Population Definitions'!$A$11</f>
        <v>65+_females</v>
      </c>
      <c r="L330" s="1" t="str">
        <f>'Population Definitions'!$A$12</f>
        <v>Prisoners_males</v>
      </c>
      <c r="M330" s="1" t="str">
        <f>'Population Definitions'!$A$13</f>
        <v>Prisoners_females</v>
      </c>
    </row>
    <row r="331" spans="1:59">
      <c r="A331" s="1" t="str">
        <f>'Population Definitions'!$A$2</f>
        <v>PWID_males</v>
      </c>
      <c r="B331" s="4" t="s">
        <v>56</v>
      </c>
      <c r="C331" s="5" t="s">
        <v>226</v>
      </c>
      <c r="D331" s="5" t="s">
        <v>226</v>
      </c>
      <c r="E331" s="5" t="s">
        <v>226</v>
      </c>
      <c r="F331" s="5" t="s">
        <v>226</v>
      </c>
      <c r="G331" s="5" t="s">
        <v>226</v>
      </c>
      <c r="H331" s="5" t="s">
        <v>226</v>
      </c>
      <c r="I331" s="5" t="s">
        <v>226</v>
      </c>
      <c r="J331" s="5" t="s">
        <v>226</v>
      </c>
      <c r="K331" s="5" t="s">
        <v>226</v>
      </c>
      <c r="L331" s="5" t="s">
        <v>225</v>
      </c>
      <c r="M331" s="5" t="s">
        <v>226</v>
      </c>
    </row>
    <row r="332" spans="1:59">
      <c r="A332" s="1" t="str">
        <f>'Population Definitions'!$A$3</f>
        <v>PWID_females</v>
      </c>
      <c r="B332" s="5" t="s">
        <v>226</v>
      </c>
      <c r="C332" s="4" t="s">
        <v>56</v>
      </c>
      <c r="D332" s="5" t="s">
        <v>226</v>
      </c>
      <c r="E332" s="5" t="s">
        <v>226</v>
      </c>
      <c r="F332" s="5" t="s">
        <v>226</v>
      </c>
      <c r="G332" s="5" t="s">
        <v>226</v>
      </c>
      <c r="H332" s="5" t="s">
        <v>226</v>
      </c>
      <c r="I332" s="5" t="s">
        <v>226</v>
      </c>
      <c r="J332" s="5" t="s">
        <v>226</v>
      </c>
      <c r="K332" s="5" t="s">
        <v>226</v>
      </c>
      <c r="L332" s="5" t="s">
        <v>226</v>
      </c>
      <c r="M332" s="5" t="s">
        <v>225</v>
      </c>
    </row>
    <row r="333" spans="1:59">
      <c r="A333" s="1" t="str">
        <f>'Population Definitions'!$A$4</f>
        <v>0-9_males</v>
      </c>
      <c r="B333" s="5" t="s">
        <v>226</v>
      </c>
      <c r="C333" s="5" t="s">
        <v>226</v>
      </c>
      <c r="D333" s="4" t="s">
        <v>56</v>
      </c>
      <c r="E333" s="5" t="s">
        <v>226</v>
      </c>
      <c r="F333" s="5" t="s">
        <v>226</v>
      </c>
      <c r="G333" s="5" t="s">
        <v>226</v>
      </c>
      <c r="H333" s="5" t="s">
        <v>226</v>
      </c>
      <c r="I333" s="5" t="s">
        <v>226</v>
      </c>
      <c r="J333" s="5" t="s">
        <v>226</v>
      </c>
      <c r="K333" s="5" t="s">
        <v>226</v>
      </c>
      <c r="L333" s="5" t="s">
        <v>226</v>
      </c>
      <c r="M333" s="5" t="s">
        <v>226</v>
      </c>
    </row>
    <row r="334" spans="1:59">
      <c r="A334" s="1" t="str">
        <f>'Population Definitions'!$A$5</f>
        <v>0-9_females</v>
      </c>
      <c r="B334" s="5" t="s">
        <v>226</v>
      </c>
      <c r="C334" s="5" t="s">
        <v>226</v>
      </c>
      <c r="D334" s="5" t="s">
        <v>226</v>
      </c>
      <c r="E334" s="4" t="s">
        <v>56</v>
      </c>
      <c r="F334" s="5" t="s">
        <v>226</v>
      </c>
      <c r="G334" s="5" t="s">
        <v>226</v>
      </c>
      <c r="H334" s="5" t="s">
        <v>226</v>
      </c>
      <c r="I334" s="5" t="s">
        <v>226</v>
      </c>
      <c r="J334" s="5" t="s">
        <v>226</v>
      </c>
      <c r="K334" s="5" t="s">
        <v>226</v>
      </c>
      <c r="L334" s="5" t="s">
        <v>226</v>
      </c>
      <c r="M334" s="5" t="s">
        <v>226</v>
      </c>
    </row>
    <row r="335" spans="1:59">
      <c r="A335" s="1" t="str">
        <f>'Population Definitions'!$A$6</f>
        <v>10-17_males</v>
      </c>
      <c r="B335" s="5" t="s">
        <v>226</v>
      </c>
      <c r="C335" s="5" t="s">
        <v>226</v>
      </c>
      <c r="D335" s="5" t="s">
        <v>226</v>
      </c>
      <c r="E335" s="5" t="s">
        <v>226</v>
      </c>
      <c r="F335" s="4" t="s">
        <v>56</v>
      </c>
      <c r="G335" s="5" t="s">
        <v>226</v>
      </c>
      <c r="H335" s="5" t="s">
        <v>226</v>
      </c>
      <c r="I335" s="5" t="s">
        <v>226</v>
      </c>
      <c r="J335" s="5" t="s">
        <v>226</v>
      </c>
      <c r="K335" s="5" t="s">
        <v>226</v>
      </c>
      <c r="L335" s="5" t="s">
        <v>226</v>
      </c>
      <c r="M335" s="5" t="s">
        <v>226</v>
      </c>
    </row>
    <row r="336" spans="1:59">
      <c r="A336" s="1" t="str">
        <f>'Population Definitions'!$A$7</f>
        <v>10-17_females</v>
      </c>
      <c r="B336" s="5" t="s">
        <v>226</v>
      </c>
      <c r="C336" s="5" t="s">
        <v>226</v>
      </c>
      <c r="D336" s="5" t="s">
        <v>226</v>
      </c>
      <c r="E336" s="5" t="s">
        <v>226</v>
      </c>
      <c r="F336" s="5" t="s">
        <v>226</v>
      </c>
      <c r="G336" s="4" t="s">
        <v>56</v>
      </c>
      <c r="H336" s="5" t="s">
        <v>226</v>
      </c>
      <c r="I336" s="5" t="s">
        <v>226</v>
      </c>
      <c r="J336" s="5" t="s">
        <v>226</v>
      </c>
      <c r="K336" s="5" t="s">
        <v>226</v>
      </c>
      <c r="L336" s="5" t="s">
        <v>226</v>
      </c>
      <c r="M336" s="5" t="s">
        <v>226</v>
      </c>
    </row>
    <row r="337" spans="1:59">
      <c r="A337" s="1" t="str">
        <f>'Population Definitions'!$A$8</f>
        <v>18-64_males</v>
      </c>
      <c r="B337" s="5" t="s">
        <v>226</v>
      </c>
      <c r="C337" s="5" t="s">
        <v>226</v>
      </c>
      <c r="D337" s="5" t="s">
        <v>226</v>
      </c>
      <c r="E337" s="5" t="s">
        <v>226</v>
      </c>
      <c r="F337" s="5" t="s">
        <v>226</v>
      </c>
      <c r="G337" s="5" t="s">
        <v>226</v>
      </c>
      <c r="H337" s="4" t="s">
        <v>56</v>
      </c>
      <c r="I337" s="5" t="s">
        <v>226</v>
      </c>
      <c r="J337" s="5" t="s">
        <v>226</v>
      </c>
      <c r="K337" s="5" t="s">
        <v>226</v>
      </c>
      <c r="L337" s="5" t="s">
        <v>225</v>
      </c>
      <c r="M337" s="5" t="s">
        <v>226</v>
      </c>
    </row>
    <row r="338" spans="1:59">
      <c r="A338" s="1" t="str">
        <f>'Population Definitions'!$A$9</f>
        <v>18-64_females</v>
      </c>
      <c r="B338" s="5" t="s">
        <v>226</v>
      </c>
      <c r="C338" s="5" t="s">
        <v>226</v>
      </c>
      <c r="D338" s="5" t="s">
        <v>226</v>
      </c>
      <c r="E338" s="5" t="s">
        <v>226</v>
      </c>
      <c r="F338" s="5" t="s">
        <v>226</v>
      </c>
      <c r="G338" s="5" t="s">
        <v>226</v>
      </c>
      <c r="H338" s="5" t="s">
        <v>226</v>
      </c>
      <c r="I338" s="4" t="s">
        <v>56</v>
      </c>
      <c r="J338" s="5" t="s">
        <v>226</v>
      </c>
      <c r="K338" s="5" t="s">
        <v>226</v>
      </c>
      <c r="L338" s="5" t="s">
        <v>226</v>
      </c>
      <c r="M338" s="5" t="s">
        <v>225</v>
      </c>
    </row>
    <row r="339" spans="1:59">
      <c r="A339" s="1" t="str">
        <f>'Population Definitions'!$A$10</f>
        <v>65+_males</v>
      </c>
      <c r="B339" s="5" t="s">
        <v>226</v>
      </c>
      <c r="C339" s="5" t="s">
        <v>226</v>
      </c>
      <c r="D339" s="5" t="s">
        <v>226</v>
      </c>
      <c r="E339" s="5" t="s">
        <v>226</v>
      </c>
      <c r="F339" s="5" t="s">
        <v>226</v>
      </c>
      <c r="G339" s="5" t="s">
        <v>226</v>
      </c>
      <c r="H339" s="5" t="s">
        <v>226</v>
      </c>
      <c r="I339" s="5" t="s">
        <v>226</v>
      </c>
      <c r="J339" s="4" t="s">
        <v>56</v>
      </c>
      <c r="K339" s="5" t="s">
        <v>226</v>
      </c>
      <c r="L339" s="5" t="s">
        <v>226</v>
      </c>
      <c r="M339" s="5" t="s">
        <v>226</v>
      </c>
    </row>
    <row r="340" spans="1:59">
      <c r="A340" s="1" t="str">
        <f>'Population Definitions'!$A$11</f>
        <v>65+_females</v>
      </c>
      <c r="B340" s="5" t="s">
        <v>226</v>
      </c>
      <c r="C340" s="5" t="s">
        <v>226</v>
      </c>
      <c r="D340" s="5" t="s">
        <v>226</v>
      </c>
      <c r="E340" s="5" t="s">
        <v>226</v>
      </c>
      <c r="F340" s="5" t="s">
        <v>226</v>
      </c>
      <c r="G340" s="5" t="s">
        <v>226</v>
      </c>
      <c r="H340" s="5" t="s">
        <v>226</v>
      </c>
      <c r="I340" s="5" t="s">
        <v>226</v>
      </c>
      <c r="J340" s="5" t="s">
        <v>226</v>
      </c>
      <c r="K340" s="4" t="s">
        <v>56</v>
      </c>
      <c r="L340" s="5" t="s">
        <v>226</v>
      </c>
      <c r="M340" s="5" t="s">
        <v>226</v>
      </c>
    </row>
    <row r="341" spans="1:59">
      <c r="A341" s="1" t="str">
        <f>'Population Definitions'!$A$12</f>
        <v>Prisoners_males</v>
      </c>
      <c r="B341" s="5" t="s">
        <v>225</v>
      </c>
      <c r="C341" s="5" t="s">
        <v>226</v>
      </c>
      <c r="D341" s="5" t="s">
        <v>226</v>
      </c>
      <c r="E341" s="5" t="s">
        <v>226</v>
      </c>
      <c r="F341" s="5" t="s">
        <v>226</v>
      </c>
      <c r="G341" s="5" t="s">
        <v>226</v>
      </c>
      <c r="H341" s="5" t="s">
        <v>225</v>
      </c>
      <c r="I341" s="5" t="s">
        <v>226</v>
      </c>
      <c r="J341" s="5" t="s">
        <v>226</v>
      </c>
      <c r="K341" s="5" t="s">
        <v>226</v>
      </c>
      <c r="L341" s="4" t="s">
        <v>56</v>
      </c>
      <c r="M341" s="5" t="s">
        <v>226</v>
      </c>
    </row>
    <row r="342" spans="1:59">
      <c r="A342" s="1" t="str">
        <f>'Population Definitions'!$A$13</f>
        <v>Prisoners_females</v>
      </c>
      <c r="B342" s="5" t="s">
        <v>226</v>
      </c>
      <c r="C342" s="5" t="s">
        <v>225</v>
      </c>
      <c r="D342" s="5" t="s">
        <v>226</v>
      </c>
      <c r="E342" s="5" t="s">
        <v>226</v>
      </c>
      <c r="F342" s="5" t="s">
        <v>226</v>
      </c>
      <c r="G342" s="5" t="s">
        <v>226</v>
      </c>
      <c r="H342" s="5" t="s">
        <v>226</v>
      </c>
      <c r="I342" s="5" t="s">
        <v>225</v>
      </c>
      <c r="J342" s="5" t="s">
        <v>226</v>
      </c>
      <c r="K342" s="5" t="s">
        <v>226</v>
      </c>
      <c r="L342" s="5" t="s">
        <v>226</v>
      </c>
      <c r="M342" s="4" t="s">
        <v>56</v>
      </c>
    </row>
    <row r="344" spans="1:59">
      <c r="A344" s="1" t="s">
        <v>227</v>
      </c>
      <c r="B344" s="1"/>
      <c r="C344" s="1" t="s">
        <v>228</v>
      </c>
      <c r="D344" s="1" t="s">
        <v>29</v>
      </c>
      <c r="E344" s="1" t="s">
        <v>30</v>
      </c>
      <c r="F344" s="1" t="s">
        <v>31</v>
      </c>
      <c r="G344" s="1" t="s">
        <v>36</v>
      </c>
      <c r="H344" s="1"/>
      <c r="I344" s="1">
        <v>2000</v>
      </c>
      <c r="J344" s="1">
        <v>2001</v>
      </c>
      <c r="K344" s="1">
        <v>2002</v>
      </c>
      <c r="L344" s="1">
        <v>2003</v>
      </c>
      <c r="M344" s="1">
        <v>2004</v>
      </c>
      <c r="N344" s="1">
        <v>2005</v>
      </c>
      <c r="O344" s="1">
        <v>2006</v>
      </c>
      <c r="P344" s="1">
        <v>2007</v>
      </c>
      <c r="Q344" s="1">
        <v>2008</v>
      </c>
      <c r="R344" s="1">
        <v>2009</v>
      </c>
      <c r="S344" s="1">
        <v>2010</v>
      </c>
      <c r="T344" s="1">
        <v>2011</v>
      </c>
      <c r="U344" s="1">
        <v>2012</v>
      </c>
      <c r="V344" s="1">
        <v>2013</v>
      </c>
      <c r="W344" s="1">
        <v>2014</v>
      </c>
      <c r="X344" s="1">
        <v>2015</v>
      </c>
      <c r="Y344" s="1">
        <v>2016</v>
      </c>
      <c r="Z344" s="1">
        <v>2017</v>
      </c>
      <c r="AA344" s="1">
        <v>2018</v>
      </c>
      <c r="AB344" s="1">
        <v>2019</v>
      </c>
      <c r="AC344" s="1">
        <v>2020</v>
      </c>
      <c r="AD344" s="1">
        <v>2021</v>
      </c>
      <c r="AE344" s="1">
        <v>2022</v>
      </c>
      <c r="AF344" s="1">
        <v>2023</v>
      </c>
      <c r="AG344" s="1">
        <v>2024</v>
      </c>
      <c r="AH344" s="1">
        <v>2025</v>
      </c>
      <c r="AI344" s="1">
        <v>2026</v>
      </c>
      <c r="AJ344" s="1">
        <v>2027</v>
      </c>
      <c r="AK344" s="1">
        <v>2028</v>
      </c>
      <c r="AL344" s="1">
        <v>2029</v>
      </c>
      <c r="AM344" s="1">
        <v>2030</v>
      </c>
      <c r="AN344" s="1">
        <v>2031</v>
      </c>
      <c r="AO344" s="1">
        <v>2032</v>
      </c>
      <c r="AP344" s="1">
        <v>2033</v>
      </c>
      <c r="AQ344" s="1">
        <v>2034</v>
      </c>
      <c r="AR344" s="1">
        <v>2035</v>
      </c>
      <c r="AS344" s="1">
        <v>2036</v>
      </c>
      <c r="AT344" s="1">
        <v>2037</v>
      </c>
      <c r="AU344" s="1">
        <v>2038</v>
      </c>
      <c r="AV344" s="1">
        <v>2039</v>
      </c>
      <c r="AW344" s="1">
        <v>2040</v>
      </c>
      <c r="AX344" s="1">
        <v>2041</v>
      </c>
      <c r="AY344" s="1">
        <v>2042</v>
      </c>
      <c r="AZ344" s="1">
        <v>2043</v>
      </c>
      <c r="BA344" s="1">
        <v>2044</v>
      </c>
      <c r="BB344" s="1">
        <v>2045</v>
      </c>
      <c r="BC344" s="1">
        <v>2046</v>
      </c>
      <c r="BD344" s="1">
        <v>2047</v>
      </c>
      <c r="BE344" s="1">
        <v>2048</v>
      </c>
      <c r="BF344" s="1">
        <v>2049</v>
      </c>
      <c r="BG344" s="1">
        <v>2050</v>
      </c>
    </row>
    <row r="345" spans="1:59">
      <c r="A345" s="1" t="str">
        <f>IF($B$331="Y",'Population Definitions'!$A$2,"...")</f>
        <v>...</v>
      </c>
      <c r="B345" s="4" t="str">
        <f>IF($B$331="Y","---&gt;","...")</f>
        <v>...</v>
      </c>
      <c r="C345" s="1" t="str">
        <f>IF($B$331="Y",'Population Definitions'!$A$2,"...")</f>
        <v>...</v>
      </c>
      <c r="E345" s="2"/>
      <c r="F345" s="3"/>
      <c r="G345" s="2"/>
      <c r="H345" s="4" t="str">
        <f>IF($B$331="Y","OR","...")</f>
        <v>...</v>
      </c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</row>
    <row r="346" spans="1:59">
      <c r="A346" s="1" t="str">
        <f>IF($C$331="Y",'Population Definitions'!$A$2,"...")</f>
        <v>...</v>
      </c>
      <c r="B346" s="4" t="str">
        <f>IF($C$331="Y","---&gt;","...")</f>
        <v>...</v>
      </c>
      <c r="C346" s="1" t="str">
        <f>IF($C$331="Y",'Population Definitions'!$A$3,"...")</f>
        <v>...</v>
      </c>
      <c r="E346" s="2"/>
      <c r="F346" s="3"/>
      <c r="G346" s="2"/>
      <c r="H346" s="4" t="str">
        <f>IF($C$331="Y","OR","...")</f>
        <v>...</v>
      </c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</row>
    <row r="347" spans="1:59">
      <c r="A347" s="1" t="str">
        <f>IF($D$331="Y",'Population Definitions'!$A$2,"...")</f>
        <v>...</v>
      </c>
      <c r="B347" s="4" t="str">
        <f>IF($D$331="Y","---&gt;","...")</f>
        <v>...</v>
      </c>
      <c r="C347" s="1" t="str">
        <f>IF($D$331="Y",'Population Definitions'!$A$4,"...")</f>
        <v>...</v>
      </c>
      <c r="E347" s="2"/>
      <c r="F347" s="3"/>
      <c r="G347" s="2"/>
      <c r="H347" s="4" t="str">
        <f>IF($D$331="Y","OR","...")</f>
        <v>...</v>
      </c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</row>
    <row r="348" spans="1:59">
      <c r="A348" s="1" t="str">
        <f>IF($E$331="Y",'Population Definitions'!$A$2,"...")</f>
        <v>...</v>
      </c>
      <c r="B348" s="4" t="str">
        <f>IF($E$331="Y","---&gt;","...")</f>
        <v>...</v>
      </c>
      <c r="C348" s="1" t="str">
        <f>IF($E$331="Y",'Population Definitions'!$A$5,"...")</f>
        <v>...</v>
      </c>
      <c r="E348" s="2"/>
      <c r="F348" s="3"/>
      <c r="G348" s="2"/>
      <c r="H348" s="4" t="str">
        <f>IF($E$331="Y","OR","...")</f>
        <v>...</v>
      </c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</row>
    <row r="349" spans="1:59">
      <c r="A349" s="1" t="str">
        <f>IF($F$331="Y",'Population Definitions'!$A$2,"...")</f>
        <v>...</v>
      </c>
      <c r="B349" s="4" t="str">
        <f>IF($F$331="Y","---&gt;","...")</f>
        <v>...</v>
      </c>
      <c r="C349" s="1" t="str">
        <f>IF($F$331="Y",'Population Definitions'!$A$6,"...")</f>
        <v>...</v>
      </c>
      <c r="E349" s="2"/>
      <c r="F349" s="3"/>
      <c r="G349" s="2"/>
      <c r="H349" s="4" t="str">
        <f>IF($F$331="Y","OR","...")</f>
        <v>...</v>
      </c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</row>
    <row r="350" spans="1:59">
      <c r="A350" s="1" t="str">
        <f>IF($G$331="Y",'Population Definitions'!$A$2,"...")</f>
        <v>...</v>
      </c>
      <c r="B350" s="4" t="str">
        <f>IF($G$331="Y","---&gt;","...")</f>
        <v>...</v>
      </c>
      <c r="C350" s="1" t="str">
        <f>IF($G$331="Y",'Population Definitions'!$A$7,"...")</f>
        <v>...</v>
      </c>
      <c r="E350" s="2"/>
      <c r="F350" s="3"/>
      <c r="G350" s="2"/>
      <c r="H350" s="4" t="str">
        <f>IF($G$331="Y","OR","...")</f>
        <v>...</v>
      </c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</row>
    <row r="351" spans="1:59">
      <c r="A351" s="1" t="str">
        <f>IF($H$331="Y",'Population Definitions'!$A$2,"...")</f>
        <v>...</v>
      </c>
      <c r="B351" s="4" t="str">
        <f>IF($H$331="Y","---&gt;","...")</f>
        <v>...</v>
      </c>
      <c r="C351" s="1" t="str">
        <f>IF($H$331="Y",'Population Definitions'!$A$8,"...")</f>
        <v>...</v>
      </c>
      <c r="E351" s="2"/>
      <c r="F351" s="3"/>
      <c r="G351" s="2"/>
      <c r="H351" s="4" t="str">
        <f>IF($H$331="Y","OR","...")</f>
        <v>...</v>
      </c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</row>
    <row r="352" spans="1:59">
      <c r="A352" s="1" t="str">
        <f>IF($I$331="Y",'Population Definitions'!$A$2,"...")</f>
        <v>...</v>
      </c>
      <c r="B352" s="4" t="str">
        <f>IF($I$331="Y","---&gt;","...")</f>
        <v>...</v>
      </c>
      <c r="C352" s="1" t="str">
        <f>IF($I$331="Y",'Population Definitions'!$A$9,"...")</f>
        <v>...</v>
      </c>
      <c r="E352" s="2"/>
      <c r="F352" s="3"/>
      <c r="G352" s="2"/>
      <c r="H352" s="4" t="str">
        <f>IF($I$331="Y","OR","...")</f>
        <v>...</v>
      </c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</row>
    <row r="353" spans="1:59">
      <c r="A353" s="1" t="str">
        <f>IF($J$331="Y",'Population Definitions'!$A$2,"...")</f>
        <v>...</v>
      </c>
      <c r="B353" s="4" t="str">
        <f>IF($J$331="Y","---&gt;","...")</f>
        <v>...</v>
      </c>
      <c r="C353" s="1" t="str">
        <f>IF($J$331="Y",'Population Definitions'!$A$10,"...")</f>
        <v>...</v>
      </c>
      <c r="E353" s="2"/>
      <c r="F353" s="3"/>
      <c r="G353" s="2"/>
      <c r="H353" s="4" t="str">
        <f>IF($J$331="Y","OR","...")</f>
        <v>...</v>
      </c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</row>
    <row r="354" spans="1:59">
      <c r="A354" s="1" t="str">
        <f>IF($K$331="Y",'Population Definitions'!$A$2,"...")</f>
        <v>...</v>
      </c>
      <c r="B354" s="4" t="str">
        <f>IF($K$331="Y","---&gt;","...")</f>
        <v>...</v>
      </c>
      <c r="C354" s="1" t="str">
        <f>IF($K$331="Y",'Population Definitions'!$A$11,"...")</f>
        <v>...</v>
      </c>
      <c r="E354" s="2"/>
      <c r="F354" s="3"/>
      <c r="G354" s="2"/>
      <c r="H354" s="4" t="str">
        <f>IF($K$331="Y","OR","...")</f>
        <v>...</v>
      </c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</row>
    <row r="355" spans="1:59">
      <c r="A355" s="1" t="str">
        <f>IF($L$331="Y",'Population Definitions'!$A$2,"...")</f>
        <v>PWID_males</v>
      </c>
      <c r="B355" s="4" t="str">
        <f>IF($L$331="Y","---&gt;","...")</f>
        <v>---&gt;</v>
      </c>
      <c r="C355" s="1" t="str">
        <f>IF($L$331="Y",'Population Definitions'!$A$12,"...")</f>
        <v>Prisoners_males</v>
      </c>
      <c r="E355" s="3" t="s">
        <v>53</v>
      </c>
      <c r="F355" s="3"/>
      <c r="G355" s="3">
        <v>3.431279824631272</v>
      </c>
      <c r="H355" s="4" t="str">
        <f>IF($L$331="Y","OR","...")</f>
        <v>OR</v>
      </c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  <c r="AA355" s="3"/>
      <c r="AB355" s="3"/>
      <c r="AC355" s="3"/>
      <c r="AD355" s="3"/>
      <c r="AE355" s="3"/>
      <c r="AF355" s="3"/>
      <c r="AG355" s="3"/>
      <c r="AH355" s="3"/>
      <c r="AI355" s="3"/>
      <c r="AJ355" s="3"/>
      <c r="AK355" s="3"/>
      <c r="AL355" s="3"/>
      <c r="AM355" s="3"/>
      <c r="AN355" s="3"/>
      <c r="AO355" s="3"/>
      <c r="AP355" s="3"/>
      <c r="AQ355" s="3"/>
      <c r="AR355" s="3"/>
      <c r="AS355" s="3"/>
      <c r="AT355" s="3"/>
      <c r="AU355" s="3"/>
      <c r="AV355" s="3"/>
      <c r="AW355" s="3"/>
      <c r="AX355" s="3"/>
      <c r="AY355" s="3"/>
      <c r="AZ355" s="3"/>
      <c r="BA355" s="3"/>
      <c r="BB355" s="3"/>
      <c r="BC355" s="3"/>
      <c r="BD355" s="3"/>
      <c r="BE355" s="3"/>
      <c r="BF355" s="3"/>
      <c r="BG355" s="3"/>
    </row>
    <row r="356" spans="1:59">
      <c r="A356" s="1" t="str">
        <f>IF($M$331="Y",'Population Definitions'!$A$2,"...")</f>
        <v>...</v>
      </c>
      <c r="B356" s="4" t="str">
        <f>IF($M$331="Y","---&gt;","...")</f>
        <v>...</v>
      </c>
      <c r="C356" s="1" t="str">
        <f>IF($M$331="Y",'Population Definitions'!$A$13,"...")</f>
        <v>...</v>
      </c>
      <c r="E356" s="2"/>
      <c r="F356" s="3"/>
      <c r="G356" s="2"/>
      <c r="H356" s="4" t="str">
        <f>IF($M$331="Y","OR","...")</f>
        <v>...</v>
      </c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</row>
    <row r="357" spans="1:59">
      <c r="A357" s="1" t="str">
        <f>IF($B$332="Y",'Population Definitions'!$A$3,"...")</f>
        <v>...</v>
      </c>
      <c r="B357" s="4" t="str">
        <f>IF($B$332="Y","---&gt;","...")</f>
        <v>...</v>
      </c>
      <c r="C357" s="1" t="str">
        <f>IF($B$332="Y",'Population Definitions'!$A$2,"...")</f>
        <v>...</v>
      </c>
      <c r="E357" s="2"/>
      <c r="F357" s="3"/>
      <c r="G357" s="2"/>
      <c r="H357" s="4" t="str">
        <f>IF($B$332="Y","OR","...")</f>
        <v>...</v>
      </c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</row>
    <row r="358" spans="1:59">
      <c r="A358" s="1" t="str">
        <f>IF($C$332="Y",'Population Definitions'!$A$3,"...")</f>
        <v>...</v>
      </c>
      <c r="B358" s="4" t="str">
        <f>IF($C$332="Y","---&gt;","...")</f>
        <v>...</v>
      </c>
      <c r="C358" s="1" t="str">
        <f>IF($C$332="Y",'Population Definitions'!$A$3,"...")</f>
        <v>...</v>
      </c>
      <c r="E358" s="2"/>
      <c r="F358" s="3"/>
      <c r="G358" s="2"/>
      <c r="H358" s="4" t="str">
        <f>IF($C$332="Y","OR","...")</f>
        <v>...</v>
      </c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</row>
    <row r="359" spans="1:59">
      <c r="A359" s="1" t="str">
        <f>IF($D$332="Y",'Population Definitions'!$A$3,"...")</f>
        <v>...</v>
      </c>
      <c r="B359" s="4" t="str">
        <f>IF($D$332="Y","---&gt;","...")</f>
        <v>...</v>
      </c>
      <c r="C359" s="1" t="str">
        <f>IF($D$332="Y",'Population Definitions'!$A$4,"...")</f>
        <v>...</v>
      </c>
      <c r="E359" s="2"/>
      <c r="F359" s="3"/>
      <c r="G359" s="2"/>
      <c r="H359" s="4" t="str">
        <f>IF($D$332="Y","OR","...")</f>
        <v>...</v>
      </c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</row>
    <row r="360" spans="1:59">
      <c r="A360" s="1" t="str">
        <f>IF($E$332="Y",'Population Definitions'!$A$3,"...")</f>
        <v>...</v>
      </c>
      <c r="B360" s="4" t="str">
        <f>IF($E$332="Y","---&gt;","...")</f>
        <v>...</v>
      </c>
      <c r="C360" s="1" t="str">
        <f>IF($E$332="Y",'Population Definitions'!$A$5,"...")</f>
        <v>...</v>
      </c>
      <c r="E360" s="2"/>
      <c r="F360" s="3"/>
      <c r="G360" s="2"/>
      <c r="H360" s="4" t="str">
        <f>IF($E$332="Y","OR","...")</f>
        <v>...</v>
      </c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</row>
    <row r="361" spans="1:59">
      <c r="A361" s="1" t="str">
        <f>IF($F$332="Y",'Population Definitions'!$A$3,"...")</f>
        <v>...</v>
      </c>
      <c r="B361" s="4" t="str">
        <f>IF($F$332="Y","---&gt;","...")</f>
        <v>...</v>
      </c>
      <c r="C361" s="1" t="str">
        <f>IF($F$332="Y",'Population Definitions'!$A$6,"...")</f>
        <v>...</v>
      </c>
      <c r="E361" s="2"/>
      <c r="F361" s="3"/>
      <c r="G361" s="2"/>
      <c r="H361" s="4" t="str">
        <f>IF($F$332="Y","OR","...")</f>
        <v>...</v>
      </c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</row>
    <row r="362" spans="1:59">
      <c r="A362" s="1" t="str">
        <f>IF($G$332="Y",'Population Definitions'!$A$3,"...")</f>
        <v>...</v>
      </c>
      <c r="B362" s="4" t="str">
        <f>IF($G$332="Y","---&gt;","...")</f>
        <v>...</v>
      </c>
      <c r="C362" s="1" t="str">
        <f>IF($G$332="Y",'Population Definitions'!$A$7,"...")</f>
        <v>...</v>
      </c>
      <c r="E362" s="2"/>
      <c r="F362" s="3"/>
      <c r="G362" s="2"/>
      <c r="H362" s="4" t="str">
        <f>IF($G$332="Y","OR","...")</f>
        <v>...</v>
      </c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</row>
    <row r="363" spans="1:59">
      <c r="A363" s="1" t="str">
        <f>IF($H$332="Y",'Population Definitions'!$A$3,"...")</f>
        <v>...</v>
      </c>
      <c r="B363" s="4" t="str">
        <f>IF($H$332="Y","---&gt;","...")</f>
        <v>...</v>
      </c>
      <c r="C363" s="1" t="str">
        <f>IF($H$332="Y",'Population Definitions'!$A$8,"...")</f>
        <v>...</v>
      </c>
      <c r="E363" s="2"/>
      <c r="F363" s="3"/>
      <c r="G363" s="2"/>
      <c r="H363" s="4" t="str">
        <f>IF($H$332="Y","OR","...")</f>
        <v>...</v>
      </c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</row>
    <row r="364" spans="1:59">
      <c r="A364" s="1" t="str">
        <f>IF($I$332="Y",'Population Definitions'!$A$3,"...")</f>
        <v>...</v>
      </c>
      <c r="B364" s="4" t="str">
        <f>IF($I$332="Y","---&gt;","...")</f>
        <v>...</v>
      </c>
      <c r="C364" s="1" t="str">
        <f>IF($I$332="Y",'Population Definitions'!$A$9,"...")</f>
        <v>...</v>
      </c>
      <c r="E364" s="2"/>
      <c r="F364" s="3"/>
      <c r="G364" s="2"/>
      <c r="H364" s="4" t="str">
        <f>IF($I$332="Y","OR","...")</f>
        <v>...</v>
      </c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</row>
    <row r="365" spans="1:59">
      <c r="A365" s="1" t="str">
        <f>IF($J$332="Y",'Population Definitions'!$A$3,"...")</f>
        <v>...</v>
      </c>
      <c r="B365" s="4" t="str">
        <f>IF($J$332="Y","---&gt;","...")</f>
        <v>...</v>
      </c>
      <c r="C365" s="1" t="str">
        <f>IF($J$332="Y",'Population Definitions'!$A$10,"...")</f>
        <v>...</v>
      </c>
      <c r="E365" s="2"/>
      <c r="F365" s="3"/>
      <c r="G365" s="2"/>
      <c r="H365" s="4" t="str">
        <f>IF($J$332="Y","OR","...")</f>
        <v>...</v>
      </c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</row>
    <row r="366" spans="1:59">
      <c r="A366" s="1" t="str">
        <f>IF($K$332="Y",'Population Definitions'!$A$3,"...")</f>
        <v>...</v>
      </c>
      <c r="B366" s="4" t="str">
        <f>IF($K$332="Y","---&gt;","...")</f>
        <v>...</v>
      </c>
      <c r="C366" s="1" t="str">
        <f>IF($K$332="Y",'Population Definitions'!$A$11,"...")</f>
        <v>...</v>
      </c>
      <c r="E366" s="2"/>
      <c r="F366" s="3"/>
      <c r="G366" s="2"/>
      <c r="H366" s="4" t="str">
        <f>IF($K$332="Y","OR","...")</f>
        <v>...</v>
      </c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</row>
    <row r="367" spans="1:59">
      <c r="A367" s="1" t="str">
        <f>IF($L$332="Y",'Population Definitions'!$A$3,"...")</f>
        <v>...</v>
      </c>
      <c r="B367" s="4" t="str">
        <f>IF($L$332="Y","---&gt;","...")</f>
        <v>...</v>
      </c>
      <c r="C367" s="1" t="str">
        <f>IF($L$332="Y",'Population Definitions'!$A$12,"...")</f>
        <v>...</v>
      </c>
      <c r="E367" s="2"/>
      <c r="F367" s="3"/>
      <c r="G367" s="2"/>
      <c r="H367" s="4" t="str">
        <f>IF($L$332="Y","OR","...")</f>
        <v>...</v>
      </c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</row>
    <row r="368" spans="1:59">
      <c r="A368" s="1" t="str">
        <f>IF($M$332="Y",'Population Definitions'!$A$3,"...")</f>
        <v>PWID_females</v>
      </c>
      <c r="B368" s="4" t="str">
        <f>IF($M$332="Y","---&gt;","...")</f>
        <v>---&gt;</v>
      </c>
      <c r="C368" s="1" t="str">
        <f>IF($M$332="Y",'Population Definitions'!$A$13,"...")</f>
        <v>Prisoners_females</v>
      </c>
      <c r="E368" s="3" t="s">
        <v>53</v>
      </c>
      <c r="F368" s="3"/>
      <c r="G368" s="3">
        <v>0.3711572257354314</v>
      </c>
      <c r="H368" s="4" t="str">
        <f>IF($M$332="Y","OR","...")</f>
        <v>OR</v>
      </c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  <c r="AA368" s="3"/>
      <c r="AB368" s="3"/>
      <c r="AC368" s="3"/>
      <c r="AD368" s="3"/>
      <c r="AE368" s="3"/>
      <c r="AF368" s="3"/>
      <c r="AG368" s="3"/>
      <c r="AH368" s="3"/>
      <c r="AI368" s="3"/>
      <c r="AJ368" s="3"/>
      <c r="AK368" s="3"/>
      <c r="AL368" s="3"/>
      <c r="AM368" s="3"/>
      <c r="AN368" s="3"/>
      <c r="AO368" s="3"/>
      <c r="AP368" s="3"/>
      <c r="AQ368" s="3"/>
      <c r="AR368" s="3"/>
      <c r="AS368" s="3"/>
      <c r="AT368" s="3"/>
      <c r="AU368" s="3"/>
      <c r="AV368" s="3"/>
      <c r="AW368" s="3"/>
      <c r="AX368" s="3"/>
      <c r="AY368" s="3"/>
      <c r="AZ368" s="3"/>
      <c r="BA368" s="3"/>
      <c r="BB368" s="3"/>
      <c r="BC368" s="3"/>
      <c r="BD368" s="3"/>
      <c r="BE368" s="3"/>
      <c r="BF368" s="3"/>
      <c r="BG368" s="3"/>
    </row>
    <row r="369" spans="1:59">
      <c r="A369" s="1" t="str">
        <f>IF($B$333="Y",'Population Definitions'!$A$4,"...")</f>
        <v>...</v>
      </c>
      <c r="B369" s="4" t="str">
        <f>IF($B$333="Y","---&gt;","...")</f>
        <v>...</v>
      </c>
      <c r="C369" s="1" t="str">
        <f>IF($B$333="Y",'Population Definitions'!$A$2,"...")</f>
        <v>...</v>
      </c>
      <c r="E369" s="2"/>
      <c r="F369" s="3"/>
      <c r="G369" s="2"/>
      <c r="H369" s="4" t="str">
        <f>IF($B$333="Y","OR","...")</f>
        <v>...</v>
      </c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</row>
    <row r="370" spans="1:59">
      <c r="A370" s="1" t="str">
        <f>IF($C$333="Y",'Population Definitions'!$A$4,"...")</f>
        <v>...</v>
      </c>
      <c r="B370" s="4" t="str">
        <f>IF($C$333="Y","---&gt;","...")</f>
        <v>...</v>
      </c>
      <c r="C370" s="1" t="str">
        <f>IF($C$333="Y",'Population Definitions'!$A$3,"...")</f>
        <v>...</v>
      </c>
      <c r="E370" s="2"/>
      <c r="F370" s="3"/>
      <c r="G370" s="2"/>
      <c r="H370" s="4" t="str">
        <f>IF($C$333="Y","OR","...")</f>
        <v>...</v>
      </c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</row>
    <row r="371" spans="1:59">
      <c r="A371" s="1" t="str">
        <f>IF($D$333="Y",'Population Definitions'!$A$4,"...")</f>
        <v>...</v>
      </c>
      <c r="B371" s="4" t="str">
        <f>IF($D$333="Y","---&gt;","...")</f>
        <v>...</v>
      </c>
      <c r="C371" s="1" t="str">
        <f>IF($D$333="Y",'Population Definitions'!$A$4,"...")</f>
        <v>...</v>
      </c>
      <c r="E371" s="2"/>
      <c r="F371" s="3"/>
      <c r="G371" s="2"/>
      <c r="H371" s="4" t="str">
        <f>IF($D$333="Y","OR","...")</f>
        <v>...</v>
      </c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</row>
    <row r="372" spans="1:59">
      <c r="A372" s="1" t="str">
        <f>IF($E$333="Y",'Population Definitions'!$A$4,"...")</f>
        <v>...</v>
      </c>
      <c r="B372" s="4" t="str">
        <f>IF($E$333="Y","---&gt;","...")</f>
        <v>...</v>
      </c>
      <c r="C372" s="1" t="str">
        <f>IF($E$333="Y",'Population Definitions'!$A$5,"...")</f>
        <v>...</v>
      </c>
      <c r="E372" s="2"/>
      <c r="F372" s="3"/>
      <c r="G372" s="2"/>
      <c r="H372" s="4" t="str">
        <f>IF($E$333="Y","OR","...")</f>
        <v>...</v>
      </c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</row>
    <row r="373" spans="1:59">
      <c r="A373" s="1" t="str">
        <f>IF($F$333="Y",'Population Definitions'!$A$4,"...")</f>
        <v>...</v>
      </c>
      <c r="B373" s="4" t="str">
        <f>IF($F$333="Y","---&gt;","...")</f>
        <v>...</v>
      </c>
      <c r="C373" s="1" t="str">
        <f>IF($F$333="Y",'Population Definitions'!$A$6,"...")</f>
        <v>...</v>
      </c>
      <c r="E373" s="2"/>
      <c r="F373" s="3"/>
      <c r="G373" s="2"/>
      <c r="H373" s="4" t="str">
        <f>IF($F$333="Y","OR","...")</f>
        <v>...</v>
      </c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</row>
    <row r="374" spans="1:59">
      <c r="A374" s="1" t="str">
        <f>IF($G$333="Y",'Population Definitions'!$A$4,"...")</f>
        <v>...</v>
      </c>
      <c r="B374" s="4" t="str">
        <f>IF($G$333="Y","---&gt;","...")</f>
        <v>...</v>
      </c>
      <c r="C374" s="1" t="str">
        <f>IF($G$333="Y",'Population Definitions'!$A$7,"...")</f>
        <v>...</v>
      </c>
      <c r="E374" s="2"/>
      <c r="F374" s="3"/>
      <c r="G374" s="2"/>
      <c r="H374" s="4" t="str">
        <f>IF($G$333="Y","OR","...")</f>
        <v>...</v>
      </c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</row>
    <row r="375" spans="1:59">
      <c r="A375" s="1" t="str">
        <f>IF($H$333="Y",'Population Definitions'!$A$4,"...")</f>
        <v>...</v>
      </c>
      <c r="B375" s="4" t="str">
        <f>IF($H$333="Y","---&gt;","...")</f>
        <v>...</v>
      </c>
      <c r="C375" s="1" t="str">
        <f>IF($H$333="Y",'Population Definitions'!$A$8,"...")</f>
        <v>...</v>
      </c>
      <c r="E375" s="2"/>
      <c r="F375" s="3"/>
      <c r="G375" s="2"/>
      <c r="H375" s="4" t="str">
        <f>IF($H$333="Y","OR","...")</f>
        <v>...</v>
      </c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</row>
    <row r="376" spans="1:59">
      <c r="A376" s="1" t="str">
        <f>IF($I$333="Y",'Population Definitions'!$A$4,"...")</f>
        <v>...</v>
      </c>
      <c r="B376" s="4" t="str">
        <f>IF($I$333="Y","---&gt;","...")</f>
        <v>...</v>
      </c>
      <c r="C376" s="1" t="str">
        <f>IF($I$333="Y",'Population Definitions'!$A$9,"...")</f>
        <v>...</v>
      </c>
      <c r="E376" s="2"/>
      <c r="F376" s="3"/>
      <c r="G376" s="2"/>
      <c r="H376" s="4" t="str">
        <f>IF($I$333="Y","OR","...")</f>
        <v>...</v>
      </c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</row>
    <row r="377" spans="1:59">
      <c r="A377" s="1" t="str">
        <f>IF($J$333="Y",'Population Definitions'!$A$4,"...")</f>
        <v>...</v>
      </c>
      <c r="B377" s="4" t="str">
        <f>IF($J$333="Y","---&gt;","...")</f>
        <v>...</v>
      </c>
      <c r="C377" s="1" t="str">
        <f>IF($J$333="Y",'Population Definitions'!$A$10,"...")</f>
        <v>...</v>
      </c>
      <c r="E377" s="2"/>
      <c r="F377" s="3"/>
      <c r="G377" s="2"/>
      <c r="H377" s="4" t="str">
        <f>IF($J$333="Y","OR","...")</f>
        <v>...</v>
      </c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</row>
    <row r="378" spans="1:59">
      <c r="A378" s="1" t="str">
        <f>IF($K$333="Y",'Population Definitions'!$A$4,"...")</f>
        <v>...</v>
      </c>
      <c r="B378" s="4" t="str">
        <f>IF($K$333="Y","---&gt;","...")</f>
        <v>...</v>
      </c>
      <c r="C378" s="1" t="str">
        <f>IF($K$333="Y",'Population Definitions'!$A$11,"...")</f>
        <v>...</v>
      </c>
      <c r="E378" s="2"/>
      <c r="F378" s="3"/>
      <c r="G378" s="2"/>
      <c r="H378" s="4" t="str">
        <f>IF($K$333="Y","OR","...")</f>
        <v>...</v>
      </c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</row>
    <row r="379" spans="1:59">
      <c r="A379" s="1" t="str">
        <f>IF($L$333="Y",'Population Definitions'!$A$4,"...")</f>
        <v>...</v>
      </c>
      <c r="B379" s="4" t="str">
        <f>IF($L$333="Y","---&gt;","...")</f>
        <v>...</v>
      </c>
      <c r="C379" s="1" t="str">
        <f>IF($L$333="Y",'Population Definitions'!$A$12,"...")</f>
        <v>...</v>
      </c>
      <c r="E379" s="2"/>
      <c r="F379" s="3"/>
      <c r="G379" s="2"/>
      <c r="H379" s="4" t="str">
        <f>IF($L$333="Y","OR","...")</f>
        <v>...</v>
      </c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</row>
    <row r="380" spans="1:59">
      <c r="A380" s="1" t="str">
        <f>IF($M$333="Y",'Population Definitions'!$A$4,"...")</f>
        <v>...</v>
      </c>
      <c r="B380" s="4" t="str">
        <f>IF($M$333="Y","---&gt;","...")</f>
        <v>...</v>
      </c>
      <c r="C380" s="1" t="str">
        <f>IF($M$333="Y",'Population Definitions'!$A$13,"...")</f>
        <v>...</v>
      </c>
      <c r="E380" s="2"/>
      <c r="F380" s="3"/>
      <c r="G380" s="2"/>
      <c r="H380" s="4" t="str">
        <f>IF($M$333="Y","OR","...")</f>
        <v>...</v>
      </c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</row>
    <row r="381" spans="1:59">
      <c r="A381" s="1" t="str">
        <f>IF($B$334="Y",'Population Definitions'!$A$5,"...")</f>
        <v>...</v>
      </c>
      <c r="B381" s="4" t="str">
        <f>IF($B$334="Y","---&gt;","...")</f>
        <v>...</v>
      </c>
      <c r="C381" s="1" t="str">
        <f>IF($B$334="Y",'Population Definitions'!$A$2,"...")</f>
        <v>...</v>
      </c>
      <c r="E381" s="2"/>
      <c r="F381" s="3"/>
      <c r="G381" s="2"/>
      <c r="H381" s="4" t="str">
        <f>IF($B$334="Y","OR","...")</f>
        <v>...</v>
      </c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</row>
    <row r="382" spans="1:59">
      <c r="A382" s="1" t="str">
        <f>IF($C$334="Y",'Population Definitions'!$A$5,"...")</f>
        <v>...</v>
      </c>
      <c r="B382" s="4" t="str">
        <f>IF($C$334="Y","---&gt;","...")</f>
        <v>...</v>
      </c>
      <c r="C382" s="1" t="str">
        <f>IF($C$334="Y",'Population Definitions'!$A$3,"...")</f>
        <v>...</v>
      </c>
      <c r="E382" s="2"/>
      <c r="F382" s="3"/>
      <c r="G382" s="2"/>
      <c r="H382" s="4" t="str">
        <f>IF($C$334="Y","OR","...")</f>
        <v>...</v>
      </c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</row>
    <row r="383" spans="1:59">
      <c r="A383" s="1" t="str">
        <f>IF($D$334="Y",'Population Definitions'!$A$5,"...")</f>
        <v>...</v>
      </c>
      <c r="B383" s="4" t="str">
        <f>IF($D$334="Y","---&gt;","...")</f>
        <v>...</v>
      </c>
      <c r="C383" s="1" t="str">
        <f>IF($D$334="Y",'Population Definitions'!$A$4,"...")</f>
        <v>...</v>
      </c>
      <c r="E383" s="2"/>
      <c r="F383" s="3"/>
      <c r="G383" s="2"/>
      <c r="H383" s="4" t="str">
        <f>IF($D$334="Y","OR","...")</f>
        <v>...</v>
      </c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</row>
    <row r="384" spans="1:59">
      <c r="A384" s="1" t="str">
        <f>IF($E$334="Y",'Population Definitions'!$A$5,"...")</f>
        <v>...</v>
      </c>
      <c r="B384" s="4" t="str">
        <f>IF($E$334="Y","---&gt;","...")</f>
        <v>...</v>
      </c>
      <c r="C384" s="1" t="str">
        <f>IF($E$334="Y",'Population Definitions'!$A$5,"...")</f>
        <v>...</v>
      </c>
      <c r="E384" s="2"/>
      <c r="F384" s="3"/>
      <c r="G384" s="2"/>
      <c r="H384" s="4" t="str">
        <f>IF($E$334="Y","OR","...")</f>
        <v>...</v>
      </c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</row>
    <row r="385" spans="1:59">
      <c r="A385" s="1" t="str">
        <f>IF($F$334="Y",'Population Definitions'!$A$5,"...")</f>
        <v>...</v>
      </c>
      <c r="B385" s="4" t="str">
        <f>IF($F$334="Y","---&gt;","...")</f>
        <v>...</v>
      </c>
      <c r="C385" s="1" t="str">
        <f>IF($F$334="Y",'Population Definitions'!$A$6,"...")</f>
        <v>...</v>
      </c>
      <c r="E385" s="2"/>
      <c r="F385" s="3"/>
      <c r="G385" s="2"/>
      <c r="H385" s="4" t="str">
        <f>IF($F$334="Y","OR","...")</f>
        <v>...</v>
      </c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</row>
    <row r="386" spans="1:59">
      <c r="A386" s="1" t="str">
        <f>IF($G$334="Y",'Population Definitions'!$A$5,"...")</f>
        <v>...</v>
      </c>
      <c r="B386" s="4" t="str">
        <f>IF($G$334="Y","---&gt;","...")</f>
        <v>...</v>
      </c>
      <c r="C386" s="1" t="str">
        <f>IF($G$334="Y",'Population Definitions'!$A$7,"...")</f>
        <v>...</v>
      </c>
      <c r="E386" s="2"/>
      <c r="F386" s="3"/>
      <c r="G386" s="2"/>
      <c r="H386" s="4" t="str">
        <f>IF($G$334="Y","OR","...")</f>
        <v>...</v>
      </c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</row>
    <row r="387" spans="1:59">
      <c r="A387" s="1" t="str">
        <f>IF($H$334="Y",'Population Definitions'!$A$5,"...")</f>
        <v>...</v>
      </c>
      <c r="B387" s="4" t="str">
        <f>IF($H$334="Y","---&gt;","...")</f>
        <v>...</v>
      </c>
      <c r="C387" s="1" t="str">
        <f>IF($H$334="Y",'Population Definitions'!$A$8,"...")</f>
        <v>...</v>
      </c>
      <c r="E387" s="2"/>
      <c r="F387" s="3"/>
      <c r="G387" s="2"/>
      <c r="H387" s="4" t="str">
        <f>IF($H$334="Y","OR","...")</f>
        <v>...</v>
      </c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</row>
    <row r="388" spans="1:59">
      <c r="A388" s="1" t="str">
        <f>IF($I$334="Y",'Population Definitions'!$A$5,"...")</f>
        <v>...</v>
      </c>
      <c r="B388" s="4" t="str">
        <f>IF($I$334="Y","---&gt;","...")</f>
        <v>...</v>
      </c>
      <c r="C388" s="1" t="str">
        <f>IF($I$334="Y",'Population Definitions'!$A$9,"...")</f>
        <v>...</v>
      </c>
      <c r="E388" s="2"/>
      <c r="F388" s="3"/>
      <c r="G388" s="2"/>
      <c r="H388" s="4" t="str">
        <f>IF($I$334="Y","OR","...")</f>
        <v>...</v>
      </c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</row>
    <row r="389" spans="1:59">
      <c r="A389" s="1" t="str">
        <f>IF($J$334="Y",'Population Definitions'!$A$5,"...")</f>
        <v>...</v>
      </c>
      <c r="B389" s="4" t="str">
        <f>IF($J$334="Y","---&gt;","...")</f>
        <v>...</v>
      </c>
      <c r="C389" s="1" t="str">
        <f>IF($J$334="Y",'Population Definitions'!$A$10,"...")</f>
        <v>...</v>
      </c>
      <c r="E389" s="2"/>
      <c r="F389" s="3"/>
      <c r="G389" s="2"/>
      <c r="H389" s="4" t="str">
        <f>IF($J$334="Y","OR","...")</f>
        <v>...</v>
      </c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</row>
    <row r="390" spans="1:59">
      <c r="A390" s="1" t="str">
        <f>IF($K$334="Y",'Population Definitions'!$A$5,"...")</f>
        <v>...</v>
      </c>
      <c r="B390" s="4" t="str">
        <f>IF($K$334="Y","---&gt;","...")</f>
        <v>...</v>
      </c>
      <c r="C390" s="1" t="str">
        <f>IF($K$334="Y",'Population Definitions'!$A$11,"...")</f>
        <v>...</v>
      </c>
      <c r="E390" s="2"/>
      <c r="F390" s="3"/>
      <c r="G390" s="2"/>
      <c r="H390" s="4" t="str">
        <f>IF($K$334="Y","OR","...")</f>
        <v>...</v>
      </c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</row>
    <row r="391" spans="1:59">
      <c r="A391" s="1" t="str">
        <f>IF($L$334="Y",'Population Definitions'!$A$5,"...")</f>
        <v>...</v>
      </c>
      <c r="B391" s="4" t="str">
        <f>IF($L$334="Y","---&gt;","...")</f>
        <v>...</v>
      </c>
      <c r="C391" s="1" t="str">
        <f>IF($L$334="Y",'Population Definitions'!$A$12,"...")</f>
        <v>...</v>
      </c>
      <c r="E391" s="2"/>
      <c r="F391" s="3"/>
      <c r="G391" s="2"/>
      <c r="H391" s="4" t="str">
        <f>IF($L$334="Y","OR","...")</f>
        <v>...</v>
      </c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</row>
    <row r="392" spans="1:59">
      <c r="A392" s="1" t="str">
        <f>IF($M$334="Y",'Population Definitions'!$A$5,"...")</f>
        <v>...</v>
      </c>
      <c r="B392" s="4" t="str">
        <f>IF($M$334="Y","---&gt;","...")</f>
        <v>...</v>
      </c>
      <c r="C392" s="1" t="str">
        <f>IF($M$334="Y",'Population Definitions'!$A$13,"...")</f>
        <v>...</v>
      </c>
      <c r="E392" s="2"/>
      <c r="F392" s="3"/>
      <c r="G392" s="2"/>
      <c r="H392" s="4" t="str">
        <f>IF($M$334="Y","OR","...")</f>
        <v>...</v>
      </c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</row>
    <row r="393" spans="1:59">
      <c r="A393" s="1" t="str">
        <f>IF($B$335="Y",'Population Definitions'!$A$6,"...")</f>
        <v>...</v>
      </c>
      <c r="B393" s="4" t="str">
        <f>IF($B$335="Y","---&gt;","...")</f>
        <v>...</v>
      </c>
      <c r="C393" s="1" t="str">
        <f>IF($B$335="Y",'Population Definitions'!$A$2,"...")</f>
        <v>...</v>
      </c>
      <c r="E393" s="2"/>
      <c r="F393" s="3"/>
      <c r="G393" s="2"/>
      <c r="H393" s="4" t="str">
        <f>IF($B$335="Y","OR","...")</f>
        <v>...</v>
      </c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</row>
    <row r="394" spans="1:59">
      <c r="A394" s="1" t="str">
        <f>IF($C$335="Y",'Population Definitions'!$A$6,"...")</f>
        <v>...</v>
      </c>
      <c r="B394" s="4" t="str">
        <f>IF($C$335="Y","---&gt;","...")</f>
        <v>...</v>
      </c>
      <c r="C394" s="1" t="str">
        <f>IF($C$335="Y",'Population Definitions'!$A$3,"...")</f>
        <v>...</v>
      </c>
      <c r="E394" s="2"/>
      <c r="F394" s="3"/>
      <c r="G394" s="2"/>
      <c r="H394" s="4" t="str">
        <f>IF($C$335="Y","OR","...")</f>
        <v>...</v>
      </c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</row>
    <row r="395" spans="1:59">
      <c r="A395" s="1" t="str">
        <f>IF($D$335="Y",'Population Definitions'!$A$6,"...")</f>
        <v>...</v>
      </c>
      <c r="B395" s="4" t="str">
        <f>IF($D$335="Y","---&gt;","...")</f>
        <v>...</v>
      </c>
      <c r="C395" s="1" t="str">
        <f>IF($D$335="Y",'Population Definitions'!$A$4,"...")</f>
        <v>...</v>
      </c>
      <c r="E395" s="2"/>
      <c r="F395" s="3"/>
      <c r="G395" s="2"/>
      <c r="H395" s="4" t="str">
        <f>IF($D$335="Y","OR","...")</f>
        <v>...</v>
      </c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</row>
    <row r="396" spans="1:59">
      <c r="A396" s="1" t="str">
        <f>IF($E$335="Y",'Population Definitions'!$A$6,"...")</f>
        <v>...</v>
      </c>
      <c r="B396" s="4" t="str">
        <f>IF($E$335="Y","---&gt;","...")</f>
        <v>...</v>
      </c>
      <c r="C396" s="1" t="str">
        <f>IF($E$335="Y",'Population Definitions'!$A$5,"...")</f>
        <v>...</v>
      </c>
      <c r="E396" s="2"/>
      <c r="F396" s="3"/>
      <c r="G396" s="2"/>
      <c r="H396" s="4" t="str">
        <f>IF($E$335="Y","OR","...")</f>
        <v>...</v>
      </c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</row>
    <row r="397" spans="1:59">
      <c r="A397" s="1" t="str">
        <f>IF($F$335="Y",'Population Definitions'!$A$6,"...")</f>
        <v>...</v>
      </c>
      <c r="B397" s="4" t="str">
        <f>IF($F$335="Y","---&gt;","...")</f>
        <v>...</v>
      </c>
      <c r="C397" s="1" t="str">
        <f>IF($F$335="Y",'Population Definitions'!$A$6,"...")</f>
        <v>...</v>
      </c>
      <c r="E397" s="2"/>
      <c r="F397" s="3"/>
      <c r="G397" s="2"/>
      <c r="H397" s="4" t="str">
        <f>IF($F$335="Y","OR","...")</f>
        <v>...</v>
      </c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</row>
    <row r="398" spans="1:59">
      <c r="A398" s="1" t="str">
        <f>IF($G$335="Y",'Population Definitions'!$A$6,"...")</f>
        <v>...</v>
      </c>
      <c r="B398" s="4" t="str">
        <f>IF($G$335="Y","---&gt;","...")</f>
        <v>...</v>
      </c>
      <c r="C398" s="1" t="str">
        <f>IF($G$335="Y",'Population Definitions'!$A$7,"...")</f>
        <v>...</v>
      </c>
      <c r="E398" s="2"/>
      <c r="F398" s="3"/>
      <c r="G398" s="2"/>
      <c r="H398" s="4" t="str">
        <f>IF($G$335="Y","OR","...")</f>
        <v>...</v>
      </c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</row>
    <row r="399" spans="1:59">
      <c r="A399" s="1" t="str">
        <f>IF($H$335="Y",'Population Definitions'!$A$6,"...")</f>
        <v>...</v>
      </c>
      <c r="B399" s="4" t="str">
        <f>IF($H$335="Y","---&gt;","...")</f>
        <v>...</v>
      </c>
      <c r="C399" s="1" t="str">
        <f>IF($H$335="Y",'Population Definitions'!$A$8,"...")</f>
        <v>...</v>
      </c>
      <c r="E399" s="2"/>
      <c r="F399" s="3"/>
      <c r="G399" s="2"/>
      <c r="H399" s="4" t="str">
        <f>IF($H$335="Y","OR","...")</f>
        <v>...</v>
      </c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</row>
    <row r="400" spans="1:59">
      <c r="A400" s="1" t="str">
        <f>IF($I$335="Y",'Population Definitions'!$A$6,"...")</f>
        <v>...</v>
      </c>
      <c r="B400" s="4" t="str">
        <f>IF($I$335="Y","---&gt;","...")</f>
        <v>...</v>
      </c>
      <c r="C400" s="1" t="str">
        <f>IF($I$335="Y",'Population Definitions'!$A$9,"...")</f>
        <v>...</v>
      </c>
      <c r="E400" s="2"/>
      <c r="F400" s="3"/>
      <c r="G400" s="2"/>
      <c r="H400" s="4" t="str">
        <f>IF($I$335="Y","OR","...")</f>
        <v>...</v>
      </c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</row>
    <row r="401" spans="1:59">
      <c r="A401" s="1" t="str">
        <f>IF($J$335="Y",'Population Definitions'!$A$6,"...")</f>
        <v>...</v>
      </c>
      <c r="B401" s="4" t="str">
        <f>IF($J$335="Y","---&gt;","...")</f>
        <v>...</v>
      </c>
      <c r="C401" s="1" t="str">
        <f>IF($J$335="Y",'Population Definitions'!$A$10,"...")</f>
        <v>...</v>
      </c>
      <c r="E401" s="2"/>
      <c r="F401" s="3"/>
      <c r="G401" s="2"/>
      <c r="H401" s="4" t="str">
        <f>IF($J$335="Y","OR","...")</f>
        <v>...</v>
      </c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</row>
    <row r="402" spans="1:59">
      <c r="A402" s="1" t="str">
        <f>IF($K$335="Y",'Population Definitions'!$A$6,"...")</f>
        <v>...</v>
      </c>
      <c r="B402" s="4" t="str">
        <f>IF($K$335="Y","---&gt;","...")</f>
        <v>...</v>
      </c>
      <c r="C402" s="1" t="str">
        <f>IF($K$335="Y",'Population Definitions'!$A$11,"...")</f>
        <v>...</v>
      </c>
      <c r="E402" s="2"/>
      <c r="F402" s="3"/>
      <c r="G402" s="2"/>
      <c r="H402" s="4" t="str">
        <f>IF($K$335="Y","OR","...")</f>
        <v>...</v>
      </c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</row>
    <row r="403" spans="1:59">
      <c r="A403" s="1" t="str">
        <f>IF($L$335="Y",'Population Definitions'!$A$6,"...")</f>
        <v>...</v>
      </c>
      <c r="B403" s="4" t="str">
        <f>IF($L$335="Y","---&gt;","...")</f>
        <v>...</v>
      </c>
      <c r="C403" s="1" t="str">
        <f>IF($L$335="Y",'Population Definitions'!$A$12,"...")</f>
        <v>...</v>
      </c>
      <c r="E403" s="2"/>
      <c r="F403" s="3"/>
      <c r="G403" s="2"/>
      <c r="H403" s="4" t="str">
        <f>IF($L$335="Y","OR","...")</f>
        <v>...</v>
      </c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</row>
    <row r="404" spans="1:59">
      <c r="A404" s="1" t="str">
        <f>IF($M$335="Y",'Population Definitions'!$A$6,"...")</f>
        <v>...</v>
      </c>
      <c r="B404" s="4" t="str">
        <f>IF($M$335="Y","---&gt;","...")</f>
        <v>...</v>
      </c>
      <c r="C404" s="1" t="str">
        <f>IF($M$335="Y",'Population Definitions'!$A$13,"...")</f>
        <v>...</v>
      </c>
      <c r="E404" s="2"/>
      <c r="F404" s="3"/>
      <c r="G404" s="2"/>
      <c r="H404" s="4" t="str">
        <f>IF($M$335="Y","OR","...")</f>
        <v>...</v>
      </c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</row>
    <row r="405" spans="1:59">
      <c r="A405" s="1" t="str">
        <f>IF($B$336="Y",'Population Definitions'!$A$7,"...")</f>
        <v>...</v>
      </c>
      <c r="B405" s="4" t="str">
        <f>IF($B$336="Y","---&gt;","...")</f>
        <v>...</v>
      </c>
      <c r="C405" s="1" t="str">
        <f>IF($B$336="Y",'Population Definitions'!$A$2,"...")</f>
        <v>...</v>
      </c>
      <c r="E405" s="2"/>
      <c r="F405" s="3"/>
      <c r="G405" s="2"/>
      <c r="H405" s="4" t="str">
        <f>IF($B$336="Y","OR","...")</f>
        <v>...</v>
      </c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</row>
    <row r="406" spans="1:59">
      <c r="A406" s="1" t="str">
        <f>IF($C$336="Y",'Population Definitions'!$A$7,"...")</f>
        <v>...</v>
      </c>
      <c r="B406" s="4" t="str">
        <f>IF($C$336="Y","---&gt;","...")</f>
        <v>...</v>
      </c>
      <c r="C406" s="1" t="str">
        <f>IF($C$336="Y",'Population Definitions'!$A$3,"...")</f>
        <v>...</v>
      </c>
      <c r="E406" s="2"/>
      <c r="F406" s="3"/>
      <c r="G406" s="2"/>
      <c r="H406" s="4" t="str">
        <f>IF($C$336="Y","OR","...")</f>
        <v>...</v>
      </c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</row>
    <row r="407" spans="1:59">
      <c r="A407" s="1" t="str">
        <f>IF($D$336="Y",'Population Definitions'!$A$7,"...")</f>
        <v>...</v>
      </c>
      <c r="B407" s="4" t="str">
        <f>IF($D$336="Y","---&gt;","...")</f>
        <v>...</v>
      </c>
      <c r="C407" s="1" t="str">
        <f>IF($D$336="Y",'Population Definitions'!$A$4,"...")</f>
        <v>...</v>
      </c>
      <c r="E407" s="2"/>
      <c r="F407" s="3"/>
      <c r="G407" s="2"/>
      <c r="H407" s="4" t="str">
        <f>IF($D$336="Y","OR","...")</f>
        <v>...</v>
      </c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</row>
    <row r="408" spans="1:59">
      <c r="A408" s="1" t="str">
        <f>IF($E$336="Y",'Population Definitions'!$A$7,"...")</f>
        <v>...</v>
      </c>
      <c r="B408" s="4" t="str">
        <f>IF($E$336="Y","---&gt;","...")</f>
        <v>...</v>
      </c>
      <c r="C408" s="1" t="str">
        <f>IF($E$336="Y",'Population Definitions'!$A$5,"...")</f>
        <v>...</v>
      </c>
      <c r="E408" s="2"/>
      <c r="F408" s="3"/>
      <c r="G408" s="2"/>
      <c r="H408" s="4" t="str">
        <f>IF($E$336="Y","OR","...")</f>
        <v>...</v>
      </c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</row>
    <row r="409" spans="1:59">
      <c r="A409" s="1" t="str">
        <f>IF($F$336="Y",'Population Definitions'!$A$7,"...")</f>
        <v>...</v>
      </c>
      <c r="B409" s="4" t="str">
        <f>IF($F$336="Y","---&gt;","...")</f>
        <v>...</v>
      </c>
      <c r="C409" s="1" t="str">
        <f>IF($F$336="Y",'Population Definitions'!$A$6,"...")</f>
        <v>...</v>
      </c>
      <c r="E409" s="2"/>
      <c r="F409" s="3"/>
      <c r="G409" s="2"/>
      <c r="H409" s="4" t="str">
        <f>IF($F$336="Y","OR","...")</f>
        <v>...</v>
      </c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</row>
    <row r="410" spans="1:59">
      <c r="A410" s="1" t="str">
        <f>IF($G$336="Y",'Population Definitions'!$A$7,"...")</f>
        <v>...</v>
      </c>
      <c r="B410" s="4" t="str">
        <f>IF($G$336="Y","---&gt;","...")</f>
        <v>...</v>
      </c>
      <c r="C410" s="1" t="str">
        <f>IF($G$336="Y",'Population Definitions'!$A$7,"...")</f>
        <v>...</v>
      </c>
      <c r="E410" s="2"/>
      <c r="F410" s="3"/>
      <c r="G410" s="2"/>
      <c r="H410" s="4" t="str">
        <f>IF($G$336="Y","OR","...")</f>
        <v>...</v>
      </c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</row>
    <row r="411" spans="1:59">
      <c r="A411" s="1" t="str">
        <f>IF($H$336="Y",'Population Definitions'!$A$7,"...")</f>
        <v>...</v>
      </c>
      <c r="B411" s="4" t="str">
        <f>IF($H$336="Y","---&gt;","...")</f>
        <v>...</v>
      </c>
      <c r="C411" s="1" t="str">
        <f>IF($H$336="Y",'Population Definitions'!$A$8,"...")</f>
        <v>...</v>
      </c>
      <c r="E411" s="2"/>
      <c r="F411" s="3"/>
      <c r="G411" s="2"/>
      <c r="H411" s="4" t="str">
        <f>IF($H$336="Y","OR","...")</f>
        <v>...</v>
      </c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</row>
    <row r="412" spans="1:59">
      <c r="A412" s="1" t="str">
        <f>IF($I$336="Y",'Population Definitions'!$A$7,"...")</f>
        <v>...</v>
      </c>
      <c r="B412" s="4" t="str">
        <f>IF($I$336="Y","---&gt;","...")</f>
        <v>...</v>
      </c>
      <c r="C412" s="1" t="str">
        <f>IF($I$336="Y",'Population Definitions'!$A$9,"...")</f>
        <v>...</v>
      </c>
      <c r="E412" s="2"/>
      <c r="F412" s="3"/>
      <c r="G412" s="2"/>
      <c r="H412" s="4" t="str">
        <f>IF($I$336="Y","OR","...")</f>
        <v>...</v>
      </c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</row>
    <row r="413" spans="1:59">
      <c r="A413" s="1" t="str">
        <f>IF($J$336="Y",'Population Definitions'!$A$7,"...")</f>
        <v>...</v>
      </c>
      <c r="B413" s="4" t="str">
        <f>IF($J$336="Y","---&gt;","...")</f>
        <v>...</v>
      </c>
      <c r="C413" s="1" t="str">
        <f>IF($J$336="Y",'Population Definitions'!$A$10,"...")</f>
        <v>...</v>
      </c>
      <c r="E413" s="2"/>
      <c r="F413" s="3"/>
      <c r="G413" s="2"/>
      <c r="H413" s="4" t="str">
        <f>IF($J$336="Y","OR","...")</f>
        <v>...</v>
      </c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</row>
    <row r="414" spans="1:59">
      <c r="A414" s="1" t="str">
        <f>IF($K$336="Y",'Population Definitions'!$A$7,"...")</f>
        <v>...</v>
      </c>
      <c r="B414" s="4" t="str">
        <f>IF($K$336="Y","---&gt;","...")</f>
        <v>...</v>
      </c>
      <c r="C414" s="1" t="str">
        <f>IF($K$336="Y",'Population Definitions'!$A$11,"...")</f>
        <v>...</v>
      </c>
      <c r="E414" s="2"/>
      <c r="F414" s="3"/>
      <c r="G414" s="2"/>
      <c r="H414" s="4" t="str">
        <f>IF($K$336="Y","OR","...")</f>
        <v>...</v>
      </c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</row>
    <row r="415" spans="1:59">
      <c r="A415" s="1" t="str">
        <f>IF($L$336="Y",'Population Definitions'!$A$7,"...")</f>
        <v>...</v>
      </c>
      <c r="B415" s="4" t="str">
        <f>IF($L$336="Y","---&gt;","...")</f>
        <v>...</v>
      </c>
      <c r="C415" s="1" t="str">
        <f>IF($L$336="Y",'Population Definitions'!$A$12,"...")</f>
        <v>...</v>
      </c>
      <c r="E415" s="2"/>
      <c r="F415" s="3"/>
      <c r="G415" s="2"/>
      <c r="H415" s="4" t="str">
        <f>IF($L$336="Y","OR","...")</f>
        <v>...</v>
      </c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</row>
    <row r="416" spans="1:59">
      <c r="A416" s="1" t="str">
        <f>IF($M$336="Y",'Population Definitions'!$A$7,"...")</f>
        <v>...</v>
      </c>
      <c r="B416" s="4" t="str">
        <f>IF($M$336="Y","---&gt;","...")</f>
        <v>...</v>
      </c>
      <c r="C416" s="1" t="str">
        <f>IF($M$336="Y",'Population Definitions'!$A$13,"...")</f>
        <v>...</v>
      </c>
      <c r="E416" s="2"/>
      <c r="F416" s="3"/>
      <c r="G416" s="2"/>
      <c r="H416" s="4" t="str">
        <f>IF($M$336="Y","OR","...")</f>
        <v>...</v>
      </c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</row>
    <row r="417" spans="1:59">
      <c r="A417" s="1" t="str">
        <f>IF($B$337="Y",'Population Definitions'!$A$8,"...")</f>
        <v>...</v>
      </c>
      <c r="B417" s="4" t="str">
        <f>IF($B$337="Y","---&gt;","...")</f>
        <v>...</v>
      </c>
      <c r="C417" s="1" t="str">
        <f>IF($B$337="Y",'Population Definitions'!$A$2,"...")</f>
        <v>...</v>
      </c>
      <c r="E417" s="2"/>
      <c r="F417" s="3"/>
      <c r="G417" s="2"/>
      <c r="H417" s="4" t="str">
        <f>IF($B$337="Y","OR","...")</f>
        <v>...</v>
      </c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</row>
    <row r="418" spans="1:59">
      <c r="A418" s="1" t="str">
        <f>IF($C$337="Y",'Population Definitions'!$A$8,"...")</f>
        <v>...</v>
      </c>
      <c r="B418" s="4" t="str">
        <f>IF($C$337="Y","---&gt;","...")</f>
        <v>...</v>
      </c>
      <c r="C418" s="1" t="str">
        <f>IF($C$337="Y",'Population Definitions'!$A$3,"...")</f>
        <v>...</v>
      </c>
      <c r="E418" s="2"/>
      <c r="F418" s="3"/>
      <c r="G418" s="2"/>
      <c r="H418" s="4" t="str">
        <f>IF($C$337="Y","OR","...")</f>
        <v>...</v>
      </c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</row>
    <row r="419" spans="1:59">
      <c r="A419" s="1" t="str">
        <f>IF($D$337="Y",'Population Definitions'!$A$8,"...")</f>
        <v>...</v>
      </c>
      <c r="B419" s="4" t="str">
        <f>IF($D$337="Y","---&gt;","...")</f>
        <v>...</v>
      </c>
      <c r="C419" s="1" t="str">
        <f>IF($D$337="Y",'Population Definitions'!$A$4,"...")</f>
        <v>...</v>
      </c>
      <c r="E419" s="2"/>
      <c r="F419" s="3"/>
      <c r="G419" s="2"/>
      <c r="H419" s="4" t="str">
        <f>IF($D$337="Y","OR","...")</f>
        <v>...</v>
      </c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</row>
    <row r="420" spans="1:59">
      <c r="A420" s="1" t="str">
        <f>IF($E$337="Y",'Population Definitions'!$A$8,"...")</f>
        <v>...</v>
      </c>
      <c r="B420" s="4" t="str">
        <f>IF($E$337="Y","---&gt;","...")</f>
        <v>...</v>
      </c>
      <c r="C420" s="1" t="str">
        <f>IF($E$337="Y",'Population Definitions'!$A$5,"...")</f>
        <v>...</v>
      </c>
      <c r="E420" s="2"/>
      <c r="F420" s="3"/>
      <c r="G420" s="2"/>
      <c r="H420" s="4" t="str">
        <f>IF($E$337="Y","OR","...")</f>
        <v>...</v>
      </c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</row>
    <row r="421" spans="1:59">
      <c r="A421" s="1" t="str">
        <f>IF($F$337="Y",'Population Definitions'!$A$8,"...")</f>
        <v>...</v>
      </c>
      <c r="B421" s="4" t="str">
        <f>IF($F$337="Y","---&gt;","...")</f>
        <v>...</v>
      </c>
      <c r="C421" s="1" t="str">
        <f>IF($F$337="Y",'Population Definitions'!$A$6,"...")</f>
        <v>...</v>
      </c>
      <c r="E421" s="2"/>
      <c r="F421" s="3"/>
      <c r="G421" s="2"/>
      <c r="H421" s="4" t="str">
        <f>IF($F$337="Y","OR","...")</f>
        <v>...</v>
      </c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</row>
    <row r="422" spans="1:59">
      <c r="A422" s="1" t="str">
        <f>IF($G$337="Y",'Population Definitions'!$A$8,"...")</f>
        <v>...</v>
      </c>
      <c r="B422" s="4" t="str">
        <f>IF($G$337="Y","---&gt;","...")</f>
        <v>...</v>
      </c>
      <c r="C422" s="1" t="str">
        <f>IF($G$337="Y",'Population Definitions'!$A$7,"...")</f>
        <v>...</v>
      </c>
      <c r="E422" s="2"/>
      <c r="F422" s="3"/>
      <c r="G422" s="2"/>
      <c r="H422" s="4" t="str">
        <f>IF($G$337="Y","OR","...")</f>
        <v>...</v>
      </c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</row>
    <row r="423" spans="1:59">
      <c r="A423" s="1" t="str">
        <f>IF($H$337="Y",'Population Definitions'!$A$8,"...")</f>
        <v>...</v>
      </c>
      <c r="B423" s="4" t="str">
        <f>IF($H$337="Y","---&gt;","...")</f>
        <v>...</v>
      </c>
      <c r="C423" s="1" t="str">
        <f>IF($H$337="Y",'Population Definitions'!$A$8,"...")</f>
        <v>...</v>
      </c>
      <c r="E423" s="2"/>
      <c r="F423" s="3"/>
      <c r="G423" s="2"/>
      <c r="H423" s="4" t="str">
        <f>IF($H$337="Y","OR","...")</f>
        <v>...</v>
      </c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</row>
    <row r="424" spans="1:59">
      <c r="A424" s="1" t="str">
        <f>IF($I$337="Y",'Population Definitions'!$A$8,"...")</f>
        <v>...</v>
      </c>
      <c r="B424" s="4" t="str">
        <f>IF($I$337="Y","---&gt;","...")</f>
        <v>...</v>
      </c>
      <c r="C424" s="1" t="str">
        <f>IF($I$337="Y",'Population Definitions'!$A$9,"...")</f>
        <v>...</v>
      </c>
      <c r="E424" s="2"/>
      <c r="F424" s="3"/>
      <c r="G424" s="2"/>
      <c r="H424" s="4" t="str">
        <f>IF($I$337="Y","OR","...")</f>
        <v>...</v>
      </c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</row>
    <row r="425" spans="1:59">
      <c r="A425" s="1" t="str">
        <f>IF($J$337="Y",'Population Definitions'!$A$8,"...")</f>
        <v>...</v>
      </c>
      <c r="B425" s="4" t="str">
        <f>IF($J$337="Y","---&gt;","...")</f>
        <v>...</v>
      </c>
      <c r="C425" s="1" t="str">
        <f>IF($J$337="Y",'Population Definitions'!$A$10,"...")</f>
        <v>...</v>
      </c>
      <c r="E425" s="2"/>
      <c r="F425" s="3"/>
      <c r="G425" s="2"/>
      <c r="H425" s="4" t="str">
        <f>IF($J$337="Y","OR","...")</f>
        <v>...</v>
      </c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</row>
    <row r="426" spans="1:59">
      <c r="A426" s="1" t="str">
        <f>IF($K$337="Y",'Population Definitions'!$A$8,"...")</f>
        <v>...</v>
      </c>
      <c r="B426" s="4" t="str">
        <f>IF($K$337="Y","---&gt;","...")</f>
        <v>...</v>
      </c>
      <c r="C426" s="1" t="str">
        <f>IF($K$337="Y",'Population Definitions'!$A$11,"...")</f>
        <v>...</v>
      </c>
      <c r="E426" s="2"/>
      <c r="F426" s="3"/>
      <c r="G426" s="2"/>
      <c r="H426" s="4" t="str">
        <f>IF($K$337="Y","OR","...")</f>
        <v>...</v>
      </c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</row>
    <row r="427" spans="1:59">
      <c r="A427" s="1" t="str">
        <f>IF($L$337="Y",'Population Definitions'!$A$8,"...")</f>
        <v>18-64_males</v>
      </c>
      <c r="B427" s="4" t="str">
        <f>IF($L$337="Y","---&gt;","...")</f>
        <v>---&gt;</v>
      </c>
      <c r="C427" s="1" t="str">
        <f>IF($L$337="Y",'Population Definitions'!$A$12,"...")</f>
        <v>Prisoners_males</v>
      </c>
      <c r="E427" s="3" t="s">
        <v>53</v>
      </c>
      <c r="F427" s="3"/>
      <c r="G427" s="3">
        <v>0.001991074724331743</v>
      </c>
      <c r="H427" s="4" t="str">
        <f>IF($L$337="Y","OR","...")</f>
        <v>OR</v>
      </c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  <c r="AA427" s="3"/>
      <c r="AB427" s="3"/>
      <c r="AC427" s="3"/>
      <c r="AD427" s="3"/>
      <c r="AE427" s="3"/>
      <c r="AF427" s="3"/>
      <c r="AG427" s="3"/>
      <c r="AH427" s="3"/>
      <c r="AI427" s="3"/>
      <c r="AJ427" s="3"/>
      <c r="AK427" s="3"/>
      <c r="AL427" s="3"/>
      <c r="AM427" s="3"/>
      <c r="AN427" s="3"/>
      <c r="AO427" s="3"/>
      <c r="AP427" s="3"/>
      <c r="AQ427" s="3"/>
      <c r="AR427" s="3"/>
      <c r="AS427" s="3"/>
      <c r="AT427" s="3"/>
      <c r="AU427" s="3"/>
      <c r="AV427" s="3"/>
      <c r="AW427" s="3"/>
      <c r="AX427" s="3"/>
      <c r="AY427" s="3"/>
      <c r="AZ427" s="3"/>
      <c r="BA427" s="3"/>
      <c r="BB427" s="3"/>
      <c r="BC427" s="3"/>
      <c r="BD427" s="3"/>
      <c r="BE427" s="3"/>
      <c r="BF427" s="3"/>
      <c r="BG427" s="3"/>
    </row>
    <row r="428" spans="1:59">
      <c r="A428" s="1" t="str">
        <f>IF($M$337="Y",'Population Definitions'!$A$8,"...")</f>
        <v>...</v>
      </c>
      <c r="B428" s="4" t="str">
        <f>IF($M$337="Y","---&gt;","...")</f>
        <v>...</v>
      </c>
      <c r="C428" s="1" t="str">
        <f>IF($M$337="Y",'Population Definitions'!$A$13,"...")</f>
        <v>...</v>
      </c>
      <c r="E428" s="2"/>
      <c r="F428" s="3"/>
      <c r="G428" s="2"/>
      <c r="H428" s="4" t="str">
        <f>IF($M$337="Y","OR","...")</f>
        <v>...</v>
      </c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</row>
    <row r="429" spans="1:59">
      <c r="A429" s="1" t="str">
        <f>IF($B$338="Y",'Population Definitions'!$A$9,"...")</f>
        <v>...</v>
      </c>
      <c r="B429" s="4" t="str">
        <f>IF($B$338="Y","---&gt;","...")</f>
        <v>...</v>
      </c>
      <c r="C429" s="1" t="str">
        <f>IF($B$338="Y",'Population Definitions'!$A$2,"...")</f>
        <v>...</v>
      </c>
      <c r="E429" s="2"/>
      <c r="F429" s="3"/>
      <c r="G429" s="2"/>
      <c r="H429" s="4" t="str">
        <f>IF($B$338="Y","OR","...")</f>
        <v>...</v>
      </c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</row>
    <row r="430" spans="1:59">
      <c r="A430" s="1" t="str">
        <f>IF($C$338="Y",'Population Definitions'!$A$9,"...")</f>
        <v>...</v>
      </c>
      <c r="B430" s="4" t="str">
        <f>IF($C$338="Y","---&gt;","...")</f>
        <v>...</v>
      </c>
      <c r="C430" s="1" t="str">
        <f>IF($C$338="Y",'Population Definitions'!$A$3,"...")</f>
        <v>...</v>
      </c>
      <c r="E430" s="2"/>
      <c r="F430" s="3"/>
      <c r="G430" s="2"/>
      <c r="H430" s="4" t="str">
        <f>IF($C$338="Y","OR","...")</f>
        <v>...</v>
      </c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</row>
    <row r="431" spans="1:59">
      <c r="A431" s="1" t="str">
        <f>IF($D$338="Y",'Population Definitions'!$A$9,"...")</f>
        <v>...</v>
      </c>
      <c r="B431" s="4" t="str">
        <f>IF($D$338="Y","---&gt;","...")</f>
        <v>...</v>
      </c>
      <c r="C431" s="1" t="str">
        <f>IF($D$338="Y",'Population Definitions'!$A$4,"...")</f>
        <v>...</v>
      </c>
      <c r="E431" s="2"/>
      <c r="F431" s="3"/>
      <c r="G431" s="2"/>
      <c r="H431" s="4" t="str">
        <f>IF($D$338="Y","OR","...")</f>
        <v>...</v>
      </c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</row>
    <row r="432" spans="1:59">
      <c r="A432" s="1" t="str">
        <f>IF($E$338="Y",'Population Definitions'!$A$9,"...")</f>
        <v>...</v>
      </c>
      <c r="B432" s="4" t="str">
        <f>IF($E$338="Y","---&gt;","...")</f>
        <v>...</v>
      </c>
      <c r="C432" s="1" t="str">
        <f>IF($E$338="Y",'Population Definitions'!$A$5,"...")</f>
        <v>...</v>
      </c>
      <c r="E432" s="2"/>
      <c r="F432" s="3"/>
      <c r="G432" s="2"/>
      <c r="H432" s="4" t="str">
        <f>IF($E$338="Y","OR","...")</f>
        <v>...</v>
      </c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</row>
    <row r="433" spans="1:59">
      <c r="A433" s="1" t="str">
        <f>IF($F$338="Y",'Population Definitions'!$A$9,"...")</f>
        <v>...</v>
      </c>
      <c r="B433" s="4" t="str">
        <f>IF($F$338="Y","---&gt;","...")</f>
        <v>...</v>
      </c>
      <c r="C433" s="1" t="str">
        <f>IF($F$338="Y",'Population Definitions'!$A$6,"...")</f>
        <v>...</v>
      </c>
      <c r="E433" s="2"/>
      <c r="F433" s="3"/>
      <c r="G433" s="2"/>
      <c r="H433" s="4" t="str">
        <f>IF($F$338="Y","OR","...")</f>
        <v>...</v>
      </c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</row>
    <row r="434" spans="1:59">
      <c r="A434" s="1" t="str">
        <f>IF($G$338="Y",'Population Definitions'!$A$9,"...")</f>
        <v>...</v>
      </c>
      <c r="B434" s="4" t="str">
        <f>IF($G$338="Y","---&gt;","...")</f>
        <v>...</v>
      </c>
      <c r="C434" s="1" t="str">
        <f>IF($G$338="Y",'Population Definitions'!$A$7,"...")</f>
        <v>...</v>
      </c>
      <c r="E434" s="2"/>
      <c r="F434" s="3"/>
      <c r="G434" s="2"/>
      <c r="H434" s="4" t="str">
        <f>IF($G$338="Y","OR","...")</f>
        <v>...</v>
      </c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</row>
    <row r="435" spans="1:59">
      <c r="A435" s="1" t="str">
        <f>IF($H$338="Y",'Population Definitions'!$A$9,"...")</f>
        <v>...</v>
      </c>
      <c r="B435" s="4" t="str">
        <f>IF($H$338="Y","---&gt;","...")</f>
        <v>...</v>
      </c>
      <c r="C435" s="1" t="str">
        <f>IF($H$338="Y",'Population Definitions'!$A$8,"...")</f>
        <v>...</v>
      </c>
      <c r="E435" s="2"/>
      <c r="F435" s="3"/>
      <c r="G435" s="2"/>
      <c r="H435" s="4" t="str">
        <f>IF($H$338="Y","OR","...")</f>
        <v>...</v>
      </c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</row>
    <row r="436" spans="1:59">
      <c r="A436" s="1" t="str">
        <f>IF($I$338="Y",'Population Definitions'!$A$9,"...")</f>
        <v>...</v>
      </c>
      <c r="B436" s="4" t="str">
        <f>IF($I$338="Y","---&gt;","...")</f>
        <v>...</v>
      </c>
      <c r="C436" s="1" t="str">
        <f>IF($I$338="Y",'Population Definitions'!$A$9,"...")</f>
        <v>...</v>
      </c>
      <c r="E436" s="2"/>
      <c r="F436" s="3"/>
      <c r="G436" s="2"/>
      <c r="H436" s="4" t="str">
        <f>IF($I$338="Y","OR","...")</f>
        <v>...</v>
      </c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</row>
    <row r="437" spans="1:59">
      <c r="A437" s="1" t="str">
        <f>IF($J$338="Y",'Population Definitions'!$A$9,"...")</f>
        <v>...</v>
      </c>
      <c r="B437" s="4" t="str">
        <f>IF($J$338="Y","---&gt;","...")</f>
        <v>...</v>
      </c>
      <c r="C437" s="1" t="str">
        <f>IF($J$338="Y",'Population Definitions'!$A$10,"...")</f>
        <v>...</v>
      </c>
      <c r="E437" s="2"/>
      <c r="F437" s="3"/>
      <c r="G437" s="2"/>
      <c r="H437" s="4" t="str">
        <f>IF($J$338="Y","OR","...")</f>
        <v>...</v>
      </c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</row>
    <row r="438" spans="1:59">
      <c r="A438" s="1" t="str">
        <f>IF($K$338="Y",'Population Definitions'!$A$9,"...")</f>
        <v>...</v>
      </c>
      <c r="B438" s="4" t="str">
        <f>IF($K$338="Y","---&gt;","...")</f>
        <v>...</v>
      </c>
      <c r="C438" s="1" t="str">
        <f>IF($K$338="Y",'Population Definitions'!$A$11,"...")</f>
        <v>...</v>
      </c>
      <c r="E438" s="2"/>
      <c r="F438" s="3"/>
      <c r="G438" s="2"/>
      <c r="H438" s="4" t="str">
        <f>IF($K$338="Y","OR","...")</f>
        <v>...</v>
      </c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</row>
    <row r="439" spans="1:59">
      <c r="A439" s="1" t="str">
        <f>IF($L$338="Y",'Population Definitions'!$A$9,"...")</f>
        <v>...</v>
      </c>
      <c r="B439" s="4" t="str">
        <f>IF($L$338="Y","---&gt;","...")</f>
        <v>...</v>
      </c>
      <c r="C439" s="1" t="str">
        <f>IF($L$338="Y",'Population Definitions'!$A$12,"...")</f>
        <v>...</v>
      </c>
      <c r="E439" s="2"/>
      <c r="F439" s="3"/>
      <c r="G439" s="2"/>
      <c r="H439" s="4" t="str">
        <f>IF($L$338="Y","OR","...")</f>
        <v>...</v>
      </c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</row>
    <row r="440" spans="1:59">
      <c r="A440" s="1" t="str">
        <f>IF($M$338="Y",'Population Definitions'!$A$9,"...")</f>
        <v>18-64_females</v>
      </c>
      <c r="B440" s="4" t="str">
        <f>IF($M$338="Y","---&gt;","...")</f>
        <v>---&gt;</v>
      </c>
      <c r="C440" s="1" t="str">
        <f>IF($M$338="Y",'Population Definitions'!$A$13,"...")</f>
        <v>Prisoners_females</v>
      </c>
      <c r="E440" s="3" t="s">
        <v>53</v>
      </c>
      <c r="F440" s="3"/>
      <c r="G440" s="3">
        <v>2.869687614783333E-05</v>
      </c>
      <c r="H440" s="4" t="str">
        <f>IF($M$338="Y","OR","...")</f>
        <v>OR</v>
      </c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  <c r="AA440" s="3"/>
      <c r="AB440" s="3"/>
      <c r="AC440" s="3"/>
      <c r="AD440" s="3"/>
      <c r="AE440" s="3"/>
      <c r="AF440" s="3"/>
      <c r="AG440" s="3"/>
      <c r="AH440" s="3"/>
      <c r="AI440" s="3"/>
      <c r="AJ440" s="3"/>
      <c r="AK440" s="3"/>
      <c r="AL440" s="3"/>
      <c r="AM440" s="3"/>
      <c r="AN440" s="3"/>
      <c r="AO440" s="3"/>
      <c r="AP440" s="3"/>
      <c r="AQ440" s="3"/>
      <c r="AR440" s="3"/>
      <c r="AS440" s="3"/>
      <c r="AT440" s="3"/>
      <c r="AU440" s="3"/>
      <c r="AV440" s="3"/>
      <c r="AW440" s="3"/>
      <c r="AX440" s="3"/>
      <c r="AY440" s="3"/>
      <c r="AZ440" s="3"/>
      <c r="BA440" s="3"/>
      <c r="BB440" s="3"/>
      <c r="BC440" s="3"/>
      <c r="BD440" s="3"/>
      <c r="BE440" s="3"/>
      <c r="BF440" s="3"/>
      <c r="BG440" s="3"/>
    </row>
    <row r="441" spans="1:59">
      <c r="A441" s="1" t="str">
        <f>IF($B$339="Y",'Population Definitions'!$A$10,"...")</f>
        <v>...</v>
      </c>
      <c r="B441" s="4" t="str">
        <f>IF($B$339="Y","---&gt;","...")</f>
        <v>...</v>
      </c>
      <c r="C441" s="1" t="str">
        <f>IF($B$339="Y",'Population Definitions'!$A$2,"...")</f>
        <v>...</v>
      </c>
      <c r="E441" s="2"/>
      <c r="F441" s="3"/>
      <c r="G441" s="2"/>
      <c r="H441" s="4" t="str">
        <f>IF($B$339="Y","OR","...")</f>
        <v>...</v>
      </c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</row>
    <row r="442" spans="1:59">
      <c r="A442" s="1" t="str">
        <f>IF($C$339="Y",'Population Definitions'!$A$10,"...")</f>
        <v>...</v>
      </c>
      <c r="B442" s="4" t="str">
        <f>IF($C$339="Y","---&gt;","...")</f>
        <v>...</v>
      </c>
      <c r="C442" s="1" t="str">
        <f>IF($C$339="Y",'Population Definitions'!$A$3,"...")</f>
        <v>...</v>
      </c>
      <c r="E442" s="2"/>
      <c r="F442" s="3"/>
      <c r="G442" s="2"/>
      <c r="H442" s="4" t="str">
        <f>IF($C$339="Y","OR","...")</f>
        <v>...</v>
      </c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</row>
    <row r="443" spans="1:59">
      <c r="A443" s="1" t="str">
        <f>IF($D$339="Y",'Population Definitions'!$A$10,"...")</f>
        <v>...</v>
      </c>
      <c r="B443" s="4" t="str">
        <f>IF($D$339="Y","---&gt;","...")</f>
        <v>...</v>
      </c>
      <c r="C443" s="1" t="str">
        <f>IF($D$339="Y",'Population Definitions'!$A$4,"...")</f>
        <v>...</v>
      </c>
      <c r="E443" s="2"/>
      <c r="F443" s="3"/>
      <c r="G443" s="2"/>
      <c r="H443" s="4" t="str">
        <f>IF($D$339="Y","OR","...")</f>
        <v>...</v>
      </c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</row>
    <row r="444" spans="1:59">
      <c r="A444" s="1" t="str">
        <f>IF($E$339="Y",'Population Definitions'!$A$10,"...")</f>
        <v>...</v>
      </c>
      <c r="B444" s="4" t="str">
        <f>IF($E$339="Y","---&gt;","...")</f>
        <v>...</v>
      </c>
      <c r="C444" s="1" t="str">
        <f>IF($E$339="Y",'Population Definitions'!$A$5,"...")</f>
        <v>...</v>
      </c>
      <c r="E444" s="2"/>
      <c r="F444" s="3"/>
      <c r="G444" s="2"/>
      <c r="H444" s="4" t="str">
        <f>IF($E$339="Y","OR","...")</f>
        <v>...</v>
      </c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</row>
    <row r="445" spans="1:59">
      <c r="A445" s="1" t="str">
        <f>IF($F$339="Y",'Population Definitions'!$A$10,"...")</f>
        <v>...</v>
      </c>
      <c r="B445" s="4" t="str">
        <f>IF($F$339="Y","---&gt;","...")</f>
        <v>...</v>
      </c>
      <c r="C445" s="1" t="str">
        <f>IF($F$339="Y",'Population Definitions'!$A$6,"...")</f>
        <v>...</v>
      </c>
      <c r="E445" s="2"/>
      <c r="F445" s="3"/>
      <c r="G445" s="2"/>
      <c r="H445" s="4" t="str">
        <f>IF($F$339="Y","OR","...")</f>
        <v>...</v>
      </c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</row>
    <row r="446" spans="1:59">
      <c r="A446" s="1" t="str">
        <f>IF($G$339="Y",'Population Definitions'!$A$10,"...")</f>
        <v>...</v>
      </c>
      <c r="B446" s="4" t="str">
        <f>IF($G$339="Y","---&gt;","...")</f>
        <v>...</v>
      </c>
      <c r="C446" s="1" t="str">
        <f>IF($G$339="Y",'Population Definitions'!$A$7,"...")</f>
        <v>...</v>
      </c>
      <c r="E446" s="2"/>
      <c r="F446" s="3"/>
      <c r="G446" s="2"/>
      <c r="H446" s="4" t="str">
        <f>IF($G$339="Y","OR","...")</f>
        <v>...</v>
      </c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</row>
    <row r="447" spans="1:59">
      <c r="A447" s="1" t="str">
        <f>IF($H$339="Y",'Population Definitions'!$A$10,"...")</f>
        <v>...</v>
      </c>
      <c r="B447" s="4" t="str">
        <f>IF($H$339="Y","---&gt;","...")</f>
        <v>...</v>
      </c>
      <c r="C447" s="1" t="str">
        <f>IF($H$339="Y",'Population Definitions'!$A$8,"...")</f>
        <v>...</v>
      </c>
      <c r="E447" s="2"/>
      <c r="F447" s="3"/>
      <c r="G447" s="2"/>
      <c r="H447" s="4" t="str">
        <f>IF($H$339="Y","OR","...")</f>
        <v>...</v>
      </c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</row>
    <row r="448" spans="1:59">
      <c r="A448" s="1" t="str">
        <f>IF($I$339="Y",'Population Definitions'!$A$10,"...")</f>
        <v>...</v>
      </c>
      <c r="B448" s="4" t="str">
        <f>IF($I$339="Y","---&gt;","...")</f>
        <v>...</v>
      </c>
      <c r="C448" s="1" t="str">
        <f>IF($I$339="Y",'Population Definitions'!$A$9,"...")</f>
        <v>...</v>
      </c>
      <c r="E448" s="2"/>
      <c r="F448" s="3"/>
      <c r="G448" s="2"/>
      <c r="H448" s="4" t="str">
        <f>IF($I$339="Y","OR","...")</f>
        <v>...</v>
      </c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</row>
    <row r="449" spans="1:59">
      <c r="A449" s="1" t="str">
        <f>IF($J$339="Y",'Population Definitions'!$A$10,"...")</f>
        <v>...</v>
      </c>
      <c r="B449" s="4" t="str">
        <f>IF($J$339="Y","---&gt;","...")</f>
        <v>...</v>
      </c>
      <c r="C449" s="1" t="str">
        <f>IF($J$339="Y",'Population Definitions'!$A$10,"...")</f>
        <v>...</v>
      </c>
      <c r="E449" s="2"/>
      <c r="F449" s="3"/>
      <c r="G449" s="2"/>
      <c r="H449" s="4" t="str">
        <f>IF($J$339="Y","OR","...")</f>
        <v>...</v>
      </c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</row>
    <row r="450" spans="1:59">
      <c r="A450" s="1" t="str">
        <f>IF($K$339="Y",'Population Definitions'!$A$10,"...")</f>
        <v>...</v>
      </c>
      <c r="B450" s="4" t="str">
        <f>IF($K$339="Y","---&gt;","...")</f>
        <v>...</v>
      </c>
      <c r="C450" s="1" t="str">
        <f>IF($K$339="Y",'Population Definitions'!$A$11,"...")</f>
        <v>...</v>
      </c>
      <c r="E450" s="2"/>
      <c r="F450" s="3"/>
      <c r="G450" s="2"/>
      <c r="H450" s="4" t="str">
        <f>IF($K$339="Y","OR","...")</f>
        <v>...</v>
      </c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</row>
    <row r="451" spans="1:59">
      <c r="A451" s="1" t="str">
        <f>IF($L$339="Y",'Population Definitions'!$A$10,"...")</f>
        <v>...</v>
      </c>
      <c r="B451" s="4" t="str">
        <f>IF($L$339="Y","---&gt;","...")</f>
        <v>...</v>
      </c>
      <c r="C451" s="1" t="str">
        <f>IF($L$339="Y",'Population Definitions'!$A$12,"...")</f>
        <v>...</v>
      </c>
      <c r="E451" s="2"/>
      <c r="F451" s="3"/>
      <c r="G451" s="2"/>
      <c r="H451" s="4" t="str">
        <f>IF($L$339="Y","OR","...")</f>
        <v>...</v>
      </c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</row>
    <row r="452" spans="1:59">
      <c r="A452" s="1" t="str">
        <f>IF($M$339="Y",'Population Definitions'!$A$10,"...")</f>
        <v>...</v>
      </c>
      <c r="B452" s="4" t="str">
        <f>IF($M$339="Y","---&gt;","...")</f>
        <v>...</v>
      </c>
      <c r="C452" s="1" t="str">
        <f>IF($M$339="Y",'Population Definitions'!$A$13,"...")</f>
        <v>...</v>
      </c>
      <c r="E452" s="2"/>
      <c r="F452" s="3"/>
      <c r="G452" s="2"/>
      <c r="H452" s="4" t="str">
        <f>IF($M$339="Y","OR","...")</f>
        <v>...</v>
      </c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</row>
    <row r="453" spans="1:59">
      <c r="A453" s="1" t="str">
        <f>IF($B$340="Y",'Population Definitions'!$A$11,"...")</f>
        <v>...</v>
      </c>
      <c r="B453" s="4" t="str">
        <f>IF($B$340="Y","---&gt;","...")</f>
        <v>...</v>
      </c>
      <c r="C453" s="1" t="str">
        <f>IF($B$340="Y",'Population Definitions'!$A$2,"...")</f>
        <v>...</v>
      </c>
      <c r="E453" s="2"/>
      <c r="F453" s="3"/>
      <c r="G453" s="2"/>
      <c r="H453" s="4" t="str">
        <f>IF($B$340="Y","OR","...")</f>
        <v>...</v>
      </c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</row>
    <row r="454" spans="1:59">
      <c r="A454" s="1" t="str">
        <f>IF($C$340="Y",'Population Definitions'!$A$11,"...")</f>
        <v>...</v>
      </c>
      <c r="B454" s="4" t="str">
        <f>IF($C$340="Y","---&gt;","...")</f>
        <v>...</v>
      </c>
      <c r="C454" s="1" t="str">
        <f>IF($C$340="Y",'Population Definitions'!$A$3,"...")</f>
        <v>...</v>
      </c>
      <c r="E454" s="2"/>
      <c r="F454" s="3"/>
      <c r="G454" s="2"/>
      <c r="H454" s="4" t="str">
        <f>IF($C$340="Y","OR","...")</f>
        <v>...</v>
      </c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</row>
    <row r="455" spans="1:59">
      <c r="A455" s="1" t="str">
        <f>IF($D$340="Y",'Population Definitions'!$A$11,"...")</f>
        <v>...</v>
      </c>
      <c r="B455" s="4" t="str">
        <f>IF($D$340="Y","---&gt;","...")</f>
        <v>...</v>
      </c>
      <c r="C455" s="1" t="str">
        <f>IF($D$340="Y",'Population Definitions'!$A$4,"...")</f>
        <v>...</v>
      </c>
      <c r="E455" s="2"/>
      <c r="F455" s="3"/>
      <c r="G455" s="2"/>
      <c r="H455" s="4" t="str">
        <f>IF($D$340="Y","OR","...")</f>
        <v>...</v>
      </c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</row>
    <row r="456" spans="1:59">
      <c r="A456" s="1" t="str">
        <f>IF($E$340="Y",'Population Definitions'!$A$11,"...")</f>
        <v>...</v>
      </c>
      <c r="B456" s="4" t="str">
        <f>IF($E$340="Y","---&gt;","...")</f>
        <v>...</v>
      </c>
      <c r="C456" s="1" t="str">
        <f>IF($E$340="Y",'Population Definitions'!$A$5,"...")</f>
        <v>...</v>
      </c>
      <c r="E456" s="2"/>
      <c r="F456" s="3"/>
      <c r="G456" s="2"/>
      <c r="H456" s="4" t="str">
        <f>IF($E$340="Y","OR","...")</f>
        <v>...</v>
      </c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</row>
    <row r="457" spans="1:59">
      <c r="A457" s="1" t="str">
        <f>IF($F$340="Y",'Population Definitions'!$A$11,"...")</f>
        <v>...</v>
      </c>
      <c r="B457" s="4" t="str">
        <f>IF($F$340="Y","---&gt;","...")</f>
        <v>...</v>
      </c>
      <c r="C457" s="1" t="str">
        <f>IF($F$340="Y",'Population Definitions'!$A$6,"...")</f>
        <v>...</v>
      </c>
      <c r="E457" s="2"/>
      <c r="F457" s="3"/>
      <c r="G457" s="2"/>
      <c r="H457" s="4" t="str">
        <f>IF($F$340="Y","OR","...")</f>
        <v>...</v>
      </c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</row>
    <row r="458" spans="1:59">
      <c r="A458" s="1" t="str">
        <f>IF($G$340="Y",'Population Definitions'!$A$11,"...")</f>
        <v>...</v>
      </c>
      <c r="B458" s="4" t="str">
        <f>IF($G$340="Y","---&gt;","...")</f>
        <v>...</v>
      </c>
      <c r="C458" s="1" t="str">
        <f>IF($G$340="Y",'Population Definitions'!$A$7,"...")</f>
        <v>...</v>
      </c>
      <c r="E458" s="2"/>
      <c r="F458" s="3"/>
      <c r="G458" s="2"/>
      <c r="H458" s="4" t="str">
        <f>IF($G$340="Y","OR","...")</f>
        <v>...</v>
      </c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</row>
    <row r="459" spans="1:59">
      <c r="A459" s="1" t="str">
        <f>IF($H$340="Y",'Population Definitions'!$A$11,"...")</f>
        <v>...</v>
      </c>
      <c r="B459" s="4" t="str">
        <f>IF($H$340="Y","---&gt;","...")</f>
        <v>...</v>
      </c>
      <c r="C459" s="1" t="str">
        <f>IF($H$340="Y",'Population Definitions'!$A$8,"...")</f>
        <v>...</v>
      </c>
      <c r="E459" s="2"/>
      <c r="F459" s="3"/>
      <c r="G459" s="2"/>
      <c r="H459" s="4" t="str">
        <f>IF($H$340="Y","OR","...")</f>
        <v>...</v>
      </c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</row>
    <row r="460" spans="1:59">
      <c r="A460" s="1" t="str">
        <f>IF($I$340="Y",'Population Definitions'!$A$11,"...")</f>
        <v>...</v>
      </c>
      <c r="B460" s="4" t="str">
        <f>IF($I$340="Y","---&gt;","...")</f>
        <v>...</v>
      </c>
      <c r="C460" s="1" t="str">
        <f>IF($I$340="Y",'Population Definitions'!$A$9,"...")</f>
        <v>...</v>
      </c>
      <c r="E460" s="2"/>
      <c r="F460" s="3"/>
      <c r="G460" s="2"/>
      <c r="H460" s="4" t="str">
        <f>IF($I$340="Y","OR","...")</f>
        <v>...</v>
      </c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</row>
    <row r="461" spans="1:59">
      <c r="A461" s="1" t="str">
        <f>IF($J$340="Y",'Population Definitions'!$A$11,"...")</f>
        <v>...</v>
      </c>
      <c r="B461" s="4" t="str">
        <f>IF($J$340="Y","---&gt;","...")</f>
        <v>...</v>
      </c>
      <c r="C461" s="1" t="str">
        <f>IF($J$340="Y",'Population Definitions'!$A$10,"...")</f>
        <v>...</v>
      </c>
      <c r="E461" s="2"/>
      <c r="F461" s="3"/>
      <c r="G461" s="2"/>
      <c r="H461" s="4" t="str">
        <f>IF($J$340="Y","OR","...")</f>
        <v>...</v>
      </c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</row>
    <row r="462" spans="1:59">
      <c r="A462" s="1" t="str">
        <f>IF($K$340="Y",'Population Definitions'!$A$11,"...")</f>
        <v>...</v>
      </c>
      <c r="B462" s="4" t="str">
        <f>IF($K$340="Y","---&gt;","...")</f>
        <v>...</v>
      </c>
      <c r="C462" s="1" t="str">
        <f>IF($K$340="Y",'Population Definitions'!$A$11,"...")</f>
        <v>...</v>
      </c>
      <c r="E462" s="2"/>
      <c r="F462" s="3"/>
      <c r="G462" s="2"/>
      <c r="H462" s="4" t="str">
        <f>IF($K$340="Y","OR","...")</f>
        <v>...</v>
      </c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</row>
    <row r="463" spans="1:59">
      <c r="A463" s="1" t="str">
        <f>IF($L$340="Y",'Population Definitions'!$A$11,"...")</f>
        <v>...</v>
      </c>
      <c r="B463" s="4" t="str">
        <f>IF($L$340="Y","---&gt;","...")</f>
        <v>...</v>
      </c>
      <c r="C463" s="1" t="str">
        <f>IF($L$340="Y",'Population Definitions'!$A$12,"...")</f>
        <v>...</v>
      </c>
      <c r="E463" s="2"/>
      <c r="F463" s="3"/>
      <c r="G463" s="2"/>
      <c r="H463" s="4" t="str">
        <f>IF($L$340="Y","OR","...")</f>
        <v>...</v>
      </c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</row>
    <row r="464" spans="1:59">
      <c r="A464" s="1" t="str">
        <f>IF($M$340="Y",'Population Definitions'!$A$11,"...")</f>
        <v>...</v>
      </c>
      <c r="B464" s="4" t="str">
        <f>IF($M$340="Y","---&gt;","...")</f>
        <v>...</v>
      </c>
      <c r="C464" s="1" t="str">
        <f>IF($M$340="Y",'Population Definitions'!$A$13,"...")</f>
        <v>...</v>
      </c>
      <c r="E464" s="2"/>
      <c r="F464" s="3"/>
      <c r="G464" s="2"/>
      <c r="H464" s="4" t="str">
        <f>IF($M$340="Y","OR","...")</f>
        <v>...</v>
      </c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</row>
    <row r="465" spans="1:59">
      <c r="A465" s="1" t="str">
        <f>IF($B$341="Y",'Population Definitions'!$A$12,"...")</f>
        <v>Prisoners_males</v>
      </c>
      <c r="B465" s="4" t="str">
        <f>IF($B$341="Y","---&gt;","...")</f>
        <v>---&gt;</v>
      </c>
      <c r="C465" s="1" t="str">
        <f>IF($B$341="Y",'Population Definitions'!$A$2,"...")</f>
        <v>PWID_males</v>
      </c>
      <c r="E465" s="3" t="s">
        <v>53</v>
      </c>
      <c r="F465" s="3"/>
      <c r="G465" s="3">
        <v>4.378096595967996</v>
      </c>
      <c r="H465" s="4" t="str">
        <f>IF($B$341="Y","OR","...")</f>
        <v>OR</v>
      </c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  <c r="AA465" s="3"/>
      <c r="AB465" s="3"/>
      <c r="AC465" s="3"/>
      <c r="AD465" s="3"/>
      <c r="AE465" s="3"/>
      <c r="AF465" s="3"/>
      <c r="AG465" s="3"/>
      <c r="AH465" s="3"/>
      <c r="AI465" s="3"/>
      <c r="AJ465" s="3"/>
      <c r="AK465" s="3"/>
      <c r="AL465" s="3"/>
      <c r="AM465" s="3"/>
      <c r="AN465" s="3"/>
      <c r="AO465" s="3"/>
      <c r="AP465" s="3"/>
      <c r="AQ465" s="3"/>
      <c r="AR465" s="3"/>
      <c r="AS465" s="3"/>
      <c r="AT465" s="3"/>
      <c r="AU465" s="3"/>
      <c r="AV465" s="3"/>
      <c r="AW465" s="3"/>
      <c r="AX465" s="3"/>
      <c r="AY465" s="3"/>
      <c r="AZ465" s="3"/>
      <c r="BA465" s="3"/>
      <c r="BB465" s="3"/>
      <c r="BC465" s="3"/>
      <c r="BD465" s="3"/>
      <c r="BE465" s="3"/>
      <c r="BF465" s="3"/>
      <c r="BG465" s="3"/>
    </row>
    <row r="466" spans="1:59">
      <c r="A466" s="1" t="str">
        <f>IF($C$341="Y",'Population Definitions'!$A$12,"...")</f>
        <v>...</v>
      </c>
      <c r="B466" s="4" t="str">
        <f>IF($C$341="Y","---&gt;","...")</f>
        <v>...</v>
      </c>
      <c r="C466" s="1" t="str">
        <f>IF($C$341="Y",'Population Definitions'!$A$3,"...")</f>
        <v>...</v>
      </c>
      <c r="E466" s="2"/>
      <c r="F466" s="3"/>
      <c r="G466" s="2"/>
      <c r="H466" s="4" t="str">
        <f>IF($C$341="Y","OR","...")</f>
        <v>...</v>
      </c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</row>
    <row r="467" spans="1:59">
      <c r="A467" s="1" t="str">
        <f>IF($D$341="Y",'Population Definitions'!$A$12,"...")</f>
        <v>...</v>
      </c>
      <c r="B467" s="4" t="str">
        <f>IF($D$341="Y","---&gt;","...")</f>
        <v>...</v>
      </c>
      <c r="C467" s="1" t="str">
        <f>IF($D$341="Y",'Population Definitions'!$A$4,"...")</f>
        <v>...</v>
      </c>
      <c r="E467" s="2"/>
      <c r="F467" s="3"/>
      <c r="G467" s="2"/>
      <c r="H467" s="4" t="str">
        <f>IF($D$341="Y","OR","...")</f>
        <v>...</v>
      </c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</row>
    <row r="468" spans="1:59">
      <c r="A468" s="1" t="str">
        <f>IF($E$341="Y",'Population Definitions'!$A$12,"...")</f>
        <v>...</v>
      </c>
      <c r="B468" s="4" t="str">
        <f>IF($E$341="Y","---&gt;","...")</f>
        <v>...</v>
      </c>
      <c r="C468" s="1" t="str">
        <f>IF($E$341="Y",'Population Definitions'!$A$5,"...")</f>
        <v>...</v>
      </c>
      <c r="E468" s="2"/>
      <c r="F468" s="3"/>
      <c r="G468" s="2"/>
      <c r="H468" s="4" t="str">
        <f>IF($E$341="Y","OR","...")</f>
        <v>...</v>
      </c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</row>
    <row r="469" spans="1:59">
      <c r="A469" s="1" t="str">
        <f>IF($F$341="Y",'Population Definitions'!$A$12,"...")</f>
        <v>...</v>
      </c>
      <c r="B469" s="4" t="str">
        <f>IF($F$341="Y","---&gt;","...")</f>
        <v>...</v>
      </c>
      <c r="C469" s="1" t="str">
        <f>IF($F$341="Y",'Population Definitions'!$A$6,"...")</f>
        <v>...</v>
      </c>
      <c r="E469" s="2"/>
      <c r="F469" s="3"/>
      <c r="G469" s="2"/>
      <c r="H469" s="4" t="str">
        <f>IF($F$341="Y","OR","...")</f>
        <v>...</v>
      </c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</row>
    <row r="470" spans="1:59">
      <c r="A470" s="1" t="str">
        <f>IF($G$341="Y",'Population Definitions'!$A$12,"...")</f>
        <v>...</v>
      </c>
      <c r="B470" s="4" t="str">
        <f>IF($G$341="Y","---&gt;","...")</f>
        <v>...</v>
      </c>
      <c r="C470" s="1" t="str">
        <f>IF($G$341="Y",'Population Definitions'!$A$7,"...")</f>
        <v>...</v>
      </c>
      <c r="E470" s="2"/>
      <c r="F470" s="3"/>
      <c r="G470" s="2"/>
      <c r="H470" s="4" t="str">
        <f>IF($G$341="Y","OR","...")</f>
        <v>...</v>
      </c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</row>
    <row r="471" spans="1:59">
      <c r="A471" s="1" t="str">
        <f>IF($H$341="Y",'Population Definitions'!$A$12,"...")</f>
        <v>Prisoners_males</v>
      </c>
      <c r="B471" s="4" t="str">
        <f>IF($H$341="Y","---&gt;","...")</f>
        <v>---&gt;</v>
      </c>
      <c r="C471" s="1" t="str">
        <f>IF($H$341="Y",'Population Definitions'!$A$8,"...")</f>
        <v>18-64_males</v>
      </c>
      <c r="E471" s="3" t="s">
        <v>53</v>
      </c>
      <c r="F471" s="3"/>
      <c r="G471" s="3">
        <v>1.459365531989332</v>
      </c>
      <c r="H471" s="4" t="str">
        <f>IF($H$341="Y","OR","...")</f>
        <v>OR</v>
      </c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  <c r="AA471" s="3"/>
      <c r="AB471" s="3"/>
      <c r="AC471" s="3"/>
      <c r="AD471" s="3"/>
      <c r="AE471" s="3"/>
      <c r="AF471" s="3"/>
      <c r="AG471" s="3"/>
      <c r="AH471" s="3"/>
      <c r="AI471" s="3"/>
      <c r="AJ471" s="3"/>
      <c r="AK471" s="3"/>
      <c r="AL471" s="3"/>
      <c r="AM471" s="3"/>
      <c r="AN471" s="3"/>
      <c r="AO471" s="3"/>
      <c r="AP471" s="3"/>
      <c r="AQ471" s="3"/>
      <c r="AR471" s="3"/>
      <c r="AS471" s="3"/>
      <c r="AT471" s="3"/>
      <c r="AU471" s="3"/>
      <c r="AV471" s="3"/>
      <c r="AW471" s="3"/>
      <c r="AX471" s="3"/>
      <c r="AY471" s="3"/>
      <c r="AZ471" s="3"/>
      <c r="BA471" s="3"/>
      <c r="BB471" s="3"/>
      <c r="BC471" s="3"/>
      <c r="BD471" s="3"/>
      <c r="BE471" s="3"/>
      <c r="BF471" s="3"/>
      <c r="BG471" s="3"/>
    </row>
    <row r="472" spans="1:59">
      <c r="A472" s="1" t="str">
        <f>IF($I$341="Y",'Population Definitions'!$A$12,"...")</f>
        <v>...</v>
      </c>
      <c r="B472" s="4" t="str">
        <f>IF($I$341="Y","---&gt;","...")</f>
        <v>...</v>
      </c>
      <c r="C472" s="1" t="str">
        <f>IF($I$341="Y",'Population Definitions'!$A$9,"...")</f>
        <v>...</v>
      </c>
      <c r="E472" s="2"/>
      <c r="F472" s="3"/>
      <c r="G472" s="2"/>
      <c r="H472" s="4" t="str">
        <f>IF($I$341="Y","OR","...")</f>
        <v>...</v>
      </c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</row>
    <row r="473" spans="1:59">
      <c r="A473" s="1" t="str">
        <f>IF($J$341="Y",'Population Definitions'!$A$12,"...")</f>
        <v>...</v>
      </c>
      <c r="B473" s="4" t="str">
        <f>IF($J$341="Y","---&gt;","...")</f>
        <v>...</v>
      </c>
      <c r="C473" s="1" t="str">
        <f>IF($J$341="Y",'Population Definitions'!$A$10,"...")</f>
        <v>...</v>
      </c>
      <c r="E473" s="2"/>
      <c r="F473" s="3"/>
      <c r="G473" s="2"/>
      <c r="H473" s="4" t="str">
        <f>IF($J$341="Y","OR","...")</f>
        <v>...</v>
      </c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</row>
    <row r="474" spans="1:59">
      <c r="A474" s="1" t="str">
        <f>IF($K$341="Y",'Population Definitions'!$A$12,"...")</f>
        <v>...</v>
      </c>
      <c r="B474" s="4" t="str">
        <f>IF($K$341="Y","---&gt;","...")</f>
        <v>...</v>
      </c>
      <c r="C474" s="1" t="str">
        <f>IF($K$341="Y",'Population Definitions'!$A$11,"...")</f>
        <v>...</v>
      </c>
      <c r="E474" s="2"/>
      <c r="F474" s="3"/>
      <c r="G474" s="2"/>
      <c r="H474" s="4" t="str">
        <f>IF($K$341="Y","OR","...")</f>
        <v>...</v>
      </c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</row>
    <row r="475" spans="1:59">
      <c r="A475" s="1" t="str">
        <f>IF($L$341="Y",'Population Definitions'!$A$12,"...")</f>
        <v>...</v>
      </c>
      <c r="B475" s="4" t="str">
        <f>IF($L$341="Y","---&gt;","...")</f>
        <v>...</v>
      </c>
      <c r="C475" s="1" t="str">
        <f>IF($L$341="Y",'Population Definitions'!$A$12,"...")</f>
        <v>...</v>
      </c>
      <c r="E475" s="2"/>
      <c r="F475" s="3"/>
      <c r="G475" s="2"/>
      <c r="H475" s="4" t="str">
        <f>IF($L$341="Y","OR","...")</f>
        <v>...</v>
      </c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</row>
    <row r="476" spans="1:59">
      <c r="A476" s="1" t="str">
        <f>IF($M$341="Y",'Population Definitions'!$A$12,"...")</f>
        <v>...</v>
      </c>
      <c r="B476" s="4" t="str">
        <f>IF($M$341="Y","---&gt;","...")</f>
        <v>...</v>
      </c>
      <c r="C476" s="1" t="str">
        <f>IF($M$341="Y",'Population Definitions'!$A$13,"...")</f>
        <v>...</v>
      </c>
      <c r="E476" s="2"/>
      <c r="F476" s="3"/>
      <c r="G476" s="2"/>
      <c r="H476" s="4" t="str">
        <f>IF($M$341="Y","OR","...")</f>
        <v>...</v>
      </c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</row>
    <row r="477" spans="1:59">
      <c r="A477" s="1" t="str">
        <f>IF($B$342="Y",'Population Definitions'!$A$13,"...")</f>
        <v>...</v>
      </c>
      <c r="B477" s="4" t="str">
        <f>IF($B$342="Y","---&gt;","...")</f>
        <v>...</v>
      </c>
      <c r="C477" s="1" t="str">
        <f>IF($B$342="Y",'Population Definitions'!$A$2,"...")</f>
        <v>...</v>
      </c>
      <c r="E477" s="2"/>
      <c r="F477" s="3"/>
      <c r="G477" s="2"/>
      <c r="H477" s="4" t="str">
        <f>IF($B$342="Y","OR","...")</f>
        <v>...</v>
      </c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</row>
    <row r="478" spans="1:59">
      <c r="A478" s="1" t="str">
        <f>IF($C$342="Y",'Population Definitions'!$A$13,"...")</f>
        <v>Prisoners_females</v>
      </c>
      <c r="B478" s="4" t="str">
        <f>IF($C$342="Y","---&gt;","...")</f>
        <v>---&gt;</v>
      </c>
      <c r="C478" s="1" t="str">
        <f>IF($C$342="Y",'Population Definitions'!$A$3,"...")</f>
        <v>PWID_females</v>
      </c>
      <c r="E478" s="3" t="s">
        <v>53</v>
      </c>
      <c r="F478" s="3"/>
      <c r="G478" s="3">
        <v>4.370391496658917</v>
      </c>
      <c r="H478" s="4" t="str">
        <f>IF($C$342="Y","OR","...")</f>
        <v>OR</v>
      </c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  <c r="AA478" s="3"/>
      <c r="AB478" s="3"/>
      <c r="AC478" s="3"/>
      <c r="AD478" s="3"/>
      <c r="AE478" s="3"/>
      <c r="AF478" s="3"/>
      <c r="AG478" s="3"/>
      <c r="AH478" s="3"/>
      <c r="AI478" s="3"/>
      <c r="AJ478" s="3"/>
      <c r="AK478" s="3"/>
      <c r="AL478" s="3"/>
      <c r="AM478" s="3"/>
      <c r="AN478" s="3"/>
      <c r="AO478" s="3"/>
      <c r="AP478" s="3"/>
      <c r="AQ478" s="3"/>
      <c r="AR478" s="3"/>
      <c r="AS478" s="3"/>
      <c r="AT478" s="3"/>
      <c r="AU478" s="3"/>
      <c r="AV478" s="3"/>
      <c r="AW478" s="3"/>
      <c r="AX478" s="3"/>
      <c r="AY478" s="3"/>
      <c r="AZ478" s="3"/>
      <c r="BA478" s="3"/>
      <c r="BB478" s="3"/>
      <c r="BC478" s="3"/>
      <c r="BD478" s="3"/>
      <c r="BE478" s="3"/>
      <c r="BF478" s="3"/>
      <c r="BG478" s="3"/>
    </row>
    <row r="479" spans="1:59">
      <c r="A479" s="1" t="str">
        <f>IF($D$342="Y",'Population Definitions'!$A$13,"...")</f>
        <v>...</v>
      </c>
      <c r="B479" s="4" t="str">
        <f>IF($D$342="Y","---&gt;","...")</f>
        <v>...</v>
      </c>
      <c r="C479" s="1" t="str">
        <f>IF($D$342="Y",'Population Definitions'!$A$4,"...")</f>
        <v>...</v>
      </c>
      <c r="E479" s="2"/>
      <c r="F479" s="3"/>
      <c r="G479" s="2"/>
      <c r="H479" s="4" t="str">
        <f>IF($D$342="Y","OR","...")</f>
        <v>...</v>
      </c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</row>
    <row r="480" spans="1:59">
      <c r="A480" s="1" t="str">
        <f>IF($E$342="Y",'Population Definitions'!$A$13,"...")</f>
        <v>...</v>
      </c>
      <c r="B480" s="4" t="str">
        <f>IF($E$342="Y","---&gt;","...")</f>
        <v>...</v>
      </c>
      <c r="C480" s="1" t="str">
        <f>IF($E$342="Y",'Population Definitions'!$A$5,"...")</f>
        <v>...</v>
      </c>
      <c r="E480" s="2"/>
      <c r="F480" s="3"/>
      <c r="G480" s="2"/>
      <c r="H480" s="4" t="str">
        <f>IF($E$342="Y","OR","...")</f>
        <v>...</v>
      </c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</row>
    <row r="481" spans="1:59">
      <c r="A481" s="1" t="str">
        <f>IF($F$342="Y",'Population Definitions'!$A$13,"...")</f>
        <v>...</v>
      </c>
      <c r="B481" s="4" t="str">
        <f>IF($F$342="Y","---&gt;","...")</f>
        <v>...</v>
      </c>
      <c r="C481" s="1" t="str">
        <f>IF($F$342="Y",'Population Definitions'!$A$6,"...")</f>
        <v>...</v>
      </c>
      <c r="E481" s="2"/>
      <c r="F481" s="3"/>
      <c r="G481" s="2"/>
      <c r="H481" s="4" t="str">
        <f>IF($F$342="Y","OR","...")</f>
        <v>...</v>
      </c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</row>
    <row r="482" spans="1:59">
      <c r="A482" s="1" t="str">
        <f>IF($G$342="Y",'Population Definitions'!$A$13,"...")</f>
        <v>...</v>
      </c>
      <c r="B482" s="4" t="str">
        <f>IF($G$342="Y","---&gt;","...")</f>
        <v>...</v>
      </c>
      <c r="C482" s="1" t="str">
        <f>IF($G$342="Y",'Population Definitions'!$A$7,"...")</f>
        <v>...</v>
      </c>
      <c r="E482" s="2"/>
      <c r="F482" s="3"/>
      <c r="G482" s="2"/>
      <c r="H482" s="4" t="str">
        <f>IF($G$342="Y","OR","...")</f>
        <v>...</v>
      </c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</row>
    <row r="483" spans="1:59">
      <c r="A483" s="1" t="str">
        <f>IF($H$342="Y",'Population Definitions'!$A$13,"...")</f>
        <v>...</v>
      </c>
      <c r="B483" s="4" t="str">
        <f>IF($H$342="Y","---&gt;","...")</f>
        <v>...</v>
      </c>
      <c r="C483" s="1" t="str">
        <f>IF($H$342="Y",'Population Definitions'!$A$8,"...")</f>
        <v>...</v>
      </c>
      <c r="E483" s="2"/>
      <c r="F483" s="3"/>
      <c r="G483" s="2"/>
      <c r="H483" s="4" t="str">
        <f>IF($H$342="Y","OR","...")</f>
        <v>...</v>
      </c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</row>
    <row r="484" spans="1:59">
      <c r="A484" s="1" t="str">
        <f>IF($I$342="Y",'Population Definitions'!$A$13,"...")</f>
        <v>Prisoners_females</v>
      </c>
      <c r="B484" s="4" t="str">
        <f>IF($I$342="Y","---&gt;","...")</f>
        <v>---&gt;</v>
      </c>
      <c r="C484" s="1" t="str">
        <f>IF($I$342="Y",'Population Definitions'!$A$9,"...")</f>
        <v>18-64_females</v>
      </c>
      <c r="E484" s="3" t="s">
        <v>53</v>
      </c>
      <c r="F484" s="3"/>
      <c r="G484" s="3">
        <v>1.456797165552972</v>
      </c>
      <c r="H484" s="4" t="str">
        <f>IF($I$342="Y","OR","...")</f>
        <v>OR</v>
      </c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  <c r="AA484" s="3"/>
      <c r="AB484" s="3"/>
      <c r="AC484" s="3"/>
      <c r="AD484" s="3"/>
      <c r="AE484" s="3"/>
      <c r="AF484" s="3"/>
      <c r="AG484" s="3"/>
      <c r="AH484" s="3"/>
      <c r="AI484" s="3"/>
      <c r="AJ484" s="3"/>
      <c r="AK484" s="3"/>
      <c r="AL484" s="3"/>
      <c r="AM484" s="3"/>
      <c r="AN484" s="3"/>
      <c r="AO484" s="3"/>
      <c r="AP484" s="3"/>
      <c r="AQ484" s="3"/>
      <c r="AR484" s="3"/>
      <c r="AS484" s="3"/>
      <c r="AT484" s="3"/>
      <c r="AU484" s="3"/>
      <c r="AV484" s="3"/>
      <c r="AW484" s="3"/>
      <c r="AX484" s="3"/>
      <c r="AY484" s="3"/>
      <c r="AZ484" s="3"/>
      <c r="BA484" s="3"/>
      <c r="BB484" s="3"/>
      <c r="BC484" s="3"/>
      <c r="BD484" s="3"/>
      <c r="BE484" s="3"/>
      <c r="BF484" s="3"/>
      <c r="BG484" s="3"/>
    </row>
    <row r="485" spans="1:59">
      <c r="A485" s="1" t="str">
        <f>IF($J$342="Y",'Population Definitions'!$A$13,"...")</f>
        <v>...</v>
      </c>
      <c r="B485" s="4" t="str">
        <f>IF($J$342="Y","---&gt;","...")</f>
        <v>...</v>
      </c>
      <c r="C485" s="1" t="str">
        <f>IF($J$342="Y",'Population Definitions'!$A$10,"...")</f>
        <v>...</v>
      </c>
      <c r="E485" s="2"/>
      <c r="F485" s="3"/>
      <c r="G485" s="2"/>
      <c r="H485" s="4" t="str">
        <f>IF($J$342="Y","OR","...")</f>
        <v>...</v>
      </c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</row>
    <row r="486" spans="1:59">
      <c r="A486" s="1" t="str">
        <f>IF($K$342="Y",'Population Definitions'!$A$13,"...")</f>
        <v>...</v>
      </c>
      <c r="B486" s="4" t="str">
        <f>IF($K$342="Y","---&gt;","...")</f>
        <v>...</v>
      </c>
      <c r="C486" s="1" t="str">
        <f>IF($K$342="Y",'Population Definitions'!$A$11,"...")</f>
        <v>...</v>
      </c>
      <c r="E486" s="2"/>
      <c r="F486" s="3"/>
      <c r="G486" s="2"/>
      <c r="H486" s="4" t="str">
        <f>IF($K$342="Y","OR","...")</f>
        <v>...</v>
      </c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</row>
    <row r="487" spans="1:59">
      <c r="A487" s="1" t="str">
        <f>IF($L$342="Y",'Population Definitions'!$A$13,"...")</f>
        <v>...</v>
      </c>
      <c r="B487" s="4" t="str">
        <f>IF($L$342="Y","---&gt;","...")</f>
        <v>...</v>
      </c>
      <c r="C487" s="1" t="str">
        <f>IF($L$342="Y",'Population Definitions'!$A$12,"...")</f>
        <v>...</v>
      </c>
      <c r="E487" s="2"/>
      <c r="F487" s="3"/>
      <c r="G487" s="2"/>
      <c r="H487" s="4" t="str">
        <f>IF($L$342="Y","OR","...")</f>
        <v>...</v>
      </c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</row>
    <row r="488" spans="1:59">
      <c r="A488" s="1" t="str">
        <f>IF($M$342="Y",'Population Definitions'!$A$13,"...")</f>
        <v>...</v>
      </c>
      <c r="B488" s="4" t="str">
        <f>IF($M$342="Y","---&gt;","...")</f>
        <v>...</v>
      </c>
      <c r="C488" s="1" t="str">
        <f>IF($M$342="Y",'Population Definitions'!$A$13,"...")</f>
        <v>...</v>
      </c>
      <c r="E488" s="2"/>
      <c r="F488" s="3"/>
      <c r="G488" s="2"/>
      <c r="H488" s="4" t="str">
        <f>IF($M$342="Y","OR","...")</f>
        <v>...</v>
      </c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</row>
  </sheetData>
  <conditionalFormatting sqref="B10">
    <cfRule type="cellIs" dxfId="2" priority="111" operator="equal">
      <formula>"Y"</formula>
    </cfRule>
    <cfRule type="cellIs" dxfId="3" priority="112" operator="equal">
      <formula>"N"</formula>
    </cfRule>
  </conditionalFormatting>
  <conditionalFormatting sqref="B11">
    <cfRule type="cellIs" dxfId="2" priority="133" operator="equal">
      <formula>"Y"</formula>
    </cfRule>
    <cfRule type="cellIs" dxfId="3" priority="134" operator="equal">
      <formula>"N"</formula>
    </cfRule>
  </conditionalFormatting>
  <conditionalFormatting sqref="B12">
    <cfRule type="cellIs" dxfId="2" priority="155" operator="equal">
      <formula>"Y"</formula>
    </cfRule>
    <cfRule type="cellIs" dxfId="3" priority="156" operator="equal">
      <formula>"N"</formula>
    </cfRule>
  </conditionalFormatting>
  <conditionalFormatting sqref="B13">
    <cfRule type="cellIs" dxfId="2" priority="177" operator="equal">
      <formula>"Y"</formula>
    </cfRule>
    <cfRule type="cellIs" dxfId="3" priority="178" operator="equal">
      <formula>"N"</formula>
    </cfRule>
  </conditionalFormatting>
  <conditionalFormatting sqref="B14">
    <cfRule type="cellIs" dxfId="2" priority="199" operator="equal">
      <formula>"Y"</formula>
    </cfRule>
    <cfRule type="cellIs" dxfId="3" priority="200" operator="equal">
      <formula>"N"</formula>
    </cfRule>
  </conditionalFormatting>
  <conditionalFormatting sqref="B15">
    <cfRule type="cellIs" dxfId="2" priority="221" operator="equal">
      <formula>"Y"</formula>
    </cfRule>
    <cfRule type="cellIs" dxfId="3" priority="222" operator="equal">
      <formula>"N"</formula>
    </cfRule>
  </conditionalFormatting>
  <conditionalFormatting sqref="B16">
    <cfRule type="cellIs" dxfId="2" priority="243" operator="equal">
      <formula>"Y"</formula>
    </cfRule>
    <cfRule type="cellIs" dxfId="3" priority="244" operator="equal">
      <formula>"N"</formula>
    </cfRule>
  </conditionalFormatting>
  <conditionalFormatting sqref="B169">
    <cfRule type="cellIs" dxfId="2" priority="719" operator="equal">
      <formula>"Y"</formula>
    </cfRule>
    <cfRule type="cellIs" dxfId="3" priority="720" operator="equal">
      <formula>"N"</formula>
    </cfRule>
  </conditionalFormatting>
  <conditionalFormatting sqref="B170">
    <cfRule type="cellIs" dxfId="2" priority="741" operator="equal">
      <formula>"Y"</formula>
    </cfRule>
    <cfRule type="cellIs" dxfId="3" priority="742" operator="equal">
      <formula>"N"</formula>
    </cfRule>
  </conditionalFormatting>
  <conditionalFormatting sqref="B171">
    <cfRule type="cellIs" dxfId="2" priority="763" operator="equal">
      <formula>"Y"</formula>
    </cfRule>
    <cfRule type="cellIs" dxfId="3" priority="764" operator="equal">
      <formula>"N"</formula>
    </cfRule>
  </conditionalFormatting>
  <conditionalFormatting sqref="B172">
    <cfRule type="cellIs" dxfId="2" priority="785" operator="equal">
      <formula>"Y"</formula>
    </cfRule>
    <cfRule type="cellIs" dxfId="3" priority="786" operator="equal">
      <formula>"N"</formula>
    </cfRule>
  </conditionalFormatting>
  <conditionalFormatting sqref="B173">
    <cfRule type="cellIs" dxfId="2" priority="807" operator="equal">
      <formula>"Y"</formula>
    </cfRule>
    <cfRule type="cellIs" dxfId="3" priority="808" operator="equal">
      <formula>"N"</formula>
    </cfRule>
  </conditionalFormatting>
  <conditionalFormatting sqref="B174">
    <cfRule type="cellIs" dxfId="2" priority="829" operator="equal">
      <formula>"Y"</formula>
    </cfRule>
    <cfRule type="cellIs" dxfId="3" priority="830" operator="equal">
      <formula>"N"</formula>
    </cfRule>
  </conditionalFormatting>
  <conditionalFormatting sqref="B175">
    <cfRule type="cellIs" dxfId="2" priority="851" operator="equal">
      <formula>"Y"</formula>
    </cfRule>
    <cfRule type="cellIs" dxfId="3" priority="852" operator="equal">
      <formula>"N"</formula>
    </cfRule>
  </conditionalFormatting>
  <conditionalFormatting sqref="B176">
    <cfRule type="cellIs" dxfId="2" priority="873" operator="equal">
      <formula>"Y"</formula>
    </cfRule>
    <cfRule type="cellIs" dxfId="3" priority="874" operator="equal">
      <formula>"N"</formula>
    </cfRule>
  </conditionalFormatting>
  <conditionalFormatting sqref="B177">
    <cfRule type="cellIs" dxfId="2" priority="895" operator="equal">
      <formula>"Y"</formula>
    </cfRule>
    <cfRule type="cellIs" dxfId="3" priority="896" operator="equal">
      <formula>"N"</formula>
    </cfRule>
  </conditionalFormatting>
  <conditionalFormatting sqref="B178">
    <cfRule type="cellIs" dxfId="2" priority="917" operator="equal">
      <formula>"Y"</formula>
    </cfRule>
    <cfRule type="cellIs" dxfId="3" priority="918" operator="equal">
      <formula>"N"</formula>
    </cfRule>
  </conditionalFormatting>
  <conditionalFormatting sqref="B179">
    <cfRule type="cellIs" dxfId="2" priority="939" operator="equal">
      <formula>"Y"</formula>
    </cfRule>
    <cfRule type="cellIs" dxfId="3" priority="940" operator="equal">
      <formula>"N"</formula>
    </cfRule>
  </conditionalFormatting>
  <conditionalFormatting sqref="B332">
    <cfRule type="cellIs" dxfId="2" priority="1415" operator="equal">
      <formula>"Y"</formula>
    </cfRule>
    <cfRule type="cellIs" dxfId="3" priority="1416" operator="equal">
      <formula>"N"</formula>
    </cfRule>
  </conditionalFormatting>
  <conditionalFormatting sqref="B333">
    <cfRule type="cellIs" dxfId="2" priority="1437" operator="equal">
      <formula>"Y"</formula>
    </cfRule>
    <cfRule type="cellIs" dxfId="3" priority="1438" operator="equal">
      <formula>"N"</formula>
    </cfRule>
  </conditionalFormatting>
  <conditionalFormatting sqref="B334">
    <cfRule type="cellIs" dxfId="2" priority="1459" operator="equal">
      <formula>"Y"</formula>
    </cfRule>
    <cfRule type="cellIs" dxfId="3" priority="1460" operator="equal">
      <formula>"N"</formula>
    </cfRule>
  </conditionalFormatting>
  <conditionalFormatting sqref="B335">
    <cfRule type="cellIs" dxfId="2" priority="1481" operator="equal">
      <formula>"Y"</formula>
    </cfRule>
    <cfRule type="cellIs" dxfId="3" priority="1482" operator="equal">
      <formula>"N"</formula>
    </cfRule>
  </conditionalFormatting>
  <conditionalFormatting sqref="B336">
    <cfRule type="cellIs" dxfId="2" priority="1503" operator="equal">
      <formula>"Y"</formula>
    </cfRule>
    <cfRule type="cellIs" dxfId="3" priority="1504" operator="equal">
      <formula>"N"</formula>
    </cfRule>
  </conditionalFormatting>
  <conditionalFormatting sqref="B337">
    <cfRule type="cellIs" dxfId="2" priority="1525" operator="equal">
      <formula>"Y"</formula>
    </cfRule>
    <cfRule type="cellIs" dxfId="3" priority="1526" operator="equal">
      <formula>"N"</formula>
    </cfRule>
  </conditionalFormatting>
  <conditionalFormatting sqref="B338">
    <cfRule type="cellIs" dxfId="2" priority="1547" operator="equal">
      <formula>"Y"</formula>
    </cfRule>
    <cfRule type="cellIs" dxfId="3" priority="1548" operator="equal">
      <formula>"N"</formula>
    </cfRule>
  </conditionalFormatting>
  <conditionalFormatting sqref="B339">
    <cfRule type="cellIs" dxfId="2" priority="1569" operator="equal">
      <formula>"Y"</formula>
    </cfRule>
    <cfRule type="cellIs" dxfId="3" priority="1570" operator="equal">
      <formula>"N"</formula>
    </cfRule>
  </conditionalFormatting>
  <conditionalFormatting sqref="B340">
    <cfRule type="cellIs" dxfId="2" priority="1591" operator="equal">
      <formula>"Y"</formula>
    </cfRule>
    <cfRule type="cellIs" dxfId="3" priority="1592" operator="equal">
      <formula>"N"</formula>
    </cfRule>
  </conditionalFormatting>
  <conditionalFormatting sqref="B341">
    <cfRule type="cellIs" dxfId="2" priority="1613" operator="equal">
      <formula>"Y"</formula>
    </cfRule>
    <cfRule type="cellIs" dxfId="3" priority="1614" operator="equal">
      <formula>"N"</formula>
    </cfRule>
  </conditionalFormatting>
  <conditionalFormatting sqref="B342">
    <cfRule type="cellIs" dxfId="2" priority="1635" operator="equal">
      <formula>"Y"</formula>
    </cfRule>
    <cfRule type="cellIs" dxfId="3" priority="1636" operator="equal">
      <formula>"N"</formula>
    </cfRule>
  </conditionalFormatting>
  <conditionalFormatting sqref="B6">
    <cfRule type="cellIs" dxfId="2" priority="23" operator="equal">
      <formula>"Y"</formula>
    </cfRule>
    <cfRule type="cellIs" dxfId="3" priority="24" operator="equal">
      <formula>"N"</formula>
    </cfRule>
  </conditionalFormatting>
  <conditionalFormatting sqref="B7">
    <cfRule type="cellIs" dxfId="2" priority="45" operator="equal">
      <formula>"Y"</formula>
    </cfRule>
    <cfRule type="cellIs" dxfId="3" priority="46" operator="equal">
      <formula>"N"</formula>
    </cfRule>
  </conditionalFormatting>
  <conditionalFormatting sqref="B8">
    <cfRule type="cellIs" dxfId="2" priority="67" operator="equal">
      <formula>"Y"</formula>
    </cfRule>
    <cfRule type="cellIs" dxfId="3" priority="68" operator="equal">
      <formula>"N"</formula>
    </cfRule>
  </conditionalFormatting>
  <conditionalFormatting sqref="B9">
    <cfRule type="cellIs" dxfId="2" priority="89" operator="equal">
      <formula>"Y"</formula>
    </cfRule>
    <cfRule type="cellIs" dxfId="3" priority="90" operator="equal">
      <formula>"N"</formula>
    </cfRule>
  </conditionalFormatting>
  <conditionalFormatting sqref="C10">
    <cfRule type="cellIs" dxfId="2" priority="113" operator="equal">
      <formula>"Y"</formula>
    </cfRule>
    <cfRule type="cellIs" dxfId="3" priority="114" operator="equal">
      <formula>"N"</formula>
    </cfRule>
  </conditionalFormatting>
  <conditionalFormatting sqref="C11">
    <cfRule type="cellIs" dxfId="2" priority="135" operator="equal">
      <formula>"Y"</formula>
    </cfRule>
    <cfRule type="cellIs" dxfId="3" priority="136" operator="equal">
      <formula>"N"</formula>
    </cfRule>
  </conditionalFormatting>
  <conditionalFormatting sqref="C12">
    <cfRule type="cellIs" dxfId="2" priority="157" operator="equal">
      <formula>"Y"</formula>
    </cfRule>
    <cfRule type="cellIs" dxfId="3" priority="158" operator="equal">
      <formula>"N"</formula>
    </cfRule>
  </conditionalFormatting>
  <conditionalFormatting sqref="C13">
    <cfRule type="cellIs" dxfId="2" priority="179" operator="equal">
      <formula>"Y"</formula>
    </cfRule>
    <cfRule type="cellIs" dxfId="3" priority="180" operator="equal">
      <formula>"N"</formula>
    </cfRule>
  </conditionalFormatting>
  <conditionalFormatting sqref="C14">
    <cfRule type="cellIs" dxfId="2" priority="201" operator="equal">
      <formula>"Y"</formula>
    </cfRule>
    <cfRule type="cellIs" dxfId="3" priority="202" operator="equal">
      <formula>"N"</formula>
    </cfRule>
  </conditionalFormatting>
  <conditionalFormatting sqref="C15">
    <cfRule type="cellIs" dxfId="2" priority="223" operator="equal">
      <formula>"Y"</formula>
    </cfRule>
    <cfRule type="cellIs" dxfId="3" priority="224" operator="equal">
      <formula>"N"</formula>
    </cfRule>
  </conditionalFormatting>
  <conditionalFormatting sqref="C16">
    <cfRule type="cellIs" dxfId="2" priority="245" operator="equal">
      <formula>"Y"</formula>
    </cfRule>
    <cfRule type="cellIs" dxfId="3" priority="246" operator="equal">
      <formula>"N"</formula>
    </cfRule>
  </conditionalFormatting>
  <conditionalFormatting sqref="C168">
    <cfRule type="cellIs" dxfId="2" priority="697" operator="equal">
      <formula>"Y"</formula>
    </cfRule>
    <cfRule type="cellIs" dxfId="3" priority="698" operator="equal">
      <formula>"N"</formula>
    </cfRule>
  </conditionalFormatting>
  <conditionalFormatting sqref="C170">
    <cfRule type="cellIs" dxfId="2" priority="743" operator="equal">
      <formula>"Y"</formula>
    </cfRule>
    <cfRule type="cellIs" dxfId="3" priority="744" operator="equal">
      <formula>"N"</formula>
    </cfRule>
  </conditionalFormatting>
  <conditionalFormatting sqref="C171">
    <cfRule type="cellIs" dxfId="2" priority="765" operator="equal">
      <formula>"Y"</formula>
    </cfRule>
    <cfRule type="cellIs" dxfId="3" priority="766" operator="equal">
      <formula>"N"</formula>
    </cfRule>
  </conditionalFormatting>
  <conditionalFormatting sqref="C172">
    <cfRule type="cellIs" dxfId="2" priority="787" operator="equal">
      <formula>"Y"</formula>
    </cfRule>
    <cfRule type="cellIs" dxfId="3" priority="788" operator="equal">
      <formula>"N"</formula>
    </cfRule>
  </conditionalFormatting>
  <conditionalFormatting sqref="C173">
    <cfRule type="cellIs" dxfId="2" priority="809" operator="equal">
      <formula>"Y"</formula>
    </cfRule>
    <cfRule type="cellIs" dxfId="3" priority="810" operator="equal">
      <formula>"N"</formula>
    </cfRule>
  </conditionalFormatting>
  <conditionalFormatting sqref="C174">
    <cfRule type="cellIs" dxfId="2" priority="831" operator="equal">
      <formula>"Y"</formula>
    </cfRule>
    <cfRule type="cellIs" dxfId="3" priority="832" operator="equal">
      <formula>"N"</formula>
    </cfRule>
  </conditionalFormatting>
  <conditionalFormatting sqref="C175">
    <cfRule type="cellIs" dxfId="2" priority="853" operator="equal">
      <formula>"Y"</formula>
    </cfRule>
    <cfRule type="cellIs" dxfId="3" priority="854" operator="equal">
      <formula>"N"</formula>
    </cfRule>
  </conditionalFormatting>
  <conditionalFormatting sqref="C176">
    <cfRule type="cellIs" dxfId="2" priority="875" operator="equal">
      <formula>"Y"</formula>
    </cfRule>
    <cfRule type="cellIs" dxfId="3" priority="876" operator="equal">
      <formula>"N"</formula>
    </cfRule>
  </conditionalFormatting>
  <conditionalFormatting sqref="C177">
    <cfRule type="cellIs" dxfId="2" priority="897" operator="equal">
      <formula>"Y"</formula>
    </cfRule>
    <cfRule type="cellIs" dxfId="3" priority="898" operator="equal">
      <formula>"N"</formula>
    </cfRule>
  </conditionalFormatting>
  <conditionalFormatting sqref="C178">
    <cfRule type="cellIs" dxfId="2" priority="919" operator="equal">
      <formula>"Y"</formula>
    </cfRule>
    <cfRule type="cellIs" dxfId="3" priority="920" operator="equal">
      <formula>"N"</formula>
    </cfRule>
  </conditionalFormatting>
  <conditionalFormatting sqref="C179">
    <cfRule type="cellIs" dxfId="2" priority="941" operator="equal">
      <formula>"Y"</formula>
    </cfRule>
    <cfRule type="cellIs" dxfId="3" priority="942" operator="equal">
      <formula>"N"</formula>
    </cfRule>
  </conditionalFormatting>
  <conditionalFormatting sqref="C331">
    <cfRule type="cellIs" dxfId="2" priority="1393" operator="equal">
      <formula>"Y"</formula>
    </cfRule>
    <cfRule type="cellIs" dxfId="3" priority="1394" operator="equal">
      <formula>"N"</formula>
    </cfRule>
  </conditionalFormatting>
  <conditionalFormatting sqref="C333">
    <cfRule type="cellIs" dxfId="2" priority="1439" operator="equal">
      <formula>"Y"</formula>
    </cfRule>
    <cfRule type="cellIs" dxfId="3" priority="1440" operator="equal">
      <formula>"N"</formula>
    </cfRule>
  </conditionalFormatting>
  <conditionalFormatting sqref="C334">
    <cfRule type="cellIs" dxfId="2" priority="1461" operator="equal">
      <formula>"Y"</formula>
    </cfRule>
    <cfRule type="cellIs" dxfId="3" priority="1462" operator="equal">
      <formula>"N"</formula>
    </cfRule>
  </conditionalFormatting>
  <conditionalFormatting sqref="C335">
    <cfRule type="cellIs" dxfId="2" priority="1483" operator="equal">
      <formula>"Y"</formula>
    </cfRule>
    <cfRule type="cellIs" dxfId="3" priority="1484" operator="equal">
      <formula>"N"</formula>
    </cfRule>
  </conditionalFormatting>
  <conditionalFormatting sqref="C336">
    <cfRule type="cellIs" dxfId="2" priority="1505" operator="equal">
      <formula>"Y"</formula>
    </cfRule>
    <cfRule type="cellIs" dxfId="3" priority="1506" operator="equal">
      <formula>"N"</formula>
    </cfRule>
  </conditionalFormatting>
  <conditionalFormatting sqref="C337">
    <cfRule type="cellIs" dxfId="2" priority="1527" operator="equal">
      <formula>"Y"</formula>
    </cfRule>
    <cfRule type="cellIs" dxfId="3" priority="1528" operator="equal">
      <formula>"N"</formula>
    </cfRule>
  </conditionalFormatting>
  <conditionalFormatting sqref="C338">
    <cfRule type="cellIs" dxfId="2" priority="1549" operator="equal">
      <formula>"Y"</formula>
    </cfRule>
    <cfRule type="cellIs" dxfId="3" priority="1550" operator="equal">
      <formula>"N"</formula>
    </cfRule>
  </conditionalFormatting>
  <conditionalFormatting sqref="C339">
    <cfRule type="cellIs" dxfId="2" priority="1571" operator="equal">
      <formula>"Y"</formula>
    </cfRule>
    <cfRule type="cellIs" dxfId="3" priority="1572" operator="equal">
      <formula>"N"</formula>
    </cfRule>
  </conditionalFormatting>
  <conditionalFormatting sqref="C340">
    <cfRule type="cellIs" dxfId="2" priority="1593" operator="equal">
      <formula>"Y"</formula>
    </cfRule>
    <cfRule type="cellIs" dxfId="3" priority="1594" operator="equal">
      <formula>"N"</formula>
    </cfRule>
  </conditionalFormatting>
  <conditionalFormatting sqref="C341">
    <cfRule type="cellIs" dxfId="2" priority="1615" operator="equal">
      <formula>"Y"</formula>
    </cfRule>
    <cfRule type="cellIs" dxfId="3" priority="1616" operator="equal">
      <formula>"N"</formula>
    </cfRule>
  </conditionalFormatting>
  <conditionalFormatting sqref="C342">
    <cfRule type="cellIs" dxfId="2" priority="1637" operator="equal">
      <formula>"Y"</formula>
    </cfRule>
    <cfRule type="cellIs" dxfId="3" priority="1638" operator="equal">
      <formula>"N"</formula>
    </cfRule>
  </conditionalFormatting>
  <conditionalFormatting sqref="C5">
    <cfRule type="cellIs" dxfId="2" priority="1" operator="equal">
      <formula>"Y"</formula>
    </cfRule>
    <cfRule type="cellIs" dxfId="3" priority="2" operator="equal">
      <formula>"N"</formula>
    </cfRule>
  </conditionalFormatting>
  <conditionalFormatting sqref="C7">
    <cfRule type="cellIs" dxfId="2" priority="47" operator="equal">
      <formula>"Y"</formula>
    </cfRule>
    <cfRule type="cellIs" dxfId="3" priority="48" operator="equal">
      <formula>"N"</formula>
    </cfRule>
  </conditionalFormatting>
  <conditionalFormatting sqref="C8">
    <cfRule type="cellIs" dxfId="2" priority="69" operator="equal">
      <formula>"Y"</formula>
    </cfRule>
    <cfRule type="cellIs" dxfId="3" priority="70" operator="equal">
      <formula>"N"</formula>
    </cfRule>
  </conditionalFormatting>
  <conditionalFormatting sqref="C9">
    <cfRule type="cellIs" dxfId="2" priority="91" operator="equal">
      <formula>"Y"</formula>
    </cfRule>
    <cfRule type="cellIs" dxfId="3" priority="92" operator="equal">
      <formula>"N"</formula>
    </cfRule>
  </conditionalFormatting>
  <conditionalFormatting sqref="D10">
    <cfRule type="cellIs" dxfId="2" priority="115" operator="equal">
      <formula>"Y"</formula>
    </cfRule>
    <cfRule type="cellIs" dxfId="3" priority="116" operator="equal">
      <formula>"N"</formula>
    </cfRule>
  </conditionalFormatting>
  <conditionalFormatting sqref="D100:BG100">
    <cfRule type="expression" dxfId="4" priority="510">
      <formula>$K$11&lt;&gt;"Y"</formula>
    </cfRule>
  </conditionalFormatting>
  <conditionalFormatting sqref="D101:BG101">
    <cfRule type="expression" dxfId="4" priority="513">
      <formula>$L$11&lt;&gt;"Y"</formula>
    </cfRule>
  </conditionalFormatting>
  <conditionalFormatting sqref="D102:BG102">
    <cfRule type="expression" dxfId="4" priority="516">
      <formula>$M$11&lt;&gt;"Y"</formula>
    </cfRule>
  </conditionalFormatting>
  <conditionalFormatting sqref="D103:BG103">
    <cfRule type="expression" dxfId="4" priority="519">
      <formula>$B$12&lt;&gt;"Y"</formula>
    </cfRule>
  </conditionalFormatting>
  <conditionalFormatting sqref="D104:BG104">
    <cfRule type="expression" dxfId="4" priority="522">
      <formula>$C$12&lt;&gt;"Y"</formula>
    </cfRule>
  </conditionalFormatting>
  <conditionalFormatting sqref="D105:BG105">
    <cfRule type="expression" dxfId="4" priority="525">
      <formula>$D$12&lt;&gt;"Y"</formula>
    </cfRule>
  </conditionalFormatting>
  <conditionalFormatting sqref="D106:BG106">
    <cfRule type="expression" dxfId="4" priority="528">
      <formula>$E$12&lt;&gt;"Y"</formula>
    </cfRule>
  </conditionalFormatting>
  <conditionalFormatting sqref="D107:BG107">
    <cfRule type="expression" dxfId="4" priority="531">
      <formula>$F$12&lt;&gt;"Y"</formula>
    </cfRule>
  </conditionalFormatting>
  <conditionalFormatting sqref="D108:BG108">
    <cfRule type="expression" dxfId="4" priority="534">
      <formula>$G$12&lt;&gt;"Y"</formula>
    </cfRule>
  </conditionalFormatting>
  <conditionalFormatting sqref="D109:BG109">
    <cfRule type="expression" dxfId="4" priority="537">
      <formula>$H$12&lt;&gt;"Y"</formula>
    </cfRule>
  </conditionalFormatting>
  <conditionalFormatting sqref="D11">
    <cfRule type="cellIs" dxfId="2" priority="137" operator="equal">
      <formula>"Y"</formula>
    </cfRule>
    <cfRule type="cellIs" dxfId="3" priority="138" operator="equal">
      <formula>"N"</formula>
    </cfRule>
  </conditionalFormatting>
  <conditionalFormatting sqref="D110:BG110">
    <cfRule type="expression" dxfId="4" priority="540">
      <formula>$I$12&lt;&gt;"Y"</formula>
    </cfRule>
  </conditionalFormatting>
  <conditionalFormatting sqref="D111:BG111">
    <cfRule type="expression" dxfId="4" priority="543">
      <formula>$J$12&lt;&gt;"Y"</formula>
    </cfRule>
  </conditionalFormatting>
  <conditionalFormatting sqref="D112:BG112">
    <cfRule type="expression" dxfId="4" priority="546">
      <formula>$K$12&lt;&gt;"Y"</formula>
    </cfRule>
  </conditionalFormatting>
  <conditionalFormatting sqref="D113:BG113">
    <cfRule type="expression" dxfId="4" priority="549">
      <formula>$L$12&lt;&gt;"Y"</formula>
    </cfRule>
  </conditionalFormatting>
  <conditionalFormatting sqref="D114:BG114">
    <cfRule type="expression" dxfId="4" priority="552">
      <formula>$M$12&lt;&gt;"Y"</formula>
    </cfRule>
  </conditionalFormatting>
  <conditionalFormatting sqref="D115:BG115">
    <cfRule type="expression" dxfId="4" priority="555">
      <formula>$B$13&lt;&gt;"Y"</formula>
    </cfRule>
  </conditionalFormatting>
  <conditionalFormatting sqref="D116:BG116">
    <cfRule type="expression" dxfId="4" priority="558">
      <formula>$C$13&lt;&gt;"Y"</formula>
    </cfRule>
  </conditionalFormatting>
  <conditionalFormatting sqref="D117:BG117">
    <cfRule type="expression" dxfId="4" priority="561">
      <formula>$D$13&lt;&gt;"Y"</formula>
    </cfRule>
  </conditionalFormatting>
  <conditionalFormatting sqref="D118:BG118">
    <cfRule type="expression" dxfId="4" priority="564">
      <formula>$E$13&lt;&gt;"Y"</formula>
    </cfRule>
  </conditionalFormatting>
  <conditionalFormatting sqref="D119:BG119">
    <cfRule type="expression" dxfId="4" priority="567">
      <formula>$F$13&lt;&gt;"Y"</formula>
    </cfRule>
  </conditionalFormatting>
  <conditionalFormatting sqref="D12">
    <cfRule type="cellIs" dxfId="2" priority="159" operator="equal">
      <formula>"Y"</formula>
    </cfRule>
    <cfRule type="cellIs" dxfId="3" priority="160" operator="equal">
      <formula>"N"</formula>
    </cfRule>
  </conditionalFormatting>
  <conditionalFormatting sqref="D120:BG120">
    <cfRule type="expression" dxfId="4" priority="570">
      <formula>$G$13&lt;&gt;"Y"</formula>
    </cfRule>
  </conditionalFormatting>
  <conditionalFormatting sqref="D121:BG121">
    <cfRule type="expression" dxfId="4" priority="573">
      <formula>$H$13&lt;&gt;"Y"</formula>
    </cfRule>
  </conditionalFormatting>
  <conditionalFormatting sqref="D122:BG122">
    <cfRule type="expression" dxfId="4" priority="576">
      <formula>$I$13&lt;&gt;"Y"</formula>
    </cfRule>
  </conditionalFormatting>
  <conditionalFormatting sqref="D123:BG123">
    <cfRule type="expression" dxfId="4" priority="579">
      <formula>$J$13&lt;&gt;"Y"</formula>
    </cfRule>
  </conditionalFormatting>
  <conditionalFormatting sqref="D124:BG124">
    <cfRule type="expression" dxfId="4" priority="582">
      <formula>$K$13&lt;&gt;"Y"</formula>
    </cfRule>
  </conditionalFormatting>
  <conditionalFormatting sqref="D125:BG125">
    <cfRule type="expression" dxfId="4" priority="585">
      <formula>$L$13&lt;&gt;"Y"</formula>
    </cfRule>
  </conditionalFormatting>
  <conditionalFormatting sqref="D126:BG126">
    <cfRule type="expression" dxfId="4" priority="588">
      <formula>$M$13&lt;&gt;"Y"</formula>
    </cfRule>
  </conditionalFormatting>
  <conditionalFormatting sqref="D127:BG127">
    <cfRule type="expression" dxfId="4" priority="591">
      <formula>$B$14&lt;&gt;"Y"</formula>
    </cfRule>
  </conditionalFormatting>
  <conditionalFormatting sqref="D128:BG128">
    <cfRule type="expression" dxfId="4" priority="594">
      <formula>$C$14&lt;&gt;"Y"</formula>
    </cfRule>
  </conditionalFormatting>
  <conditionalFormatting sqref="D129:BG129">
    <cfRule type="expression" dxfId="4" priority="597">
      <formula>$D$14&lt;&gt;"Y"</formula>
    </cfRule>
  </conditionalFormatting>
  <conditionalFormatting sqref="D13">
    <cfRule type="cellIs" dxfId="2" priority="181" operator="equal">
      <formula>"Y"</formula>
    </cfRule>
    <cfRule type="cellIs" dxfId="3" priority="182" operator="equal">
      <formula>"N"</formula>
    </cfRule>
  </conditionalFormatting>
  <conditionalFormatting sqref="D130:BG130">
    <cfRule type="expression" dxfId="4" priority="600">
      <formula>$E$14&lt;&gt;"Y"</formula>
    </cfRule>
  </conditionalFormatting>
  <conditionalFormatting sqref="D131:BG131">
    <cfRule type="expression" dxfId="4" priority="603">
      <formula>$F$14&lt;&gt;"Y"</formula>
    </cfRule>
  </conditionalFormatting>
  <conditionalFormatting sqref="D132:BG132">
    <cfRule type="expression" dxfId="4" priority="606">
      <formula>$G$14&lt;&gt;"Y"</formula>
    </cfRule>
  </conditionalFormatting>
  <conditionalFormatting sqref="D133:BG133">
    <cfRule type="expression" dxfId="4" priority="609">
      <formula>$H$14&lt;&gt;"Y"</formula>
    </cfRule>
  </conditionalFormatting>
  <conditionalFormatting sqref="D134:BG134">
    <cfRule type="expression" dxfId="4" priority="612">
      <formula>$I$14&lt;&gt;"Y"</formula>
    </cfRule>
  </conditionalFormatting>
  <conditionalFormatting sqref="D135:BG135">
    <cfRule type="expression" dxfId="4" priority="615">
      <formula>$J$14&lt;&gt;"Y"</formula>
    </cfRule>
  </conditionalFormatting>
  <conditionalFormatting sqref="D136:BG136">
    <cfRule type="expression" dxfId="4" priority="618">
      <formula>$K$14&lt;&gt;"Y"</formula>
    </cfRule>
  </conditionalFormatting>
  <conditionalFormatting sqref="D137:BG137">
    <cfRule type="expression" dxfId="4" priority="621">
      <formula>$L$14&lt;&gt;"Y"</formula>
    </cfRule>
  </conditionalFormatting>
  <conditionalFormatting sqref="D138:BG138">
    <cfRule type="expression" dxfId="4" priority="624">
      <formula>$M$14&lt;&gt;"Y"</formula>
    </cfRule>
  </conditionalFormatting>
  <conditionalFormatting sqref="D139:BG139">
    <cfRule type="expression" dxfId="4" priority="627">
      <formula>$B$15&lt;&gt;"Y"</formula>
    </cfRule>
  </conditionalFormatting>
  <conditionalFormatting sqref="D14">
    <cfRule type="cellIs" dxfId="2" priority="203" operator="equal">
      <formula>"Y"</formula>
    </cfRule>
    <cfRule type="cellIs" dxfId="3" priority="204" operator="equal">
      <formula>"N"</formula>
    </cfRule>
  </conditionalFormatting>
  <conditionalFormatting sqref="D140:BG140">
    <cfRule type="expression" dxfId="4" priority="630">
      <formula>$C$15&lt;&gt;"Y"</formula>
    </cfRule>
  </conditionalFormatting>
  <conditionalFormatting sqref="D141:BG141">
    <cfRule type="expression" dxfId="4" priority="633">
      <formula>$D$15&lt;&gt;"Y"</formula>
    </cfRule>
  </conditionalFormatting>
  <conditionalFormatting sqref="D142:BG142">
    <cfRule type="expression" dxfId="4" priority="636">
      <formula>$E$15&lt;&gt;"Y"</formula>
    </cfRule>
  </conditionalFormatting>
  <conditionalFormatting sqref="D143:BG143">
    <cfRule type="expression" dxfId="4" priority="639">
      <formula>$F$15&lt;&gt;"Y"</formula>
    </cfRule>
  </conditionalFormatting>
  <conditionalFormatting sqref="D144:BG144">
    <cfRule type="expression" dxfId="4" priority="642">
      <formula>$G$15&lt;&gt;"Y"</formula>
    </cfRule>
  </conditionalFormatting>
  <conditionalFormatting sqref="D145:BG145">
    <cfRule type="expression" dxfId="4" priority="645">
      <formula>$H$15&lt;&gt;"Y"</formula>
    </cfRule>
  </conditionalFormatting>
  <conditionalFormatting sqref="D146:BG146">
    <cfRule type="expression" dxfId="4" priority="648">
      <formula>$I$15&lt;&gt;"Y"</formula>
    </cfRule>
  </conditionalFormatting>
  <conditionalFormatting sqref="D147:BG147">
    <cfRule type="expression" dxfId="4" priority="651">
      <formula>$J$15&lt;&gt;"Y"</formula>
    </cfRule>
  </conditionalFormatting>
  <conditionalFormatting sqref="D148:BG148">
    <cfRule type="expression" dxfId="4" priority="654">
      <formula>$K$15&lt;&gt;"Y"</formula>
    </cfRule>
  </conditionalFormatting>
  <conditionalFormatting sqref="D149:BG149">
    <cfRule type="expression" dxfId="4" priority="657">
      <formula>$L$15&lt;&gt;"Y"</formula>
    </cfRule>
  </conditionalFormatting>
  <conditionalFormatting sqref="D15">
    <cfRule type="cellIs" dxfId="2" priority="225" operator="equal">
      <formula>"Y"</formula>
    </cfRule>
    <cfRule type="cellIs" dxfId="3" priority="226" operator="equal">
      <formula>"N"</formula>
    </cfRule>
  </conditionalFormatting>
  <conditionalFormatting sqref="D150:BG150">
    <cfRule type="expression" dxfId="4" priority="660">
      <formula>$M$15&lt;&gt;"Y"</formula>
    </cfRule>
  </conditionalFormatting>
  <conditionalFormatting sqref="D151:BG151">
    <cfRule type="expression" dxfId="4" priority="663">
      <formula>$B$16&lt;&gt;"Y"</formula>
    </cfRule>
  </conditionalFormatting>
  <conditionalFormatting sqref="D152:BG152">
    <cfRule type="expression" dxfId="4" priority="666">
      <formula>$C$16&lt;&gt;"Y"</formula>
    </cfRule>
  </conditionalFormatting>
  <conditionalFormatting sqref="D153:BG153">
    <cfRule type="expression" dxfId="4" priority="669">
      <formula>$D$16&lt;&gt;"Y"</formula>
    </cfRule>
  </conditionalFormatting>
  <conditionalFormatting sqref="D154:BG154">
    <cfRule type="expression" dxfId="4" priority="672">
      <formula>$E$16&lt;&gt;"Y"</formula>
    </cfRule>
  </conditionalFormatting>
  <conditionalFormatting sqref="D155:BG155">
    <cfRule type="expression" dxfId="4" priority="675">
      <formula>$F$16&lt;&gt;"Y"</formula>
    </cfRule>
  </conditionalFormatting>
  <conditionalFormatting sqref="D156:BG156">
    <cfRule type="expression" dxfId="4" priority="678">
      <formula>$G$16&lt;&gt;"Y"</formula>
    </cfRule>
  </conditionalFormatting>
  <conditionalFormatting sqref="D157:BG157">
    <cfRule type="expression" dxfId="4" priority="681">
      <formula>$H$16&lt;&gt;"Y"</formula>
    </cfRule>
  </conditionalFormatting>
  <conditionalFormatting sqref="D158:BG158">
    <cfRule type="expression" dxfId="4" priority="684">
      <formula>$I$16&lt;&gt;"Y"</formula>
    </cfRule>
  </conditionalFormatting>
  <conditionalFormatting sqref="D159:BG159">
    <cfRule type="expression" dxfId="4" priority="687">
      <formula>$J$16&lt;&gt;"Y"</formula>
    </cfRule>
  </conditionalFormatting>
  <conditionalFormatting sqref="D16">
    <cfRule type="cellIs" dxfId="2" priority="247" operator="equal">
      <formula>"Y"</formula>
    </cfRule>
    <cfRule type="cellIs" dxfId="3" priority="248" operator="equal">
      <formula>"N"</formula>
    </cfRule>
  </conditionalFormatting>
  <conditionalFormatting sqref="D160:BG160">
    <cfRule type="expression" dxfId="4" priority="690">
      <formula>$K$16&lt;&gt;"Y"</formula>
    </cfRule>
  </conditionalFormatting>
  <conditionalFormatting sqref="D161:BG161">
    <cfRule type="expression" dxfId="4" priority="693">
      <formula>$L$16&lt;&gt;"Y"</formula>
    </cfRule>
  </conditionalFormatting>
  <conditionalFormatting sqref="D162:BG162">
    <cfRule type="expression" dxfId="4" priority="696">
      <formula>$M$16&lt;&gt;"Y"</formula>
    </cfRule>
  </conditionalFormatting>
  <conditionalFormatting sqref="D168">
    <cfRule type="cellIs" dxfId="2" priority="699" operator="equal">
      <formula>"Y"</formula>
    </cfRule>
    <cfRule type="cellIs" dxfId="3" priority="700" operator="equal">
      <formula>"N"</formula>
    </cfRule>
  </conditionalFormatting>
  <conditionalFormatting sqref="D169">
    <cfRule type="cellIs" dxfId="2" priority="721" operator="equal">
      <formula>"Y"</formula>
    </cfRule>
    <cfRule type="cellIs" dxfId="3" priority="722" operator="equal">
      <formula>"N"</formula>
    </cfRule>
  </conditionalFormatting>
  <conditionalFormatting sqref="D171">
    <cfRule type="cellIs" dxfId="2" priority="767" operator="equal">
      <formula>"Y"</formula>
    </cfRule>
    <cfRule type="cellIs" dxfId="3" priority="768" operator="equal">
      <formula>"N"</formula>
    </cfRule>
  </conditionalFormatting>
  <conditionalFormatting sqref="D172">
    <cfRule type="cellIs" dxfId="2" priority="789" operator="equal">
      <formula>"Y"</formula>
    </cfRule>
    <cfRule type="cellIs" dxfId="3" priority="790" operator="equal">
      <formula>"N"</formula>
    </cfRule>
  </conditionalFormatting>
  <conditionalFormatting sqref="D173">
    <cfRule type="cellIs" dxfId="2" priority="811" operator="equal">
      <formula>"Y"</formula>
    </cfRule>
    <cfRule type="cellIs" dxfId="3" priority="812" operator="equal">
      <formula>"N"</formula>
    </cfRule>
  </conditionalFormatting>
  <conditionalFormatting sqref="D174">
    <cfRule type="cellIs" dxfId="2" priority="833" operator="equal">
      <formula>"Y"</formula>
    </cfRule>
    <cfRule type="cellIs" dxfId="3" priority="834" operator="equal">
      <formula>"N"</formula>
    </cfRule>
  </conditionalFormatting>
  <conditionalFormatting sqref="D175">
    <cfRule type="cellIs" dxfId="2" priority="855" operator="equal">
      <formula>"Y"</formula>
    </cfRule>
    <cfRule type="cellIs" dxfId="3" priority="856" operator="equal">
      <formula>"N"</formula>
    </cfRule>
  </conditionalFormatting>
  <conditionalFormatting sqref="D176">
    <cfRule type="cellIs" dxfId="2" priority="877" operator="equal">
      <formula>"Y"</formula>
    </cfRule>
    <cfRule type="cellIs" dxfId="3" priority="878" operator="equal">
      <formula>"N"</formula>
    </cfRule>
  </conditionalFormatting>
  <conditionalFormatting sqref="D177">
    <cfRule type="cellIs" dxfId="2" priority="899" operator="equal">
      <formula>"Y"</formula>
    </cfRule>
    <cfRule type="cellIs" dxfId="3" priority="900" operator="equal">
      <formula>"N"</formula>
    </cfRule>
  </conditionalFormatting>
  <conditionalFormatting sqref="D178">
    <cfRule type="cellIs" dxfId="2" priority="921" operator="equal">
      <formula>"Y"</formula>
    </cfRule>
    <cfRule type="cellIs" dxfId="3" priority="922" operator="equal">
      <formula>"N"</formula>
    </cfRule>
  </conditionalFormatting>
  <conditionalFormatting sqref="D179">
    <cfRule type="cellIs" dxfId="2" priority="943" operator="equal">
      <formula>"Y"</formula>
    </cfRule>
    <cfRule type="cellIs" dxfId="3" priority="944" operator="equal">
      <formula>"N"</formula>
    </cfRule>
  </conditionalFormatting>
  <conditionalFormatting sqref="D182:BG182">
    <cfRule type="expression" dxfId="4" priority="963">
      <formula>$B$168&lt;&gt;"Y"</formula>
    </cfRule>
  </conditionalFormatting>
  <conditionalFormatting sqref="D183:BG183">
    <cfRule type="expression" dxfId="4" priority="966">
      <formula>$C$168&lt;&gt;"Y"</formula>
    </cfRule>
  </conditionalFormatting>
  <conditionalFormatting sqref="D184:BG184">
    <cfRule type="expression" dxfId="4" priority="969">
      <formula>$D$168&lt;&gt;"Y"</formula>
    </cfRule>
  </conditionalFormatting>
  <conditionalFormatting sqref="D185:BG185">
    <cfRule type="expression" dxfId="4" priority="972">
      <formula>$E$168&lt;&gt;"Y"</formula>
    </cfRule>
  </conditionalFormatting>
  <conditionalFormatting sqref="D186:BG186">
    <cfRule type="expression" dxfId="4" priority="975">
      <formula>$F$168&lt;&gt;"Y"</formula>
    </cfRule>
  </conditionalFormatting>
  <conditionalFormatting sqref="D187:BG187">
    <cfRule type="expression" dxfId="4" priority="978">
      <formula>$G$168&lt;&gt;"Y"</formula>
    </cfRule>
  </conditionalFormatting>
  <conditionalFormatting sqref="D188:BG188">
    <cfRule type="expression" dxfId="4" priority="981">
      <formula>$H$168&lt;&gt;"Y"</formula>
    </cfRule>
  </conditionalFormatting>
  <conditionalFormatting sqref="D189:BG189">
    <cfRule type="expression" dxfId="4" priority="984">
      <formula>$I$168&lt;&gt;"Y"</formula>
    </cfRule>
  </conditionalFormatting>
  <conditionalFormatting sqref="D190:BG190">
    <cfRule type="expression" dxfId="4" priority="987">
      <formula>$J$168&lt;&gt;"Y"</formula>
    </cfRule>
  </conditionalFormatting>
  <conditionalFormatting sqref="D191:BG191">
    <cfRule type="expression" dxfId="4" priority="990">
      <formula>$K$168&lt;&gt;"Y"</formula>
    </cfRule>
  </conditionalFormatting>
  <conditionalFormatting sqref="D192:BG192">
    <cfRule type="expression" dxfId="4" priority="993">
      <formula>$L$168&lt;&gt;"Y"</formula>
    </cfRule>
  </conditionalFormatting>
  <conditionalFormatting sqref="D193:BG193">
    <cfRule type="expression" dxfId="4" priority="996">
      <formula>$M$168&lt;&gt;"Y"</formula>
    </cfRule>
  </conditionalFormatting>
  <conditionalFormatting sqref="D194:BG194">
    <cfRule type="expression" dxfId="4" priority="999">
      <formula>$B$169&lt;&gt;"Y"</formula>
    </cfRule>
  </conditionalFormatting>
  <conditionalFormatting sqref="D195:BG195">
    <cfRule type="expression" dxfId="4" priority="1002">
      <formula>$C$169&lt;&gt;"Y"</formula>
    </cfRule>
  </conditionalFormatting>
  <conditionalFormatting sqref="D196:BG196">
    <cfRule type="expression" dxfId="4" priority="1005">
      <formula>$D$169&lt;&gt;"Y"</formula>
    </cfRule>
  </conditionalFormatting>
  <conditionalFormatting sqref="D197:BG197">
    <cfRule type="expression" dxfId="4" priority="1008">
      <formula>$E$169&lt;&gt;"Y"</formula>
    </cfRule>
  </conditionalFormatting>
  <conditionalFormatting sqref="D198:BG198">
    <cfRule type="expression" dxfId="4" priority="1011">
      <formula>$F$169&lt;&gt;"Y"</formula>
    </cfRule>
  </conditionalFormatting>
  <conditionalFormatting sqref="D199:BG199">
    <cfRule type="expression" dxfId="4" priority="1014">
      <formula>$G$169&lt;&gt;"Y"</formula>
    </cfRule>
  </conditionalFormatting>
  <conditionalFormatting sqref="D19:BG19">
    <cfRule type="expression" dxfId="4" priority="267">
      <formula>$B$5&lt;&gt;"Y"</formula>
    </cfRule>
  </conditionalFormatting>
  <conditionalFormatting sqref="D200:BG200">
    <cfRule type="expression" dxfId="4" priority="1017">
      <formula>$H$169&lt;&gt;"Y"</formula>
    </cfRule>
  </conditionalFormatting>
  <conditionalFormatting sqref="D201:BG201">
    <cfRule type="expression" dxfId="4" priority="1020">
      <formula>$I$169&lt;&gt;"Y"</formula>
    </cfRule>
  </conditionalFormatting>
  <conditionalFormatting sqref="D202:BG202">
    <cfRule type="expression" dxfId="4" priority="1023">
      <formula>$J$169&lt;&gt;"Y"</formula>
    </cfRule>
  </conditionalFormatting>
  <conditionalFormatting sqref="D203:BG203">
    <cfRule type="expression" dxfId="4" priority="1026">
      <formula>$K$169&lt;&gt;"Y"</formula>
    </cfRule>
  </conditionalFormatting>
  <conditionalFormatting sqref="D204:BG204">
    <cfRule type="expression" dxfId="4" priority="1029">
      <formula>$L$169&lt;&gt;"Y"</formula>
    </cfRule>
  </conditionalFormatting>
  <conditionalFormatting sqref="D205:BG205">
    <cfRule type="expression" dxfId="4" priority="1032">
      <formula>$M$169&lt;&gt;"Y"</formula>
    </cfRule>
  </conditionalFormatting>
  <conditionalFormatting sqref="D206:BG206">
    <cfRule type="expression" dxfId="4" priority="1035">
      <formula>$B$170&lt;&gt;"Y"</formula>
    </cfRule>
  </conditionalFormatting>
  <conditionalFormatting sqref="D207:BG207">
    <cfRule type="expression" dxfId="4" priority="1038">
      <formula>$C$170&lt;&gt;"Y"</formula>
    </cfRule>
  </conditionalFormatting>
  <conditionalFormatting sqref="D208:BG208">
    <cfRule type="expression" dxfId="4" priority="1041">
      <formula>$D$170&lt;&gt;"Y"</formula>
    </cfRule>
  </conditionalFormatting>
  <conditionalFormatting sqref="D209:BG209">
    <cfRule type="expression" dxfId="4" priority="1044">
      <formula>$E$170&lt;&gt;"Y"</formula>
    </cfRule>
  </conditionalFormatting>
  <conditionalFormatting sqref="D20:BG20">
    <cfRule type="expression" dxfId="4" priority="270">
      <formula>$C$5&lt;&gt;"Y"</formula>
    </cfRule>
  </conditionalFormatting>
  <conditionalFormatting sqref="D210:BG210">
    <cfRule type="expression" dxfId="4" priority="1047">
      <formula>$F$170&lt;&gt;"Y"</formula>
    </cfRule>
  </conditionalFormatting>
  <conditionalFormatting sqref="D211:BG211">
    <cfRule type="expression" dxfId="4" priority="1050">
      <formula>$G$170&lt;&gt;"Y"</formula>
    </cfRule>
  </conditionalFormatting>
  <conditionalFormatting sqref="D212:BG212">
    <cfRule type="expression" dxfId="4" priority="1053">
      <formula>$H$170&lt;&gt;"Y"</formula>
    </cfRule>
  </conditionalFormatting>
  <conditionalFormatting sqref="D213:BG213">
    <cfRule type="expression" dxfId="4" priority="1056">
      <formula>$I$170&lt;&gt;"Y"</formula>
    </cfRule>
  </conditionalFormatting>
  <conditionalFormatting sqref="D214:BG214">
    <cfRule type="expression" dxfId="4" priority="1059">
      <formula>$J$170&lt;&gt;"Y"</formula>
    </cfRule>
  </conditionalFormatting>
  <conditionalFormatting sqref="D215:BG215">
    <cfRule type="expression" dxfId="4" priority="1062">
      <formula>$K$170&lt;&gt;"Y"</formula>
    </cfRule>
  </conditionalFormatting>
  <conditionalFormatting sqref="D216:BG216">
    <cfRule type="expression" dxfId="4" priority="1065">
      <formula>$L$170&lt;&gt;"Y"</formula>
    </cfRule>
  </conditionalFormatting>
  <conditionalFormatting sqref="D217:BG217">
    <cfRule type="expression" dxfId="4" priority="1068">
      <formula>$M$170&lt;&gt;"Y"</formula>
    </cfRule>
  </conditionalFormatting>
  <conditionalFormatting sqref="D218:BG218">
    <cfRule type="expression" dxfId="4" priority="1071">
      <formula>$B$171&lt;&gt;"Y"</formula>
    </cfRule>
  </conditionalFormatting>
  <conditionalFormatting sqref="D219:BG219">
    <cfRule type="expression" dxfId="4" priority="1074">
      <formula>$C$171&lt;&gt;"Y"</formula>
    </cfRule>
  </conditionalFormatting>
  <conditionalFormatting sqref="D21:BG21">
    <cfRule type="expression" dxfId="4" priority="273">
      <formula>$D$5&lt;&gt;"Y"</formula>
    </cfRule>
  </conditionalFormatting>
  <conditionalFormatting sqref="D220:BG220">
    <cfRule type="expression" dxfId="4" priority="1077">
      <formula>$D$171&lt;&gt;"Y"</formula>
    </cfRule>
  </conditionalFormatting>
  <conditionalFormatting sqref="D221:BG221">
    <cfRule type="expression" dxfId="4" priority="1080">
      <formula>$E$171&lt;&gt;"Y"</formula>
    </cfRule>
  </conditionalFormatting>
  <conditionalFormatting sqref="D222:BG222">
    <cfRule type="expression" dxfId="4" priority="1083">
      <formula>$F$171&lt;&gt;"Y"</formula>
    </cfRule>
  </conditionalFormatting>
  <conditionalFormatting sqref="D223:BG223">
    <cfRule type="expression" dxfId="4" priority="1086">
      <formula>$G$171&lt;&gt;"Y"</formula>
    </cfRule>
  </conditionalFormatting>
  <conditionalFormatting sqref="D224:BG224">
    <cfRule type="expression" dxfId="4" priority="1089">
      <formula>$H$171&lt;&gt;"Y"</formula>
    </cfRule>
  </conditionalFormatting>
  <conditionalFormatting sqref="D225:BG225">
    <cfRule type="expression" dxfId="4" priority="1092">
      <formula>$I$171&lt;&gt;"Y"</formula>
    </cfRule>
  </conditionalFormatting>
  <conditionalFormatting sqref="D226:BG226">
    <cfRule type="expression" dxfId="4" priority="1095">
      <formula>$J$171&lt;&gt;"Y"</formula>
    </cfRule>
  </conditionalFormatting>
  <conditionalFormatting sqref="D227:BG227">
    <cfRule type="expression" dxfId="4" priority="1098">
      <formula>$K$171&lt;&gt;"Y"</formula>
    </cfRule>
  </conditionalFormatting>
  <conditionalFormatting sqref="D228:BG228">
    <cfRule type="expression" dxfId="4" priority="1101">
      <formula>$L$171&lt;&gt;"Y"</formula>
    </cfRule>
  </conditionalFormatting>
  <conditionalFormatting sqref="D229:BG229">
    <cfRule type="expression" dxfId="4" priority="1104">
      <formula>$M$171&lt;&gt;"Y"</formula>
    </cfRule>
  </conditionalFormatting>
  <conditionalFormatting sqref="D22:BG22">
    <cfRule type="expression" dxfId="4" priority="276">
      <formula>$E$5&lt;&gt;"Y"</formula>
    </cfRule>
  </conditionalFormatting>
  <conditionalFormatting sqref="D230:BG230">
    <cfRule type="expression" dxfId="4" priority="1107">
      <formula>$B$172&lt;&gt;"Y"</formula>
    </cfRule>
  </conditionalFormatting>
  <conditionalFormatting sqref="D231:BG231">
    <cfRule type="expression" dxfId="4" priority="1110">
      <formula>$C$172&lt;&gt;"Y"</formula>
    </cfRule>
  </conditionalFormatting>
  <conditionalFormatting sqref="D232:BG232">
    <cfRule type="expression" dxfId="4" priority="1113">
      <formula>$D$172&lt;&gt;"Y"</formula>
    </cfRule>
  </conditionalFormatting>
  <conditionalFormatting sqref="D233:BG233">
    <cfRule type="expression" dxfId="4" priority="1116">
      <formula>$E$172&lt;&gt;"Y"</formula>
    </cfRule>
  </conditionalFormatting>
  <conditionalFormatting sqref="D234:BG234">
    <cfRule type="expression" dxfId="4" priority="1119">
      <formula>$F$172&lt;&gt;"Y"</formula>
    </cfRule>
  </conditionalFormatting>
  <conditionalFormatting sqref="D235:BG235">
    <cfRule type="expression" dxfId="4" priority="1122">
      <formula>$G$172&lt;&gt;"Y"</formula>
    </cfRule>
  </conditionalFormatting>
  <conditionalFormatting sqref="D236:BG236">
    <cfRule type="expression" dxfId="4" priority="1125">
      <formula>$H$172&lt;&gt;"Y"</formula>
    </cfRule>
  </conditionalFormatting>
  <conditionalFormatting sqref="D237:BG237">
    <cfRule type="expression" dxfId="4" priority="1128">
      <formula>$I$172&lt;&gt;"Y"</formula>
    </cfRule>
  </conditionalFormatting>
  <conditionalFormatting sqref="D238:BG238">
    <cfRule type="expression" dxfId="4" priority="1131">
      <formula>$J$172&lt;&gt;"Y"</formula>
    </cfRule>
  </conditionalFormatting>
  <conditionalFormatting sqref="D239:BG239">
    <cfRule type="expression" dxfId="4" priority="1134">
      <formula>$K$172&lt;&gt;"Y"</formula>
    </cfRule>
  </conditionalFormatting>
  <conditionalFormatting sqref="D23:BG23">
    <cfRule type="expression" dxfId="4" priority="279">
      <formula>$F$5&lt;&gt;"Y"</formula>
    </cfRule>
  </conditionalFormatting>
  <conditionalFormatting sqref="D240:BG240">
    <cfRule type="expression" dxfId="4" priority="1137">
      <formula>$L$172&lt;&gt;"Y"</formula>
    </cfRule>
  </conditionalFormatting>
  <conditionalFormatting sqref="D241:BG241">
    <cfRule type="expression" dxfId="4" priority="1140">
      <formula>$M$172&lt;&gt;"Y"</formula>
    </cfRule>
  </conditionalFormatting>
  <conditionalFormatting sqref="D242:BG242">
    <cfRule type="expression" dxfId="4" priority="1143">
      <formula>$B$173&lt;&gt;"Y"</formula>
    </cfRule>
  </conditionalFormatting>
  <conditionalFormatting sqref="D243:BG243">
    <cfRule type="expression" dxfId="4" priority="1146">
      <formula>$C$173&lt;&gt;"Y"</formula>
    </cfRule>
  </conditionalFormatting>
  <conditionalFormatting sqref="D244:BG244">
    <cfRule type="expression" dxfId="4" priority="1149">
      <formula>$D$173&lt;&gt;"Y"</formula>
    </cfRule>
  </conditionalFormatting>
  <conditionalFormatting sqref="D245:BG245">
    <cfRule type="expression" dxfId="4" priority="1152">
      <formula>$E$173&lt;&gt;"Y"</formula>
    </cfRule>
  </conditionalFormatting>
  <conditionalFormatting sqref="D246:BG246">
    <cfRule type="expression" dxfId="4" priority="1155">
      <formula>$F$173&lt;&gt;"Y"</formula>
    </cfRule>
  </conditionalFormatting>
  <conditionalFormatting sqref="D247:BG247">
    <cfRule type="expression" dxfId="4" priority="1158">
      <formula>$G$173&lt;&gt;"Y"</formula>
    </cfRule>
  </conditionalFormatting>
  <conditionalFormatting sqref="D248:BG248">
    <cfRule type="expression" dxfId="4" priority="1161">
      <formula>$H$173&lt;&gt;"Y"</formula>
    </cfRule>
  </conditionalFormatting>
  <conditionalFormatting sqref="D249:BG249">
    <cfRule type="expression" dxfId="4" priority="1164">
      <formula>$I$173&lt;&gt;"Y"</formula>
    </cfRule>
  </conditionalFormatting>
  <conditionalFormatting sqref="D24:BG24">
    <cfRule type="expression" dxfId="4" priority="282">
      <formula>$G$5&lt;&gt;"Y"</formula>
    </cfRule>
  </conditionalFormatting>
  <conditionalFormatting sqref="D250:BG250">
    <cfRule type="expression" dxfId="4" priority="1167">
      <formula>$J$173&lt;&gt;"Y"</formula>
    </cfRule>
  </conditionalFormatting>
  <conditionalFormatting sqref="D251:BG251">
    <cfRule type="expression" dxfId="4" priority="1170">
      <formula>$K$173&lt;&gt;"Y"</formula>
    </cfRule>
  </conditionalFormatting>
  <conditionalFormatting sqref="D252:BG252">
    <cfRule type="expression" dxfId="4" priority="1173">
      <formula>$L$173&lt;&gt;"Y"</formula>
    </cfRule>
  </conditionalFormatting>
  <conditionalFormatting sqref="D253:BG253">
    <cfRule type="expression" dxfId="4" priority="1176">
      <formula>$M$173&lt;&gt;"Y"</formula>
    </cfRule>
  </conditionalFormatting>
  <conditionalFormatting sqref="D254:BG254">
    <cfRule type="expression" dxfId="4" priority="1179">
      <formula>$B$174&lt;&gt;"Y"</formula>
    </cfRule>
  </conditionalFormatting>
  <conditionalFormatting sqref="D255:BG255">
    <cfRule type="expression" dxfId="4" priority="1182">
      <formula>$C$174&lt;&gt;"Y"</formula>
    </cfRule>
  </conditionalFormatting>
  <conditionalFormatting sqref="D256:BG256">
    <cfRule type="expression" dxfId="4" priority="1185">
      <formula>$D$174&lt;&gt;"Y"</formula>
    </cfRule>
  </conditionalFormatting>
  <conditionalFormatting sqref="D257:BG257">
    <cfRule type="expression" dxfId="4" priority="1188">
      <formula>$E$174&lt;&gt;"Y"</formula>
    </cfRule>
  </conditionalFormatting>
  <conditionalFormatting sqref="D258:BG258">
    <cfRule type="expression" dxfId="4" priority="1191">
      <formula>$F$174&lt;&gt;"Y"</formula>
    </cfRule>
  </conditionalFormatting>
  <conditionalFormatting sqref="D259:BG259">
    <cfRule type="expression" dxfId="4" priority="1194">
      <formula>$G$174&lt;&gt;"Y"</formula>
    </cfRule>
  </conditionalFormatting>
  <conditionalFormatting sqref="D25:BG25">
    <cfRule type="expression" dxfId="4" priority="285">
      <formula>$H$5&lt;&gt;"Y"</formula>
    </cfRule>
  </conditionalFormatting>
  <conditionalFormatting sqref="D260:BG260">
    <cfRule type="expression" dxfId="4" priority="1197">
      <formula>$H$174&lt;&gt;"Y"</formula>
    </cfRule>
  </conditionalFormatting>
  <conditionalFormatting sqref="D261:BG261">
    <cfRule type="expression" dxfId="4" priority="1200">
      <formula>$I$174&lt;&gt;"Y"</formula>
    </cfRule>
  </conditionalFormatting>
  <conditionalFormatting sqref="D262:BG262">
    <cfRule type="expression" dxfId="4" priority="1203">
      <formula>$J$174&lt;&gt;"Y"</formula>
    </cfRule>
  </conditionalFormatting>
  <conditionalFormatting sqref="D263:BG263">
    <cfRule type="expression" dxfId="4" priority="1206">
      <formula>$K$174&lt;&gt;"Y"</formula>
    </cfRule>
  </conditionalFormatting>
  <conditionalFormatting sqref="D264:BG264">
    <cfRule type="expression" dxfId="4" priority="1209">
      <formula>$L$174&lt;&gt;"Y"</formula>
    </cfRule>
  </conditionalFormatting>
  <conditionalFormatting sqref="D265:BG265">
    <cfRule type="expression" dxfId="4" priority="1212">
      <formula>$M$174&lt;&gt;"Y"</formula>
    </cfRule>
  </conditionalFormatting>
  <conditionalFormatting sqref="D266:BG266">
    <cfRule type="expression" dxfId="4" priority="1215">
      <formula>$B$175&lt;&gt;"Y"</formula>
    </cfRule>
  </conditionalFormatting>
  <conditionalFormatting sqref="D267:BG267">
    <cfRule type="expression" dxfId="4" priority="1218">
      <formula>$C$175&lt;&gt;"Y"</formula>
    </cfRule>
  </conditionalFormatting>
  <conditionalFormatting sqref="D268:BG268">
    <cfRule type="expression" dxfId="4" priority="1221">
      <formula>$D$175&lt;&gt;"Y"</formula>
    </cfRule>
  </conditionalFormatting>
  <conditionalFormatting sqref="D269:BG269">
    <cfRule type="expression" dxfId="4" priority="1224">
      <formula>$E$175&lt;&gt;"Y"</formula>
    </cfRule>
  </conditionalFormatting>
  <conditionalFormatting sqref="D26:BG26">
    <cfRule type="expression" dxfId="4" priority="288">
      <formula>$I$5&lt;&gt;"Y"</formula>
    </cfRule>
  </conditionalFormatting>
  <conditionalFormatting sqref="D270:BG270">
    <cfRule type="expression" dxfId="4" priority="1227">
      <formula>$F$175&lt;&gt;"Y"</formula>
    </cfRule>
  </conditionalFormatting>
  <conditionalFormatting sqref="D271:BG271">
    <cfRule type="expression" dxfId="4" priority="1230">
      <formula>$G$175&lt;&gt;"Y"</formula>
    </cfRule>
  </conditionalFormatting>
  <conditionalFormatting sqref="D272:BG272">
    <cfRule type="expression" dxfId="4" priority="1233">
      <formula>$H$175&lt;&gt;"Y"</formula>
    </cfRule>
  </conditionalFormatting>
  <conditionalFormatting sqref="D273:BG273">
    <cfRule type="expression" dxfId="4" priority="1236">
      <formula>$I$175&lt;&gt;"Y"</formula>
    </cfRule>
  </conditionalFormatting>
  <conditionalFormatting sqref="D274:BG274">
    <cfRule type="expression" dxfId="4" priority="1239">
      <formula>$J$175&lt;&gt;"Y"</formula>
    </cfRule>
  </conditionalFormatting>
  <conditionalFormatting sqref="D275:BG275">
    <cfRule type="expression" dxfId="4" priority="1242">
      <formula>$K$175&lt;&gt;"Y"</formula>
    </cfRule>
  </conditionalFormatting>
  <conditionalFormatting sqref="D276:BG276">
    <cfRule type="expression" dxfId="4" priority="1245">
      <formula>$L$175&lt;&gt;"Y"</formula>
    </cfRule>
  </conditionalFormatting>
  <conditionalFormatting sqref="D277:BG277">
    <cfRule type="expression" dxfId="4" priority="1248">
      <formula>$M$175&lt;&gt;"Y"</formula>
    </cfRule>
  </conditionalFormatting>
  <conditionalFormatting sqref="D278:BG278">
    <cfRule type="expression" dxfId="4" priority="1251">
      <formula>$B$176&lt;&gt;"Y"</formula>
    </cfRule>
  </conditionalFormatting>
  <conditionalFormatting sqref="D279:BG279">
    <cfRule type="expression" dxfId="4" priority="1254">
      <formula>$C$176&lt;&gt;"Y"</formula>
    </cfRule>
  </conditionalFormatting>
  <conditionalFormatting sqref="D27:BG27">
    <cfRule type="expression" dxfId="4" priority="291">
      <formula>$J$5&lt;&gt;"Y"</formula>
    </cfRule>
  </conditionalFormatting>
  <conditionalFormatting sqref="D280:BG280">
    <cfRule type="expression" dxfId="4" priority="1257">
      <formula>$D$176&lt;&gt;"Y"</formula>
    </cfRule>
  </conditionalFormatting>
  <conditionalFormatting sqref="D281:BG281">
    <cfRule type="expression" dxfId="4" priority="1260">
      <formula>$E$176&lt;&gt;"Y"</formula>
    </cfRule>
  </conditionalFormatting>
  <conditionalFormatting sqref="D282:BG282">
    <cfRule type="expression" dxfId="4" priority="1263">
      <formula>$F$176&lt;&gt;"Y"</formula>
    </cfRule>
  </conditionalFormatting>
  <conditionalFormatting sqref="D283:BG283">
    <cfRule type="expression" dxfId="4" priority="1266">
      <formula>$G$176&lt;&gt;"Y"</formula>
    </cfRule>
  </conditionalFormatting>
  <conditionalFormatting sqref="D284:BG284">
    <cfRule type="expression" dxfId="4" priority="1269">
      <formula>$H$176&lt;&gt;"Y"</formula>
    </cfRule>
  </conditionalFormatting>
  <conditionalFormatting sqref="D285:BG285">
    <cfRule type="expression" dxfId="4" priority="1272">
      <formula>$I$176&lt;&gt;"Y"</formula>
    </cfRule>
  </conditionalFormatting>
  <conditionalFormatting sqref="D286:BG286">
    <cfRule type="expression" dxfId="4" priority="1275">
      <formula>$J$176&lt;&gt;"Y"</formula>
    </cfRule>
  </conditionalFormatting>
  <conditionalFormatting sqref="D287:BG287">
    <cfRule type="expression" dxfId="4" priority="1278">
      <formula>$K$176&lt;&gt;"Y"</formula>
    </cfRule>
  </conditionalFormatting>
  <conditionalFormatting sqref="D288:BG288">
    <cfRule type="expression" dxfId="4" priority="1281">
      <formula>$L$176&lt;&gt;"Y"</formula>
    </cfRule>
  </conditionalFormatting>
  <conditionalFormatting sqref="D289:BG289">
    <cfRule type="expression" dxfId="4" priority="1284">
      <formula>$M$176&lt;&gt;"Y"</formula>
    </cfRule>
  </conditionalFormatting>
  <conditionalFormatting sqref="D28:BG28">
    <cfRule type="expression" dxfId="4" priority="294">
      <formula>$K$5&lt;&gt;"Y"</formula>
    </cfRule>
  </conditionalFormatting>
  <conditionalFormatting sqref="D290:BG290">
    <cfRule type="expression" dxfId="4" priority="1287">
      <formula>$B$177&lt;&gt;"Y"</formula>
    </cfRule>
  </conditionalFormatting>
  <conditionalFormatting sqref="D291:BG291">
    <cfRule type="expression" dxfId="4" priority="1290">
      <formula>$C$177&lt;&gt;"Y"</formula>
    </cfRule>
  </conditionalFormatting>
  <conditionalFormatting sqref="D292:BG292">
    <cfRule type="expression" dxfId="4" priority="1293">
      <formula>$D$177&lt;&gt;"Y"</formula>
    </cfRule>
  </conditionalFormatting>
  <conditionalFormatting sqref="D293:BG293">
    <cfRule type="expression" dxfId="4" priority="1296">
      <formula>$E$177&lt;&gt;"Y"</formula>
    </cfRule>
  </conditionalFormatting>
  <conditionalFormatting sqref="D294:BG294">
    <cfRule type="expression" dxfId="4" priority="1299">
      <formula>$F$177&lt;&gt;"Y"</formula>
    </cfRule>
  </conditionalFormatting>
  <conditionalFormatting sqref="D295:BG295">
    <cfRule type="expression" dxfId="4" priority="1302">
      <formula>$G$177&lt;&gt;"Y"</formula>
    </cfRule>
  </conditionalFormatting>
  <conditionalFormatting sqref="D296:BG296">
    <cfRule type="expression" dxfId="4" priority="1305">
      <formula>$H$177&lt;&gt;"Y"</formula>
    </cfRule>
  </conditionalFormatting>
  <conditionalFormatting sqref="D297:BG297">
    <cfRule type="expression" dxfId="4" priority="1308">
      <formula>$I$177&lt;&gt;"Y"</formula>
    </cfRule>
  </conditionalFormatting>
  <conditionalFormatting sqref="D298:BG298">
    <cfRule type="expression" dxfId="4" priority="1311">
      <formula>$J$177&lt;&gt;"Y"</formula>
    </cfRule>
  </conditionalFormatting>
  <conditionalFormatting sqref="D299:BG299">
    <cfRule type="expression" dxfId="4" priority="1314">
      <formula>$K$177&lt;&gt;"Y"</formula>
    </cfRule>
  </conditionalFormatting>
  <conditionalFormatting sqref="D29:BG29">
    <cfRule type="expression" dxfId="4" priority="297">
      <formula>$L$5&lt;&gt;"Y"</formula>
    </cfRule>
  </conditionalFormatting>
  <conditionalFormatting sqref="D300:BG300">
    <cfRule type="expression" dxfId="4" priority="1317">
      <formula>$L$177&lt;&gt;"Y"</formula>
    </cfRule>
  </conditionalFormatting>
  <conditionalFormatting sqref="D301:BG301">
    <cfRule type="expression" dxfId="4" priority="1320">
      <formula>$M$177&lt;&gt;"Y"</formula>
    </cfRule>
  </conditionalFormatting>
  <conditionalFormatting sqref="D302:BG302">
    <cfRule type="expression" dxfId="4" priority="1323">
      <formula>$B$178&lt;&gt;"Y"</formula>
    </cfRule>
  </conditionalFormatting>
  <conditionalFormatting sqref="D303:BG303">
    <cfRule type="expression" dxfId="4" priority="1326">
      <formula>$C$178&lt;&gt;"Y"</formula>
    </cfRule>
  </conditionalFormatting>
  <conditionalFormatting sqref="D304:BG304">
    <cfRule type="expression" dxfId="4" priority="1329">
      <formula>$D$178&lt;&gt;"Y"</formula>
    </cfRule>
  </conditionalFormatting>
  <conditionalFormatting sqref="D305:BG305">
    <cfRule type="expression" dxfId="4" priority="1332">
      <formula>$E$178&lt;&gt;"Y"</formula>
    </cfRule>
  </conditionalFormatting>
  <conditionalFormatting sqref="D306:BG306">
    <cfRule type="expression" dxfId="4" priority="1335">
      <formula>$F$178&lt;&gt;"Y"</formula>
    </cfRule>
  </conditionalFormatting>
  <conditionalFormatting sqref="D307:BG307">
    <cfRule type="expression" dxfId="4" priority="1338">
      <formula>$G$178&lt;&gt;"Y"</formula>
    </cfRule>
  </conditionalFormatting>
  <conditionalFormatting sqref="D308:BG308">
    <cfRule type="expression" dxfId="4" priority="1341">
      <formula>$H$178&lt;&gt;"Y"</formula>
    </cfRule>
  </conditionalFormatting>
  <conditionalFormatting sqref="D309:BG309">
    <cfRule type="expression" dxfId="4" priority="1344">
      <formula>$I$178&lt;&gt;"Y"</formula>
    </cfRule>
  </conditionalFormatting>
  <conditionalFormatting sqref="D30:BG30">
    <cfRule type="expression" dxfId="4" priority="300">
      <formula>$M$5&lt;&gt;"Y"</formula>
    </cfRule>
  </conditionalFormatting>
  <conditionalFormatting sqref="D310:BG310">
    <cfRule type="expression" dxfId="4" priority="1347">
      <formula>$J$178&lt;&gt;"Y"</formula>
    </cfRule>
  </conditionalFormatting>
  <conditionalFormatting sqref="D311:BG311">
    <cfRule type="expression" dxfId="4" priority="1350">
      <formula>$K$178&lt;&gt;"Y"</formula>
    </cfRule>
  </conditionalFormatting>
  <conditionalFormatting sqref="D312:BG312">
    <cfRule type="expression" dxfId="4" priority="1353">
      <formula>$L$178&lt;&gt;"Y"</formula>
    </cfRule>
  </conditionalFormatting>
  <conditionalFormatting sqref="D313:BG313">
    <cfRule type="expression" dxfId="4" priority="1356">
      <formula>$M$178&lt;&gt;"Y"</formula>
    </cfRule>
  </conditionalFormatting>
  <conditionalFormatting sqref="D314:BG314">
    <cfRule type="expression" dxfId="4" priority="1359">
      <formula>$B$179&lt;&gt;"Y"</formula>
    </cfRule>
  </conditionalFormatting>
  <conditionalFormatting sqref="D315:BG315">
    <cfRule type="expression" dxfId="4" priority="1362">
      <formula>$C$179&lt;&gt;"Y"</formula>
    </cfRule>
  </conditionalFormatting>
  <conditionalFormatting sqref="D316:BG316">
    <cfRule type="expression" dxfId="4" priority="1365">
      <formula>$D$179&lt;&gt;"Y"</formula>
    </cfRule>
  </conditionalFormatting>
  <conditionalFormatting sqref="D317:BG317">
    <cfRule type="expression" dxfId="4" priority="1368">
      <formula>$E$179&lt;&gt;"Y"</formula>
    </cfRule>
  </conditionalFormatting>
  <conditionalFormatting sqref="D318:BG318">
    <cfRule type="expression" dxfId="4" priority="1371">
      <formula>$F$179&lt;&gt;"Y"</formula>
    </cfRule>
  </conditionalFormatting>
  <conditionalFormatting sqref="D319:BG319">
    <cfRule type="expression" dxfId="4" priority="1374">
      <formula>$G$179&lt;&gt;"Y"</formula>
    </cfRule>
  </conditionalFormatting>
  <conditionalFormatting sqref="D31:BG31">
    <cfRule type="expression" dxfId="4" priority="303">
      <formula>$B$6&lt;&gt;"Y"</formula>
    </cfRule>
  </conditionalFormatting>
  <conditionalFormatting sqref="D320:BG320">
    <cfRule type="expression" dxfId="4" priority="1377">
      <formula>$H$179&lt;&gt;"Y"</formula>
    </cfRule>
  </conditionalFormatting>
  <conditionalFormatting sqref="D321:BG321">
    <cfRule type="expression" dxfId="4" priority="1380">
      <formula>$I$179&lt;&gt;"Y"</formula>
    </cfRule>
  </conditionalFormatting>
  <conditionalFormatting sqref="D322:BG322">
    <cfRule type="expression" dxfId="4" priority="1383">
      <formula>$J$179&lt;&gt;"Y"</formula>
    </cfRule>
  </conditionalFormatting>
  <conditionalFormatting sqref="D323:BG323">
    <cfRule type="expression" dxfId="4" priority="1386">
      <formula>$K$179&lt;&gt;"Y"</formula>
    </cfRule>
  </conditionalFormatting>
  <conditionalFormatting sqref="D324:BG324">
    <cfRule type="expression" dxfId="4" priority="1389">
      <formula>$L$179&lt;&gt;"Y"</formula>
    </cfRule>
  </conditionalFormatting>
  <conditionalFormatting sqref="D325:BG325">
    <cfRule type="expression" dxfId="4" priority="1392">
      <formula>$M$179&lt;&gt;"Y"</formula>
    </cfRule>
  </conditionalFormatting>
  <conditionalFormatting sqref="D32:BG32">
    <cfRule type="expression" dxfId="4" priority="306">
      <formula>$C$6&lt;&gt;"Y"</formula>
    </cfRule>
  </conditionalFormatting>
  <conditionalFormatting sqref="D331">
    <cfRule type="cellIs" dxfId="2" priority="1395" operator="equal">
      <formula>"Y"</formula>
    </cfRule>
    <cfRule type="cellIs" dxfId="3" priority="1396" operator="equal">
      <formula>"N"</formula>
    </cfRule>
  </conditionalFormatting>
  <conditionalFormatting sqref="D332">
    <cfRule type="cellIs" dxfId="2" priority="1417" operator="equal">
      <formula>"Y"</formula>
    </cfRule>
    <cfRule type="cellIs" dxfId="3" priority="1418" operator="equal">
      <formula>"N"</formula>
    </cfRule>
  </conditionalFormatting>
  <conditionalFormatting sqref="D334">
    <cfRule type="cellIs" dxfId="2" priority="1463" operator="equal">
      <formula>"Y"</formula>
    </cfRule>
    <cfRule type="cellIs" dxfId="3" priority="1464" operator="equal">
      <formula>"N"</formula>
    </cfRule>
  </conditionalFormatting>
  <conditionalFormatting sqref="D335">
    <cfRule type="cellIs" dxfId="2" priority="1485" operator="equal">
      <formula>"Y"</formula>
    </cfRule>
    <cfRule type="cellIs" dxfId="3" priority="1486" operator="equal">
      <formula>"N"</formula>
    </cfRule>
  </conditionalFormatting>
  <conditionalFormatting sqref="D336">
    <cfRule type="cellIs" dxfId="2" priority="1507" operator="equal">
      <formula>"Y"</formula>
    </cfRule>
    <cfRule type="cellIs" dxfId="3" priority="1508" operator="equal">
      <formula>"N"</formula>
    </cfRule>
  </conditionalFormatting>
  <conditionalFormatting sqref="D337">
    <cfRule type="cellIs" dxfId="2" priority="1529" operator="equal">
      <formula>"Y"</formula>
    </cfRule>
    <cfRule type="cellIs" dxfId="3" priority="1530" operator="equal">
      <formula>"N"</formula>
    </cfRule>
  </conditionalFormatting>
  <conditionalFormatting sqref="D338">
    <cfRule type="cellIs" dxfId="2" priority="1551" operator="equal">
      <formula>"Y"</formula>
    </cfRule>
    <cfRule type="cellIs" dxfId="3" priority="1552" operator="equal">
      <formula>"N"</formula>
    </cfRule>
  </conditionalFormatting>
  <conditionalFormatting sqref="D339">
    <cfRule type="cellIs" dxfId="2" priority="1573" operator="equal">
      <formula>"Y"</formula>
    </cfRule>
    <cfRule type="cellIs" dxfId="3" priority="1574" operator="equal">
      <formula>"N"</formula>
    </cfRule>
  </conditionalFormatting>
  <conditionalFormatting sqref="D33:BG33">
    <cfRule type="expression" dxfId="4" priority="309">
      <formula>$D$6&lt;&gt;"Y"</formula>
    </cfRule>
  </conditionalFormatting>
  <conditionalFormatting sqref="D340">
    <cfRule type="cellIs" dxfId="2" priority="1595" operator="equal">
      <formula>"Y"</formula>
    </cfRule>
    <cfRule type="cellIs" dxfId="3" priority="1596" operator="equal">
      <formula>"N"</formula>
    </cfRule>
  </conditionalFormatting>
  <conditionalFormatting sqref="D341">
    <cfRule type="cellIs" dxfId="2" priority="1617" operator="equal">
      <formula>"Y"</formula>
    </cfRule>
    <cfRule type="cellIs" dxfId="3" priority="1618" operator="equal">
      <formula>"N"</formula>
    </cfRule>
  </conditionalFormatting>
  <conditionalFormatting sqref="D342">
    <cfRule type="cellIs" dxfId="2" priority="1639" operator="equal">
      <formula>"Y"</formula>
    </cfRule>
    <cfRule type="cellIs" dxfId="3" priority="1640" operator="equal">
      <formula>"N"</formula>
    </cfRule>
  </conditionalFormatting>
  <conditionalFormatting sqref="D345:BG345">
    <cfRule type="expression" dxfId="4" priority="1659">
      <formula>$B$331&lt;&gt;"Y"</formula>
    </cfRule>
  </conditionalFormatting>
  <conditionalFormatting sqref="D346:BG346">
    <cfRule type="expression" dxfId="4" priority="1662">
      <formula>$C$331&lt;&gt;"Y"</formula>
    </cfRule>
  </conditionalFormatting>
  <conditionalFormatting sqref="D347:BG347">
    <cfRule type="expression" dxfId="4" priority="1665">
      <formula>$D$331&lt;&gt;"Y"</formula>
    </cfRule>
  </conditionalFormatting>
  <conditionalFormatting sqref="D348:BG348">
    <cfRule type="expression" dxfId="4" priority="1668">
      <formula>$E$331&lt;&gt;"Y"</formula>
    </cfRule>
  </conditionalFormatting>
  <conditionalFormatting sqref="D349:BG349">
    <cfRule type="expression" dxfId="4" priority="1671">
      <formula>$F$331&lt;&gt;"Y"</formula>
    </cfRule>
  </conditionalFormatting>
  <conditionalFormatting sqref="D34:BG34">
    <cfRule type="expression" dxfId="4" priority="312">
      <formula>$E$6&lt;&gt;"Y"</formula>
    </cfRule>
  </conditionalFormatting>
  <conditionalFormatting sqref="D350:BG350">
    <cfRule type="expression" dxfId="4" priority="1674">
      <formula>$G$331&lt;&gt;"Y"</formula>
    </cfRule>
  </conditionalFormatting>
  <conditionalFormatting sqref="D351:BG351">
    <cfRule type="expression" dxfId="4" priority="1677">
      <formula>$H$331&lt;&gt;"Y"</formula>
    </cfRule>
  </conditionalFormatting>
  <conditionalFormatting sqref="D352:BG352">
    <cfRule type="expression" dxfId="4" priority="1680">
      <formula>$I$331&lt;&gt;"Y"</formula>
    </cfRule>
  </conditionalFormatting>
  <conditionalFormatting sqref="D353:BG353">
    <cfRule type="expression" dxfId="4" priority="1683">
      <formula>$J$331&lt;&gt;"Y"</formula>
    </cfRule>
  </conditionalFormatting>
  <conditionalFormatting sqref="D354:BG354">
    <cfRule type="expression" dxfId="4" priority="1686">
      <formula>$K$331&lt;&gt;"Y"</formula>
    </cfRule>
  </conditionalFormatting>
  <conditionalFormatting sqref="D355:BG355">
    <cfRule type="expression" dxfId="4" priority="1689">
      <formula>$L$331&lt;&gt;"Y"</formula>
    </cfRule>
  </conditionalFormatting>
  <conditionalFormatting sqref="D356:BG356">
    <cfRule type="expression" dxfId="4" priority="1692">
      <formula>$M$331&lt;&gt;"Y"</formula>
    </cfRule>
  </conditionalFormatting>
  <conditionalFormatting sqref="D357:BG357">
    <cfRule type="expression" dxfId="4" priority="1695">
      <formula>$B$332&lt;&gt;"Y"</formula>
    </cfRule>
  </conditionalFormatting>
  <conditionalFormatting sqref="D358:BG358">
    <cfRule type="expression" dxfId="4" priority="1698">
      <formula>$C$332&lt;&gt;"Y"</formula>
    </cfRule>
  </conditionalFormatting>
  <conditionalFormatting sqref="D359:BG359">
    <cfRule type="expression" dxfId="4" priority="1701">
      <formula>$D$332&lt;&gt;"Y"</formula>
    </cfRule>
  </conditionalFormatting>
  <conditionalFormatting sqref="D35:BG35">
    <cfRule type="expression" dxfId="4" priority="315">
      <formula>$F$6&lt;&gt;"Y"</formula>
    </cfRule>
  </conditionalFormatting>
  <conditionalFormatting sqref="D360:BG360">
    <cfRule type="expression" dxfId="4" priority="1704">
      <formula>$E$332&lt;&gt;"Y"</formula>
    </cfRule>
  </conditionalFormatting>
  <conditionalFormatting sqref="D361:BG361">
    <cfRule type="expression" dxfId="4" priority="1707">
      <formula>$F$332&lt;&gt;"Y"</formula>
    </cfRule>
  </conditionalFormatting>
  <conditionalFormatting sqref="D362:BG362">
    <cfRule type="expression" dxfId="4" priority="1710">
      <formula>$G$332&lt;&gt;"Y"</formula>
    </cfRule>
  </conditionalFormatting>
  <conditionalFormatting sqref="D363:BG363">
    <cfRule type="expression" dxfId="4" priority="1713">
      <formula>$H$332&lt;&gt;"Y"</formula>
    </cfRule>
  </conditionalFormatting>
  <conditionalFormatting sqref="D364:BG364">
    <cfRule type="expression" dxfId="4" priority="1716">
      <formula>$I$332&lt;&gt;"Y"</formula>
    </cfRule>
  </conditionalFormatting>
  <conditionalFormatting sqref="D365:BG365">
    <cfRule type="expression" dxfId="4" priority="1719">
      <formula>$J$332&lt;&gt;"Y"</formula>
    </cfRule>
  </conditionalFormatting>
  <conditionalFormatting sqref="D366:BG366">
    <cfRule type="expression" dxfId="4" priority="1722">
      <formula>$K$332&lt;&gt;"Y"</formula>
    </cfRule>
  </conditionalFormatting>
  <conditionalFormatting sqref="D367:BG367">
    <cfRule type="expression" dxfId="4" priority="1725">
      <formula>$L$332&lt;&gt;"Y"</formula>
    </cfRule>
  </conditionalFormatting>
  <conditionalFormatting sqref="D368:BG368">
    <cfRule type="expression" dxfId="4" priority="1728">
      <formula>$M$332&lt;&gt;"Y"</formula>
    </cfRule>
  </conditionalFormatting>
  <conditionalFormatting sqref="D369:BG369">
    <cfRule type="expression" dxfId="4" priority="1731">
      <formula>$B$333&lt;&gt;"Y"</formula>
    </cfRule>
  </conditionalFormatting>
  <conditionalFormatting sqref="D36:BG36">
    <cfRule type="expression" dxfId="4" priority="318">
      <formula>$G$6&lt;&gt;"Y"</formula>
    </cfRule>
  </conditionalFormatting>
  <conditionalFormatting sqref="D370:BG370">
    <cfRule type="expression" dxfId="4" priority="1734">
      <formula>$C$333&lt;&gt;"Y"</formula>
    </cfRule>
  </conditionalFormatting>
  <conditionalFormatting sqref="D371:BG371">
    <cfRule type="expression" dxfId="4" priority="1737">
      <formula>$D$333&lt;&gt;"Y"</formula>
    </cfRule>
  </conditionalFormatting>
  <conditionalFormatting sqref="D372:BG372">
    <cfRule type="expression" dxfId="4" priority="1740">
      <formula>$E$333&lt;&gt;"Y"</formula>
    </cfRule>
  </conditionalFormatting>
  <conditionalFormatting sqref="D373:BG373">
    <cfRule type="expression" dxfId="4" priority="1743">
      <formula>$F$333&lt;&gt;"Y"</formula>
    </cfRule>
  </conditionalFormatting>
  <conditionalFormatting sqref="D374:BG374">
    <cfRule type="expression" dxfId="4" priority="1746">
      <formula>$G$333&lt;&gt;"Y"</formula>
    </cfRule>
  </conditionalFormatting>
  <conditionalFormatting sqref="D375:BG375">
    <cfRule type="expression" dxfId="4" priority="1749">
      <formula>$H$333&lt;&gt;"Y"</formula>
    </cfRule>
  </conditionalFormatting>
  <conditionalFormatting sqref="D376:BG376">
    <cfRule type="expression" dxfId="4" priority="1752">
      <formula>$I$333&lt;&gt;"Y"</formula>
    </cfRule>
  </conditionalFormatting>
  <conditionalFormatting sqref="D377:BG377">
    <cfRule type="expression" dxfId="4" priority="1755">
      <formula>$J$333&lt;&gt;"Y"</formula>
    </cfRule>
  </conditionalFormatting>
  <conditionalFormatting sqref="D378:BG378">
    <cfRule type="expression" dxfId="4" priority="1758">
      <formula>$K$333&lt;&gt;"Y"</formula>
    </cfRule>
  </conditionalFormatting>
  <conditionalFormatting sqref="D379:BG379">
    <cfRule type="expression" dxfId="4" priority="1761">
      <formula>$L$333&lt;&gt;"Y"</formula>
    </cfRule>
  </conditionalFormatting>
  <conditionalFormatting sqref="D37:BG37">
    <cfRule type="expression" dxfId="4" priority="321">
      <formula>$H$6&lt;&gt;"Y"</formula>
    </cfRule>
  </conditionalFormatting>
  <conditionalFormatting sqref="D380:BG380">
    <cfRule type="expression" dxfId="4" priority="1764">
      <formula>$M$333&lt;&gt;"Y"</formula>
    </cfRule>
  </conditionalFormatting>
  <conditionalFormatting sqref="D381:BG381">
    <cfRule type="expression" dxfId="4" priority="1767">
      <formula>$B$334&lt;&gt;"Y"</formula>
    </cfRule>
  </conditionalFormatting>
  <conditionalFormatting sqref="D382:BG382">
    <cfRule type="expression" dxfId="4" priority="1770">
      <formula>$C$334&lt;&gt;"Y"</formula>
    </cfRule>
  </conditionalFormatting>
  <conditionalFormatting sqref="D383:BG383">
    <cfRule type="expression" dxfId="4" priority="1773">
      <formula>$D$334&lt;&gt;"Y"</formula>
    </cfRule>
  </conditionalFormatting>
  <conditionalFormatting sqref="D384:BG384">
    <cfRule type="expression" dxfId="4" priority="1776">
      <formula>$E$334&lt;&gt;"Y"</formula>
    </cfRule>
  </conditionalFormatting>
  <conditionalFormatting sqref="D385:BG385">
    <cfRule type="expression" dxfId="4" priority="1779">
      <formula>$F$334&lt;&gt;"Y"</formula>
    </cfRule>
  </conditionalFormatting>
  <conditionalFormatting sqref="D386:BG386">
    <cfRule type="expression" dxfId="4" priority="1782">
      <formula>$G$334&lt;&gt;"Y"</formula>
    </cfRule>
  </conditionalFormatting>
  <conditionalFormatting sqref="D387:BG387">
    <cfRule type="expression" dxfId="4" priority="1785">
      <formula>$H$334&lt;&gt;"Y"</formula>
    </cfRule>
  </conditionalFormatting>
  <conditionalFormatting sqref="D388:BG388">
    <cfRule type="expression" dxfId="4" priority="1788">
      <formula>$I$334&lt;&gt;"Y"</formula>
    </cfRule>
  </conditionalFormatting>
  <conditionalFormatting sqref="D389:BG389">
    <cfRule type="expression" dxfId="4" priority="1791">
      <formula>$J$334&lt;&gt;"Y"</formula>
    </cfRule>
  </conditionalFormatting>
  <conditionalFormatting sqref="D38:BG38">
    <cfRule type="expression" dxfId="4" priority="324">
      <formula>$I$6&lt;&gt;"Y"</formula>
    </cfRule>
  </conditionalFormatting>
  <conditionalFormatting sqref="D390:BG390">
    <cfRule type="expression" dxfId="4" priority="1794">
      <formula>$K$334&lt;&gt;"Y"</formula>
    </cfRule>
  </conditionalFormatting>
  <conditionalFormatting sqref="D391:BG391">
    <cfRule type="expression" dxfId="4" priority="1797">
      <formula>$L$334&lt;&gt;"Y"</formula>
    </cfRule>
  </conditionalFormatting>
  <conditionalFormatting sqref="D392:BG392">
    <cfRule type="expression" dxfId="4" priority="1800">
      <formula>$M$334&lt;&gt;"Y"</formula>
    </cfRule>
  </conditionalFormatting>
  <conditionalFormatting sqref="D393:BG393">
    <cfRule type="expression" dxfId="4" priority="1803">
      <formula>$B$335&lt;&gt;"Y"</formula>
    </cfRule>
  </conditionalFormatting>
  <conditionalFormatting sqref="D394:BG394">
    <cfRule type="expression" dxfId="4" priority="1806">
      <formula>$C$335&lt;&gt;"Y"</formula>
    </cfRule>
  </conditionalFormatting>
  <conditionalFormatting sqref="D395:BG395">
    <cfRule type="expression" dxfId="4" priority="1809">
      <formula>$D$335&lt;&gt;"Y"</formula>
    </cfRule>
  </conditionalFormatting>
  <conditionalFormatting sqref="D396:BG396">
    <cfRule type="expression" dxfId="4" priority="1812">
      <formula>$E$335&lt;&gt;"Y"</formula>
    </cfRule>
  </conditionalFormatting>
  <conditionalFormatting sqref="D397:BG397">
    <cfRule type="expression" dxfId="4" priority="1815">
      <formula>$F$335&lt;&gt;"Y"</formula>
    </cfRule>
  </conditionalFormatting>
  <conditionalFormatting sqref="D398:BG398">
    <cfRule type="expression" dxfId="4" priority="1818">
      <formula>$G$335&lt;&gt;"Y"</formula>
    </cfRule>
  </conditionalFormatting>
  <conditionalFormatting sqref="D399:BG399">
    <cfRule type="expression" dxfId="4" priority="1821">
      <formula>$H$335&lt;&gt;"Y"</formula>
    </cfRule>
  </conditionalFormatting>
  <conditionalFormatting sqref="D39:BG39">
    <cfRule type="expression" dxfId="4" priority="327">
      <formula>$J$6&lt;&gt;"Y"</formula>
    </cfRule>
  </conditionalFormatting>
  <conditionalFormatting sqref="D400:BG400">
    <cfRule type="expression" dxfId="4" priority="1824">
      <formula>$I$335&lt;&gt;"Y"</formula>
    </cfRule>
  </conditionalFormatting>
  <conditionalFormatting sqref="D401:BG401">
    <cfRule type="expression" dxfId="4" priority="1827">
      <formula>$J$335&lt;&gt;"Y"</formula>
    </cfRule>
  </conditionalFormatting>
  <conditionalFormatting sqref="D402:BG402">
    <cfRule type="expression" dxfId="4" priority="1830">
      <formula>$K$335&lt;&gt;"Y"</formula>
    </cfRule>
  </conditionalFormatting>
  <conditionalFormatting sqref="D403:BG403">
    <cfRule type="expression" dxfId="4" priority="1833">
      <formula>$L$335&lt;&gt;"Y"</formula>
    </cfRule>
  </conditionalFormatting>
  <conditionalFormatting sqref="D404:BG404">
    <cfRule type="expression" dxfId="4" priority="1836">
      <formula>$M$335&lt;&gt;"Y"</formula>
    </cfRule>
  </conditionalFormatting>
  <conditionalFormatting sqref="D405:BG405">
    <cfRule type="expression" dxfId="4" priority="1839">
      <formula>$B$336&lt;&gt;"Y"</formula>
    </cfRule>
  </conditionalFormatting>
  <conditionalFormatting sqref="D406:BG406">
    <cfRule type="expression" dxfId="4" priority="1842">
      <formula>$C$336&lt;&gt;"Y"</formula>
    </cfRule>
  </conditionalFormatting>
  <conditionalFormatting sqref="D407:BG407">
    <cfRule type="expression" dxfId="4" priority="1845">
      <formula>$D$336&lt;&gt;"Y"</formula>
    </cfRule>
  </conditionalFormatting>
  <conditionalFormatting sqref="D408:BG408">
    <cfRule type="expression" dxfId="4" priority="1848">
      <formula>$E$336&lt;&gt;"Y"</formula>
    </cfRule>
  </conditionalFormatting>
  <conditionalFormatting sqref="D409:BG409">
    <cfRule type="expression" dxfId="4" priority="1851">
      <formula>$F$336&lt;&gt;"Y"</formula>
    </cfRule>
  </conditionalFormatting>
  <conditionalFormatting sqref="D40:BG40">
    <cfRule type="expression" dxfId="4" priority="330">
      <formula>$K$6&lt;&gt;"Y"</formula>
    </cfRule>
  </conditionalFormatting>
  <conditionalFormatting sqref="D410:BG410">
    <cfRule type="expression" dxfId="4" priority="1854">
      <formula>$G$336&lt;&gt;"Y"</formula>
    </cfRule>
  </conditionalFormatting>
  <conditionalFormatting sqref="D411:BG411">
    <cfRule type="expression" dxfId="4" priority="1857">
      <formula>$H$336&lt;&gt;"Y"</formula>
    </cfRule>
  </conditionalFormatting>
  <conditionalFormatting sqref="D412:BG412">
    <cfRule type="expression" dxfId="4" priority="1860">
      <formula>$I$336&lt;&gt;"Y"</formula>
    </cfRule>
  </conditionalFormatting>
  <conditionalFormatting sqref="D413:BG413">
    <cfRule type="expression" dxfId="4" priority="1863">
      <formula>$J$336&lt;&gt;"Y"</formula>
    </cfRule>
  </conditionalFormatting>
  <conditionalFormatting sqref="D414:BG414">
    <cfRule type="expression" dxfId="4" priority="1866">
      <formula>$K$336&lt;&gt;"Y"</formula>
    </cfRule>
  </conditionalFormatting>
  <conditionalFormatting sqref="D415:BG415">
    <cfRule type="expression" dxfId="4" priority="1869">
      <formula>$L$336&lt;&gt;"Y"</formula>
    </cfRule>
  </conditionalFormatting>
  <conditionalFormatting sqref="D416:BG416">
    <cfRule type="expression" dxfId="4" priority="1872">
      <formula>$M$336&lt;&gt;"Y"</formula>
    </cfRule>
  </conditionalFormatting>
  <conditionalFormatting sqref="D417:BG417">
    <cfRule type="expression" dxfId="4" priority="1875">
      <formula>$B$337&lt;&gt;"Y"</formula>
    </cfRule>
  </conditionalFormatting>
  <conditionalFormatting sqref="D418:BG418">
    <cfRule type="expression" dxfId="4" priority="1878">
      <formula>$C$337&lt;&gt;"Y"</formula>
    </cfRule>
  </conditionalFormatting>
  <conditionalFormatting sqref="D419:BG419">
    <cfRule type="expression" dxfId="4" priority="1881">
      <formula>$D$337&lt;&gt;"Y"</formula>
    </cfRule>
  </conditionalFormatting>
  <conditionalFormatting sqref="D41:BG41">
    <cfRule type="expression" dxfId="4" priority="333">
      <formula>$L$6&lt;&gt;"Y"</formula>
    </cfRule>
  </conditionalFormatting>
  <conditionalFormatting sqref="D420:BG420">
    <cfRule type="expression" dxfId="4" priority="1884">
      <formula>$E$337&lt;&gt;"Y"</formula>
    </cfRule>
  </conditionalFormatting>
  <conditionalFormatting sqref="D421:BG421">
    <cfRule type="expression" dxfId="4" priority="1887">
      <formula>$F$337&lt;&gt;"Y"</formula>
    </cfRule>
  </conditionalFormatting>
  <conditionalFormatting sqref="D422:BG422">
    <cfRule type="expression" dxfId="4" priority="1890">
      <formula>$G$337&lt;&gt;"Y"</formula>
    </cfRule>
  </conditionalFormatting>
  <conditionalFormatting sqref="D423:BG423">
    <cfRule type="expression" dxfId="4" priority="1893">
      <formula>$H$337&lt;&gt;"Y"</formula>
    </cfRule>
  </conditionalFormatting>
  <conditionalFormatting sqref="D424:BG424">
    <cfRule type="expression" dxfId="4" priority="1896">
      <formula>$I$337&lt;&gt;"Y"</formula>
    </cfRule>
  </conditionalFormatting>
  <conditionalFormatting sqref="D425:BG425">
    <cfRule type="expression" dxfId="4" priority="1899">
      <formula>$J$337&lt;&gt;"Y"</formula>
    </cfRule>
  </conditionalFormatting>
  <conditionalFormatting sqref="D426:BG426">
    <cfRule type="expression" dxfId="4" priority="1902">
      <formula>$K$337&lt;&gt;"Y"</formula>
    </cfRule>
  </conditionalFormatting>
  <conditionalFormatting sqref="D427:BG427">
    <cfRule type="expression" dxfId="4" priority="1905">
      <formula>$L$337&lt;&gt;"Y"</formula>
    </cfRule>
  </conditionalFormatting>
  <conditionalFormatting sqref="D428:BG428">
    <cfRule type="expression" dxfId="4" priority="1908">
      <formula>$M$337&lt;&gt;"Y"</formula>
    </cfRule>
  </conditionalFormatting>
  <conditionalFormatting sqref="D429:BG429">
    <cfRule type="expression" dxfId="4" priority="1911">
      <formula>$B$338&lt;&gt;"Y"</formula>
    </cfRule>
  </conditionalFormatting>
  <conditionalFormatting sqref="D42:BG42">
    <cfRule type="expression" dxfId="4" priority="336">
      <formula>$M$6&lt;&gt;"Y"</formula>
    </cfRule>
  </conditionalFormatting>
  <conditionalFormatting sqref="D430:BG430">
    <cfRule type="expression" dxfId="4" priority="1914">
      <formula>$C$338&lt;&gt;"Y"</formula>
    </cfRule>
  </conditionalFormatting>
  <conditionalFormatting sqref="D431:BG431">
    <cfRule type="expression" dxfId="4" priority="1917">
      <formula>$D$338&lt;&gt;"Y"</formula>
    </cfRule>
  </conditionalFormatting>
  <conditionalFormatting sqref="D432:BG432">
    <cfRule type="expression" dxfId="4" priority="1920">
      <formula>$E$338&lt;&gt;"Y"</formula>
    </cfRule>
  </conditionalFormatting>
  <conditionalFormatting sqref="D433:BG433">
    <cfRule type="expression" dxfId="4" priority="1923">
      <formula>$F$338&lt;&gt;"Y"</formula>
    </cfRule>
  </conditionalFormatting>
  <conditionalFormatting sqref="D434:BG434">
    <cfRule type="expression" dxfId="4" priority="1926">
      <formula>$G$338&lt;&gt;"Y"</formula>
    </cfRule>
  </conditionalFormatting>
  <conditionalFormatting sqref="D435:BG435">
    <cfRule type="expression" dxfId="4" priority="1929">
      <formula>$H$338&lt;&gt;"Y"</formula>
    </cfRule>
  </conditionalFormatting>
  <conditionalFormatting sqref="D436:BG436">
    <cfRule type="expression" dxfId="4" priority="1932">
      <formula>$I$338&lt;&gt;"Y"</formula>
    </cfRule>
  </conditionalFormatting>
  <conditionalFormatting sqref="D437:BG437">
    <cfRule type="expression" dxfId="4" priority="1935">
      <formula>$J$338&lt;&gt;"Y"</formula>
    </cfRule>
  </conditionalFormatting>
  <conditionalFormatting sqref="D438:BG438">
    <cfRule type="expression" dxfId="4" priority="1938">
      <formula>$K$338&lt;&gt;"Y"</formula>
    </cfRule>
  </conditionalFormatting>
  <conditionalFormatting sqref="D439:BG439">
    <cfRule type="expression" dxfId="4" priority="1941">
      <formula>$L$338&lt;&gt;"Y"</formula>
    </cfRule>
  </conditionalFormatting>
  <conditionalFormatting sqref="D43:BG43">
    <cfRule type="expression" dxfId="4" priority="339">
      <formula>$B$7&lt;&gt;"Y"</formula>
    </cfRule>
  </conditionalFormatting>
  <conditionalFormatting sqref="D440:BG440">
    <cfRule type="expression" dxfId="4" priority="1944">
      <formula>$M$338&lt;&gt;"Y"</formula>
    </cfRule>
  </conditionalFormatting>
  <conditionalFormatting sqref="D441:BG441">
    <cfRule type="expression" dxfId="4" priority="1947">
      <formula>$B$339&lt;&gt;"Y"</formula>
    </cfRule>
  </conditionalFormatting>
  <conditionalFormatting sqref="D442:BG442">
    <cfRule type="expression" dxfId="4" priority="1950">
      <formula>$C$339&lt;&gt;"Y"</formula>
    </cfRule>
  </conditionalFormatting>
  <conditionalFormatting sqref="D443:BG443">
    <cfRule type="expression" dxfId="4" priority="1953">
      <formula>$D$339&lt;&gt;"Y"</formula>
    </cfRule>
  </conditionalFormatting>
  <conditionalFormatting sqref="D444:BG444">
    <cfRule type="expression" dxfId="4" priority="1956">
      <formula>$E$339&lt;&gt;"Y"</formula>
    </cfRule>
  </conditionalFormatting>
  <conditionalFormatting sqref="D445:BG445">
    <cfRule type="expression" dxfId="4" priority="1959">
      <formula>$F$339&lt;&gt;"Y"</formula>
    </cfRule>
  </conditionalFormatting>
  <conditionalFormatting sqref="D446:BG446">
    <cfRule type="expression" dxfId="4" priority="1962">
      <formula>$G$339&lt;&gt;"Y"</formula>
    </cfRule>
  </conditionalFormatting>
  <conditionalFormatting sqref="D447:BG447">
    <cfRule type="expression" dxfId="4" priority="1965">
      <formula>$H$339&lt;&gt;"Y"</formula>
    </cfRule>
  </conditionalFormatting>
  <conditionalFormatting sqref="D448:BG448">
    <cfRule type="expression" dxfId="4" priority="1968">
      <formula>$I$339&lt;&gt;"Y"</formula>
    </cfRule>
  </conditionalFormatting>
  <conditionalFormatting sqref="D449:BG449">
    <cfRule type="expression" dxfId="4" priority="1971">
      <formula>$J$339&lt;&gt;"Y"</formula>
    </cfRule>
  </conditionalFormatting>
  <conditionalFormatting sqref="D44:BG44">
    <cfRule type="expression" dxfId="4" priority="342">
      <formula>$C$7&lt;&gt;"Y"</formula>
    </cfRule>
  </conditionalFormatting>
  <conditionalFormatting sqref="D450:BG450">
    <cfRule type="expression" dxfId="4" priority="1974">
      <formula>$K$339&lt;&gt;"Y"</formula>
    </cfRule>
  </conditionalFormatting>
  <conditionalFormatting sqref="D451:BG451">
    <cfRule type="expression" dxfId="4" priority="1977">
      <formula>$L$339&lt;&gt;"Y"</formula>
    </cfRule>
  </conditionalFormatting>
  <conditionalFormatting sqref="D452:BG452">
    <cfRule type="expression" dxfId="4" priority="1980">
      <formula>$M$339&lt;&gt;"Y"</formula>
    </cfRule>
  </conditionalFormatting>
  <conditionalFormatting sqref="D453:BG453">
    <cfRule type="expression" dxfId="4" priority="1983">
      <formula>$B$340&lt;&gt;"Y"</formula>
    </cfRule>
  </conditionalFormatting>
  <conditionalFormatting sqref="D454:BG454">
    <cfRule type="expression" dxfId="4" priority="1986">
      <formula>$C$340&lt;&gt;"Y"</formula>
    </cfRule>
  </conditionalFormatting>
  <conditionalFormatting sqref="D455:BG455">
    <cfRule type="expression" dxfId="4" priority="1989">
      <formula>$D$340&lt;&gt;"Y"</formula>
    </cfRule>
  </conditionalFormatting>
  <conditionalFormatting sqref="D456:BG456">
    <cfRule type="expression" dxfId="4" priority="1992">
      <formula>$E$340&lt;&gt;"Y"</formula>
    </cfRule>
  </conditionalFormatting>
  <conditionalFormatting sqref="D457:BG457">
    <cfRule type="expression" dxfId="4" priority="1995">
      <formula>$F$340&lt;&gt;"Y"</formula>
    </cfRule>
  </conditionalFormatting>
  <conditionalFormatting sqref="D458:BG458">
    <cfRule type="expression" dxfId="4" priority="1998">
      <formula>$G$340&lt;&gt;"Y"</formula>
    </cfRule>
  </conditionalFormatting>
  <conditionalFormatting sqref="D459:BG459">
    <cfRule type="expression" dxfId="4" priority="2001">
      <formula>$H$340&lt;&gt;"Y"</formula>
    </cfRule>
  </conditionalFormatting>
  <conditionalFormatting sqref="D45:BG45">
    <cfRule type="expression" dxfId="4" priority="345">
      <formula>$D$7&lt;&gt;"Y"</formula>
    </cfRule>
  </conditionalFormatting>
  <conditionalFormatting sqref="D460:BG460">
    <cfRule type="expression" dxfId="4" priority="2004">
      <formula>$I$340&lt;&gt;"Y"</formula>
    </cfRule>
  </conditionalFormatting>
  <conditionalFormatting sqref="D461:BG461">
    <cfRule type="expression" dxfId="4" priority="2007">
      <formula>$J$340&lt;&gt;"Y"</formula>
    </cfRule>
  </conditionalFormatting>
  <conditionalFormatting sqref="D462:BG462">
    <cfRule type="expression" dxfId="4" priority="2010">
      <formula>$K$340&lt;&gt;"Y"</formula>
    </cfRule>
  </conditionalFormatting>
  <conditionalFormatting sqref="D463:BG463">
    <cfRule type="expression" dxfId="4" priority="2013">
      <formula>$L$340&lt;&gt;"Y"</formula>
    </cfRule>
  </conditionalFormatting>
  <conditionalFormatting sqref="D464:BG464">
    <cfRule type="expression" dxfId="4" priority="2016">
      <formula>$M$340&lt;&gt;"Y"</formula>
    </cfRule>
  </conditionalFormatting>
  <conditionalFormatting sqref="D465:BG465">
    <cfRule type="expression" dxfId="4" priority="2019">
      <formula>$B$341&lt;&gt;"Y"</formula>
    </cfRule>
  </conditionalFormatting>
  <conditionalFormatting sqref="D466:BG466">
    <cfRule type="expression" dxfId="4" priority="2022">
      <formula>$C$341&lt;&gt;"Y"</formula>
    </cfRule>
  </conditionalFormatting>
  <conditionalFormatting sqref="D467:BG467">
    <cfRule type="expression" dxfId="4" priority="2025">
      <formula>$D$341&lt;&gt;"Y"</formula>
    </cfRule>
  </conditionalFormatting>
  <conditionalFormatting sqref="D468:BG468">
    <cfRule type="expression" dxfId="4" priority="2028">
      <formula>$E$341&lt;&gt;"Y"</formula>
    </cfRule>
  </conditionalFormatting>
  <conditionalFormatting sqref="D469:BG469">
    <cfRule type="expression" dxfId="4" priority="2031">
      <formula>$F$341&lt;&gt;"Y"</formula>
    </cfRule>
  </conditionalFormatting>
  <conditionalFormatting sqref="D46:BG46">
    <cfRule type="expression" dxfId="4" priority="348">
      <formula>$E$7&lt;&gt;"Y"</formula>
    </cfRule>
  </conditionalFormatting>
  <conditionalFormatting sqref="D470:BG470">
    <cfRule type="expression" dxfId="4" priority="2034">
      <formula>$G$341&lt;&gt;"Y"</formula>
    </cfRule>
  </conditionalFormatting>
  <conditionalFormatting sqref="D471:BG471">
    <cfRule type="expression" dxfId="4" priority="2037">
      <formula>$H$341&lt;&gt;"Y"</formula>
    </cfRule>
  </conditionalFormatting>
  <conditionalFormatting sqref="D472:BG472">
    <cfRule type="expression" dxfId="4" priority="2040">
      <formula>$I$341&lt;&gt;"Y"</formula>
    </cfRule>
  </conditionalFormatting>
  <conditionalFormatting sqref="D473:BG473">
    <cfRule type="expression" dxfId="4" priority="2043">
      <formula>$J$341&lt;&gt;"Y"</formula>
    </cfRule>
  </conditionalFormatting>
  <conditionalFormatting sqref="D474:BG474">
    <cfRule type="expression" dxfId="4" priority="2046">
      <formula>$K$341&lt;&gt;"Y"</formula>
    </cfRule>
  </conditionalFormatting>
  <conditionalFormatting sqref="D475:BG475">
    <cfRule type="expression" dxfId="4" priority="2049">
      <formula>$L$341&lt;&gt;"Y"</formula>
    </cfRule>
  </conditionalFormatting>
  <conditionalFormatting sqref="D476:BG476">
    <cfRule type="expression" dxfId="4" priority="2052">
      <formula>$M$341&lt;&gt;"Y"</formula>
    </cfRule>
  </conditionalFormatting>
  <conditionalFormatting sqref="D477:BG477">
    <cfRule type="expression" dxfId="4" priority="2055">
      <formula>$B$342&lt;&gt;"Y"</formula>
    </cfRule>
  </conditionalFormatting>
  <conditionalFormatting sqref="D478:BG478">
    <cfRule type="expression" dxfId="4" priority="2058">
      <formula>$C$342&lt;&gt;"Y"</formula>
    </cfRule>
  </conditionalFormatting>
  <conditionalFormatting sqref="D479:BG479">
    <cfRule type="expression" dxfId="4" priority="2061">
      <formula>$D$342&lt;&gt;"Y"</formula>
    </cfRule>
  </conditionalFormatting>
  <conditionalFormatting sqref="D47:BG47">
    <cfRule type="expression" dxfId="4" priority="351">
      <formula>$F$7&lt;&gt;"Y"</formula>
    </cfRule>
  </conditionalFormatting>
  <conditionalFormatting sqref="D480:BG480">
    <cfRule type="expression" dxfId="4" priority="2064">
      <formula>$E$342&lt;&gt;"Y"</formula>
    </cfRule>
  </conditionalFormatting>
  <conditionalFormatting sqref="D481:BG481">
    <cfRule type="expression" dxfId="4" priority="2067">
      <formula>$F$342&lt;&gt;"Y"</formula>
    </cfRule>
  </conditionalFormatting>
  <conditionalFormatting sqref="D482:BG482">
    <cfRule type="expression" dxfId="4" priority="2070">
      <formula>$G$342&lt;&gt;"Y"</formula>
    </cfRule>
  </conditionalFormatting>
  <conditionalFormatting sqref="D483:BG483">
    <cfRule type="expression" dxfId="4" priority="2073">
      <formula>$H$342&lt;&gt;"Y"</formula>
    </cfRule>
  </conditionalFormatting>
  <conditionalFormatting sqref="D484:BG484">
    <cfRule type="expression" dxfId="4" priority="2076">
      <formula>$I$342&lt;&gt;"Y"</formula>
    </cfRule>
  </conditionalFormatting>
  <conditionalFormatting sqref="D485:BG485">
    <cfRule type="expression" dxfId="4" priority="2079">
      <formula>$J$342&lt;&gt;"Y"</formula>
    </cfRule>
  </conditionalFormatting>
  <conditionalFormatting sqref="D486:BG486">
    <cfRule type="expression" dxfId="4" priority="2082">
      <formula>$K$342&lt;&gt;"Y"</formula>
    </cfRule>
  </conditionalFormatting>
  <conditionalFormatting sqref="D487:BG487">
    <cfRule type="expression" dxfId="4" priority="2085">
      <formula>$L$342&lt;&gt;"Y"</formula>
    </cfRule>
  </conditionalFormatting>
  <conditionalFormatting sqref="D488:BG488">
    <cfRule type="expression" dxfId="4" priority="2088">
      <formula>$M$342&lt;&gt;"Y"</formula>
    </cfRule>
  </conditionalFormatting>
  <conditionalFormatting sqref="D48:BG48">
    <cfRule type="expression" dxfId="4" priority="354">
      <formula>$G$7&lt;&gt;"Y"</formula>
    </cfRule>
  </conditionalFormatting>
  <conditionalFormatting sqref="D49:BG49">
    <cfRule type="expression" dxfId="4" priority="357">
      <formula>$H$7&lt;&gt;"Y"</formula>
    </cfRule>
  </conditionalFormatting>
  <conditionalFormatting sqref="D5">
    <cfRule type="cellIs" dxfId="2" priority="3" operator="equal">
      <formula>"Y"</formula>
    </cfRule>
    <cfRule type="cellIs" dxfId="3" priority="4" operator="equal">
      <formula>"N"</formula>
    </cfRule>
  </conditionalFormatting>
  <conditionalFormatting sqref="D50:BG50">
    <cfRule type="expression" dxfId="4" priority="360">
      <formula>$I$7&lt;&gt;"Y"</formula>
    </cfRule>
  </conditionalFormatting>
  <conditionalFormatting sqref="D51:BG51">
    <cfRule type="expression" dxfId="4" priority="363">
      <formula>$J$7&lt;&gt;"Y"</formula>
    </cfRule>
  </conditionalFormatting>
  <conditionalFormatting sqref="D52:BG52">
    <cfRule type="expression" dxfId="4" priority="366">
      <formula>$K$7&lt;&gt;"Y"</formula>
    </cfRule>
  </conditionalFormatting>
  <conditionalFormatting sqref="D53:BG53">
    <cfRule type="expression" dxfId="4" priority="369">
      <formula>$L$7&lt;&gt;"Y"</formula>
    </cfRule>
  </conditionalFormatting>
  <conditionalFormatting sqref="D54:BG54">
    <cfRule type="expression" dxfId="4" priority="372">
      <formula>$M$7&lt;&gt;"Y"</formula>
    </cfRule>
  </conditionalFormatting>
  <conditionalFormatting sqref="D55:BG55">
    <cfRule type="expression" dxfId="4" priority="375">
      <formula>$B$8&lt;&gt;"Y"</formula>
    </cfRule>
  </conditionalFormatting>
  <conditionalFormatting sqref="D56:BG56">
    <cfRule type="expression" dxfId="4" priority="378">
      <formula>$C$8&lt;&gt;"Y"</formula>
    </cfRule>
  </conditionalFormatting>
  <conditionalFormatting sqref="D57:BG57">
    <cfRule type="expression" dxfId="4" priority="381">
      <formula>$D$8&lt;&gt;"Y"</formula>
    </cfRule>
  </conditionalFormatting>
  <conditionalFormatting sqref="D58:BG58">
    <cfRule type="expression" dxfId="4" priority="384">
      <formula>$E$8&lt;&gt;"Y"</formula>
    </cfRule>
  </conditionalFormatting>
  <conditionalFormatting sqref="D59:BG59">
    <cfRule type="expression" dxfId="4" priority="387">
      <formula>$F$8&lt;&gt;"Y"</formula>
    </cfRule>
  </conditionalFormatting>
  <conditionalFormatting sqref="D6">
    <cfRule type="cellIs" dxfId="2" priority="25" operator="equal">
      <formula>"Y"</formula>
    </cfRule>
    <cfRule type="cellIs" dxfId="3" priority="26" operator="equal">
      <formula>"N"</formula>
    </cfRule>
  </conditionalFormatting>
  <conditionalFormatting sqref="D60:BG60">
    <cfRule type="expression" dxfId="4" priority="390">
      <formula>$G$8&lt;&gt;"Y"</formula>
    </cfRule>
  </conditionalFormatting>
  <conditionalFormatting sqref="D61:BG61">
    <cfRule type="expression" dxfId="4" priority="393">
      <formula>$H$8&lt;&gt;"Y"</formula>
    </cfRule>
  </conditionalFormatting>
  <conditionalFormatting sqref="D62:BG62">
    <cfRule type="expression" dxfId="4" priority="396">
      <formula>$I$8&lt;&gt;"Y"</formula>
    </cfRule>
  </conditionalFormatting>
  <conditionalFormatting sqref="D63:BG63">
    <cfRule type="expression" dxfId="4" priority="399">
      <formula>$J$8&lt;&gt;"Y"</formula>
    </cfRule>
  </conditionalFormatting>
  <conditionalFormatting sqref="D64:BG64">
    <cfRule type="expression" dxfId="4" priority="402">
      <formula>$K$8&lt;&gt;"Y"</formula>
    </cfRule>
  </conditionalFormatting>
  <conditionalFormatting sqref="D65:BG65">
    <cfRule type="expression" dxfId="4" priority="405">
      <formula>$L$8&lt;&gt;"Y"</formula>
    </cfRule>
  </conditionalFormatting>
  <conditionalFormatting sqref="D66:BG66">
    <cfRule type="expression" dxfId="4" priority="408">
      <formula>$M$8&lt;&gt;"Y"</formula>
    </cfRule>
  </conditionalFormatting>
  <conditionalFormatting sqref="D67:BG67">
    <cfRule type="expression" dxfId="4" priority="411">
      <formula>$B$9&lt;&gt;"Y"</formula>
    </cfRule>
  </conditionalFormatting>
  <conditionalFormatting sqref="D68:BG68">
    <cfRule type="expression" dxfId="4" priority="414">
      <formula>$C$9&lt;&gt;"Y"</formula>
    </cfRule>
  </conditionalFormatting>
  <conditionalFormatting sqref="D69:BG69">
    <cfRule type="expression" dxfId="4" priority="417">
      <formula>$D$9&lt;&gt;"Y"</formula>
    </cfRule>
  </conditionalFormatting>
  <conditionalFormatting sqref="D70:BG70">
    <cfRule type="expression" dxfId="4" priority="420">
      <formula>$E$9&lt;&gt;"Y"</formula>
    </cfRule>
  </conditionalFormatting>
  <conditionalFormatting sqref="D71:BG71">
    <cfRule type="expression" dxfId="4" priority="423">
      <formula>$F$9&lt;&gt;"Y"</formula>
    </cfRule>
  </conditionalFormatting>
  <conditionalFormatting sqref="D72:BG72">
    <cfRule type="expression" dxfId="4" priority="426">
      <formula>$G$9&lt;&gt;"Y"</formula>
    </cfRule>
  </conditionalFormatting>
  <conditionalFormatting sqref="D73:BG73">
    <cfRule type="expression" dxfId="4" priority="429">
      <formula>$H$9&lt;&gt;"Y"</formula>
    </cfRule>
  </conditionalFormatting>
  <conditionalFormatting sqref="D74:BG74">
    <cfRule type="expression" dxfId="4" priority="432">
      <formula>$I$9&lt;&gt;"Y"</formula>
    </cfRule>
  </conditionalFormatting>
  <conditionalFormatting sqref="D75:BG75">
    <cfRule type="expression" dxfId="4" priority="435">
      <formula>$J$9&lt;&gt;"Y"</formula>
    </cfRule>
  </conditionalFormatting>
  <conditionalFormatting sqref="D76:BG76">
    <cfRule type="expression" dxfId="4" priority="438">
      <formula>$K$9&lt;&gt;"Y"</formula>
    </cfRule>
  </conditionalFormatting>
  <conditionalFormatting sqref="D77:BG77">
    <cfRule type="expression" dxfId="4" priority="441">
      <formula>$L$9&lt;&gt;"Y"</formula>
    </cfRule>
  </conditionalFormatting>
  <conditionalFormatting sqref="D78:BG78">
    <cfRule type="expression" dxfId="4" priority="444">
      <formula>$M$9&lt;&gt;"Y"</formula>
    </cfRule>
  </conditionalFormatting>
  <conditionalFormatting sqref="D79:BG79">
    <cfRule type="expression" dxfId="4" priority="447">
      <formula>$B$10&lt;&gt;"Y"</formula>
    </cfRule>
  </conditionalFormatting>
  <conditionalFormatting sqref="D8">
    <cfRule type="cellIs" dxfId="2" priority="71" operator="equal">
      <formula>"Y"</formula>
    </cfRule>
    <cfRule type="cellIs" dxfId="3" priority="72" operator="equal">
      <formula>"N"</formula>
    </cfRule>
  </conditionalFormatting>
  <conditionalFormatting sqref="D80:BG80">
    <cfRule type="expression" dxfId="4" priority="450">
      <formula>$C$10&lt;&gt;"Y"</formula>
    </cfRule>
  </conditionalFormatting>
  <conditionalFormatting sqref="D81:BG81">
    <cfRule type="expression" dxfId="4" priority="453">
      <formula>$D$10&lt;&gt;"Y"</formula>
    </cfRule>
  </conditionalFormatting>
  <conditionalFormatting sqref="D82:BG82">
    <cfRule type="expression" dxfId="4" priority="456">
      <formula>$E$10&lt;&gt;"Y"</formula>
    </cfRule>
  </conditionalFormatting>
  <conditionalFormatting sqref="D83:BG83">
    <cfRule type="expression" dxfId="4" priority="459">
      <formula>$F$10&lt;&gt;"Y"</formula>
    </cfRule>
  </conditionalFormatting>
  <conditionalFormatting sqref="D84:BG84">
    <cfRule type="expression" dxfId="4" priority="462">
      <formula>$G$10&lt;&gt;"Y"</formula>
    </cfRule>
  </conditionalFormatting>
  <conditionalFormatting sqref="D85:BG85">
    <cfRule type="expression" dxfId="4" priority="465">
      <formula>$H$10&lt;&gt;"Y"</formula>
    </cfRule>
  </conditionalFormatting>
  <conditionalFormatting sqref="D86:BG86">
    <cfRule type="expression" dxfId="4" priority="468">
      <formula>$I$10&lt;&gt;"Y"</formula>
    </cfRule>
  </conditionalFormatting>
  <conditionalFormatting sqref="D87:BG87">
    <cfRule type="expression" dxfId="4" priority="471">
      <formula>$J$10&lt;&gt;"Y"</formula>
    </cfRule>
  </conditionalFormatting>
  <conditionalFormatting sqref="D88:BG88">
    <cfRule type="expression" dxfId="4" priority="474">
      <formula>$K$10&lt;&gt;"Y"</formula>
    </cfRule>
  </conditionalFormatting>
  <conditionalFormatting sqref="D89:BG89">
    <cfRule type="expression" dxfId="4" priority="477">
      <formula>$L$10&lt;&gt;"Y"</formula>
    </cfRule>
  </conditionalFormatting>
  <conditionalFormatting sqref="D9">
    <cfRule type="cellIs" dxfId="2" priority="93" operator="equal">
      <formula>"Y"</formula>
    </cfRule>
    <cfRule type="cellIs" dxfId="3" priority="94" operator="equal">
      <formula>"N"</formula>
    </cfRule>
  </conditionalFormatting>
  <conditionalFormatting sqref="D90:BG90">
    <cfRule type="expression" dxfId="4" priority="480">
      <formula>$M$10&lt;&gt;"Y"</formula>
    </cfRule>
  </conditionalFormatting>
  <conditionalFormatting sqref="D91:BG91">
    <cfRule type="expression" dxfId="4" priority="483">
      <formula>$B$11&lt;&gt;"Y"</formula>
    </cfRule>
  </conditionalFormatting>
  <conditionalFormatting sqref="D92:BG92">
    <cfRule type="expression" dxfId="4" priority="486">
      <formula>$C$11&lt;&gt;"Y"</formula>
    </cfRule>
  </conditionalFormatting>
  <conditionalFormatting sqref="D93:BG93">
    <cfRule type="expression" dxfId="4" priority="489">
      <formula>$D$11&lt;&gt;"Y"</formula>
    </cfRule>
  </conditionalFormatting>
  <conditionalFormatting sqref="D94:BG94">
    <cfRule type="expression" dxfId="4" priority="492">
      <formula>$E$11&lt;&gt;"Y"</formula>
    </cfRule>
  </conditionalFormatting>
  <conditionalFormatting sqref="D95:BG95">
    <cfRule type="expression" dxfId="4" priority="495">
      <formula>$F$11&lt;&gt;"Y"</formula>
    </cfRule>
  </conditionalFormatting>
  <conditionalFormatting sqref="D96:BG96">
    <cfRule type="expression" dxfId="4" priority="498">
      <formula>$G$11&lt;&gt;"Y"</formula>
    </cfRule>
  </conditionalFormatting>
  <conditionalFormatting sqref="D97:BG97">
    <cfRule type="expression" dxfId="4" priority="501">
      <formula>$H$11&lt;&gt;"Y"</formula>
    </cfRule>
  </conditionalFormatting>
  <conditionalFormatting sqref="D98:BG98">
    <cfRule type="expression" dxfId="4" priority="504">
      <formula>$I$11&lt;&gt;"Y"</formula>
    </cfRule>
  </conditionalFormatting>
  <conditionalFormatting sqref="D99:BG99">
    <cfRule type="expression" dxfId="4" priority="507">
      <formula>$J$11&lt;&gt;"Y"</formula>
    </cfRule>
  </conditionalFormatting>
  <conditionalFormatting sqref="E10">
    <cfRule type="cellIs" dxfId="2" priority="117" operator="equal">
      <formula>"Y"</formula>
    </cfRule>
    <cfRule type="cellIs" dxfId="3" priority="118" operator="equal">
      <formula>"N"</formula>
    </cfRule>
  </conditionalFormatting>
  <conditionalFormatting sqref="E11">
    <cfRule type="cellIs" dxfId="2" priority="139" operator="equal">
      <formula>"Y"</formula>
    </cfRule>
    <cfRule type="cellIs" dxfId="3" priority="140" operator="equal">
      <formula>"N"</formula>
    </cfRule>
  </conditionalFormatting>
  <conditionalFormatting sqref="E12">
    <cfRule type="cellIs" dxfId="2" priority="161" operator="equal">
      <formula>"Y"</formula>
    </cfRule>
    <cfRule type="cellIs" dxfId="3" priority="162" operator="equal">
      <formula>"N"</formula>
    </cfRule>
  </conditionalFormatting>
  <conditionalFormatting sqref="E13">
    <cfRule type="cellIs" dxfId="2" priority="183" operator="equal">
      <formula>"Y"</formula>
    </cfRule>
    <cfRule type="cellIs" dxfId="3" priority="184" operator="equal">
      <formula>"N"</formula>
    </cfRule>
  </conditionalFormatting>
  <conditionalFormatting sqref="E14">
    <cfRule type="cellIs" dxfId="2" priority="205" operator="equal">
      <formula>"Y"</formula>
    </cfRule>
    <cfRule type="cellIs" dxfId="3" priority="206" operator="equal">
      <formula>"N"</formula>
    </cfRule>
  </conditionalFormatting>
  <conditionalFormatting sqref="E15">
    <cfRule type="cellIs" dxfId="2" priority="227" operator="equal">
      <formula>"Y"</formula>
    </cfRule>
    <cfRule type="cellIs" dxfId="3" priority="228" operator="equal">
      <formula>"N"</formula>
    </cfRule>
  </conditionalFormatting>
  <conditionalFormatting sqref="E16">
    <cfRule type="cellIs" dxfId="2" priority="249" operator="equal">
      <formula>"Y"</formula>
    </cfRule>
    <cfRule type="cellIs" dxfId="3" priority="250" operator="equal">
      <formula>"N"</formula>
    </cfRule>
  </conditionalFormatting>
  <conditionalFormatting sqref="E168">
    <cfRule type="cellIs" dxfId="2" priority="701" operator="equal">
      <formula>"Y"</formula>
    </cfRule>
    <cfRule type="cellIs" dxfId="3" priority="702" operator="equal">
      <formula>"N"</formula>
    </cfRule>
  </conditionalFormatting>
  <conditionalFormatting sqref="E169">
    <cfRule type="cellIs" dxfId="2" priority="723" operator="equal">
      <formula>"Y"</formula>
    </cfRule>
    <cfRule type="cellIs" dxfId="3" priority="724" operator="equal">
      <formula>"N"</formula>
    </cfRule>
  </conditionalFormatting>
  <conditionalFormatting sqref="E170">
    <cfRule type="cellIs" dxfId="2" priority="745" operator="equal">
      <formula>"Y"</formula>
    </cfRule>
    <cfRule type="cellIs" dxfId="3" priority="746" operator="equal">
      <formula>"N"</formula>
    </cfRule>
  </conditionalFormatting>
  <conditionalFormatting sqref="E172">
    <cfRule type="cellIs" dxfId="2" priority="791" operator="equal">
      <formula>"Y"</formula>
    </cfRule>
    <cfRule type="cellIs" dxfId="3" priority="792" operator="equal">
      <formula>"N"</formula>
    </cfRule>
  </conditionalFormatting>
  <conditionalFormatting sqref="E173">
    <cfRule type="cellIs" dxfId="2" priority="813" operator="equal">
      <formula>"Y"</formula>
    </cfRule>
    <cfRule type="cellIs" dxfId="3" priority="814" operator="equal">
      <formula>"N"</formula>
    </cfRule>
  </conditionalFormatting>
  <conditionalFormatting sqref="E174">
    <cfRule type="cellIs" dxfId="2" priority="835" operator="equal">
      <formula>"Y"</formula>
    </cfRule>
    <cfRule type="cellIs" dxfId="3" priority="836" operator="equal">
      <formula>"N"</formula>
    </cfRule>
  </conditionalFormatting>
  <conditionalFormatting sqref="E175">
    <cfRule type="cellIs" dxfId="2" priority="857" operator="equal">
      <formula>"Y"</formula>
    </cfRule>
    <cfRule type="cellIs" dxfId="3" priority="858" operator="equal">
      <formula>"N"</formula>
    </cfRule>
  </conditionalFormatting>
  <conditionalFormatting sqref="E176">
    <cfRule type="cellIs" dxfId="2" priority="879" operator="equal">
      <formula>"Y"</formula>
    </cfRule>
    <cfRule type="cellIs" dxfId="3" priority="880" operator="equal">
      <formula>"N"</formula>
    </cfRule>
  </conditionalFormatting>
  <conditionalFormatting sqref="E177">
    <cfRule type="cellIs" dxfId="2" priority="901" operator="equal">
      <formula>"Y"</formula>
    </cfRule>
    <cfRule type="cellIs" dxfId="3" priority="902" operator="equal">
      <formula>"N"</formula>
    </cfRule>
  </conditionalFormatting>
  <conditionalFormatting sqref="E178">
    <cfRule type="cellIs" dxfId="2" priority="923" operator="equal">
      <formula>"Y"</formula>
    </cfRule>
    <cfRule type="cellIs" dxfId="3" priority="924" operator="equal">
      <formula>"N"</formula>
    </cfRule>
  </conditionalFormatting>
  <conditionalFormatting sqref="E179">
    <cfRule type="cellIs" dxfId="2" priority="945" operator="equal">
      <formula>"Y"</formula>
    </cfRule>
    <cfRule type="cellIs" dxfId="3" priority="946" operator="equal">
      <formula>"N"</formula>
    </cfRule>
  </conditionalFormatting>
  <conditionalFormatting sqref="E331">
    <cfRule type="cellIs" dxfId="2" priority="1397" operator="equal">
      <formula>"Y"</formula>
    </cfRule>
    <cfRule type="cellIs" dxfId="3" priority="1398" operator="equal">
      <formula>"N"</formula>
    </cfRule>
  </conditionalFormatting>
  <conditionalFormatting sqref="E332">
    <cfRule type="cellIs" dxfId="2" priority="1419" operator="equal">
      <formula>"Y"</formula>
    </cfRule>
    <cfRule type="cellIs" dxfId="3" priority="1420" operator="equal">
      <formula>"N"</formula>
    </cfRule>
  </conditionalFormatting>
  <conditionalFormatting sqref="E333">
    <cfRule type="cellIs" dxfId="2" priority="1441" operator="equal">
      <formula>"Y"</formula>
    </cfRule>
    <cfRule type="cellIs" dxfId="3" priority="1442" operator="equal">
      <formula>"N"</formula>
    </cfRule>
  </conditionalFormatting>
  <conditionalFormatting sqref="E335">
    <cfRule type="cellIs" dxfId="2" priority="1487" operator="equal">
      <formula>"Y"</formula>
    </cfRule>
    <cfRule type="cellIs" dxfId="3" priority="1488" operator="equal">
      <formula>"N"</formula>
    </cfRule>
  </conditionalFormatting>
  <conditionalFormatting sqref="E336">
    <cfRule type="cellIs" dxfId="2" priority="1509" operator="equal">
      <formula>"Y"</formula>
    </cfRule>
    <cfRule type="cellIs" dxfId="3" priority="1510" operator="equal">
      <formula>"N"</formula>
    </cfRule>
  </conditionalFormatting>
  <conditionalFormatting sqref="E337">
    <cfRule type="cellIs" dxfId="2" priority="1531" operator="equal">
      <formula>"Y"</formula>
    </cfRule>
    <cfRule type="cellIs" dxfId="3" priority="1532" operator="equal">
      <formula>"N"</formula>
    </cfRule>
  </conditionalFormatting>
  <conditionalFormatting sqref="E338">
    <cfRule type="cellIs" dxfId="2" priority="1553" operator="equal">
      <formula>"Y"</formula>
    </cfRule>
    <cfRule type="cellIs" dxfId="3" priority="1554" operator="equal">
      <formula>"N"</formula>
    </cfRule>
  </conditionalFormatting>
  <conditionalFormatting sqref="E339">
    <cfRule type="cellIs" dxfId="2" priority="1575" operator="equal">
      <formula>"Y"</formula>
    </cfRule>
    <cfRule type="cellIs" dxfId="3" priority="1576" operator="equal">
      <formula>"N"</formula>
    </cfRule>
  </conditionalFormatting>
  <conditionalFormatting sqref="E340">
    <cfRule type="cellIs" dxfId="2" priority="1597" operator="equal">
      <formula>"Y"</formula>
    </cfRule>
    <cfRule type="cellIs" dxfId="3" priority="1598" operator="equal">
      <formula>"N"</formula>
    </cfRule>
  </conditionalFormatting>
  <conditionalFormatting sqref="E341">
    <cfRule type="cellIs" dxfId="2" priority="1619" operator="equal">
      <formula>"Y"</formula>
    </cfRule>
    <cfRule type="cellIs" dxfId="3" priority="1620" operator="equal">
      <formula>"N"</formula>
    </cfRule>
  </conditionalFormatting>
  <conditionalFormatting sqref="E342">
    <cfRule type="cellIs" dxfId="2" priority="1641" operator="equal">
      <formula>"Y"</formula>
    </cfRule>
    <cfRule type="cellIs" dxfId="3" priority="1642" operator="equal">
      <formula>"N"</formula>
    </cfRule>
  </conditionalFormatting>
  <conditionalFormatting sqref="E5">
    <cfRule type="cellIs" dxfId="2" priority="5" operator="equal">
      <formula>"Y"</formula>
    </cfRule>
    <cfRule type="cellIs" dxfId="3" priority="6" operator="equal">
      <formula>"N"</formula>
    </cfRule>
  </conditionalFormatting>
  <conditionalFormatting sqref="E6">
    <cfRule type="cellIs" dxfId="2" priority="27" operator="equal">
      <formula>"Y"</formula>
    </cfRule>
    <cfRule type="cellIs" dxfId="3" priority="28" operator="equal">
      <formula>"N"</formula>
    </cfRule>
  </conditionalFormatting>
  <conditionalFormatting sqref="E7">
    <cfRule type="cellIs" dxfId="2" priority="49" operator="equal">
      <formula>"Y"</formula>
    </cfRule>
    <cfRule type="cellIs" dxfId="3" priority="50" operator="equal">
      <formula>"N"</formula>
    </cfRule>
  </conditionalFormatting>
  <conditionalFormatting sqref="E9">
    <cfRule type="cellIs" dxfId="2" priority="95" operator="equal">
      <formula>"Y"</formula>
    </cfRule>
    <cfRule type="cellIs" dxfId="3" priority="96" operator="equal">
      <formula>"N"</formula>
    </cfRule>
  </conditionalFormatting>
  <conditionalFormatting sqref="F10">
    <cfRule type="cellIs" dxfId="2" priority="119" operator="equal">
      <formula>"Y"</formula>
    </cfRule>
    <cfRule type="cellIs" dxfId="3" priority="120" operator="equal">
      <formula>"N"</formula>
    </cfRule>
  </conditionalFormatting>
  <conditionalFormatting sqref="F11">
    <cfRule type="cellIs" dxfId="2" priority="141" operator="equal">
      <formula>"Y"</formula>
    </cfRule>
    <cfRule type="cellIs" dxfId="3" priority="142" operator="equal">
      <formula>"N"</formula>
    </cfRule>
  </conditionalFormatting>
  <conditionalFormatting sqref="F12">
    <cfRule type="cellIs" dxfId="2" priority="163" operator="equal">
      <formula>"Y"</formula>
    </cfRule>
    <cfRule type="cellIs" dxfId="3" priority="164" operator="equal">
      <formula>"N"</formula>
    </cfRule>
  </conditionalFormatting>
  <conditionalFormatting sqref="F13">
    <cfRule type="cellIs" dxfId="2" priority="185" operator="equal">
      <formula>"Y"</formula>
    </cfRule>
    <cfRule type="cellIs" dxfId="3" priority="186" operator="equal">
      <formula>"N"</formula>
    </cfRule>
  </conditionalFormatting>
  <conditionalFormatting sqref="F14">
    <cfRule type="cellIs" dxfId="2" priority="207" operator="equal">
      <formula>"Y"</formula>
    </cfRule>
    <cfRule type="cellIs" dxfId="3" priority="208" operator="equal">
      <formula>"N"</formula>
    </cfRule>
  </conditionalFormatting>
  <conditionalFormatting sqref="F15">
    <cfRule type="cellIs" dxfId="2" priority="229" operator="equal">
      <formula>"Y"</formula>
    </cfRule>
    <cfRule type="cellIs" dxfId="3" priority="230" operator="equal">
      <formula>"N"</formula>
    </cfRule>
  </conditionalFormatting>
  <conditionalFormatting sqref="F16">
    <cfRule type="cellIs" dxfId="2" priority="251" operator="equal">
      <formula>"Y"</formula>
    </cfRule>
    <cfRule type="cellIs" dxfId="3" priority="252" operator="equal">
      <formula>"N"</formula>
    </cfRule>
  </conditionalFormatting>
  <conditionalFormatting sqref="F168">
    <cfRule type="cellIs" dxfId="2" priority="703" operator="equal">
      <formula>"Y"</formula>
    </cfRule>
    <cfRule type="cellIs" dxfId="3" priority="704" operator="equal">
      <formula>"N"</formula>
    </cfRule>
  </conditionalFormatting>
  <conditionalFormatting sqref="F169">
    <cfRule type="cellIs" dxfId="2" priority="725" operator="equal">
      <formula>"Y"</formula>
    </cfRule>
    <cfRule type="cellIs" dxfId="3" priority="726" operator="equal">
      <formula>"N"</formula>
    </cfRule>
  </conditionalFormatting>
  <conditionalFormatting sqref="F170">
    <cfRule type="cellIs" dxfId="2" priority="747" operator="equal">
      <formula>"Y"</formula>
    </cfRule>
    <cfRule type="cellIs" dxfId="3" priority="748" operator="equal">
      <formula>"N"</formula>
    </cfRule>
  </conditionalFormatting>
  <conditionalFormatting sqref="F171">
    <cfRule type="cellIs" dxfId="2" priority="769" operator="equal">
      <formula>"Y"</formula>
    </cfRule>
    <cfRule type="cellIs" dxfId="3" priority="770" operator="equal">
      <formula>"N"</formula>
    </cfRule>
  </conditionalFormatting>
  <conditionalFormatting sqref="F173">
    <cfRule type="cellIs" dxfId="2" priority="815" operator="equal">
      <formula>"Y"</formula>
    </cfRule>
    <cfRule type="cellIs" dxfId="3" priority="816" operator="equal">
      <formula>"N"</formula>
    </cfRule>
  </conditionalFormatting>
  <conditionalFormatting sqref="F174">
    <cfRule type="cellIs" dxfId="2" priority="837" operator="equal">
      <formula>"Y"</formula>
    </cfRule>
    <cfRule type="cellIs" dxfId="3" priority="838" operator="equal">
      <formula>"N"</formula>
    </cfRule>
  </conditionalFormatting>
  <conditionalFormatting sqref="F175">
    <cfRule type="cellIs" dxfId="2" priority="859" operator="equal">
      <formula>"Y"</formula>
    </cfRule>
    <cfRule type="cellIs" dxfId="3" priority="860" operator="equal">
      <formula>"N"</formula>
    </cfRule>
  </conditionalFormatting>
  <conditionalFormatting sqref="F176">
    <cfRule type="cellIs" dxfId="2" priority="881" operator="equal">
      <formula>"Y"</formula>
    </cfRule>
    <cfRule type="cellIs" dxfId="3" priority="882" operator="equal">
      <formula>"N"</formula>
    </cfRule>
  </conditionalFormatting>
  <conditionalFormatting sqref="F177">
    <cfRule type="cellIs" dxfId="2" priority="903" operator="equal">
      <formula>"Y"</formula>
    </cfRule>
    <cfRule type="cellIs" dxfId="3" priority="904" operator="equal">
      <formula>"N"</formula>
    </cfRule>
  </conditionalFormatting>
  <conditionalFormatting sqref="F178">
    <cfRule type="cellIs" dxfId="2" priority="925" operator="equal">
      <formula>"Y"</formula>
    </cfRule>
    <cfRule type="cellIs" dxfId="3" priority="926" operator="equal">
      <formula>"N"</formula>
    </cfRule>
  </conditionalFormatting>
  <conditionalFormatting sqref="F179">
    <cfRule type="cellIs" dxfId="2" priority="947" operator="equal">
      <formula>"Y"</formula>
    </cfRule>
    <cfRule type="cellIs" dxfId="3" priority="948" operator="equal">
      <formula>"N"</formula>
    </cfRule>
  </conditionalFormatting>
  <conditionalFormatting sqref="F331">
    <cfRule type="cellIs" dxfId="2" priority="1399" operator="equal">
      <formula>"Y"</formula>
    </cfRule>
    <cfRule type="cellIs" dxfId="3" priority="1400" operator="equal">
      <formula>"N"</formula>
    </cfRule>
  </conditionalFormatting>
  <conditionalFormatting sqref="F332">
    <cfRule type="cellIs" dxfId="2" priority="1421" operator="equal">
      <formula>"Y"</formula>
    </cfRule>
    <cfRule type="cellIs" dxfId="3" priority="1422" operator="equal">
      <formula>"N"</formula>
    </cfRule>
  </conditionalFormatting>
  <conditionalFormatting sqref="F333">
    <cfRule type="cellIs" dxfId="2" priority="1443" operator="equal">
      <formula>"Y"</formula>
    </cfRule>
    <cfRule type="cellIs" dxfId="3" priority="1444" operator="equal">
      <formula>"N"</formula>
    </cfRule>
  </conditionalFormatting>
  <conditionalFormatting sqref="F334">
    <cfRule type="cellIs" dxfId="2" priority="1465" operator="equal">
      <formula>"Y"</formula>
    </cfRule>
    <cfRule type="cellIs" dxfId="3" priority="1466" operator="equal">
      <formula>"N"</formula>
    </cfRule>
  </conditionalFormatting>
  <conditionalFormatting sqref="F336">
    <cfRule type="cellIs" dxfId="2" priority="1511" operator="equal">
      <formula>"Y"</formula>
    </cfRule>
    <cfRule type="cellIs" dxfId="3" priority="1512" operator="equal">
      <formula>"N"</formula>
    </cfRule>
  </conditionalFormatting>
  <conditionalFormatting sqref="F337">
    <cfRule type="cellIs" dxfId="2" priority="1533" operator="equal">
      <formula>"Y"</formula>
    </cfRule>
    <cfRule type="cellIs" dxfId="3" priority="1534" operator="equal">
      <formula>"N"</formula>
    </cfRule>
  </conditionalFormatting>
  <conditionalFormatting sqref="F338">
    <cfRule type="cellIs" dxfId="2" priority="1555" operator="equal">
      <formula>"Y"</formula>
    </cfRule>
    <cfRule type="cellIs" dxfId="3" priority="1556" operator="equal">
      <formula>"N"</formula>
    </cfRule>
  </conditionalFormatting>
  <conditionalFormatting sqref="F339">
    <cfRule type="cellIs" dxfId="2" priority="1577" operator="equal">
      <formula>"Y"</formula>
    </cfRule>
    <cfRule type="cellIs" dxfId="3" priority="1578" operator="equal">
      <formula>"N"</formula>
    </cfRule>
  </conditionalFormatting>
  <conditionalFormatting sqref="F340">
    <cfRule type="cellIs" dxfId="2" priority="1599" operator="equal">
      <formula>"Y"</formula>
    </cfRule>
    <cfRule type="cellIs" dxfId="3" priority="1600" operator="equal">
      <formula>"N"</formula>
    </cfRule>
  </conditionalFormatting>
  <conditionalFormatting sqref="F341">
    <cfRule type="cellIs" dxfId="2" priority="1621" operator="equal">
      <formula>"Y"</formula>
    </cfRule>
    <cfRule type="cellIs" dxfId="3" priority="1622" operator="equal">
      <formula>"N"</formula>
    </cfRule>
  </conditionalFormatting>
  <conditionalFormatting sqref="F342">
    <cfRule type="cellIs" dxfId="2" priority="1643" operator="equal">
      <formula>"Y"</formula>
    </cfRule>
    <cfRule type="cellIs" dxfId="3" priority="1644" operator="equal">
      <formula>"N"</formula>
    </cfRule>
  </conditionalFormatting>
  <conditionalFormatting sqref="F5">
    <cfRule type="cellIs" dxfId="2" priority="7" operator="equal">
      <formula>"Y"</formula>
    </cfRule>
    <cfRule type="cellIs" dxfId="3" priority="8" operator="equal">
      <formula>"N"</formula>
    </cfRule>
  </conditionalFormatting>
  <conditionalFormatting sqref="F6">
    <cfRule type="cellIs" dxfId="2" priority="29" operator="equal">
      <formula>"Y"</formula>
    </cfRule>
    <cfRule type="cellIs" dxfId="3" priority="30" operator="equal">
      <formula>"N"</formula>
    </cfRule>
  </conditionalFormatting>
  <conditionalFormatting sqref="F7">
    <cfRule type="cellIs" dxfId="2" priority="51" operator="equal">
      <formula>"Y"</formula>
    </cfRule>
    <cfRule type="cellIs" dxfId="3" priority="52" operator="equal">
      <formula>"N"</formula>
    </cfRule>
  </conditionalFormatting>
  <conditionalFormatting sqref="F8">
    <cfRule type="cellIs" dxfId="2" priority="73" operator="equal">
      <formula>"Y"</formula>
    </cfRule>
    <cfRule type="cellIs" dxfId="3" priority="74" operator="equal">
      <formula>"N"</formula>
    </cfRule>
  </conditionalFormatting>
  <conditionalFormatting sqref="G100">
    <cfRule type="expression" dxfId="0" priority="508">
      <formula>COUNTIF(I100:BG100,"&lt;&gt;" &amp; "")&gt;0</formula>
    </cfRule>
    <cfRule type="expression" dxfId="1" priority="509">
      <formula>AND(COUNTIF(I100:BG100,"&lt;&gt;" &amp; "")&gt;0,NOT(ISBLANK(G100)))</formula>
    </cfRule>
  </conditionalFormatting>
  <conditionalFormatting sqref="G101">
    <cfRule type="expression" dxfId="0" priority="511">
      <formula>COUNTIF(I101:BG101,"&lt;&gt;" &amp; "")&gt;0</formula>
    </cfRule>
    <cfRule type="expression" dxfId="1" priority="512">
      <formula>AND(COUNTIF(I101:BG101,"&lt;&gt;" &amp; "")&gt;0,NOT(ISBLANK(G101)))</formula>
    </cfRule>
  </conditionalFormatting>
  <conditionalFormatting sqref="G102">
    <cfRule type="expression" dxfId="0" priority="514">
      <formula>COUNTIF(I102:BG102,"&lt;&gt;" &amp; "")&gt;0</formula>
    </cfRule>
    <cfRule type="expression" dxfId="1" priority="515">
      <formula>AND(COUNTIF(I102:BG102,"&lt;&gt;" &amp; "")&gt;0,NOT(ISBLANK(G102)))</formula>
    </cfRule>
  </conditionalFormatting>
  <conditionalFormatting sqref="G103">
    <cfRule type="expression" dxfId="0" priority="517">
      <formula>COUNTIF(I103:BG103,"&lt;&gt;" &amp; "")&gt;0</formula>
    </cfRule>
    <cfRule type="expression" dxfId="1" priority="518">
      <formula>AND(COUNTIF(I103:BG103,"&lt;&gt;" &amp; "")&gt;0,NOT(ISBLANK(G103)))</formula>
    </cfRule>
  </conditionalFormatting>
  <conditionalFormatting sqref="G104">
    <cfRule type="expression" dxfId="0" priority="520">
      <formula>COUNTIF(I104:BG104,"&lt;&gt;" &amp; "")&gt;0</formula>
    </cfRule>
    <cfRule type="expression" dxfId="1" priority="521">
      <formula>AND(COUNTIF(I104:BG104,"&lt;&gt;" &amp; "")&gt;0,NOT(ISBLANK(G104)))</formula>
    </cfRule>
  </conditionalFormatting>
  <conditionalFormatting sqref="G105">
    <cfRule type="expression" dxfId="0" priority="523">
      <formula>COUNTIF(I105:BG105,"&lt;&gt;" &amp; "")&gt;0</formula>
    </cfRule>
    <cfRule type="expression" dxfId="1" priority="524">
      <formula>AND(COUNTIF(I105:BG105,"&lt;&gt;" &amp; "")&gt;0,NOT(ISBLANK(G105)))</formula>
    </cfRule>
  </conditionalFormatting>
  <conditionalFormatting sqref="G106">
    <cfRule type="expression" dxfId="0" priority="526">
      <formula>COUNTIF(I106:BG106,"&lt;&gt;" &amp; "")&gt;0</formula>
    </cfRule>
    <cfRule type="expression" dxfId="1" priority="527">
      <formula>AND(COUNTIF(I106:BG106,"&lt;&gt;" &amp; "")&gt;0,NOT(ISBLANK(G106)))</formula>
    </cfRule>
  </conditionalFormatting>
  <conditionalFormatting sqref="G107">
    <cfRule type="expression" dxfId="0" priority="529">
      <formula>COUNTIF(I107:BG107,"&lt;&gt;" &amp; "")&gt;0</formula>
    </cfRule>
    <cfRule type="expression" dxfId="1" priority="530">
      <formula>AND(COUNTIF(I107:BG107,"&lt;&gt;" &amp; "")&gt;0,NOT(ISBLANK(G107)))</formula>
    </cfRule>
  </conditionalFormatting>
  <conditionalFormatting sqref="G108">
    <cfRule type="expression" dxfId="0" priority="532">
      <formula>COUNTIF(I108:BG108,"&lt;&gt;" &amp; "")&gt;0</formula>
    </cfRule>
    <cfRule type="expression" dxfId="1" priority="533">
      <formula>AND(COUNTIF(I108:BG108,"&lt;&gt;" &amp; "")&gt;0,NOT(ISBLANK(G108)))</formula>
    </cfRule>
  </conditionalFormatting>
  <conditionalFormatting sqref="G109">
    <cfRule type="expression" dxfId="0" priority="535">
      <formula>COUNTIF(I109:BG109,"&lt;&gt;" &amp; "")&gt;0</formula>
    </cfRule>
    <cfRule type="expression" dxfId="1" priority="536">
      <formula>AND(COUNTIF(I109:BG109,"&lt;&gt;" &amp; "")&gt;0,NOT(ISBLANK(G109)))</formula>
    </cfRule>
  </conditionalFormatting>
  <conditionalFormatting sqref="G11">
    <cfRule type="cellIs" dxfId="2" priority="143" operator="equal">
      <formula>"Y"</formula>
    </cfRule>
    <cfRule type="cellIs" dxfId="3" priority="144" operator="equal">
      <formula>"N"</formula>
    </cfRule>
  </conditionalFormatting>
  <conditionalFormatting sqref="G110">
    <cfRule type="expression" dxfId="0" priority="538">
      <formula>COUNTIF(I110:BG110,"&lt;&gt;" &amp; "")&gt;0</formula>
    </cfRule>
    <cfRule type="expression" dxfId="1" priority="539">
      <formula>AND(COUNTIF(I110:BG110,"&lt;&gt;" &amp; "")&gt;0,NOT(ISBLANK(G110)))</formula>
    </cfRule>
  </conditionalFormatting>
  <conditionalFormatting sqref="G111">
    <cfRule type="expression" dxfId="0" priority="541">
      <formula>COUNTIF(I111:BG111,"&lt;&gt;" &amp; "")&gt;0</formula>
    </cfRule>
    <cfRule type="expression" dxfId="1" priority="542">
      <formula>AND(COUNTIF(I111:BG111,"&lt;&gt;" &amp; "")&gt;0,NOT(ISBLANK(G111)))</formula>
    </cfRule>
  </conditionalFormatting>
  <conditionalFormatting sqref="G112">
    <cfRule type="expression" dxfId="0" priority="544">
      <formula>COUNTIF(I112:BG112,"&lt;&gt;" &amp; "")&gt;0</formula>
    </cfRule>
    <cfRule type="expression" dxfId="1" priority="545">
      <formula>AND(COUNTIF(I112:BG112,"&lt;&gt;" &amp; "")&gt;0,NOT(ISBLANK(G112)))</formula>
    </cfRule>
  </conditionalFormatting>
  <conditionalFormatting sqref="G113">
    <cfRule type="expression" dxfId="0" priority="547">
      <formula>COUNTIF(I113:BG113,"&lt;&gt;" &amp; "")&gt;0</formula>
    </cfRule>
    <cfRule type="expression" dxfId="1" priority="548">
      <formula>AND(COUNTIF(I113:BG113,"&lt;&gt;" &amp; "")&gt;0,NOT(ISBLANK(G113)))</formula>
    </cfRule>
  </conditionalFormatting>
  <conditionalFormatting sqref="G114">
    <cfRule type="expression" dxfId="0" priority="550">
      <formula>COUNTIF(I114:BG114,"&lt;&gt;" &amp; "")&gt;0</formula>
    </cfRule>
    <cfRule type="expression" dxfId="1" priority="551">
      <formula>AND(COUNTIF(I114:BG114,"&lt;&gt;" &amp; "")&gt;0,NOT(ISBLANK(G114)))</formula>
    </cfRule>
  </conditionalFormatting>
  <conditionalFormatting sqref="G115">
    <cfRule type="expression" dxfId="0" priority="553">
      <formula>COUNTIF(I115:BG115,"&lt;&gt;" &amp; "")&gt;0</formula>
    </cfRule>
    <cfRule type="expression" dxfId="1" priority="554">
      <formula>AND(COUNTIF(I115:BG115,"&lt;&gt;" &amp; "")&gt;0,NOT(ISBLANK(G115)))</formula>
    </cfRule>
  </conditionalFormatting>
  <conditionalFormatting sqref="G116">
    <cfRule type="expression" dxfId="0" priority="556">
      <formula>COUNTIF(I116:BG116,"&lt;&gt;" &amp; "")&gt;0</formula>
    </cfRule>
    <cfRule type="expression" dxfId="1" priority="557">
      <formula>AND(COUNTIF(I116:BG116,"&lt;&gt;" &amp; "")&gt;0,NOT(ISBLANK(G116)))</formula>
    </cfRule>
  </conditionalFormatting>
  <conditionalFormatting sqref="G117">
    <cfRule type="expression" dxfId="0" priority="559">
      <formula>COUNTIF(I117:BG117,"&lt;&gt;" &amp; "")&gt;0</formula>
    </cfRule>
    <cfRule type="expression" dxfId="1" priority="560">
      <formula>AND(COUNTIF(I117:BG117,"&lt;&gt;" &amp; "")&gt;0,NOT(ISBLANK(G117)))</formula>
    </cfRule>
  </conditionalFormatting>
  <conditionalFormatting sqref="G118">
    <cfRule type="expression" dxfId="0" priority="562">
      <formula>COUNTIF(I118:BG118,"&lt;&gt;" &amp; "")&gt;0</formula>
    </cfRule>
    <cfRule type="expression" dxfId="1" priority="563">
      <formula>AND(COUNTIF(I118:BG118,"&lt;&gt;" &amp; "")&gt;0,NOT(ISBLANK(G118)))</formula>
    </cfRule>
  </conditionalFormatting>
  <conditionalFormatting sqref="G119">
    <cfRule type="expression" dxfId="0" priority="565">
      <formula>COUNTIF(I119:BG119,"&lt;&gt;" &amp; "")&gt;0</formula>
    </cfRule>
    <cfRule type="expression" dxfId="1" priority="566">
      <formula>AND(COUNTIF(I119:BG119,"&lt;&gt;" &amp; "")&gt;0,NOT(ISBLANK(G119)))</formula>
    </cfRule>
  </conditionalFormatting>
  <conditionalFormatting sqref="G12">
    <cfRule type="cellIs" dxfId="2" priority="165" operator="equal">
      <formula>"Y"</formula>
    </cfRule>
    <cfRule type="cellIs" dxfId="3" priority="166" operator="equal">
      <formula>"N"</formula>
    </cfRule>
  </conditionalFormatting>
  <conditionalFormatting sqref="G120">
    <cfRule type="expression" dxfId="0" priority="568">
      <formula>COUNTIF(I120:BG120,"&lt;&gt;" &amp; "")&gt;0</formula>
    </cfRule>
    <cfRule type="expression" dxfId="1" priority="569">
      <formula>AND(COUNTIF(I120:BG120,"&lt;&gt;" &amp; "")&gt;0,NOT(ISBLANK(G120)))</formula>
    </cfRule>
  </conditionalFormatting>
  <conditionalFormatting sqref="G121">
    <cfRule type="expression" dxfId="0" priority="571">
      <formula>COUNTIF(I121:BG121,"&lt;&gt;" &amp; "")&gt;0</formula>
    </cfRule>
    <cfRule type="expression" dxfId="1" priority="572">
      <formula>AND(COUNTIF(I121:BG121,"&lt;&gt;" &amp; "")&gt;0,NOT(ISBLANK(G121)))</formula>
    </cfRule>
  </conditionalFormatting>
  <conditionalFormatting sqref="G122">
    <cfRule type="expression" dxfId="0" priority="574">
      <formula>COUNTIF(I122:BG122,"&lt;&gt;" &amp; "")&gt;0</formula>
    </cfRule>
    <cfRule type="expression" dxfId="1" priority="575">
      <formula>AND(COUNTIF(I122:BG122,"&lt;&gt;" &amp; "")&gt;0,NOT(ISBLANK(G122)))</formula>
    </cfRule>
  </conditionalFormatting>
  <conditionalFormatting sqref="G123">
    <cfRule type="expression" dxfId="0" priority="577">
      <formula>COUNTIF(I123:BG123,"&lt;&gt;" &amp; "")&gt;0</formula>
    </cfRule>
    <cfRule type="expression" dxfId="1" priority="578">
      <formula>AND(COUNTIF(I123:BG123,"&lt;&gt;" &amp; "")&gt;0,NOT(ISBLANK(G123)))</formula>
    </cfRule>
  </conditionalFormatting>
  <conditionalFormatting sqref="G124">
    <cfRule type="expression" dxfId="0" priority="580">
      <formula>COUNTIF(I124:BG124,"&lt;&gt;" &amp; "")&gt;0</formula>
    </cfRule>
    <cfRule type="expression" dxfId="1" priority="581">
      <formula>AND(COUNTIF(I124:BG124,"&lt;&gt;" &amp; "")&gt;0,NOT(ISBLANK(G124)))</formula>
    </cfRule>
  </conditionalFormatting>
  <conditionalFormatting sqref="G125">
    <cfRule type="expression" dxfId="0" priority="583">
      <formula>COUNTIF(I125:BG125,"&lt;&gt;" &amp; "")&gt;0</formula>
    </cfRule>
    <cfRule type="expression" dxfId="1" priority="584">
      <formula>AND(COUNTIF(I125:BG125,"&lt;&gt;" &amp; "")&gt;0,NOT(ISBLANK(G125)))</formula>
    </cfRule>
  </conditionalFormatting>
  <conditionalFormatting sqref="G126">
    <cfRule type="expression" dxfId="0" priority="586">
      <formula>COUNTIF(I126:BG126,"&lt;&gt;" &amp; "")&gt;0</formula>
    </cfRule>
    <cfRule type="expression" dxfId="1" priority="587">
      <formula>AND(COUNTIF(I126:BG126,"&lt;&gt;" &amp; "")&gt;0,NOT(ISBLANK(G126)))</formula>
    </cfRule>
  </conditionalFormatting>
  <conditionalFormatting sqref="G127">
    <cfRule type="expression" dxfId="0" priority="589">
      <formula>COUNTIF(I127:BG127,"&lt;&gt;" &amp; "")&gt;0</formula>
    </cfRule>
    <cfRule type="expression" dxfId="1" priority="590">
      <formula>AND(COUNTIF(I127:BG127,"&lt;&gt;" &amp; "")&gt;0,NOT(ISBLANK(G127)))</formula>
    </cfRule>
  </conditionalFormatting>
  <conditionalFormatting sqref="G128">
    <cfRule type="expression" dxfId="0" priority="592">
      <formula>COUNTIF(I128:BG128,"&lt;&gt;" &amp; "")&gt;0</formula>
    </cfRule>
    <cfRule type="expression" dxfId="1" priority="593">
      <formula>AND(COUNTIF(I128:BG128,"&lt;&gt;" &amp; "")&gt;0,NOT(ISBLANK(G128)))</formula>
    </cfRule>
  </conditionalFormatting>
  <conditionalFormatting sqref="G129">
    <cfRule type="expression" dxfId="0" priority="595">
      <formula>COUNTIF(I129:BG129,"&lt;&gt;" &amp; "")&gt;0</formula>
    </cfRule>
    <cfRule type="expression" dxfId="1" priority="596">
      <formula>AND(COUNTIF(I129:BG129,"&lt;&gt;" &amp; "")&gt;0,NOT(ISBLANK(G129)))</formula>
    </cfRule>
  </conditionalFormatting>
  <conditionalFormatting sqref="G13">
    <cfRule type="cellIs" dxfId="2" priority="187" operator="equal">
      <formula>"Y"</formula>
    </cfRule>
    <cfRule type="cellIs" dxfId="3" priority="188" operator="equal">
      <formula>"N"</formula>
    </cfRule>
  </conditionalFormatting>
  <conditionalFormatting sqref="G130">
    <cfRule type="expression" dxfId="0" priority="598">
      <formula>COUNTIF(I130:BG130,"&lt;&gt;" &amp; "")&gt;0</formula>
    </cfRule>
    <cfRule type="expression" dxfId="1" priority="599">
      <formula>AND(COUNTIF(I130:BG130,"&lt;&gt;" &amp; "")&gt;0,NOT(ISBLANK(G130)))</formula>
    </cfRule>
  </conditionalFormatting>
  <conditionalFormatting sqref="G131">
    <cfRule type="expression" dxfId="0" priority="601">
      <formula>COUNTIF(I131:BG131,"&lt;&gt;" &amp; "")&gt;0</formula>
    </cfRule>
    <cfRule type="expression" dxfId="1" priority="602">
      <formula>AND(COUNTIF(I131:BG131,"&lt;&gt;" &amp; "")&gt;0,NOT(ISBLANK(G131)))</formula>
    </cfRule>
  </conditionalFormatting>
  <conditionalFormatting sqref="G132">
    <cfRule type="expression" dxfId="0" priority="604">
      <formula>COUNTIF(I132:BG132,"&lt;&gt;" &amp; "")&gt;0</formula>
    </cfRule>
    <cfRule type="expression" dxfId="1" priority="605">
      <formula>AND(COUNTIF(I132:BG132,"&lt;&gt;" &amp; "")&gt;0,NOT(ISBLANK(G132)))</formula>
    </cfRule>
  </conditionalFormatting>
  <conditionalFormatting sqref="G133">
    <cfRule type="expression" dxfId="0" priority="607">
      <formula>COUNTIF(I133:BG133,"&lt;&gt;" &amp; "")&gt;0</formula>
    </cfRule>
    <cfRule type="expression" dxfId="1" priority="608">
      <formula>AND(COUNTIF(I133:BG133,"&lt;&gt;" &amp; "")&gt;0,NOT(ISBLANK(G133)))</formula>
    </cfRule>
  </conditionalFormatting>
  <conditionalFormatting sqref="G134">
    <cfRule type="expression" dxfId="0" priority="610">
      <formula>COUNTIF(I134:BG134,"&lt;&gt;" &amp; "")&gt;0</formula>
    </cfRule>
    <cfRule type="expression" dxfId="1" priority="611">
      <formula>AND(COUNTIF(I134:BG134,"&lt;&gt;" &amp; "")&gt;0,NOT(ISBLANK(G134)))</formula>
    </cfRule>
  </conditionalFormatting>
  <conditionalFormatting sqref="G135">
    <cfRule type="expression" dxfId="0" priority="613">
      <formula>COUNTIF(I135:BG135,"&lt;&gt;" &amp; "")&gt;0</formula>
    </cfRule>
    <cfRule type="expression" dxfId="1" priority="614">
      <formula>AND(COUNTIF(I135:BG135,"&lt;&gt;" &amp; "")&gt;0,NOT(ISBLANK(G135)))</formula>
    </cfRule>
  </conditionalFormatting>
  <conditionalFormatting sqref="G136">
    <cfRule type="expression" dxfId="0" priority="616">
      <formula>COUNTIF(I136:BG136,"&lt;&gt;" &amp; "")&gt;0</formula>
    </cfRule>
    <cfRule type="expression" dxfId="1" priority="617">
      <formula>AND(COUNTIF(I136:BG136,"&lt;&gt;" &amp; "")&gt;0,NOT(ISBLANK(G136)))</formula>
    </cfRule>
  </conditionalFormatting>
  <conditionalFormatting sqref="G137">
    <cfRule type="expression" dxfId="0" priority="619">
      <formula>COUNTIF(I137:BG137,"&lt;&gt;" &amp; "")&gt;0</formula>
    </cfRule>
    <cfRule type="expression" dxfId="1" priority="620">
      <formula>AND(COUNTIF(I137:BG137,"&lt;&gt;" &amp; "")&gt;0,NOT(ISBLANK(G137)))</formula>
    </cfRule>
  </conditionalFormatting>
  <conditionalFormatting sqref="G138">
    <cfRule type="expression" dxfId="0" priority="622">
      <formula>COUNTIF(I138:BG138,"&lt;&gt;" &amp; "")&gt;0</formula>
    </cfRule>
    <cfRule type="expression" dxfId="1" priority="623">
      <formula>AND(COUNTIF(I138:BG138,"&lt;&gt;" &amp; "")&gt;0,NOT(ISBLANK(G138)))</formula>
    </cfRule>
  </conditionalFormatting>
  <conditionalFormatting sqref="G139">
    <cfRule type="expression" dxfId="0" priority="625">
      <formula>COUNTIF(I139:BG139,"&lt;&gt;" &amp; "")&gt;0</formula>
    </cfRule>
    <cfRule type="expression" dxfId="1" priority="626">
      <formula>AND(COUNTIF(I139:BG139,"&lt;&gt;" &amp; "")&gt;0,NOT(ISBLANK(G139)))</formula>
    </cfRule>
  </conditionalFormatting>
  <conditionalFormatting sqref="G14">
    <cfRule type="cellIs" dxfId="2" priority="209" operator="equal">
      <formula>"Y"</formula>
    </cfRule>
    <cfRule type="cellIs" dxfId="3" priority="210" operator="equal">
      <formula>"N"</formula>
    </cfRule>
  </conditionalFormatting>
  <conditionalFormatting sqref="G140">
    <cfRule type="expression" dxfId="0" priority="628">
      <formula>COUNTIF(I140:BG140,"&lt;&gt;" &amp; "")&gt;0</formula>
    </cfRule>
    <cfRule type="expression" dxfId="1" priority="629">
      <formula>AND(COUNTIF(I140:BG140,"&lt;&gt;" &amp; "")&gt;0,NOT(ISBLANK(G140)))</formula>
    </cfRule>
  </conditionalFormatting>
  <conditionalFormatting sqref="G141">
    <cfRule type="expression" dxfId="0" priority="631">
      <formula>COUNTIF(I141:BG141,"&lt;&gt;" &amp; "")&gt;0</formula>
    </cfRule>
    <cfRule type="expression" dxfId="1" priority="632">
      <formula>AND(COUNTIF(I141:BG141,"&lt;&gt;" &amp; "")&gt;0,NOT(ISBLANK(G141)))</formula>
    </cfRule>
  </conditionalFormatting>
  <conditionalFormatting sqref="G142">
    <cfRule type="expression" dxfId="0" priority="634">
      <formula>COUNTIF(I142:BG142,"&lt;&gt;" &amp; "")&gt;0</formula>
    </cfRule>
    <cfRule type="expression" dxfId="1" priority="635">
      <formula>AND(COUNTIF(I142:BG142,"&lt;&gt;" &amp; "")&gt;0,NOT(ISBLANK(G142)))</formula>
    </cfRule>
  </conditionalFormatting>
  <conditionalFormatting sqref="G143">
    <cfRule type="expression" dxfId="0" priority="637">
      <formula>COUNTIF(I143:BG143,"&lt;&gt;" &amp; "")&gt;0</formula>
    </cfRule>
    <cfRule type="expression" dxfId="1" priority="638">
      <formula>AND(COUNTIF(I143:BG143,"&lt;&gt;" &amp; "")&gt;0,NOT(ISBLANK(G143)))</formula>
    </cfRule>
  </conditionalFormatting>
  <conditionalFormatting sqref="G144">
    <cfRule type="expression" dxfId="0" priority="640">
      <formula>COUNTIF(I144:BG144,"&lt;&gt;" &amp; "")&gt;0</formula>
    </cfRule>
    <cfRule type="expression" dxfId="1" priority="641">
      <formula>AND(COUNTIF(I144:BG144,"&lt;&gt;" &amp; "")&gt;0,NOT(ISBLANK(G144)))</formula>
    </cfRule>
  </conditionalFormatting>
  <conditionalFormatting sqref="G145">
    <cfRule type="expression" dxfId="0" priority="643">
      <formula>COUNTIF(I145:BG145,"&lt;&gt;" &amp; "")&gt;0</formula>
    </cfRule>
    <cfRule type="expression" dxfId="1" priority="644">
      <formula>AND(COUNTIF(I145:BG145,"&lt;&gt;" &amp; "")&gt;0,NOT(ISBLANK(G145)))</formula>
    </cfRule>
  </conditionalFormatting>
  <conditionalFormatting sqref="G146">
    <cfRule type="expression" dxfId="0" priority="646">
      <formula>COUNTIF(I146:BG146,"&lt;&gt;" &amp; "")&gt;0</formula>
    </cfRule>
    <cfRule type="expression" dxfId="1" priority="647">
      <formula>AND(COUNTIF(I146:BG146,"&lt;&gt;" &amp; "")&gt;0,NOT(ISBLANK(G146)))</formula>
    </cfRule>
  </conditionalFormatting>
  <conditionalFormatting sqref="G147">
    <cfRule type="expression" dxfId="0" priority="649">
      <formula>COUNTIF(I147:BG147,"&lt;&gt;" &amp; "")&gt;0</formula>
    </cfRule>
    <cfRule type="expression" dxfId="1" priority="650">
      <formula>AND(COUNTIF(I147:BG147,"&lt;&gt;" &amp; "")&gt;0,NOT(ISBLANK(G147)))</formula>
    </cfRule>
  </conditionalFormatting>
  <conditionalFormatting sqref="G148">
    <cfRule type="expression" dxfId="0" priority="652">
      <formula>COUNTIF(I148:BG148,"&lt;&gt;" &amp; "")&gt;0</formula>
    </cfRule>
    <cfRule type="expression" dxfId="1" priority="653">
      <formula>AND(COUNTIF(I148:BG148,"&lt;&gt;" &amp; "")&gt;0,NOT(ISBLANK(G148)))</formula>
    </cfRule>
  </conditionalFormatting>
  <conditionalFormatting sqref="G149">
    <cfRule type="expression" dxfId="0" priority="655">
      <formula>COUNTIF(I149:BG149,"&lt;&gt;" &amp; "")&gt;0</formula>
    </cfRule>
    <cfRule type="expression" dxfId="1" priority="656">
      <formula>AND(COUNTIF(I149:BG149,"&lt;&gt;" &amp; "")&gt;0,NOT(ISBLANK(G149)))</formula>
    </cfRule>
  </conditionalFormatting>
  <conditionalFormatting sqref="G15">
    <cfRule type="cellIs" dxfId="2" priority="231" operator="equal">
      <formula>"Y"</formula>
    </cfRule>
    <cfRule type="cellIs" dxfId="3" priority="232" operator="equal">
      <formula>"N"</formula>
    </cfRule>
  </conditionalFormatting>
  <conditionalFormatting sqref="G150">
    <cfRule type="expression" dxfId="0" priority="658">
      <formula>COUNTIF(I150:BG150,"&lt;&gt;" &amp; "")&gt;0</formula>
    </cfRule>
    <cfRule type="expression" dxfId="1" priority="659">
      <formula>AND(COUNTIF(I150:BG150,"&lt;&gt;" &amp; "")&gt;0,NOT(ISBLANK(G150)))</formula>
    </cfRule>
  </conditionalFormatting>
  <conditionalFormatting sqref="G151">
    <cfRule type="expression" dxfId="0" priority="661">
      <formula>COUNTIF(I151:BG151,"&lt;&gt;" &amp; "")&gt;0</formula>
    </cfRule>
    <cfRule type="expression" dxfId="1" priority="662">
      <formula>AND(COUNTIF(I151:BG151,"&lt;&gt;" &amp; "")&gt;0,NOT(ISBLANK(G151)))</formula>
    </cfRule>
  </conditionalFormatting>
  <conditionalFormatting sqref="G152">
    <cfRule type="expression" dxfId="0" priority="664">
      <formula>COUNTIF(I152:BG152,"&lt;&gt;" &amp; "")&gt;0</formula>
    </cfRule>
    <cfRule type="expression" dxfId="1" priority="665">
      <formula>AND(COUNTIF(I152:BG152,"&lt;&gt;" &amp; "")&gt;0,NOT(ISBLANK(G152)))</formula>
    </cfRule>
  </conditionalFormatting>
  <conditionalFormatting sqref="G153">
    <cfRule type="expression" dxfId="0" priority="667">
      <formula>COUNTIF(I153:BG153,"&lt;&gt;" &amp; "")&gt;0</formula>
    </cfRule>
    <cfRule type="expression" dxfId="1" priority="668">
      <formula>AND(COUNTIF(I153:BG153,"&lt;&gt;" &amp; "")&gt;0,NOT(ISBLANK(G153)))</formula>
    </cfRule>
  </conditionalFormatting>
  <conditionalFormatting sqref="G154">
    <cfRule type="expression" dxfId="0" priority="670">
      <formula>COUNTIF(I154:BG154,"&lt;&gt;" &amp; "")&gt;0</formula>
    </cfRule>
    <cfRule type="expression" dxfId="1" priority="671">
      <formula>AND(COUNTIF(I154:BG154,"&lt;&gt;" &amp; "")&gt;0,NOT(ISBLANK(G154)))</formula>
    </cfRule>
  </conditionalFormatting>
  <conditionalFormatting sqref="G155">
    <cfRule type="expression" dxfId="0" priority="673">
      <formula>COUNTIF(I155:BG155,"&lt;&gt;" &amp; "")&gt;0</formula>
    </cfRule>
    <cfRule type="expression" dxfId="1" priority="674">
      <formula>AND(COUNTIF(I155:BG155,"&lt;&gt;" &amp; "")&gt;0,NOT(ISBLANK(G155)))</formula>
    </cfRule>
  </conditionalFormatting>
  <conditionalFormatting sqref="G156">
    <cfRule type="expression" dxfId="0" priority="676">
      <formula>COUNTIF(I156:BG156,"&lt;&gt;" &amp; "")&gt;0</formula>
    </cfRule>
    <cfRule type="expression" dxfId="1" priority="677">
      <formula>AND(COUNTIF(I156:BG156,"&lt;&gt;" &amp; "")&gt;0,NOT(ISBLANK(G156)))</formula>
    </cfRule>
  </conditionalFormatting>
  <conditionalFormatting sqref="G157">
    <cfRule type="expression" dxfId="0" priority="679">
      <formula>COUNTIF(I157:BG157,"&lt;&gt;" &amp; "")&gt;0</formula>
    </cfRule>
    <cfRule type="expression" dxfId="1" priority="680">
      <formula>AND(COUNTIF(I157:BG157,"&lt;&gt;" &amp; "")&gt;0,NOT(ISBLANK(G157)))</formula>
    </cfRule>
  </conditionalFormatting>
  <conditionalFormatting sqref="G158">
    <cfRule type="expression" dxfId="0" priority="682">
      <formula>COUNTIF(I158:BG158,"&lt;&gt;" &amp; "")&gt;0</formula>
    </cfRule>
    <cfRule type="expression" dxfId="1" priority="683">
      <formula>AND(COUNTIF(I158:BG158,"&lt;&gt;" &amp; "")&gt;0,NOT(ISBLANK(G158)))</formula>
    </cfRule>
  </conditionalFormatting>
  <conditionalFormatting sqref="G159">
    <cfRule type="expression" dxfId="0" priority="685">
      <formula>COUNTIF(I159:BG159,"&lt;&gt;" &amp; "")&gt;0</formula>
    </cfRule>
    <cfRule type="expression" dxfId="1" priority="686">
      <formula>AND(COUNTIF(I159:BG159,"&lt;&gt;" &amp; "")&gt;0,NOT(ISBLANK(G159)))</formula>
    </cfRule>
  </conditionalFormatting>
  <conditionalFormatting sqref="G16">
    <cfRule type="cellIs" dxfId="2" priority="253" operator="equal">
      <formula>"Y"</formula>
    </cfRule>
    <cfRule type="cellIs" dxfId="3" priority="254" operator="equal">
      <formula>"N"</formula>
    </cfRule>
  </conditionalFormatting>
  <conditionalFormatting sqref="G160">
    <cfRule type="expression" dxfId="0" priority="688">
      <formula>COUNTIF(I160:BG160,"&lt;&gt;" &amp; "")&gt;0</formula>
    </cfRule>
    <cfRule type="expression" dxfId="1" priority="689">
      <formula>AND(COUNTIF(I160:BG160,"&lt;&gt;" &amp; "")&gt;0,NOT(ISBLANK(G160)))</formula>
    </cfRule>
  </conditionalFormatting>
  <conditionalFormatting sqref="G161">
    <cfRule type="expression" dxfId="0" priority="691">
      <formula>COUNTIF(I161:BG161,"&lt;&gt;" &amp; "")&gt;0</formula>
    </cfRule>
    <cfRule type="expression" dxfId="1" priority="692">
      <formula>AND(COUNTIF(I161:BG161,"&lt;&gt;" &amp; "")&gt;0,NOT(ISBLANK(G161)))</formula>
    </cfRule>
  </conditionalFormatting>
  <conditionalFormatting sqref="G162">
    <cfRule type="expression" dxfId="0" priority="694">
      <formula>COUNTIF(I162:BG162,"&lt;&gt;" &amp; "")&gt;0</formula>
    </cfRule>
    <cfRule type="expression" dxfId="1" priority="695">
      <formula>AND(COUNTIF(I162:BG162,"&lt;&gt;" &amp; "")&gt;0,NOT(ISBLANK(G162)))</formula>
    </cfRule>
  </conditionalFormatting>
  <conditionalFormatting sqref="G168">
    <cfRule type="cellIs" dxfId="2" priority="705" operator="equal">
      <formula>"Y"</formula>
    </cfRule>
    <cfRule type="cellIs" dxfId="3" priority="706" operator="equal">
      <formula>"N"</formula>
    </cfRule>
  </conditionalFormatting>
  <conditionalFormatting sqref="G169">
    <cfRule type="cellIs" dxfId="2" priority="727" operator="equal">
      <formula>"Y"</formula>
    </cfRule>
    <cfRule type="cellIs" dxfId="3" priority="728" operator="equal">
      <formula>"N"</formula>
    </cfRule>
  </conditionalFormatting>
  <conditionalFormatting sqref="G170">
    <cfRule type="cellIs" dxfId="2" priority="749" operator="equal">
      <formula>"Y"</formula>
    </cfRule>
    <cfRule type="cellIs" dxfId="3" priority="750" operator="equal">
      <formula>"N"</formula>
    </cfRule>
  </conditionalFormatting>
  <conditionalFormatting sqref="G171">
    <cfRule type="cellIs" dxfId="2" priority="771" operator="equal">
      <formula>"Y"</formula>
    </cfRule>
    <cfRule type="cellIs" dxfId="3" priority="772" operator="equal">
      <formula>"N"</formula>
    </cfRule>
  </conditionalFormatting>
  <conditionalFormatting sqref="G172">
    <cfRule type="cellIs" dxfId="2" priority="793" operator="equal">
      <formula>"Y"</formula>
    </cfRule>
    <cfRule type="cellIs" dxfId="3" priority="794" operator="equal">
      <formula>"N"</formula>
    </cfRule>
  </conditionalFormatting>
  <conditionalFormatting sqref="G174">
    <cfRule type="cellIs" dxfId="2" priority="839" operator="equal">
      <formula>"Y"</formula>
    </cfRule>
    <cfRule type="cellIs" dxfId="3" priority="840" operator="equal">
      <formula>"N"</formula>
    </cfRule>
  </conditionalFormatting>
  <conditionalFormatting sqref="G175">
    <cfRule type="cellIs" dxfId="2" priority="861" operator="equal">
      <formula>"Y"</formula>
    </cfRule>
    <cfRule type="cellIs" dxfId="3" priority="862" operator="equal">
      <formula>"N"</formula>
    </cfRule>
  </conditionalFormatting>
  <conditionalFormatting sqref="G176">
    <cfRule type="cellIs" dxfId="2" priority="883" operator="equal">
      <formula>"Y"</formula>
    </cfRule>
    <cfRule type="cellIs" dxfId="3" priority="884" operator="equal">
      <formula>"N"</formula>
    </cfRule>
  </conditionalFormatting>
  <conditionalFormatting sqref="G177">
    <cfRule type="cellIs" dxfId="2" priority="905" operator="equal">
      <formula>"Y"</formula>
    </cfRule>
    <cfRule type="cellIs" dxfId="3" priority="906" operator="equal">
      <formula>"N"</formula>
    </cfRule>
  </conditionalFormatting>
  <conditionalFormatting sqref="G178">
    <cfRule type="cellIs" dxfId="2" priority="927" operator="equal">
      <formula>"Y"</formula>
    </cfRule>
    <cfRule type="cellIs" dxfId="3" priority="928" operator="equal">
      <formula>"N"</formula>
    </cfRule>
  </conditionalFormatting>
  <conditionalFormatting sqref="G179">
    <cfRule type="cellIs" dxfId="2" priority="949" operator="equal">
      <formula>"Y"</formula>
    </cfRule>
    <cfRule type="cellIs" dxfId="3" priority="950" operator="equal">
      <formula>"N"</formula>
    </cfRule>
  </conditionalFormatting>
  <conditionalFormatting sqref="G182">
    <cfRule type="expression" dxfId="0" priority="961">
      <formula>COUNTIF(I182:BG182,"&lt;&gt;" &amp; "")&gt;0</formula>
    </cfRule>
    <cfRule type="expression" dxfId="1" priority="962">
      <formula>AND(COUNTIF(I182:BG182,"&lt;&gt;" &amp; "")&gt;0,NOT(ISBLANK(G182)))</formula>
    </cfRule>
  </conditionalFormatting>
  <conditionalFormatting sqref="G183">
    <cfRule type="expression" dxfId="0" priority="964">
      <formula>COUNTIF(I183:BG183,"&lt;&gt;" &amp; "")&gt;0</formula>
    </cfRule>
    <cfRule type="expression" dxfId="1" priority="965">
      <formula>AND(COUNTIF(I183:BG183,"&lt;&gt;" &amp; "")&gt;0,NOT(ISBLANK(G183)))</formula>
    </cfRule>
  </conditionalFormatting>
  <conditionalFormatting sqref="G184">
    <cfRule type="expression" dxfId="0" priority="967">
      <formula>COUNTIF(I184:BG184,"&lt;&gt;" &amp; "")&gt;0</formula>
    </cfRule>
    <cfRule type="expression" dxfId="1" priority="968">
      <formula>AND(COUNTIF(I184:BG184,"&lt;&gt;" &amp; "")&gt;0,NOT(ISBLANK(G184)))</formula>
    </cfRule>
  </conditionalFormatting>
  <conditionalFormatting sqref="G185">
    <cfRule type="expression" dxfId="0" priority="970">
      <formula>COUNTIF(I185:BG185,"&lt;&gt;" &amp; "")&gt;0</formula>
    </cfRule>
    <cfRule type="expression" dxfId="1" priority="971">
      <formula>AND(COUNTIF(I185:BG185,"&lt;&gt;" &amp; "")&gt;0,NOT(ISBLANK(G185)))</formula>
    </cfRule>
  </conditionalFormatting>
  <conditionalFormatting sqref="G186">
    <cfRule type="expression" dxfId="0" priority="973">
      <formula>COUNTIF(I186:BG186,"&lt;&gt;" &amp; "")&gt;0</formula>
    </cfRule>
    <cfRule type="expression" dxfId="1" priority="974">
      <formula>AND(COUNTIF(I186:BG186,"&lt;&gt;" &amp; "")&gt;0,NOT(ISBLANK(G186)))</formula>
    </cfRule>
  </conditionalFormatting>
  <conditionalFormatting sqref="G187">
    <cfRule type="expression" dxfId="0" priority="976">
      <formula>COUNTIF(I187:BG187,"&lt;&gt;" &amp; "")&gt;0</formula>
    </cfRule>
    <cfRule type="expression" dxfId="1" priority="977">
      <formula>AND(COUNTIF(I187:BG187,"&lt;&gt;" &amp; "")&gt;0,NOT(ISBLANK(G187)))</formula>
    </cfRule>
  </conditionalFormatting>
  <conditionalFormatting sqref="G188">
    <cfRule type="expression" dxfId="0" priority="979">
      <formula>COUNTIF(I188:BG188,"&lt;&gt;" &amp; "")&gt;0</formula>
    </cfRule>
    <cfRule type="expression" dxfId="1" priority="980">
      <formula>AND(COUNTIF(I188:BG188,"&lt;&gt;" &amp; "")&gt;0,NOT(ISBLANK(G188)))</formula>
    </cfRule>
  </conditionalFormatting>
  <conditionalFormatting sqref="G189">
    <cfRule type="expression" dxfId="0" priority="982">
      <formula>COUNTIF(I189:BG189,"&lt;&gt;" &amp; "")&gt;0</formula>
    </cfRule>
    <cfRule type="expression" dxfId="1" priority="983">
      <formula>AND(COUNTIF(I189:BG189,"&lt;&gt;" &amp; "")&gt;0,NOT(ISBLANK(G189)))</formula>
    </cfRule>
  </conditionalFormatting>
  <conditionalFormatting sqref="G19">
    <cfRule type="expression" dxfId="0" priority="265">
      <formula>COUNTIF(I19:BG19,"&lt;&gt;" &amp; "")&gt;0</formula>
    </cfRule>
    <cfRule type="expression" dxfId="1" priority="266">
      <formula>AND(COUNTIF(I19:BG19,"&lt;&gt;" &amp; "")&gt;0,NOT(ISBLANK(G19)))</formula>
    </cfRule>
  </conditionalFormatting>
  <conditionalFormatting sqref="G190">
    <cfRule type="expression" dxfId="0" priority="985">
      <formula>COUNTIF(I190:BG190,"&lt;&gt;" &amp; "")&gt;0</formula>
    </cfRule>
    <cfRule type="expression" dxfId="1" priority="986">
      <formula>AND(COUNTIF(I190:BG190,"&lt;&gt;" &amp; "")&gt;0,NOT(ISBLANK(G190)))</formula>
    </cfRule>
  </conditionalFormatting>
  <conditionalFormatting sqref="G191">
    <cfRule type="expression" dxfId="0" priority="988">
      <formula>COUNTIF(I191:BG191,"&lt;&gt;" &amp; "")&gt;0</formula>
    </cfRule>
    <cfRule type="expression" dxfId="1" priority="989">
      <formula>AND(COUNTIF(I191:BG191,"&lt;&gt;" &amp; "")&gt;0,NOT(ISBLANK(G191)))</formula>
    </cfRule>
  </conditionalFormatting>
  <conditionalFormatting sqref="G192">
    <cfRule type="expression" dxfId="0" priority="991">
      <formula>COUNTIF(I192:BG192,"&lt;&gt;" &amp; "")&gt;0</formula>
    </cfRule>
    <cfRule type="expression" dxfId="1" priority="992">
      <formula>AND(COUNTIF(I192:BG192,"&lt;&gt;" &amp; "")&gt;0,NOT(ISBLANK(G192)))</formula>
    </cfRule>
  </conditionalFormatting>
  <conditionalFormatting sqref="G193">
    <cfRule type="expression" dxfId="0" priority="994">
      <formula>COUNTIF(I193:BG193,"&lt;&gt;" &amp; "")&gt;0</formula>
    </cfRule>
    <cfRule type="expression" dxfId="1" priority="995">
      <formula>AND(COUNTIF(I193:BG193,"&lt;&gt;" &amp; "")&gt;0,NOT(ISBLANK(G193)))</formula>
    </cfRule>
  </conditionalFormatting>
  <conditionalFormatting sqref="G194">
    <cfRule type="expression" dxfId="0" priority="997">
      <formula>COUNTIF(I194:BG194,"&lt;&gt;" &amp; "")&gt;0</formula>
    </cfRule>
    <cfRule type="expression" dxfId="1" priority="998">
      <formula>AND(COUNTIF(I194:BG194,"&lt;&gt;" &amp; "")&gt;0,NOT(ISBLANK(G194)))</formula>
    </cfRule>
  </conditionalFormatting>
  <conditionalFormatting sqref="G195">
    <cfRule type="expression" dxfId="0" priority="1000">
      <formula>COUNTIF(I195:BG195,"&lt;&gt;" &amp; "")&gt;0</formula>
    </cfRule>
    <cfRule type="expression" dxfId="1" priority="1001">
      <formula>AND(COUNTIF(I195:BG195,"&lt;&gt;" &amp; "")&gt;0,NOT(ISBLANK(G195)))</formula>
    </cfRule>
  </conditionalFormatting>
  <conditionalFormatting sqref="G196">
    <cfRule type="expression" dxfId="0" priority="1003">
      <formula>COUNTIF(I196:BG196,"&lt;&gt;" &amp; "")&gt;0</formula>
    </cfRule>
    <cfRule type="expression" dxfId="1" priority="1004">
      <formula>AND(COUNTIF(I196:BG196,"&lt;&gt;" &amp; "")&gt;0,NOT(ISBLANK(G196)))</formula>
    </cfRule>
  </conditionalFormatting>
  <conditionalFormatting sqref="G197">
    <cfRule type="expression" dxfId="0" priority="1006">
      <formula>COUNTIF(I197:BG197,"&lt;&gt;" &amp; "")&gt;0</formula>
    </cfRule>
    <cfRule type="expression" dxfId="1" priority="1007">
      <formula>AND(COUNTIF(I197:BG197,"&lt;&gt;" &amp; "")&gt;0,NOT(ISBLANK(G197)))</formula>
    </cfRule>
  </conditionalFormatting>
  <conditionalFormatting sqref="G198">
    <cfRule type="expression" dxfId="0" priority="1009">
      <formula>COUNTIF(I198:BG198,"&lt;&gt;" &amp; "")&gt;0</formula>
    </cfRule>
    <cfRule type="expression" dxfId="1" priority="1010">
      <formula>AND(COUNTIF(I198:BG198,"&lt;&gt;" &amp; "")&gt;0,NOT(ISBLANK(G198)))</formula>
    </cfRule>
  </conditionalFormatting>
  <conditionalFormatting sqref="G199">
    <cfRule type="expression" dxfId="0" priority="1012">
      <formula>COUNTIF(I199:BG199,"&lt;&gt;" &amp; "")&gt;0</formula>
    </cfRule>
    <cfRule type="expression" dxfId="1" priority="1013">
      <formula>AND(COUNTIF(I199:BG199,"&lt;&gt;" &amp; "")&gt;0,NOT(ISBLANK(G199)))</formula>
    </cfRule>
  </conditionalFormatting>
  <conditionalFormatting sqref="G20">
    <cfRule type="expression" dxfId="0" priority="268">
      <formula>COUNTIF(I20:BG20,"&lt;&gt;" &amp; "")&gt;0</formula>
    </cfRule>
    <cfRule type="expression" dxfId="1" priority="269">
      <formula>AND(COUNTIF(I20:BG20,"&lt;&gt;" &amp; "")&gt;0,NOT(ISBLANK(G20)))</formula>
    </cfRule>
  </conditionalFormatting>
  <conditionalFormatting sqref="G200">
    <cfRule type="expression" dxfId="0" priority="1015">
      <formula>COUNTIF(I200:BG200,"&lt;&gt;" &amp; "")&gt;0</formula>
    </cfRule>
    <cfRule type="expression" dxfId="1" priority="1016">
      <formula>AND(COUNTIF(I200:BG200,"&lt;&gt;" &amp; "")&gt;0,NOT(ISBLANK(G200)))</formula>
    </cfRule>
  </conditionalFormatting>
  <conditionalFormatting sqref="G201">
    <cfRule type="expression" dxfId="0" priority="1018">
      <formula>COUNTIF(I201:BG201,"&lt;&gt;" &amp; "")&gt;0</formula>
    </cfRule>
    <cfRule type="expression" dxfId="1" priority="1019">
      <formula>AND(COUNTIF(I201:BG201,"&lt;&gt;" &amp; "")&gt;0,NOT(ISBLANK(G201)))</formula>
    </cfRule>
  </conditionalFormatting>
  <conditionalFormatting sqref="G202">
    <cfRule type="expression" dxfId="0" priority="1021">
      <formula>COUNTIF(I202:BG202,"&lt;&gt;" &amp; "")&gt;0</formula>
    </cfRule>
    <cfRule type="expression" dxfId="1" priority="1022">
      <formula>AND(COUNTIF(I202:BG202,"&lt;&gt;" &amp; "")&gt;0,NOT(ISBLANK(G202)))</formula>
    </cfRule>
  </conditionalFormatting>
  <conditionalFormatting sqref="G203">
    <cfRule type="expression" dxfId="0" priority="1024">
      <formula>COUNTIF(I203:BG203,"&lt;&gt;" &amp; "")&gt;0</formula>
    </cfRule>
    <cfRule type="expression" dxfId="1" priority="1025">
      <formula>AND(COUNTIF(I203:BG203,"&lt;&gt;" &amp; "")&gt;0,NOT(ISBLANK(G203)))</formula>
    </cfRule>
  </conditionalFormatting>
  <conditionalFormatting sqref="G204">
    <cfRule type="expression" dxfId="0" priority="1027">
      <formula>COUNTIF(I204:BG204,"&lt;&gt;" &amp; "")&gt;0</formula>
    </cfRule>
    <cfRule type="expression" dxfId="1" priority="1028">
      <formula>AND(COUNTIF(I204:BG204,"&lt;&gt;" &amp; "")&gt;0,NOT(ISBLANK(G204)))</formula>
    </cfRule>
  </conditionalFormatting>
  <conditionalFormatting sqref="G205">
    <cfRule type="expression" dxfId="0" priority="1030">
      <formula>COUNTIF(I205:BG205,"&lt;&gt;" &amp; "")&gt;0</formula>
    </cfRule>
    <cfRule type="expression" dxfId="1" priority="1031">
      <formula>AND(COUNTIF(I205:BG205,"&lt;&gt;" &amp; "")&gt;0,NOT(ISBLANK(G205)))</formula>
    </cfRule>
  </conditionalFormatting>
  <conditionalFormatting sqref="G206">
    <cfRule type="expression" dxfId="0" priority="1033">
      <formula>COUNTIF(I206:BG206,"&lt;&gt;" &amp; "")&gt;0</formula>
    </cfRule>
    <cfRule type="expression" dxfId="1" priority="1034">
      <formula>AND(COUNTIF(I206:BG206,"&lt;&gt;" &amp; "")&gt;0,NOT(ISBLANK(G206)))</formula>
    </cfRule>
  </conditionalFormatting>
  <conditionalFormatting sqref="G207">
    <cfRule type="expression" dxfId="0" priority="1036">
      <formula>COUNTIF(I207:BG207,"&lt;&gt;" &amp; "")&gt;0</formula>
    </cfRule>
    <cfRule type="expression" dxfId="1" priority="1037">
      <formula>AND(COUNTIF(I207:BG207,"&lt;&gt;" &amp; "")&gt;0,NOT(ISBLANK(G207)))</formula>
    </cfRule>
  </conditionalFormatting>
  <conditionalFormatting sqref="G208">
    <cfRule type="expression" dxfId="0" priority="1039">
      <formula>COUNTIF(I208:BG208,"&lt;&gt;" &amp; "")&gt;0</formula>
    </cfRule>
    <cfRule type="expression" dxfId="1" priority="1040">
      <formula>AND(COUNTIF(I208:BG208,"&lt;&gt;" &amp; "")&gt;0,NOT(ISBLANK(G208)))</formula>
    </cfRule>
  </conditionalFormatting>
  <conditionalFormatting sqref="G209">
    <cfRule type="expression" dxfId="0" priority="1042">
      <formula>COUNTIF(I209:BG209,"&lt;&gt;" &amp; "")&gt;0</formula>
    </cfRule>
    <cfRule type="expression" dxfId="1" priority="1043">
      <formula>AND(COUNTIF(I209:BG209,"&lt;&gt;" &amp; "")&gt;0,NOT(ISBLANK(G209)))</formula>
    </cfRule>
  </conditionalFormatting>
  <conditionalFormatting sqref="G21">
    <cfRule type="expression" dxfId="0" priority="271">
      <formula>COUNTIF(I21:BG21,"&lt;&gt;" &amp; "")&gt;0</formula>
    </cfRule>
    <cfRule type="expression" dxfId="1" priority="272">
      <formula>AND(COUNTIF(I21:BG21,"&lt;&gt;" &amp; "")&gt;0,NOT(ISBLANK(G21)))</formula>
    </cfRule>
  </conditionalFormatting>
  <conditionalFormatting sqref="G210">
    <cfRule type="expression" dxfId="0" priority="1045">
      <formula>COUNTIF(I210:BG210,"&lt;&gt;" &amp; "")&gt;0</formula>
    </cfRule>
    <cfRule type="expression" dxfId="1" priority="1046">
      <formula>AND(COUNTIF(I210:BG210,"&lt;&gt;" &amp; "")&gt;0,NOT(ISBLANK(G210)))</formula>
    </cfRule>
  </conditionalFormatting>
  <conditionalFormatting sqref="G211">
    <cfRule type="expression" dxfId="0" priority="1048">
      <formula>COUNTIF(I211:BG211,"&lt;&gt;" &amp; "")&gt;0</formula>
    </cfRule>
    <cfRule type="expression" dxfId="1" priority="1049">
      <formula>AND(COUNTIF(I211:BG211,"&lt;&gt;" &amp; "")&gt;0,NOT(ISBLANK(G211)))</formula>
    </cfRule>
  </conditionalFormatting>
  <conditionalFormatting sqref="G212">
    <cfRule type="expression" dxfId="0" priority="1051">
      <formula>COUNTIF(I212:BG212,"&lt;&gt;" &amp; "")&gt;0</formula>
    </cfRule>
    <cfRule type="expression" dxfId="1" priority="1052">
      <formula>AND(COUNTIF(I212:BG212,"&lt;&gt;" &amp; "")&gt;0,NOT(ISBLANK(G212)))</formula>
    </cfRule>
  </conditionalFormatting>
  <conditionalFormatting sqref="G213">
    <cfRule type="expression" dxfId="0" priority="1054">
      <formula>COUNTIF(I213:BG213,"&lt;&gt;" &amp; "")&gt;0</formula>
    </cfRule>
    <cfRule type="expression" dxfId="1" priority="1055">
      <formula>AND(COUNTIF(I213:BG213,"&lt;&gt;" &amp; "")&gt;0,NOT(ISBLANK(G213)))</formula>
    </cfRule>
  </conditionalFormatting>
  <conditionalFormatting sqref="G214">
    <cfRule type="expression" dxfId="0" priority="1057">
      <formula>COUNTIF(I214:BG214,"&lt;&gt;" &amp; "")&gt;0</formula>
    </cfRule>
    <cfRule type="expression" dxfId="1" priority="1058">
      <formula>AND(COUNTIF(I214:BG214,"&lt;&gt;" &amp; "")&gt;0,NOT(ISBLANK(G214)))</formula>
    </cfRule>
  </conditionalFormatting>
  <conditionalFormatting sqref="G215">
    <cfRule type="expression" dxfId="0" priority="1060">
      <formula>COUNTIF(I215:BG215,"&lt;&gt;" &amp; "")&gt;0</formula>
    </cfRule>
    <cfRule type="expression" dxfId="1" priority="1061">
      <formula>AND(COUNTIF(I215:BG215,"&lt;&gt;" &amp; "")&gt;0,NOT(ISBLANK(G215)))</formula>
    </cfRule>
  </conditionalFormatting>
  <conditionalFormatting sqref="G216">
    <cfRule type="expression" dxfId="0" priority="1063">
      <formula>COUNTIF(I216:BG216,"&lt;&gt;" &amp; "")&gt;0</formula>
    </cfRule>
    <cfRule type="expression" dxfId="1" priority="1064">
      <formula>AND(COUNTIF(I216:BG216,"&lt;&gt;" &amp; "")&gt;0,NOT(ISBLANK(G216)))</formula>
    </cfRule>
  </conditionalFormatting>
  <conditionalFormatting sqref="G217">
    <cfRule type="expression" dxfId="0" priority="1066">
      <formula>COUNTIF(I217:BG217,"&lt;&gt;" &amp; "")&gt;0</formula>
    </cfRule>
    <cfRule type="expression" dxfId="1" priority="1067">
      <formula>AND(COUNTIF(I217:BG217,"&lt;&gt;" &amp; "")&gt;0,NOT(ISBLANK(G217)))</formula>
    </cfRule>
  </conditionalFormatting>
  <conditionalFormatting sqref="G218">
    <cfRule type="expression" dxfId="0" priority="1069">
      <formula>COUNTIF(I218:BG218,"&lt;&gt;" &amp; "")&gt;0</formula>
    </cfRule>
    <cfRule type="expression" dxfId="1" priority="1070">
      <formula>AND(COUNTIF(I218:BG218,"&lt;&gt;" &amp; "")&gt;0,NOT(ISBLANK(G218)))</formula>
    </cfRule>
  </conditionalFormatting>
  <conditionalFormatting sqref="G219">
    <cfRule type="expression" dxfId="0" priority="1072">
      <formula>COUNTIF(I219:BG219,"&lt;&gt;" &amp; "")&gt;0</formula>
    </cfRule>
    <cfRule type="expression" dxfId="1" priority="1073">
      <formula>AND(COUNTIF(I219:BG219,"&lt;&gt;" &amp; "")&gt;0,NOT(ISBLANK(G219)))</formula>
    </cfRule>
  </conditionalFormatting>
  <conditionalFormatting sqref="G22">
    <cfRule type="expression" dxfId="0" priority="274">
      <formula>COUNTIF(I22:BG22,"&lt;&gt;" &amp; "")&gt;0</formula>
    </cfRule>
    <cfRule type="expression" dxfId="1" priority="275">
      <formula>AND(COUNTIF(I22:BG22,"&lt;&gt;" &amp; "")&gt;0,NOT(ISBLANK(G22)))</formula>
    </cfRule>
  </conditionalFormatting>
  <conditionalFormatting sqref="G220">
    <cfRule type="expression" dxfId="0" priority="1075">
      <formula>COUNTIF(I220:BG220,"&lt;&gt;" &amp; "")&gt;0</formula>
    </cfRule>
    <cfRule type="expression" dxfId="1" priority="1076">
      <formula>AND(COUNTIF(I220:BG220,"&lt;&gt;" &amp; "")&gt;0,NOT(ISBLANK(G220)))</formula>
    </cfRule>
  </conditionalFormatting>
  <conditionalFormatting sqref="G221">
    <cfRule type="expression" dxfId="0" priority="1078">
      <formula>COUNTIF(I221:BG221,"&lt;&gt;" &amp; "")&gt;0</formula>
    </cfRule>
    <cfRule type="expression" dxfId="1" priority="1079">
      <formula>AND(COUNTIF(I221:BG221,"&lt;&gt;" &amp; "")&gt;0,NOT(ISBLANK(G221)))</formula>
    </cfRule>
  </conditionalFormatting>
  <conditionalFormatting sqref="G222">
    <cfRule type="expression" dxfId="0" priority="1081">
      <formula>COUNTIF(I222:BG222,"&lt;&gt;" &amp; "")&gt;0</formula>
    </cfRule>
    <cfRule type="expression" dxfId="1" priority="1082">
      <formula>AND(COUNTIF(I222:BG222,"&lt;&gt;" &amp; "")&gt;0,NOT(ISBLANK(G222)))</formula>
    </cfRule>
  </conditionalFormatting>
  <conditionalFormatting sqref="G223">
    <cfRule type="expression" dxfId="0" priority="1084">
      <formula>COUNTIF(I223:BG223,"&lt;&gt;" &amp; "")&gt;0</formula>
    </cfRule>
    <cfRule type="expression" dxfId="1" priority="1085">
      <formula>AND(COUNTIF(I223:BG223,"&lt;&gt;" &amp; "")&gt;0,NOT(ISBLANK(G223)))</formula>
    </cfRule>
  </conditionalFormatting>
  <conditionalFormatting sqref="G224">
    <cfRule type="expression" dxfId="0" priority="1087">
      <formula>COUNTIF(I224:BG224,"&lt;&gt;" &amp; "")&gt;0</formula>
    </cfRule>
    <cfRule type="expression" dxfId="1" priority="1088">
      <formula>AND(COUNTIF(I224:BG224,"&lt;&gt;" &amp; "")&gt;0,NOT(ISBLANK(G224)))</formula>
    </cfRule>
  </conditionalFormatting>
  <conditionalFormatting sqref="G225">
    <cfRule type="expression" dxfId="0" priority="1090">
      <formula>COUNTIF(I225:BG225,"&lt;&gt;" &amp; "")&gt;0</formula>
    </cfRule>
    <cfRule type="expression" dxfId="1" priority="1091">
      <formula>AND(COUNTIF(I225:BG225,"&lt;&gt;" &amp; "")&gt;0,NOT(ISBLANK(G225)))</formula>
    </cfRule>
  </conditionalFormatting>
  <conditionalFormatting sqref="G226">
    <cfRule type="expression" dxfId="0" priority="1093">
      <formula>COUNTIF(I226:BG226,"&lt;&gt;" &amp; "")&gt;0</formula>
    </cfRule>
    <cfRule type="expression" dxfId="1" priority="1094">
      <formula>AND(COUNTIF(I226:BG226,"&lt;&gt;" &amp; "")&gt;0,NOT(ISBLANK(G226)))</formula>
    </cfRule>
  </conditionalFormatting>
  <conditionalFormatting sqref="G227">
    <cfRule type="expression" dxfId="0" priority="1096">
      <formula>COUNTIF(I227:BG227,"&lt;&gt;" &amp; "")&gt;0</formula>
    </cfRule>
    <cfRule type="expression" dxfId="1" priority="1097">
      <formula>AND(COUNTIF(I227:BG227,"&lt;&gt;" &amp; "")&gt;0,NOT(ISBLANK(G227)))</formula>
    </cfRule>
  </conditionalFormatting>
  <conditionalFormatting sqref="G228">
    <cfRule type="expression" dxfId="0" priority="1099">
      <formula>COUNTIF(I228:BG228,"&lt;&gt;" &amp; "")&gt;0</formula>
    </cfRule>
    <cfRule type="expression" dxfId="1" priority="1100">
      <formula>AND(COUNTIF(I228:BG228,"&lt;&gt;" &amp; "")&gt;0,NOT(ISBLANK(G228)))</formula>
    </cfRule>
  </conditionalFormatting>
  <conditionalFormatting sqref="G229">
    <cfRule type="expression" dxfId="0" priority="1102">
      <formula>COUNTIF(I229:BG229,"&lt;&gt;" &amp; "")&gt;0</formula>
    </cfRule>
    <cfRule type="expression" dxfId="1" priority="1103">
      <formula>AND(COUNTIF(I229:BG229,"&lt;&gt;" &amp; "")&gt;0,NOT(ISBLANK(G229)))</formula>
    </cfRule>
  </conditionalFormatting>
  <conditionalFormatting sqref="G23">
    <cfRule type="expression" dxfId="0" priority="277">
      <formula>COUNTIF(I23:BG23,"&lt;&gt;" &amp; "")&gt;0</formula>
    </cfRule>
    <cfRule type="expression" dxfId="1" priority="278">
      <formula>AND(COUNTIF(I23:BG23,"&lt;&gt;" &amp; "")&gt;0,NOT(ISBLANK(G23)))</formula>
    </cfRule>
  </conditionalFormatting>
  <conditionalFormatting sqref="G230">
    <cfRule type="expression" dxfId="0" priority="1105">
      <formula>COUNTIF(I230:BG230,"&lt;&gt;" &amp; "")&gt;0</formula>
    </cfRule>
    <cfRule type="expression" dxfId="1" priority="1106">
      <formula>AND(COUNTIF(I230:BG230,"&lt;&gt;" &amp; "")&gt;0,NOT(ISBLANK(G230)))</formula>
    </cfRule>
  </conditionalFormatting>
  <conditionalFormatting sqref="G231">
    <cfRule type="expression" dxfId="0" priority="1108">
      <formula>COUNTIF(I231:BG231,"&lt;&gt;" &amp; "")&gt;0</formula>
    </cfRule>
    <cfRule type="expression" dxfId="1" priority="1109">
      <formula>AND(COUNTIF(I231:BG231,"&lt;&gt;" &amp; "")&gt;0,NOT(ISBLANK(G231)))</formula>
    </cfRule>
  </conditionalFormatting>
  <conditionalFormatting sqref="G232">
    <cfRule type="expression" dxfId="0" priority="1111">
      <formula>COUNTIF(I232:BG232,"&lt;&gt;" &amp; "")&gt;0</formula>
    </cfRule>
    <cfRule type="expression" dxfId="1" priority="1112">
      <formula>AND(COUNTIF(I232:BG232,"&lt;&gt;" &amp; "")&gt;0,NOT(ISBLANK(G232)))</formula>
    </cfRule>
  </conditionalFormatting>
  <conditionalFormatting sqref="G233">
    <cfRule type="expression" dxfId="0" priority="1114">
      <formula>COUNTIF(I233:BG233,"&lt;&gt;" &amp; "")&gt;0</formula>
    </cfRule>
    <cfRule type="expression" dxfId="1" priority="1115">
      <formula>AND(COUNTIF(I233:BG233,"&lt;&gt;" &amp; "")&gt;0,NOT(ISBLANK(G233)))</formula>
    </cfRule>
  </conditionalFormatting>
  <conditionalFormatting sqref="G234">
    <cfRule type="expression" dxfId="0" priority="1117">
      <formula>COUNTIF(I234:BG234,"&lt;&gt;" &amp; "")&gt;0</formula>
    </cfRule>
    <cfRule type="expression" dxfId="1" priority="1118">
      <formula>AND(COUNTIF(I234:BG234,"&lt;&gt;" &amp; "")&gt;0,NOT(ISBLANK(G234)))</formula>
    </cfRule>
  </conditionalFormatting>
  <conditionalFormatting sqref="G235">
    <cfRule type="expression" dxfId="0" priority="1120">
      <formula>COUNTIF(I235:BG235,"&lt;&gt;" &amp; "")&gt;0</formula>
    </cfRule>
    <cfRule type="expression" dxfId="1" priority="1121">
      <formula>AND(COUNTIF(I235:BG235,"&lt;&gt;" &amp; "")&gt;0,NOT(ISBLANK(G235)))</formula>
    </cfRule>
  </conditionalFormatting>
  <conditionalFormatting sqref="G236">
    <cfRule type="expression" dxfId="0" priority="1123">
      <formula>COUNTIF(I236:BG236,"&lt;&gt;" &amp; "")&gt;0</formula>
    </cfRule>
    <cfRule type="expression" dxfId="1" priority="1124">
      <formula>AND(COUNTIF(I236:BG236,"&lt;&gt;" &amp; "")&gt;0,NOT(ISBLANK(G236)))</formula>
    </cfRule>
  </conditionalFormatting>
  <conditionalFormatting sqref="G237">
    <cfRule type="expression" dxfId="0" priority="1126">
      <formula>COUNTIF(I237:BG237,"&lt;&gt;" &amp; "")&gt;0</formula>
    </cfRule>
    <cfRule type="expression" dxfId="1" priority="1127">
      <formula>AND(COUNTIF(I237:BG237,"&lt;&gt;" &amp; "")&gt;0,NOT(ISBLANK(G237)))</formula>
    </cfRule>
  </conditionalFormatting>
  <conditionalFormatting sqref="G238">
    <cfRule type="expression" dxfId="0" priority="1129">
      <formula>COUNTIF(I238:BG238,"&lt;&gt;" &amp; "")&gt;0</formula>
    </cfRule>
    <cfRule type="expression" dxfId="1" priority="1130">
      <formula>AND(COUNTIF(I238:BG238,"&lt;&gt;" &amp; "")&gt;0,NOT(ISBLANK(G238)))</formula>
    </cfRule>
  </conditionalFormatting>
  <conditionalFormatting sqref="G239">
    <cfRule type="expression" dxfId="0" priority="1132">
      <formula>COUNTIF(I239:BG239,"&lt;&gt;" &amp; "")&gt;0</formula>
    </cfRule>
    <cfRule type="expression" dxfId="1" priority="1133">
      <formula>AND(COUNTIF(I239:BG239,"&lt;&gt;" &amp; "")&gt;0,NOT(ISBLANK(G239)))</formula>
    </cfRule>
  </conditionalFormatting>
  <conditionalFormatting sqref="G24">
    <cfRule type="expression" dxfId="0" priority="280">
      <formula>COUNTIF(I24:BG24,"&lt;&gt;" &amp; "")&gt;0</formula>
    </cfRule>
    <cfRule type="expression" dxfId="1" priority="281">
      <formula>AND(COUNTIF(I24:BG24,"&lt;&gt;" &amp; "")&gt;0,NOT(ISBLANK(G24)))</formula>
    </cfRule>
  </conditionalFormatting>
  <conditionalFormatting sqref="G240">
    <cfRule type="expression" dxfId="0" priority="1135">
      <formula>COUNTIF(I240:BG240,"&lt;&gt;" &amp; "")&gt;0</formula>
    </cfRule>
    <cfRule type="expression" dxfId="1" priority="1136">
      <formula>AND(COUNTIF(I240:BG240,"&lt;&gt;" &amp; "")&gt;0,NOT(ISBLANK(G240)))</formula>
    </cfRule>
  </conditionalFormatting>
  <conditionalFormatting sqref="G241">
    <cfRule type="expression" dxfId="0" priority="1138">
      <formula>COUNTIF(I241:BG241,"&lt;&gt;" &amp; "")&gt;0</formula>
    </cfRule>
    <cfRule type="expression" dxfId="1" priority="1139">
      <formula>AND(COUNTIF(I241:BG241,"&lt;&gt;" &amp; "")&gt;0,NOT(ISBLANK(G241)))</formula>
    </cfRule>
  </conditionalFormatting>
  <conditionalFormatting sqref="G242">
    <cfRule type="expression" dxfId="0" priority="1141">
      <formula>COUNTIF(I242:BG242,"&lt;&gt;" &amp; "")&gt;0</formula>
    </cfRule>
    <cfRule type="expression" dxfId="1" priority="1142">
      <formula>AND(COUNTIF(I242:BG242,"&lt;&gt;" &amp; "")&gt;0,NOT(ISBLANK(G242)))</formula>
    </cfRule>
  </conditionalFormatting>
  <conditionalFormatting sqref="G243">
    <cfRule type="expression" dxfId="0" priority="1144">
      <formula>COUNTIF(I243:BG243,"&lt;&gt;" &amp; "")&gt;0</formula>
    </cfRule>
    <cfRule type="expression" dxfId="1" priority="1145">
      <formula>AND(COUNTIF(I243:BG243,"&lt;&gt;" &amp; "")&gt;0,NOT(ISBLANK(G243)))</formula>
    </cfRule>
  </conditionalFormatting>
  <conditionalFormatting sqref="G244">
    <cfRule type="expression" dxfId="0" priority="1147">
      <formula>COUNTIF(I244:BG244,"&lt;&gt;" &amp; "")&gt;0</formula>
    </cfRule>
    <cfRule type="expression" dxfId="1" priority="1148">
      <formula>AND(COUNTIF(I244:BG244,"&lt;&gt;" &amp; "")&gt;0,NOT(ISBLANK(G244)))</formula>
    </cfRule>
  </conditionalFormatting>
  <conditionalFormatting sqref="G245">
    <cfRule type="expression" dxfId="0" priority="1150">
      <formula>COUNTIF(I245:BG245,"&lt;&gt;" &amp; "")&gt;0</formula>
    </cfRule>
    <cfRule type="expression" dxfId="1" priority="1151">
      <formula>AND(COUNTIF(I245:BG245,"&lt;&gt;" &amp; "")&gt;0,NOT(ISBLANK(G245)))</formula>
    </cfRule>
  </conditionalFormatting>
  <conditionalFormatting sqref="G246">
    <cfRule type="expression" dxfId="0" priority="1153">
      <formula>COUNTIF(I246:BG246,"&lt;&gt;" &amp; "")&gt;0</formula>
    </cfRule>
    <cfRule type="expression" dxfId="1" priority="1154">
      <formula>AND(COUNTIF(I246:BG246,"&lt;&gt;" &amp; "")&gt;0,NOT(ISBLANK(G246)))</formula>
    </cfRule>
  </conditionalFormatting>
  <conditionalFormatting sqref="G247">
    <cfRule type="expression" dxfId="0" priority="1156">
      <formula>COUNTIF(I247:BG247,"&lt;&gt;" &amp; "")&gt;0</formula>
    </cfRule>
    <cfRule type="expression" dxfId="1" priority="1157">
      <formula>AND(COUNTIF(I247:BG247,"&lt;&gt;" &amp; "")&gt;0,NOT(ISBLANK(G247)))</formula>
    </cfRule>
  </conditionalFormatting>
  <conditionalFormatting sqref="G248">
    <cfRule type="expression" dxfId="0" priority="1159">
      <formula>COUNTIF(I248:BG248,"&lt;&gt;" &amp; "")&gt;0</formula>
    </cfRule>
    <cfRule type="expression" dxfId="1" priority="1160">
      <formula>AND(COUNTIF(I248:BG248,"&lt;&gt;" &amp; "")&gt;0,NOT(ISBLANK(G248)))</formula>
    </cfRule>
  </conditionalFormatting>
  <conditionalFormatting sqref="G249">
    <cfRule type="expression" dxfId="0" priority="1162">
      <formula>COUNTIF(I249:BG249,"&lt;&gt;" &amp; "")&gt;0</formula>
    </cfRule>
    <cfRule type="expression" dxfId="1" priority="1163">
      <formula>AND(COUNTIF(I249:BG249,"&lt;&gt;" &amp; "")&gt;0,NOT(ISBLANK(G249)))</formula>
    </cfRule>
  </conditionalFormatting>
  <conditionalFormatting sqref="G25">
    <cfRule type="expression" dxfId="0" priority="283">
      <formula>COUNTIF(I25:BG25,"&lt;&gt;" &amp; "")&gt;0</formula>
    </cfRule>
    <cfRule type="expression" dxfId="1" priority="284">
      <formula>AND(COUNTIF(I25:BG25,"&lt;&gt;" &amp; "")&gt;0,NOT(ISBLANK(G25)))</formula>
    </cfRule>
  </conditionalFormatting>
  <conditionalFormatting sqref="G250">
    <cfRule type="expression" dxfId="0" priority="1165">
      <formula>COUNTIF(I250:BG250,"&lt;&gt;" &amp; "")&gt;0</formula>
    </cfRule>
    <cfRule type="expression" dxfId="1" priority="1166">
      <formula>AND(COUNTIF(I250:BG250,"&lt;&gt;" &amp; "")&gt;0,NOT(ISBLANK(G250)))</formula>
    </cfRule>
  </conditionalFormatting>
  <conditionalFormatting sqref="G251">
    <cfRule type="expression" dxfId="0" priority="1168">
      <formula>COUNTIF(I251:BG251,"&lt;&gt;" &amp; "")&gt;0</formula>
    </cfRule>
    <cfRule type="expression" dxfId="1" priority="1169">
      <formula>AND(COUNTIF(I251:BG251,"&lt;&gt;" &amp; "")&gt;0,NOT(ISBLANK(G251)))</formula>
    </cfRule>
  </conditionalFormatting>
  <conditionalFormatting sqref="G252">
    <cfRule type="expression" dxfId="0" priority="1171">
      <formula>COUNTIF(I252:BG252,"&lt;&gt;" &amp; "")&gt;0</formula>
    </cfRule>
    <cfRule type="expression" dxfId="1" priority="1172">
      <formula>AND(COUNTIF(I252:BG252,"&lt;&gt;" &amp; "")&gt;0,NOT(ISBLANK(G252)))</formula>
    </cfRule>
  </conditionalFormatting>
  <conditionalFormatting sqref="G253">
    <cfRule type="expression" dxfId="0" priority="1174">
      <formula>COUNTIF(I253:BG253,"&lt;&gt;" &amp; "")&gt;0</formula>
    </cfRule>
    <cfRule type="expression" dxfId="1" priority="1175">
      <formula>AND(COUNTIF(I253:BG253,"&lt;&gt;" &amp; "")&gt;0,NOT(ISBLANK(G253)))</formula>
    </cfRule>
  </conditionalFormatting>
  <conditionalFormatting sqref="G254">
    <cfRule type="expression" dxfId="0" priority="1177">
      <formula>COUNTIF(I254:BG254,"&lt;&gt;" &amp; "")&gt;0</formula>
    </cfRule>
    <cfRule type="expression" dxfId="1" priority="1178">
      <formula>AND(COUNTIF(I254:BG254,"&lt;&gt;" &amp; "")&gt;0,NOT(ISBLANK(G254)))</formula>
    </cfRule>
  </conditionalFormatting>
  <conditionalFormatting sqref="G255">
    <cfRule type="expression" dxfId="0" priority="1180">
      <formula>COUNTIF(I255:BG255,"&lt;&gt;" &amp; "")&gt;0</formula>
    </cfRule>
    <cfRule type="expression" dxfId="1" priority="1181">
      <formula>AND(COUNTIF(I255:BG255,"&lt;&gt;" &amp; "")&gt;0,NOT(ISBLANK(G255)))</formula>
    </cfRule>
  </conditionalFormatting>
  <conditionalFormatting sqref="G256">
    <cfRule type="expression" dxfId="0" priority="1183">
      <formula>COUNTIF(I256:BG256,"&lt;&gt;" &amp; "")&gt;0</formula>
    </cfRule>
    <cfRule type="expression" dxfId="1" priority="1184">
      <formula>AND(COUNTIF(I256:BG256,"&lt;&gt;" &amp; "")&gt;0,NOT(ISBLANK(G256)))</formula>
    </cfRule>
  </conditionalFormatting>
  <conditionalFormatting sqref="G257">
    <cfRule type="expression" dxfId="0" priority="1186">
      <formula>COUNTIF(I257:BG257,"&lt;&gt;" &amp; "")&gt;0</formula>
    </cfRule>
    <cfRule type="expression" dxfId="1" priority="1187">
      <formula>AND(COUNTIF(I257:BG257,"&lt;&gt;" &amp; "")&gt;0,NOT(ISBLANK(G257)))</formula>
    </cfRule>
  </conditionalFormatting>
  <conditionalFormatting sqref="G258">
    <cfRule type="expression" dxfId="0" priority="1189">
      <formula>COUNTIF(I258:BG258,"&lt;&gt;" &amp; "")&gt;0</formula>
    </cfRule>
    <cfRule type="expression" dxfId="1" priority="1190">
      <formula>AND(COUNTIF(I258:BG258,"&lt;&gt;" &amp; "")&gt;0,NOT(ISBLANK(G258)))</formula>
    </cfRule>
  </conditionalFormatting>
  <conditionalFormatting sqref="G259">
    <cfRule type="expression" dxfId="0" priority="1192">
      <formula>COUNTIF(I259:BG259,"&lt;&gt;" &amp; "")&gt;0</formula>
    </cfRule>
    <cfRule type="expression" dxfId="1" priority="1193">
      <formula>AND(COUNTIF(I259:BG259,"&lt;&gt;" &amp; "")&gt;0,NOT(ISBLANK(G259)))</formula>
    </cfRule>
  </conditionalFormatting>
  <conditionalFormatting sqref="G26">
    <cfRule type="expression" dxfId="0" priority="286">
      <formula>COUNTIF(I26:BG26,"&lt;&gt;" &amp; "")&gt;0</formula>
    </cfRule>
    <cfRule type="expression" dxfId="1" priority="287">
      <formula>AND(COUNTIF(I26:BG26,"&lt;&gt;" &amp; "")&gt;0,NOT(ISBLANK(G26)))</formula>
    </cfRule>
  </conditionalFormatting>
  <conditionalFormatting sqref="G260">
    <cfRule type="expression" dxfId="0" priority="1195">
      <formula>COUNTIF(I260:BG260,"&lt;&gt;" &amp; "")&gt;0</formula>
    </cfRule>
    <cfRule type="expression" dxfId="1" priority="1196">
      <formula>AND(COUNTIF(I260:BG260,"&lt;&gt;" &amp; "")&gt;0,NOT(ISBLANK(G260)))</formula>
    </cfRule>
  </conditionalFormatting>
  <conditionalFormatting sqref="G261">
    <cfRule type="expression" dxfId="0" priority="1198">
      <formula>COUNTIF(I261:BG261,"&lt;&gt;" &amp; "")&gt;0</formula>
    </cfRule>
    <cfRule type="expression" dxfId="1" priority="1199">
      <formula>AND(COUNTIF(I261:BG261,"&lt;&gt;" &amp; "")&gt;0,NOT(ISBLANK(G261)))</formula>
    </cfRule>
  </conditionalFormatting>
  <conditionalFormatting sqref="G262">
    <cfRule type="expression" dxfId="0" priority="1201">
      <formula>COUNTIF(I262:BG262,"&lt;&gt;" &amp; "")&gt;0</formula>
    </cfRule>
    <cfRule type="expression" dxfId="1" priority="1202">
      <formula>AND(COUNTIF(I262:BG262,"&lt;&gt;" &amp; "")&gt;0,NOT(ISBLANK(G262)))</formula>
    </cfRule>
  </conditionalFormatting>
  <conditionalFormatting sqref="G263">
    <cfRule type="expression" dxfId="0" priority="1204">
      <formula>COUNTIF(I263:BG263,"&lt;&gt;" &amp; "")&gt;0</formula>
    </cfRule>
    <cfRule type="expression" dxfId="1" priority="1205">
      <formula>AND(COUNTIF(I263:BG263,"&lt;&gt;" &amp; "")&gt;0,NOT(ISBLANK(G263)))</formula>
    </cfRule>
  </conditionalFormatting>
  <conditionalFormatting sqref="G264">
    <cfRule type="expression" dxfId="0" priority="1207">
      <formula>COUNTIF(I264:BG264,"&lt;&gt;" &amp; "")&gt;0</formula>
    </cfRule>
    <cfRule type="expression" dxfId="1" priority="1208">
      <formula>AND(COUNTIF(I264:BG264,"&lt;&gt;" &amp; "")&gt;0,NOT(ISBLANK(G264)))</formula>
    </cfRule>
  </conditionalFormatting>
  <conditionalFormatting sqref="G265">
    <cfRule type="expression" dxfId="0" priority="1210">
      <formula>COUNTIF(I265:BG265,"&lt;&gt;" &amp; "")&gt;0</formula>
    </cfRule>
    <cfRule type="expression" dxfId="1" priority="1211">
      <formula>AND(COUNTIF(I265:BG265,"&lt;&gt;" &amp; "")&gt;0,NOT(ISBLANK(G265)))</formula>
    </cfRule>
  </conditionalFormatting>
  <conditionalFormatting sqref="G266">
    <cfRule type="expression" dxfId="0" priority="1213">
      <formula>COUNTIF(I266:BG266,"&lt;&gt;" &amp; "")&gt;0</formula>
    </cfRule>
    <cfRule type="expression" dxfId="1" priority="1214">
      <formula>AND(COUNTIF(I266:BG266,"&lt;&gt;" &amp; "")&gt;0,NOT(ISBLANK(G266)))</formula>
    </cfRule>
  </conditionalFormatting>
  <conditionalFormatting sqref="G267">
    <cfRule type="expression" dxfId="0" priority="1216">
      <formula>COUNTIF(I267:BG267,"&lt;&gt;" &amp; "")&gt;0</formula>
    </cfRule>
    <cfRule type="expression" dxfId="1" priority="1217">
      <formula>AND(COUNTIF(I267:BG267,"&lt;&gt;" &amp; "")&gt;0,NOT(ISBLANK(G267)))</formula>
    </cfRule>
  </conditionalFormatting>
  <conditionalFormatting sqref="G268">
    <cfRule type="expression" dxfId="0" priority="1219">
      <formula>COUNTIF(I268:BG268,"&lt;&gt;" &amp; "")&gt;0</formula>
    </cfRule>
    <cfRule type="expression" dxfId="1" priority="1220">
      <formula>AND(COUNTIF(I268:BG268,"&lt;&gt;" &amp; "")&gt;0,NOT(ISBLANK(G268)))</formula>
    </cfRule>
  </conditionalFormatting>
  <conditionalFormatting sqref="G269">
    <cfRule type="expression" dxfId="0" priority="1222">
      <formula>COUNTIF(I269:BG269,"&lt;&gt;" &amp; "")&gt;0</formula>
    </cfRule>
    <cfRule type="expression" dxfId="1" priority="1223">
      <formula>AND(COUNTIF(I269:BG269,"&lt;&gt;" &amp; "")&gt;0,NOT(ISBLANK(G269)))</formula>
    </cfRule>
  </conditionalFormatting>
  <conditionalFormatting sqref="G27">
    <cfRule type="expression" dxfId="0" priority="289">
      <formula>COUNTIF(I27:BG27,"&lt;&gt;" &amp; "")&gt;0</formula>
    </cfRule>
    <cfRule type="expression" dxfId="1" priority="290">
      <formula>AND(COUNTIF(I27:BG27,"&lt;&gt;" &amp; "")&gt;0,NOT(ISBLANK(G27)))</formula>
    </cfRule>
  </conditionalFormatting>
  <conditionalFormatting sqref="G270">
    <cfRule type="expression" dxfId="0" priority="1225">
      <formula>COUNTIF(I270:BG270,"&lt;&gt;" &amp; "")&gt;0</formula>
    </cfRule>
    <cfRule type="expression" dxfId="1" priority="1226">
      <formula>AND(COUNTIF(I270:BG270,"&lt;&gt;" &amp; "")&gt;0,NOT(ISBLANK(G270)))</formula>
    </cfRule>
  </conditionalFormatting>
  <conditionalFormatting sqref="G271">
    <cfRule type="expression" dxfId="0" priority="1228">
      <formula>COUNTIF(I271:BG271,"&lt;&gt;" &amp; "")&gt;0</formula>
    </cfRule>
    <cfRule type="expression" dxfId="1" priority="1229">
      <formula>AND(COUNTIF(I271:BG271,"&lt;&gt;" &amp; "")&gt;0,NOT(ISBLANK(G271)))</formula>
    </cfRule>
  </conditionalFormatting>
  <conditionalFormatting sqref="G272">
    <cfRule type="expression" dxfId="0" priority="1231">
      <formula>COUNTIF(I272:BG272,"&lt;&gt;" &amp; "")&gt;0</formula>
    </cfRule>
    <cfRule type="expression" dxfId="1" priority="1232">
      <formula>AND(COUNTIF(I272:BG272,"&lt;&gt;" &amp; "")&gt;0,NOT(ISBLANK(G272)))</formula>
    </cfRule>
  </conditionalFormatting>
  <conditionalFormatting sqref="G273">
    <cfRule type="expression" dxfId="0" priority="1234">
      <formula>COUNTIF(I273:BG273,"&lt;&gt;" &amp; "")&gt;0</formula>
    </cfRule>
    <cfRule type="expression" dxfId="1" priority="1235">
      <formula>AND(COUNTIF(I273:BG273,"&lt;&gt;" &amp; "")&gt;0,NOT(ISBLANK(G273)))</formula>
    </cfRule>
  </conditionalFormatting>
  <conditionalFormatting sqref="G274">
    <cfRule type="expression" dxfId="0" priority="1237">
      <formula>COUNTIF(I274:BG274,"&lt;&gt;" &amp; "")&gt;0</formula>
    </cfRule>
    <cfRule type="expression" dxfId="1" priority="1238">
      <formula>AND(COUNTIF(I274:BG274,"&lt;&gt;" &amp; "")&gt;0,NOT(ISBLANK(G274)))</formula>
    </cfRule>
  </conditionalFormatting>
  <conditionalFormatting sqref="G275">
    <cfRule type="expression" dxfId="0" priority="1240">
      <formula>COUNTIF(I275:BG275,"&lt;&gt;" &amp; "")&gt;0</formula>
    </cfRule>
    <cfRule type="expression" dxfId="1" priority="1241">
      <formula>AND(COUNTIF(I275:BG275,"&lt;&gt;" &amp; "")&gt;0,NOT(ISBLANK(G275)))</formula>
    </cfRule>
  </conditionalFormatting>
  <conditionalFormatting sqref="G276">
    <cfRule type="expression" dxfId="0" priority="1243">
      <formula>COUNTIF(I276:BG276,"&lt;&gt;" &amp; "")&gt;0</formula>
    </cfRule>
    <cfRule type="expression" dxfId="1" priority="1244">
      <formula>AND(COUNTIF(I276:BG276,"&lt;&gt;" &amp; "")&gt;0,NOT(ISBLANK(G276)))</formula>
    </cfRule>
  </conditionalFormatting>
  <conditionalFormatting sqref="G277">
    <cfRule type="expression" dxfId="0" priority="1246">
      <formula>COUNTIF(I277:BG277,"&lt;&gt;" &amp; "")&gt;0</formula>
    </cfRule>
    <cfRule type="expression" dxfId="1" priority="1247">
      <formula>AND(COUNTIF(I277:BG277,"&lt;&gt;" &amp; "")&gt;0,NOT(ISBLANK(G277)))</formula>
    </cfRule>
  </conditionalFormatting>
  <conditionalFormatting sqref="G278">
    <cfRule type="expression" dxfId="0" priority="1249">
      <formula>COUNTIF(I278:BG278,"&lt;&gt;" &amp; "")&gt;0</formula>
    </cfRule>
    <cfRule type="expression" dxfId="1" priority="1250">
      <formula>AND(COUNTIF(I278:BG278,"&lt;&gt;" &amp; "")&gt;0,NOT(ISBLANK(G278)))</formula>
    </cfRule>
  </conditionalFormatting>
  <conditionalFormatting sqref="G279">
    <cfRule type="expression" dxfId="0" priority="1252">
      <formula>COUNTIF(I279:BG279,"&lt;&gt;" &amp; "")&gt;0</formula>
    </cfRule>
    <cfRule type="expression" dxfId="1" priority="1253">
      <formula>AND(COUNTIF(I279:BG279,"&lt;&gt;" &amp; "")&gt;0,NOT(ISBLANK(G279)))</formula>
    </cfRule>
  </conditionalFormatting>
  <conditionalFormatting sqref="G28">
    <cfRule type="expression" dxfId="0" priority="292">
      <formula>COUNTIF(I28:BG28,"&lt;&gt;" &amp; "")&gt;0</formula>
    </cfRule>
    <cfRule type="expression" dxfId="1" priority="293">
      <formula>AND(COUNTIF(I28:BG28,"&lt;&gt;" &amp; "")&gt;0,NOT(ISBLANK(G28)))</formula>
    </cfRule>
  </conditionalFormatting>
  <conditionalFormatting sqref="G280">
    <cfRule type="expression" dxfId="0" priority="1255">
      <formula>COUNTIF(I280:BG280,"&lt;&gt;" &amp; "")&gt;0</formula>
    </cfRule>
    <cfRule type="expression" dxfId="1" priority="1256">
      <formula>AND(COUNTIF(I280:BG280,"&lt;&gt;" &amp; "")&gt;0,NOT(ISBLANK(G280)))</formula>
    </cfRule>
  </conditionalFormatting>
  <conditionalFormatting sqref="G281">
    <cfRule type="expression" dxfId="0" priority="1258">
      <formula>COUNTIF(I281:BG281,"&lt;&gt;" &amp; "")&gt;0</formula>
    </cfRule>
    <cfRule type="expression" dxfId="1" priority="1259">
      <formula>AND(COUNTIF(I281:BG281,"&lt;&gt;" &amp; "")&gt;0,NOT(ISBLANK(G281)))</formula>
    </cfRule>
  </conditionalFormatting>
  <conditionalFormatting sqref="G282">
    <cfRule type="expression" dxfId="0" priority="1261">
      <formula>COUNTIF(I282:BG282,"&lt;&gt;" &amp; "")&gt;0</formula>
    </cfRule>
    <cfRule type="expression" dxfId="1" priority="1262">
      <formula>AND(COUNTIF(I282:BG282,"&lt;&gt;" &amp; "")&gt;0,NOT(ISBLANK(G282)))</formula>
    </cfRule>
  </conditionalFormatting>
  <conditionalFormatting sqref="G283">
    <cfRule type="expression" dxfId="0" priority="1264">
      <formula>COUNTIF(I283:BG283,"&lt;&gt;" &amp; "")&gt;0</formula>
    </cfRule>
    <cfRule type="expression" dxfId="1" priority="1265">
      <formula>AND(COUNTIF(I283:BG283,"&lt;&gt;" &amp; "")&gt;0,NOT(ISBLANK(G283)))</formula>
    </cfRule>
  </conditionalFormatting>
  <conditionalFormatting sqref="G284">
    <cfRule type="expression" dxfId="0" priority="1267">
      <formula>COUNTIF(I284:BG284,"&lt;&gt;" &amp; "")&gt;0</formula>
    </cfRule>
    <cfRule type="expression" dxfId="1" priority="1268">
      <formula>AND(COUNTIF(I284:BG284,"&lt;&gt;" &amp; "")&gt;0,NOT(ISBLANK(G284)))</formula>
    </cfRule>
  </conditionalFormatting>
  <conditionalFormatting sqref="G285">
    <cfRule type="expression" dxfId="0" priority="1270">
      <formula>COUNTIF(I285:BG285,"&lt;&gt;" &amp; "")&gt;0</formula>
    </cfRule>
    <cfRule type="expression" dxfId="1" priority="1271">
      <formula>AND(COUNTIF(I285:BG285,"&lt;&gt;" &amp; "")&gt;0,NOT(ISBLANK(G285)))</formula>
    </cfRule>
  </conditionalFormatting>
  <conditionalFormatting sqref="G286">
    <cfRule type="expression" dxfId="0" priority="1273">
      <formula>COUNTIF(I286:BG286,"&lt;&gt;" &amp; "")&gt;0</formula>
    </cfRule>
    <cfRule type="expression" dxfId="1" priority="1274">
      <formula>AND(COUNTIF(I286:BG286,"&lt;&gt;" &amp; "")&gt;0,NOT(ISBLANK(G286)))</formula>
    </cfRule>
  </conditionalFormatting>
  <conditionalFormatting sqref="G287">
    <cfRule type="expression" dxfId="0" priority="1276">
      <formula>COUNTIF(I287:BG287,"&lt;&gt;" &amp; "")&gt;0</formula>
    </cfRule>
    <cfRule type="expression" dxfId="1" priority="1277">
      <formula>AND(COUNTIF(I287:BG287,"&lt;&gt;" &amp; "")&gt;0,NOT(ISBLANK(G287)))</formula>
    </cfRule>
  </conditionalFormatting>
  <conditionalFormatting sqref="G288">
    <cfRule type="expression" dxfId="0" priority="1279">
      <formula>COUNTIF(I288:BG288,"&lt;&gt;" &amp; "")&gt;0</formula>
    </cfRule>
    <cfRule type="expression" dxfId="1" priority="1280">
      <formula>AND(COUNTIF(I288:BG288,"&lt;&gt;" &amp; "")&gt;0,NOT(ISBLANK(G288)))</formula>
    </cfRule>
  </conditionalFormatting>
  <conditionalFormatting sqref="G289">
    <cfRule type="expression" dxfId="0" priority="1282">
      <formula>COUNTIF(I289:BG289,"&lt;&gt;" &amp; "")&gt;0</formula>
    </cfRule>
    <cfRule type="expression" dxfId="1" priority="1283">
      <formula>AND(COUNTIF(I289:BG289,"&lt;&gt;" &amp; "")&gt;0,NOT(ISBLANK(G289)))</formula>
    </cfRule>
  </conditionalFormatting>
  <conditionalFormatting sqref="G29">
    <cfRule type="expression" dxfId="0" priority="295">
      <formula>COUNTIF(I29:BG29,"&lt;&gt;" &amp; "")&gt;0</formula>
    </cfRule>
    <cfRule type="expression" dxfId="1" priority="296">
      <formula>AND(COUNTIF(I29:BG29,"&lt;&gt;" &amp; "")&gt;0,NOT(ISBLANK(G29)))</formula>
    </cfRule>
  </conditionalFormatting>
  <conditionalFormatting sqref="G290">
    <cfRule type="expression" dxfId="0" priority="1285">
      <formula>COUNTIF(I290:BG290,"&lt;&gt;" &amp; "")&gt;0</formula>
    </cfRule>
    <cfRule type="expression" dxfId="1" priority="1286">
      <formula>AND(COUNTIF(I290:BG290,"&lt;&gt;" &amp; "")&gt;0,NOT(ISBLANK(G290)))</formula>
    </cfRule>
  </conditionalFormatting>
  <conditionalFormatting sqref="G291">
    <cfRule type="expression" dxfId="0" priority="1288">
      <formula>COUNTIF(I291:BG291,"&lt;&gt;" &amp; "")&gt;0</formula>
    </cfRule>
    <cfRule type="expression" dxfId="1" priority="1289">
      <formula>AND(COUNTIF(I291:BG291,"&lt;&gt;" &amp; "")&gt;0,NOT(ISBLANK(G291)))</formula>
    </cfRule>
  </conditionalFormatting>
  <conditionalFormatting sqref="G292">
    <cfRule type="expression" dxfId="0" priority="1291">
      <formula>COUNTIF(I292:BG292,"&lt;&gt;" &amp; "")&gt;0</formula>
    </cfRule>
    <cfRule type="expression" dxfId="1" priority="1292">
      <formula>AND(COUNTIF(I292:BG292,"&lt;&gt;" &amp; "")&gt;0,NOT(ISBLANK(G292)))</formula>
    </cfRule>
  </conditionalFormatting>
  <conditionalFormatting sqref="G293">
    <cfRule type="expression" dxfId="0" priority="1294">
      <formula>COUNTIF(I293:BG293,"&lt;&gt;" &amp; "")&gt;0</formula>
    </cfRule>
    <cfRule type="expression" dxfId="1" priority="1295">
      <formula>AND(COUNTIF(I293:BG293,"&lt;&gt;" &amp; "")&gt;0,NOT(ISBLANK(G293)))</formula>
    </cfRule>
  </conditionalFormatting>
  <conditionalFormatting sqref="G294">
    <cfRule type="expression" dxfId="0" priority="1297">
      <formula>COUNTIF(I294:BG294,"&lt;&gt;" &amp; "")&gt;0</formula>
    </cfRule>
    <cfRule type="expression" dxfId="1" priority="1298">
      <formula>AND(COUNTIF(I294:BG294,"&lt;&gt;" &amp; "")&gt;0,NOT(ISBLANK(G294)))</formula>
    </cfRule>
  </conditionalFormatting>
  <conditionalFormatting sqref="G295">
    <cfRule type="expression" dxfId="0" priority="1300">
      <formula>COUNTIF(I295:BG295,"&lt;&gt;" &amp; "")&gt;0</formula>
    </cfRule>
    <cfRule type="expression" dxfId="1" priority="1301">
      <formula>AND(COUNTIF(I295:BG295,"&lt;&gt;" &amp; "")&gt;0,NOT(ISBLANK(G295)))</formula>
    </cfRule>
  </conditionalFormatting>
  <conditionalFormatting sqref="G296">
    <cfRule type="expression" dxfId="0" priority="1303">
      <formula>COUNTIF(I296:BG296,"&lt;&gt;" &amp; "")&gt;0</formula>
    </cfRule>
    <cfRule type="expression" dxfId="1" priority="1304">
      <formula>AND(COUNTIF(I296:BG296,"&lt;&gt;" &amp; "")&gt;0,NOT(ISBLANK(G296)))</formula>
    </cfRule>
  </conditionalFormatting>
  <conditionalFormatting sqref="G297">
    <cfRule type="expression" dxfId="0" priority="1306">
      <formula>COUNTIF(I297:BG297,"&lt;&gt;" &amp; "")&gt;0</formula>
    </cfRule>
    <cfRule type="expression" dxfId="1" priority="1307">
      <formula>AND(COUNTIF(I297:BG297,"&lt;&gt;" &amp; "")&gt;0,NOT(ISBLANK(G297)))</formula>
    </cfRule>
  </conditionalFormatting>
  <conditionalFormatting sqref="G298">
    <cfRule type="expression" dxfId="0" priority="1309">
      <formula>COUNTIF(I298:BG298,"&lt;&gt;" &amp; "")&gt;0</formula>
    </cfRule>
    <cfRule type="expression" dxfId="1" priority="1310">
      <formula>AND(COUNTIF(I298:BG298,"&lt;&gt;" &amp; "")&gt;0,NOT(ISBLANK(G298)))</formula>
    </cfRule>
  </conditionalFormatting>
  <conditionalFormatting sqref="G299">
    <cfRule type="expression" dxfId="0" priority="1312">
      <formula>COUNTIF(I299:BG299,"&lt;&gt;" &amp; "")&gt;0</formula>
    </cfRule>
    <cfRule type="expression" dxfId="1" priority="1313">
      <formula>AND(COUNTIF(I299:BG299,"&lt;&gt;" &amp; "")&gt;0,NOT(ISBLANK(G299)))</formula>
    </cfRule>
  </conditionalFormatting>
  <conditionalFormatting sqref="G30">
    <cfRule type="expression" dxfId="0" priority="298">
      <formula>COUNTIF(I30:BG30,"&lt;&gt;" &amp; "")&gt;0</formula>
    </cfRule>
    <cfRule type="expression" dxfId="1" priority="299">
      <formula>AND(COUNTIF(I30:BG30,"&lt;&gt;" &amp; "")&gt;0,NOT(ISBLANK(G30)))</formula>
    </cfRule>
  </conditionalFormatting>
  <conditionalFormatting sqref="G300">
    <cfRule type="expression" dxfId="0" priority="1315">
      <formula>COUNTIF(I300:BG300,"&lt;&gt;" &amp; "")&gt;0</formula>
    </cfRule>
    <cfRule type="expression" dxfId="1" priority="1316">
      <formula>AND(COUNTIF(I300:BG300,"&lt;&gt;" &amp; "")&gt;0,NOT(ISBLANK(G300)))</formula>
    </cfRule>
  </conditionalFormatting>
  <conditionalFormatting sqref="G301">
    <cfRule type="expression" dxfId="0" priority="1318">
      <formula>COUNTIF(I301:BG301,"&lt;&gt;" &amp; "")&gt;0</formula>
    </cfRule>
    <cfRule type="expression" dxfId="1" priority="1319">
      <formula>AND(COUNTIF(I301:BG301,"&lt;&gt;" &amp; "")&gt;0,NOT(ISBLANK(G301)))</formula>
    </cfRule>
  </conditionalFormatting>
  <conditionalFormatting sqref="G302">
    <cfRule type="expression" dxfId="0" priority="1321">
      <formula>COUNTIF(I302:BG302,"&lt;&gt;" &amp; "")&gt;0</formula>
    </cfRule>
    <cfRule type="expression" dxfId="1" priority="1322">
      <formula>AND(COUNTIF(I302:BG302,"&lt;&gt;" &amp; "")&gt;0,NOT(ISBLANK(G302)))</formula>
    </cfRule>
  </conditionalFormatting>
  <conditionalFormatting sqref="G303">
    <cfRule type="expression" dxfId="0" priority="1324">
      <formula>COUNTIF(I303:BG303,"&lt;&gt;" &amp; "")&gt;0</formula>
    </cfRule>
    <cfRule type="expression" dxfId="1" priority="1325">
      <formula>AND(COUNTIF(I303:BG303,"&lt;&gt;" &amp; "")&gt;0,NOT(ISBLANK(G303)))</formula>
    </cfRule>
  </conditionalFormatting>
  <conditionalFormatting sqref="G304">
    <cfRule type="expression" dxfId="0" priority="1327">
      <formula>COUNTIF(I304:BG304,"&lt;&gt;" &amp; "")&gt;0</formula>
    </cfRule>
    <cfRule type="expression" dxfId="1" priority="1328">
      <formula>AND(COUNTIF(I304:BG304,"&lt;&gt;" &amp; "")&gt;0,NOT(ISBLANK(G304)))</formula>
    </cfRule>
  </conditionalFormatting>
  <conditionalFormatting sqref="G305">
    <cfRule type="expression" dxfId="0" priority="1330">
      <formula>COUNTIF(I305:BG305,"&lt;&gt;" &amp; "")&gt;0</formula>
    </cfRule>
    <cfRule type="expression" dxfId="1" priority="1331">
      <formula>AND(COUNTIF(I305:BG305,"&lt;&gt;" &amp; "")&gt;0,NOT(ISBLANK(G305)))</formula>
    </cfRule>
  </conditionalFormatting>
  <conditionalFormatting sqref="G306">
    <cfRule type="expression" dxfId="0" priority="1333">
      <formula>COUNTIF(I306:BG306,"&lt;&gt;" &amp; "")&gt;0</formula>
    </cfRule>
    <cfRule type="expression" dxfId="1" priority="1334">
      <formula>AND(COUNTIF(I306:BG306,"&lt;&gt;" &amp; "")&gt;0,NOT(ISBLANK(G306)))</formula>
    </cfRule>
  </conditionalFormatting>
  <conditionalFormatting sqref="G307">
    <cfRule type="expression" dxfId="0" priority="1336">
      <formula>COUNTIF(I307:BG307,"&lt;&gt;" &amp; "")&gt;0</formula>
    </cfRule>
    <cfRule type="expression" dxfId="1" priority="1337">
      <formula>AND(COUNTIF(I307:BG307,"&lt;&gt;" &amp; "")&gt;0,NOT(ISBLANK(G307)))</formula>
    </cfRule>
  </conditionalFormatting>
  <conditionalFormatting sqref="G308">
    <cfRule type="expression" dxfId="0" priority="1339">
      <formula>COUNTIF(I308:BG308,"&lt;&gt;" &amp; "")&gt;0</formula>
    </cfRule>
    <cfRule type="expression" dxfId="1" priority="1340">
      <formula>AND(COUNTIF(I308:BG308,"&lt;&gt;" &amp; "")&gt;0,NOT(ISBLANK(G308)))</formula>
    </cfRule>
  </conditionalFormatting>
  <conditionalFormatting sqref="G309">
    <cfRule type="expression" dxfId="0" priority="1342">
      <formula>COUNTIF(I309:BG309,"&lt;&gt;" &amp; "")&gt;0</formula>
    </cfRule>
    <cfRule type="expression" dxfId="1" priority="1343">
      <formula>AND(COUNTIF(I309:BG309,"&lt;&gt;" &amp; "")&gt;0,NOT(ISBLANK(G309)))</formula>
    </cfRule>
  </conditionalFormatting>
  <conditionalFormatting sqref="G31">
    <cfRule type="expression" dxfId="0" priority="301">
      <formula>COUNTIF(I31:BG31,"&lt;&gt;" &amp; "")&gt;0</formula>
    </cfRule>
    <cfRule type="expression" dxfId="1" priority="302">
      <formula>AND(COUNTIF(I31:BG31,"&lt;&gt;" &amp; "")&gt;0,NOT(ISBLANK(G31)))</formula>
    </cfRule>
  </conditionalFormatting>
  <conditionalFormatting sqref="G310">
    <cfRule type="expression" dxfId="0" priority="1345">
      <formula>COUNTIF(I310:BG310,"&lt;&gt;" &amp; "")&gt;0</formula>
    </cfRule>
    <cfRule type="expression" dxfId="1" priority="1346">
      <formula>AND(COUNTIF(I310:BG310,"&lt;&gt;" &amp; "")&gt;0,NOT(ISBLANK(G310)))</formula>
    </cfRule>
  </conditionalFormatting>
  <conditionalFormatting sqref="G311">
    <cfRule type="expression" dxfId="0" priority="1348">
      <formula>COUNTIF(I311:BG311,"&lt;&gt;" &amp; "")&gt;0</formula>
    </cfRule>
    <cfRule type="expression" dxfId="1" priority="1349">
      <formula>AND(COUNTIF(I311:BG311,"&lt;&gt;" &amp; "")&gt;0,NOT(ISBLANK(G311)))</formula>
    </cfRule>
  </conditionalFormatting>
  <conditionalFormatting sqref="G312">
    <cfRule type="expression" dxfId="0" priority="1351">
      <formula>COUNTIF(I312:BG312,"&lt;&gt;" &amp; "")&gt;0</formula>
    </cfRule>
    <cfRule type="expression" dxfId="1" priority="1352">
      <formula>AND(COUNTIF(I312:BG312,"&lt;&gt;" &amp; "")&gt;0,NOT(ISBLANK(G312)))</formula>
    </cfRule>
  </conditionalFormatting>
  <conditionalFormatting sqref="G313">
    <cfRule type="expression" dxfId="0" priority="1354">
      <formula>COUNTIF(I313:BG313,"&lt;&gt;" &amp; "")&gt;0</formula>
    </cfRule>
    <cfRule type="expression" dxfId="1" priority="1355">
      <formula>AND(COUNTIF(I313:BG313,"&lt;&gt;" &amp; "")&gt;0,NOT(ISBLANK(G313)))</formula>
    </cfRule>
  </conditionalFormatting>
  <conditionalFormatting sqref="G314">
    <cfRule type="expression" dxfId="0" priority="1357">
      <formula>COUNTIF(I314:BG314,"&lt;&gt;" &amp; "")&gt;0</formula>
    </cfRule>
    <cfRule type="expression" dxfId="1" priority="1358">
      <formula>AND(COUNTIF(I314:BG314,"&lt;&gt;" &amp; "")&gt;0,NOT(ISBLANK(G314)))</formula>
    </cfRule>
  </conditionalFormatting>
  <conditionalFormatting sqref="G315">
    <cfRule type="expression" dxfId="0" priority="1360">
      <formula>COUNTIF(I315:BG315,"&lt;&gt;" &amp; "")&gt;0</formula>
    </cfRule>
    <cfRule type="expression" dxfId="1" priority="1361">
      <formula>AND(COUNTIF(I315:BG315,"&lt;&gt;" &amp; "")&gt;0,NOT(ISBLANK(G315)))</formula>
    </cfRule>
  </conditionalFormatting>
  <conditionalFormatting sqref="G316">
    <cfRule type="expression" dxfId="0" priority="1363">
      <formula>COUNTIF(I316:BG316,"&lt;&gt;" &amp; "")&gt;0</formula>
    </cfRule>
    <cfRule type="expression" dxfId="1" priority="1364">
      <formula>AND(COUNTIF(I316:BG316,"&lt;&gt;" &amp; "")&gt;0,NOT(ISBLANK(G316)))</formula>
    </cfRule>
  </conditionalFormatting>
  <conditionalFormatting sqref="G317">
    <cfRule type="expression" dxfId="0" priority="1366">
      <formula>COUNTIF(I317:BG317,"&lt;&gt;" &amp; "")&gt;0</formula>
    </cfRule>
    <cfRule type="expression" dxfId="1" priority="1367">
      <formula>AND(COUNTIF(I317:BG317,"&lt;&gt;" &amp; "")&gt;0,NOT(ISBLANK(G317)))</formula>
    </cfRule>
  </conditionalFormatting>
  <conditionalFormatting sqref="G318">
    <cfRule type="expression" dxfId="0" priority="1369">
      <formula>COUNTIF(I318:BG318,"&lt;&gt;" &amp; "")&gt;0</formula>
    </cfRule>
    <cfRule type="expression" dxfId="1" priority="1370">
      <formula>AND(COUNTIF(I318:BG318,"&lt;&gt;" &amp; "")&gt;0,NOT(ISBLANK(G318)))</formula>
    </cfRule>
  </conditionalFormatting>
  <conditionalFormatting sqref="G319">
    <cfRule type="expression" dxfId="0" priority="1372">
      <formula>COUNTIF(I319:BG319,"&lt;&gt;" &amp; "")&gt;0</formula>
    </cfRule>
    <cfRule type="expression" dxfId="1" priority="1373">
      <formula>AND(COUNTIF(I319:BG319,"&lt;&gt;" &amp; "")&gt;0,NOT(ISBLANK(G319)))</formula>
    </cfRule>
  </conditionalFormatting>
  <conditionalFormatting sqref="G32">
    <cfRule type="expression" dxfId="0" priority="304">
      <formula>COUNTIF(I32:BG32,"&lt;&gt;" &amp; "")&gt;0</formula>
    </cfRule>
    <cfRule type="expression" dxfId="1" priority="305">
      <formula>AND(COUNTIF(I32:BG32,"&lt;&gt;" &amp; "")&gt;0,NOT(ISBLANK(G32)))</formula>
    </cfRule>
  </conditionalFormatting>
  <conditionalFormatting sqref="G320">
    <cfRule type="expression" dxfId="0" priority="1375">
      <formula>COUNTIF(I320:BG320,"&lt;&gt;" &amp; "")&gt;0</formula>
    </cfRule>
    <cfRule type="expression" dxfId="1" priority="1376">
      <formula>AND(COUNTIF(I320:BG320,"&lt;&gt;" &amp; "")&gt;0,NOT(ISBLANK(G320)))</formula>
    </cfRule>
  </conditionalFormatting>
  <conditionalFormatting sqref="G321">
    <cfRule type="expression" dxfId="0" priority="1378">
      <formula>COUNTIF(I321:BG321,"&lt;&gt;" &amp; "")&gt;0</formula>
    </cfRule>
    <cfRule type="expression" dxfId="1" priority="1379">
      <formula>AND(COUNTIF(I321:BG321,"&lt;&gt;" &amp; "")&gt;0,NOT(ISBLANK(G321)))</formula>
    </cfRule>
  </conditionalFormatting>
  <conditionalFormatting sqref="G322">
    <cfRule type="expression" dxfId="0" priority="1381">
      <formula>COUNTIF(I322:BG322,"&lt;&gt;" &amp; "")&gt;0</formula>
    </cfRule>
    <cfRule type="expression" dxfId="1" priority="1382">
      <formula>AND(COUNTIF(I322:BG322,"&lt;&gt;" &amp; "")&gt;0,NOT(ISBLANK(G322)))</formula>
    </cfRule>
  </conditionalFormatting>
  <conditionalFormatting sqref="G323">
    <cfRule type="expression" dxfId="0" priority="1384">
      <formula>COUNTIF(I323:BG323,"&lt;&gt;" &amp; "")&gt;0</formula>
    </cfRule>
    <cfRule type="expression" dxfId="1" priority="1385">
      <formula>AND(COUNTIF(I323:BG323,"&lt;&gt;" &amp; "")&gt;0,NOT(ISBLANK(G323)))</formula>
    </cfRule>
  </conditionalFormatting>
  <conditionalFormatting sqref="G324">
    <cfRule type="expression" dxfId="0" priority="1387">
      <formula>COUNTIF(I324:BG324,"&lt;&gt;" &amp; "")&gt;0</formula>
    </cfRule>
    <cfRule type="expression" dxfId="1" priority="1388">
      <formula>AND(COUNTIF(I324:BG324,"&lt;&gt;" &amp; "")&gt;0,NOT(ISBLANK(G324)))</formula>
    </cfRule>
  </conditionalFormatting>
  <conditionalFormatting sqref="G325">
    <cfRule type="expression" dxfId="0" priority="1390">
      <formula>COUNTIF(I325:BG325,"&lt;&gt;" &amp; "")&gt;0</formula>
    </cfRule>
    <cfRule type="expression" dxfId="1" priority="1391">
      <formula>AND(COUNTIF(I325:BG325,"&lt;&gt;" &amp; "")&gt;0,NOT(ISBLANK(G325)))</formula>
    </cfRule>
  </conditionalFormatting>
  <conditionalFormatting sqref="G33">
    <cfRule type="expression" dxfId="0" priority="307">
      <formula>COUNTIF(I33:BG33,"&lt;&gt;" &amp; "")&gt;0</formula>
    </cfRule>
    <cfRule type="expression" dxfId="1" priority="308">
      <formula>AND(COUNTIF(I33:BG33,"&lt;&gt;" &amp; "")&gt;0,NOT(ISBLANK(G33)))</formula>
    </cfRule>
  </conditionalFormatting>
  <conditionalFormatting sqref="G331">
    <cfRule type="cellIs" dxfId="2" priority="1401" operator="equal">
      <formula>"Y"</formula>
    </cfRule>
    <cfRule type="cellIs" dxfId="3" priority="1402" operator="equal">
      <formula>"N"</formula>
    </cfRule>
  </conditionalFormatting>
  <conditionalFormatting sqref="G332">
    <cfRule type="cellIs" dxfId="2" priority="1423" operator="equal">
      <formula>"Y"</formula>
    </cfRule>
    <cfRule type="cellIs" dxfId="3" priority="1424" operator="equal">
      <formula>"N"</formula>
    </cfRule>
  </conditionalFormatting>
  <conditionalFormatting sqref="G333">
    <cfRule type="cellIs" dxfId="2" priority="1445" operator="equal">
      <formula>"Y"</formula>
    </cfRule>
    <cfRule type="cellIs" dxfId="3" priority="1446" operator="equal">
      <formula>"N"</formula>
    </cfRule>
  </conditionalFormatting>
  <conditionalFormatting sqref="G334">
    <cfRule type="cellIs" dxfId="2" priority="1467" operator="equal">
      <formula>"Y"</formula>
    </cfRule>
    <cfRule type="cellIs" dxfId="3" priority="1468" operator="equal">
      <formula>"N"</formula>
    </cfRule>
  </conditionalFormatting>
  <conditionalFormatting sqref="G335">
    <cfRule type="cellIs" dxfId="2" priority="1489" operator="equal">
      <formula>"Y"</formula>
    </cfRule>
    <cfRule type="cellIs" dxfId="3" priority="1490" operator="equal">
      <formula>"N"</formula>
    </cfRule>
  </conditionalFormatting>
  <conditionalFormatting sqref="G337">
    <cfRule type="cellIs" dxfId="2" priority="1535" operator="equal">
      <formula>"Y"</formula>
    </cfRule>
    <cfRule type="cellIs" dxfId="3" priority="1536" operator="equal">
      <formula>"N"</formula>
    </cfRule>
  </conditionalFormatting>
  <conditionalFormatting sqref="G338">
    <cfRule type="cellIs" dxfId="2" priority="1557" operator="equal">
      <formula>"Y"</formula>
    </cfRule>
    <cfRule type="cellIs" dxfId="3" priority="1558" operator="equal">
      <formula>"N"</formula>
    </cfRule>
  </conditionalFormatting>
  <conditionalFormatting sqref="G339">
    <cfRule type="cellIs" dxfId="2" priority="1579" operator="equal">
      <formula>"Y"</formula>
    </cfRule>
    <cfRule type="cellIs" dxfId="3" priority="1580" operator="equal">
      <formula>"N"</formula>
    </cfRule>
  </conditionalFormatting>
  <conditionalFormatting sqref="G34">
    <cfRule type="expression" dxfId="0" priority="310">
      <formula>COUNTIF(I34:BG34,"&lt;&gt;" &amp; "")&gt;0</formula>
    </cfRule>
    <cfRule type="expression" dxfId="1" priority="311">
      <formula>AND(COUNTIF(I34:BG34,"&lt;&gt;" &amp; "")&gt;0,NOT(ISBLANK(G34)))</formula>
    </cfRule>
  </conditionalFormatting>
  <conditionalFormatting sqref="G340">
    <cfRule type="cellIs" dxfId="2" priority="1601" operator="equal">
      <formula>"Y"</formula>
    </cfRule>
    <cfRule type="cellIs" dxfId="3" priority="1602" operator="equal">
      <formula>"N"</formula>
    </cfRule>
  </conditionalFormatting>
  <conditionalFormatting sqref="G341">
    <cfRule type="cellIs" dxfId="2" priority="1623" operator="equal">
      <formula>"Y"</formula>
    </cfRule>
    <cfRule type="cellIs" dxfId="3" priority="1624" operator="equal">
      <formula>"N"</formula>
    </cfRule>
  </conditionalFormatting>
  <conditionalFormatting sqref="G342">
    <cfRule type="cellIs" dxfId="2" priority="1645" operator="equal">
      <formula>"Y"</formula>
    </cfRule>
    <cfRule type="cellIs" dxfId="3" priority="1646" operator="equal">
      <formula>"N"</formula>
    </cfRule>
  </conditionalFormatting>
  <conditionalFormatting sqref="G345">
    <cfRule type="expression" dxfId="0" priority="1657">
      <formula>COUNTIF(I345:BG345,"&lt;&gt;" &amp; "")&gt;0</formula>
    </cfRule>
    <cfRule type="expression" dxfId="1" priority="1658">
      <formula>AND(COUNTIF(I345:BG345,"&lt;&gt;" &amp; "")&gt;0,NOT(ISBLANK(G345)))</formula>
    </cfRule>
  </conditionalFormatting>
  <conditionalFormatting sqref="G346">
    <cfRule type="expression" dxfId="0" priority="1660">
      <formula>COUNTIF(I346:BG346,"&lt;&gt;" &amp; "")&gt;0</formula>
    </cfRule>
    <cfRule type="expression" dxfId="1" priority="1661">
      <formula>AND(COUNTIF(I346:BG346,"&lt;&gt;" &amp; "")&gt;0,NOT(ISBLANK(G346)))</formula>
    </cfRule>
  </conditionalFormatting>
  <conditionalFormatting sqref="G347">
    <cfRule type="expression" dxfId="0" priority="1663">
      <formula>COUNTIF(I347:BG347,"&lt;&gt;" &amp; "")&gt;0</formula>
    </cfRule>
    <cfRule type="expression" dxfId="1" priority="1664">
      <formula>AND(COUNTIF(I347:BG347,"&lt;&gt;" &amp; "")&gt;0,NOT(ISBLANK(G347)))</formula>
    </cfRule>
  </conditionalFormatting>
  <conditionalFormatting sqref="G348">
    <cfRule type="expression" dxfId="0" priority="1666">
      <formula>COUNTIF(I348:BG348,"&lt;&gt;" &amp; "")&gt;0</formula>
    </cfRule>
    <cfRule type="expression" dxfId="1" priority="1667">
      <formula>AND(COUNTIF(I348:BG348,"&lt;&gt;" &amp; "")&gt;0,NOT(ISBLANK(G348)))</formula>
    </cfRule>
  </conditionalFormatting>
  <conditionalFormatting sqref="G349">
    <cfRule type="expression" dxfId="0" priority="1669">
      <formula>COUNTIF(I349:BG349,"&lt;&gt;" &amp; "")&gt;0</formula>
    </cfRule>
    <cfRule type="expression" dxfId="1" priority="1670">
      <formula>AND(COUNTIF(I349:BG349,"&lt;&gt;" &amp; "")&gt;0,NOT(ISBLANK(G349)))</formula>
    </cfRule>
  </conditionalFormatting>
  <conditionalFormatting sqref="G35">
    <cfRule type="expression" dxfId="0" priority="313">
      <formula>COUNTIF(I35:BG35,"&lt;&gt;" &amp; "")&gt;0</formula>
    </cfRule>
    <cfRule type="expression" dxfId="1" priority="314">
      <formula>AND(COUNTIF(I35:BG35,"&lt;&gt;" &amp; "")&gt;0,NOT(ISBLANK(G35)))</formula>
    </cfRule>
  </conditionalFormatting>
  <conditionalFormatting sqref="G350">
    <cfRule type="expression" dxfId="0" priority="1672">
      <formula>COUNTIF(I350:BG350,"&lt;&gt;" &amp; "")&gt;0</formula>
    </cfRule>
    <cfRule type="expression" dxfId="1" priority="1673">
      <formula>AND(COUNTIF(I350:BG350,"&lt;&gt;" &amp; "")&gt;0,NOT(ISBLANK(G350)))</formula>
    </cfRule>
  </conditionalFormatting>
  <conditionalFormatting sqref="G351">
    <cfRule type="expression" dxfId="0" priority="1675">
      <formula>COUNTIF(I351:BG351,"&lt;&gt;" &amp; "")&gt;0</formula>
    </cfRule>
    <cfRule type="expression" dxfId="1" priority="1676">
      <formula>AND(COUNTIF(I351:BG351,"&lt;&gt;" &amp; "")&gt;0,NOT(ISBLANK(G351)))</formula>
    </cfRule>
  </conditionalFormatting>
  <conditionalFormatting sqref="G352">
    <cfRule type="expression" dxfId="0" priority="1678">
      <formula>COUNTIF(I352:BG352,"&lt;&gt;" &amp; "")&gt;0</formula>
    </cfRule>
    <cfRule type="expression" dxfId="1" priority="1679">
      <formula>AND(COUNTIF(I352:BG352,"&lt;&gt;" &amp; "")&gt;0,NOT(ISBLANK(G352)))</formula>
    </cfRule>
  </conditionalFormatting>
  <conditionalFormatting sqref="G353">
    <cfRule type="expression" dxfId="0" priority="1681">
      <formula>COUNTIF(I353:BG353,"&lt;&gt;" &amp; "")&gt;0</formula>
    </cfRule>
    <cfRule type="expression" dxfId="1" priority="1682">
      <formula>AND(COUNTIF(I353:BG353,"&lt;&gt;" &amp; "")&gt;0,NOT(ISBLANK(G353)))</formula>
    </cfRule>
  </conditionalFormatting>
  <conditionalFormatting sqref="G354">
    <cfRule type="expression" dxfId="0" priority="1684">
      <formula>COUNTIF(I354:BG354,"&lt;&gt;" &amp; "")&gt;0</formula>
    </cfRule>
    <cfRule type="expression" dxfId="1" priority="1685">
      <formula>AND(COUNTIF(I354:BG354,"&lt;&gt;" &amp; "")&gt;0,NOT(ISBLANK(G354)))</formula>
    </cfRule>
  </conditionalFormatting>
  <conditionalFormatting sqref="G355">
    <cfRule type="expression" dxfId="0" priority="1687">
      <formula>COUNTIF(I355:BG355,"&lt;&gt;" &amp; "")&gt;0</formula>
    </cfRule>
    <cfRule type="expression" dxfId="1" priority="1688">
      <formula>AND(COUNTIF(I355:BG355,"&lt;&gt;" &amp; "")&gt;0,NOT(ISBLANK(G355)))</formula>
    </cfRule>
  </conditionalFormatting>
  <conditionalFormatting sqref="G356">
    <cfRule type="expression" dxfId="0" priority="1690">
      <formula>COUNTIF(I356:BG356,"&lt;&gt;" &amp; "")&gt;0</formula>
    </cfRule>
    <cfRule type="expression" dxfId="1" priority="1691">
      <formula>AND(COUNTIF(I356:BG356,"&lt;&gt;" &amp; "")&gt;0,NOT(ISBLANK(G356)))</formula>
    </cfRule>
  </conditionalFormatting>
  <conditionalFormatting sqref="G357">
    <cfRule type="expression" dxfId="0" priority="1693">
      <formula>COUNTIF(I357:BG357,"&lt;&gt;" &amp; "")&gt;0</formula>
    </cfRule>
    <cfRule type="expression" dxfId="1" priority="1694">
      <formula>AND(COUNTIF(I357:BG357,"&lt;&gt;" &amp; "")&gt;0,NOT(ISBLANK(G357)))</formula>
    </cfRule>
  </conditionalFormatting>
  <conditionalFormatting sqref="G358">
    <cfRule type="expression" dxfId="0" priority="1696">
      <formula>COUNTIF(I358:BG358,"&lt;&gt;" &amp; "")&gt;0</formula>
    </cfRule>
    <cfRule type="expression" dxfId="1" priority="1697">
      <formula>AND(COUNTIF(I358:BG358,"&lt;&gt;" &amp; "")&gt;0,NOT(ISBLANK(G358)))</formula>
    </cfRule>
  </conditionalFormatting>
  <conditionalFormatting sqref="G359">
    <cfRule type="expression" dxfId="0" priority="1699">
      <formula>COUNTIF(I359:BG359,"&lt;&gt;" &amp; "")&gt;0</formula>
    </cfRule>
    <cfRule type="expression" dxfId="1" priority="1700">
      <formula>AND(COUNTIF(I359:BG359,"&lt;&gt;" &amp; "")&gt;0,NOT(ISBLANK(G359)))</formula>
    </cfRule>
  </conditionalFormatting>
  <conditionalFormatting sqref="G36">
    <cfRule type="expression" dxfId="0" priority="316">
      <formula>COUNTIF(I36:BG36,"&lt;&gt;" &amp; "")&gt;0</formula>
    </cfRule>
    <cfRule type="expression" dxfId="1" priority="317">
      <formula>AND(COUNTIF(I36:BG36,"&lt;&gt;" &amp; "")&gt;0,NOT(ISBLANK(G36)))</formula>
    </cfRule>
  </conditionalFormatting>
  <conditionalFormatting sqref="G360">
    <cfRule type="expression" dxfId="0" priority="1702">
      <formula>COUNTIF(I360:BG360,"&lt;&gt;" &amp; "")&gt;0</formula>
    </cfRule>
    <cfRule type="expression" dxfId="1" priority="1703">
      <formula>AND(COUNTIF(I360:BG360,"&lt;&gt;" &amp; "")&gt;0,NOT(ISBLANK(G360)))</formula>
    </cfRule>
  </conditionalFormatting>
  <conditionalFormatting sqref="G361">
    <cfRule type="expression" dxfId="0" priority="1705">
      <formula>COUNTIF(I361:BG361,"&lt;&gt;" &amp; "")&gt;0</formula>
    </cfRule>
    <cfRule type="expression" dxfId="1" priority="1706">
      <formula>AND(COUNTIF(I361:BG361,"&lt;&gt;" &amp; "")&gt;0,NOT(ISBLANK(G361)))</formula>
    </cfRule>
  </conditionalFormatting>
  <conditionalFormatting sqref="G362">
    <cfRule type="expression" dxfId="0" priority="1708">
      <formula>COUNTIF(I362:BG362,"&lt;&gt;" &amp; "")&gt;0</formula>
    </cfRule>
    <cfRule type="expression" dxfId="1" priority="1709">
      <formula>AND(COUNTIF(I362:BG362,"&lt;&gt;" &amp; "")&gt;0,NOT(ISBLANK(G362)))</formula>
    </cfRule>
  </conditionalFormatting>
  <conditionalFormatting sqref="G363">
    <cfRule type="expression" dxfId="0" priority="1711">
      <formula>COUNTIF(I363:BG363,"&lt;&gt;" &amp; "")&gt;0</formula>
    </cfRule>
    <cfRule type="expression" dxfId="1" priority="1712">
      <formula>AND(COUNTIF(I363:BG363,"&lt;&gt;" &amp; "")&gt;0,NOT(ISBLANK(G363)))</formula>
    </cfRule>
  </conditionalFormatting>
  <conditionalFormatting sqref="G364">
    <cfRule type="expression" dxfId="0" priority="1714">
      <formula>COUNTIF(I364:BG364,"&lt;&gt;" &amp; "")&gt;0</formula>
    </cfRule>
    <cfRule type="expression" dxfId="1" priority="1715">
      <formula>AND(COUNTIF(I364:BG364,"&lt;&gt;" &amp; "")&gt;0,NOT(ISBLANK(G364)))</formula>
    </cfRule>
  </conditionalFormatting>
  <conditionalFormatting sqref="G365">
    <cfRule type="expression" dxfId="0" priority="1717">
      <formula>COUNTIF(I365:BG365,"&lt;&gt;" &amp; "")&gt;0</formula>
    </cfRule>
    <cfRule type="expression" dxfId="1" priority="1718">
      <formula>AND(COUNTIF(I365:BG365,"&lt;&gt;" &amp; "")&gt;0,NOT(ISBLANK(G365)))</formula>
    </cfRule>
  </conditionalFormatting>
  <conditionalFormatting sqref="G366">
    <cfRule type="expression" dxfId="0" priority="1720">
      <formula>COUNTIF(I366:BG366,"&lt;&gt;" &amp; "")&gt;0</formula>
    </cfRule>
    <cfRule type="expression" dxfId="1" priority="1721">
      <formula>AND(COUNTIF(I366:BG366,"&lt;&gt;" &amp; "")&gt;0,NOT(ISBLANK(G366)))</formula>
    </cfRule>
  </conditionalFormatting>
  <conditionalFormatting sqref="G367">
    <cfRule type="expression" dxfId="0" priority="1723">
      <formula>COUNTIF(I367:BG367,"&lt;&gt;" &amp; "")&gt;0</formula>
    </cfRule>
    <cfRule type="expression" dxfId="1" priority="1724">
      <formula>AND(COUNTIF(I367:BG367,"&lt;&gt;" &amp; "")&gt;0,NOT(ISBLANK(G367)))</formula>
    </cfRule>
  </conditionalFormatting>
  <conditionalFormatting sqref="G368">
    <cfRule type="expression" dxfId="0" priority="1726">
      <formula>COUNTIF(I368:BG368,"&lt;&gt;" &amp; "")&gt;0</formula>
    </cfRule>
    <cfRule type="expression" dxfId="1" priority="1727">
      <formula>AND(COUNTIF(I368:BG368,"&lt;&gt;" &amp; "")&gt;0,NOT(ISBLANK(G368)))</formula>
    </cfRule>
  </conditionalFormatting>
  <conditionalFormatting sqref="G369">
    <cfRule type="expression" dxfId="0" priority="1729">
      <formula>COUNTIF(I369:BG369,"&lt;&gt;" &amp; "")&gt;0</formula>
    </cfRule>
    <cfRule type="expression" dxfId="1" priority="1730">
      <formula>AND(COUNTIF(I369:BG369,"&lt;&gt;" &amp; "")&gt;0,NOT(ISBLANK(G369)))</formula>
    </cfRule>
  </conditionalFormatting>
  <conditionalFormatting sqref="G37">
    <cfRule type="expression" dxfId="0" priority="319">
      <formula>COUNTIF(I37:BG37,"&lt;&gt;" &amp; "")&gt;0</formula>
    </cfRule>
    <cfRule type="expression" dxfId="1" priority="320">
      <formula>AND(COUNTIF(I37:BG37,"&lt;&gt;" &amp; "")&gt;0,NOT(ISBLANK(G37)))</formula>
    </cfRule>
  </conditionalFormatting>
  <conditionalFormatting sqref="G370">
    <cfRule type="expression" dxfId="0" priority="1732">
      <formula>COUNTIF(I370:BG370,"&lt;&gt;" &amp; "")&gt;0</formula>
    </cfRule>
    <cfRule type="expression" dxfId="1" priority="1733">
      <formula>AND(COUNTIF(I370:BG370,"&lt;&gt;" &amp; "")&gt;0,NOT(ISBLANK(G370)))</formula>
    </cfRule>
  </conditionalFormatting>
  <conditionalFormatting sqref="G371">
    <cfRule type="expression" dxfId="0" priority="1735">
      <formula>COUNTIF(I371:BG371,"&lt;&gt;" &amp; "")&gt;0</formula>
    </cfRule>
    <cfRule type="expression" dxfId="1" priority="1736">
      <formula>AND(COUNTIF(I371:BG371,"&lt;&gt;" &amp; "")&gt;0,NOT(ISBLANK(G371)))</formula>
    </cfRule>
  </conditionalFormatting>
  <conditionalFormatting sqref="G372">
    <cfRule type="expression" dxfId="0" priority="1738">
      <formula>COUNTIF(I372:BG372,"&lt;&gt;" &amp; "")&gt;0</formula>
    </cfRule>
    <cfRule type="expression" dxfId="1" priority="1739">
      <formula>AND(COUNTIF(I372:BG372,"&lt;&gt;" &amp; "")&gt;0,NOT(ISBLANK(G372)))</formula>
    </cfRule>
  </conditionalFormatting>
  <conditionalFormatting sqref="G373">
    <cfRule type="expression" dxfId="0" priority="1741">
      <formula>COUNTIF(I373:BG373,"&lt;&gt;" &amp; "")&gt;0</formula>
    </cfRule>
    <cfRule type="expression" dxfId="1" priority="1742">
      <formula>AND(COUNTIF(I373:BG373,"&lt;&gt;" &amp; "")&gt;0,NOT(ISBLANK(G373)))</formula>
    </cfRule>
  </conditionalFormatting>
  <conditionalFormatting sqref="G374">
    <cfRule type="expression" dxfId="0" priority="1744">
      <formula>COUNTIF(I374:BG374,"&lt;&gt;" &amp; "")&gt;0</formula>
    </cfRule>
    <cfRule type="expression" dxfId="1" priority="1745">
      <formula>AND(COUNTIF(I374:BG374,"&lt;&gt;" &amp; "")&gt;0,NOT(ISBLANK(G374)))</formula>
    </cfRule>
  </conditionalFormatting>
  <conditionalFormatting sqref="G375">
    <cfRule type="expression" dxfId="0" priority="1747">
      <formula>COUNTIF(I375:BG375,"&lt;&gt;" &amp; "")&gt;0</formula>
    </cfRule>
    <cfRule type="expression" dxfId="1" priority="1748">
      <formula>AND(COUNTIF(I375:BG375,"&lt;&gt;" &amp; "")&gt;0,NOT(ISBLANK(G375)))</formula>
    </cfRule>
  </conditionalFormatting>
  <conditionalFormatting sqref="G376">
    <cfRule type="expression" dxfId="0" priority="1750">
      <formula>COUNTIF(I376:BG376,"&lt;&gt;" &amp; "")&gt;0</formula>
    </cfRule>
    <cfRule type="expression" dxfId="1" priority="1751">
      <formula>AND(COUNTIF(I376:BG376,"&lt;&gt;" &amp; "")&gt;0,NOT(ISBLANK(G376)))</formula>
    </cfRule>
  </conditionalFormatting>
  <conditionalFormatting sqref="G377">
    <cfRule type="expression" dxfId="0" priority="1753">
      <formula>COUNTIF(I377:BG377,"&lt;&gt;" &amp; "")&gt;0</formula>
    </cfRule>
    <cfRule type="expression" dxfId="1" priority="1754">
      <formula>AND(COUNTIF(I377:BG377,"&lt;&gt;" &amp; "")&gt;0,NOT(ISBLANK(G377)))</formula>
    </cfRule>
  </conditionalFormatting>
  <conditionalFormatting sqref="G378">
    <cfRule type="expression" dxfId="0" priority="1756">
      <formula>COUNTIF(I378:BG378,"&lt;&gt;" &amp; "")&gt;0</formula>
    </cfRule>
    <cfRule type="expression" dxfId="1" priority="1757">
      <formula>AND(COUNTIF(I378:BG378,"&lt;&gt;" &amp; "")&gt;0,NOT(ISBLANK(G378)))</formula>
    </cfRule>
  </conditionalFormatting>
  <conditionalFormatting sqref="G379">
    <cfRule type="expression" dxfId="0" priority="1759">
      <formula>COUNTIF(I379:BG379,"&lt;&gt;" &amp; "")&gt;0</formula>
    </cfRule>
    <cfRule type="expression" dxfId="1" priority="1760">
      <formula>AND(COUNTIF(I379:BG379,"&lt;&gt;" &amp; "")&gt;0,NOT(ISBLANK(G379)))</formula>
    </cfRule>
  </conditionalFormatting>
  <conditionalFormatting sqref="G38">
    <cfRule type="expression" dxfId="0" priority="322">
      <formula>COUNTIF(I38:BG38,"&lt;&gt;" &amp; "")&gt;0</formula>
    </cfRule>
    <cfRule type="expression" dxfId="1" priority="323">
      <formula>AND(COUNTIF(I38:BG38,"&lt;&gt;" &amp; "")&gt;0,NOT(ISBLANK(G38)))</formula>
    </cfRule>
  </conditionalFormatting>
  <conditionalFormatting sqref="G380">
    <cfRule type="expression" dxfId="0" priority="1762">
      <formula>COUNTIF(I380:BG380,"&lt;&gt;" &amp; "")&gt;0</formula>
    </cfRule>
    <cfRule type="expression" dxfId="1" priority="1763">
      <formula>AND(COUNTIF(I380:BG380,"&lt;&gt;" &amp; "")&gt;0,NOT(ISBLANK(G380)))</formula>
    </cfRule>
  </conditionalFormatting>
  <conditionalFormatting sqref="G381">
    <cfRule type="expression" dxfId="0" priority="1765">
      <formula>COUNTIF(I381:BG381,"&lt;&gt;" &amp; "")&gt;0</formula>
    </cfRule>
    <cfRule type="expression" dxfId="1" priority="1766">
      <formula>AND(COUNTIF(I381:BG381,"&lt;&gt;" &amp; "")&gt;0,NOT(ISBLANK(G381)))</formula>
    </cfRule>
  </conditionalFormatting>
  <conditionalFormatting sqref="G382">
    <cfRule type="expression" dxfId="0" priority="1768">
      <formula>COUNTIF(I382:BG382,"&lt;&gt;" &amp; "")&gt;0</formula>
    </cfRule>
    <cfRule type="expression" dxfId="1" priority="1769">
      <formula>AND(COUNTIF(I382:BG382,"&lt;&gt;" &amp; "")&gt;0,NOT(ISBLANK(G382)))</formula>
    </cfRule>
  </conditionalFormatting>
  <conditionalFormatting sqref="G383">
    <cfRule type="expression" dxfId="0" priority="1771">
      <formula>COUNTIF(I383:BG383,"&lt;&gt;" &amp; "")&gt;0</formula>
    </cfRule>
    <cfRule type="expression" dxfId="1" priority="1772">
      <formula>AND(COUNTIF(I383:BG383,"&lt;&gt;" &amp; "")&gt;0,NOT(ISBLANK(G383)))</formula>
    </cfRule>
  </conditionalFormatting>
  <conditionalFormatting sqref="G384">
    <cfRule type="expression" dxfId="0" priority="1774">
      <formula>COUNTIF(I384:BG384,"&lt;&gt;" &amp; "")&gt;0</formula>
    </cfRule>
    <cfRule type="expression" dxfId="1" priority="1775">
      <formula>AND(COUNTIF(I384:BG384,"&lt;&gt;" &amp; "")&gt;0,NOT(ISBLANK(G384)))</formula>
    </cfRule>
  </conditionalFormatting>
  <conditionalFormatting sqref="G385">
    <cfRule type="expression" dxfId="0" priority="1777">
      <formula>COUNTIF(I385:BG385,"&lt;&gt;" &amp; "")&gt;0</formula>
    </cfRule>
    <cfRule type="expression" dxfId="1" priority="1778">
      <formula>AND(COUNTIF(I385:BG385,"&lt;&gt;" &amp; "")&gt;0,NOT(ISBLANK(G385)))</formula>
    </cfRule>
  </conditionalFormatting>
  <conditionalFormatting sqref="G386">
    <cfRule type="expression" dxfId="0" priority="1780">
      <formula>COUNTIF(I386:BG386,"&lt;&gt;" &amp; "")&gt;0</formula>
    </cfRule>
    <cfRule type="expression" dxfId="1" priority="1781">
      <formula>AND(COUNTIF(I386:BG386,"&lt;&gt;" &amp; "")&gt;0,NOT(ISBLANK(G386)))</formula>
    </cfRule>
  </conditionalFormatting>
  <conditionalFormatting sqref="G387">
    <cfRule type="expression" dxfId="0" priority="1783">
      <formula>COUNTIF(I387:BG387,"&lt;&gt;" &amp; "")&gt;0</formula>
    </cfRule>
    <cfRule type="expression" dxfId="1" priority="1784">
      <formula>AND(COUNTIF(I387:BG387,"&lt;&gt;" &amp; "")&gt;0,NOT(ISBLANK(G387)))</formula>
    </cfRule>
  </conditionalFormatting>
  <conditionalFormatting sqref="G388">
    <cfRule type="expression" dxfId="0" priority="1786">
      <formula>COUNTIF(I388:BG388,"&lt;&gt;" &amp; "")&gt;0</formula>
    </cfRule>
    <cfRule type="expression" dxfId="1" priority="1787">
      <formula>AND(COUNTIF(I388:BG388,"&lt;&gt;" &amp; "")&gt;0,NOT(ISBLANK(G388)))</formula>
    </cfRule>
  </conditionalFormatting>
  <conditionalFormatting sqref="G389">
    <cfRule type="expression" dxfId="0" priority="1789">
      <formula>COUNTIF(I389:BG389,"&lt;&gt;" &amp; "")&gt;0</formula>
    </cfRule>
    <cfRule type="expression" dxfId="1" priority="1790">
      <formula>AND(COUNTIF(I389:BG389,"&lt;&gt;" &amp; "")&gt;0,NOT(ISBLANK(G389)))</formula>
    </cfRule>
  </conditionalFormatting>
  <conditionalFormatting sqref="G39">
    <cfRule type="expression" dxfId="0" priority="325">
      <formula>COUNTIF(I39:BG39,"&lt;&gt;" &amp; "")&gt;0</formula>
    </cfRule>
    <cfRule type="expression" dxfId="1" priority="326">
      <formula>AND(COUNTIF(I39:BG39,"&lt;&gt;" &amp; "")&gt;0,NOT(ISBLANK(G39)))</formula>
    </cfRule>
  </conditionalFormatting>
  <conditionalFormatting sqref="G390">
    <cfRule type="expression" dxfId="0" priority="1792">
      <formula>COUNTIF(I390:BG390,"&lt;&gt;" &amp; "")&gt;0</formula>
    </cfRule>
    <cfRule type="expression" dxfId="1" priority="1793">
      <formula>AND(COUNTIF(I390:BG390,"&lt;&gt;" &amp; "")&gt;0,NOT(ISBLANK(G390)))</formula>
    </cfRule>
  </conditionalFormatting>
  <conditionalFormatting sqref="G391">
    <cfRule type="expression" dxfId="0" priority="1795">
      <formula>COUNTIF(I391:BG391,"&lt;&gt;" &amp; "")&gt;0</formula>
    </cfRule>
    <cfRule type="expression" dxfId="1" priority="1796">
      <formula>AND(COUNTIF(I391:BG391,"&lt;&gt;" &amp; "")&gt;0,NOT(ISBLANK(G391)))</formula>
    </cfRule>
  </conditionalFormatting>
  <conditionalFormatting sqref="G392">
    <cfRule type="expression" dxfId="0" priority="1798">
      <formula>COUNTIF(I392:BG392,"&lt;&gt;" &amp; "")&gt;0</formula>
    </cfRule>
    <cfRule type="expression" dxfId="1" priority="1799">
      <formula>AND(COUNTIF(I392:BG392,"&lt;&gt;" &amp; "")&gt;0,NOT(ISBLANK(G392)))</formula>
    </cfRule>
  </conditionalFormatting>
  <conditionalFormatting sqref="G393">
    <cfRule type="expression" dxfId="0" priority="1801">
      <formula>COUNTIF(I393:BG393,"&lt;&gt;" &amp; "")&gt;0</formula>
    </cfRule>
    <cfRule type="expression" dxfId="1" priority="1802">
      <formula>AND(COUNTIF(I393:BG393,"&lt;&gt;" &amp; "")&gt;0,NOT(ISBLANK(G393)))</formula>
    </cfRule>
  </conditionalFormatting>
  <conditionalFormatting sqref="G394">
    <cfRule type="expression" dxfId="0" priority="1804">
      <formula>COUNTIF(I394:BG394,"&lt;&gt;" &amp; "")&gt;0</formula>
    </cfRule>
    <cfRule type="expression" dxfId="1" priority="1805">
      <formula>AND(COUNTIF(I394:BG394,"&lt;&gt;" &amp; "")&gt;0,NOT(ISBLANK(G394)))</formula>
    </cfRule>
  </conditionalFormatting>
  <conditionalFormatting sqref="G395">
    <cfRule type="expression" dxfId="0" priority="1807">
      <formula>COUNTIF(I395:BG395,"&lt;&gt;" &amp; "")&gt;0</formula>
    </cfRule>
    <cfRule type="expression" dxfId="1" priority="1808">
      <formula>AND(COUNTIF(I395:BG395,"&lt;&gt;" &amp; "")&gt;0,NOT(ISBLANK(G395)))</formula>
    </cfRule>
  </conditionalFormatting>
  <conditionalFormatting sqref="G396">
    <cfRule type="expression" dxfId="0" priority="1810">
      <formula>COUNTIF(I396:BG396,"&lt;&gt;" &amp; "")&gt;0</formula>
    </cfRule>
    <cfRule type="expression" dxfId="1" priority="1811">
      <formula>AND(COUNTIF(I396:BG396,"&lt;&gt;" &amp; "")&gt;0,NOT(ISBLANK(G396)))</formula>
    </cfRule>
  </conditionalFormatting>
  <conditionalFormatting sqref="G397">
    <cfRule type="expression" dxfId="0" priority="1813">
      <formula>COUNTIF(I397:BG397,"&lt;&gt;" &amp; "")&gt;0</formula>
    </cfRule>
    <cfRule type="expression" dxfId="1" priority="1814">
      <formula>AND(COUNTIF(I397:BG397,"&lt;&gt;" &amp; "")&gt;0,NOT(ISBLANK(G397)))</formula>
    </cfRule>
  </conditionalFormatting>
  <conditionalFormatting sqref="G398">
    <cfRule type="expression" dxfId="0" priority="1816">
      <formula>COUNTIF(I398:BG398,"&lt;&gt;" &amp; "")&gt;0</formula>
    </cfRule>
    <cfRule type="expression" dxfId="1" priority="1817">
      <formula>AND(COUNTIF(I398:BG398,"&lt;&gt;" &amp; "")&gt;0,NOT(ISBLANK(G398)))</formula>
    </cfRule>
  </conditionalFormatting>
  <conditionalFormatting sqref="G399">
    <cfRule type="expression" dxfId="0" priority="1819">
      <formula>COUNTIF(I399:BG399,"&lt;&gt;" &amp; "")&gt;0</formula>
    </cfRule>
    <cfRule type="expression" dxfId="1" priority="1820">
      <formula>AND(COUNTIF(I399:BG399,"&lt;&gt;" &amp; "")&gt;0,NOT(ISBLANK(G399)))</formula>
    </cfRule>
  </conditionalFormatting>
  <conditionalFormatting sqref="G40">
    <cfRule type="expression" dxfId="0" priority="328">
      <formula>COUNTIF(I40:BG40,"&lt;&gt;" &amp; "")&gt;0</formula>
    </cfRule>
    <cfRule type="expression" dxfId="1" priority="329">
      <formula>AND(COUNTIF(I40:BG40,"&lt;&gt;" &amp; "")&gt;0,NOT(ISBLANK(G40)))</formula>
    </cfRule>
  </conditionalFormatting>
  <conditionalFormatting sqref="G400">
    <cfRule type="expression" dxfId="0" priority="1822">
      <formula>COUNTIF(I400:BG400,"&lt;&gt;" &amp; "")&gt;0</formula>
    </cfRule>
    <cfRule type="expression" dxfId="1" priority="1823">
      <formula>AND(COUNTIF(I400:BG400,"&lt;&gt;" &amp; "")&gt;0,NOT(ISBLANK(G400)))</formula>
    </cfRule>
  </conditionalFormatting>
  <conditionalFormatting sqref="G401">
    <cfRule type="expression" dxfId="0" priority="1825">
      <formula>COUNTIF(I401:BG401,"&lt;&gt;" &amp; "")&gt;0</formula>
    </cfRule>
    <cfRule type="expression" dxfId="1" priority="1826">
      <formula>AND(COUNTIF(I401:BG401,"&lt;&gt;" &amp; "")&gt;0,NOT(ISBLANK(G401)))</formula>
    </cfRule>
  </conditionalFormatting>
  <conditionalFormatting sqref="G402">
    <cfRule type="expression" dxfId="0" priority="1828">
      <formula>COUNTIF(I402:BG402,"&lt;&gt;" &amp; "")&gt;0</formula>
    </cfRule>
    <cfRule type="expression" dxfId="1" priority="1829">
      <formula>AND(COUNTIF(I402:BG402,"&lt;&gt;" &amp; "")&gt;0,NOT(ISBLANK(G402)))</formula>
    </cfRule>
  </conditionalFormatting>
  <conditionalFormatting sqref="G403">
    <cfRule type="expression" dxfId="0" priority="1831">
      <formula>COUNTIF(I403:BG403,"&lt;&gt;" &amp; "")&gt;0</formula>
    </cfRule>
    <cfRule type="expression" dxfId="1" priority="1832">
      <formula>AND(COUNTIF(I403:BG403,"&lt;&gt;" &amp; "")&gt;0,NOT(ISBLANK(G403)))</formula>
    </cfRule>
  </conditionalFormatting>
  <conditionalFormatting sqref="G404">
    <cfRule type="expression" dxfId="0" priority="1834">
      <formula>COUNTIF(I404:BG404,"&lt;&gt;" &amp; "")&gt;0</formula>
    </cfRule>
    <cfRule type="expression" dxfId="1" priority="1835">
      <formula>AND(COUNTIF(I404:BG404,"&lt;&gt;" &amp; "")&gt;0,NOT(ISBLANK(G404)))</formula>
    </cfRule>
  </conditionalFormatting>
  <conditionalFormatting sqref="G405">
    <cfRule type="expression" dxfId="0" priority="1837">
      <formula>COUNTIF(I405:BG405,"&lt;&gt;" &amp; "")&gt;0</formula>
    </cfRule>
    <cfRule type="expression" dxfId="1" priority="1838">
      <formula>AND(COUNTIF(I405:BG405,"&lt;&gt;" &amp; "")&gt;0,NOT(ISBLANK(G405)))</formula>
    </cfRule>
  </conditionalFormatting>
  <conditionalFormatting sqref="G406">
    <cfRule type="expression" dxfId="0" priority="1840">
      <formula>COUNTIF(I406:BG406,"&lt;&gt;" &amp; "")&gt;0</formula>
    </cfRule>
    <cfRule type="expression" dxfId="1" priority="1841">
      <formula>AND(COUNTIF(I406:BG406,"&lt;&gt;" &amp; "")&gt;0,NOT(ISBLANK(G406)))</formula>
    </cfRule>
  </conditionalFormatting>
  <conditionalFormatting sqref="G407">
    <cfRule type="expression" dxfId="0" priority="1843">
      <formula>COUNTIF(I407:BG407,"&lt;&gt;" &amp; "")&gt;0</formula>
    </cfRule>
    <cfRule type="expression" dxfId="1" priority="1844">
      <formula>AND(COUNTIF(I407:BG407,"&lt;&gt;" &amp; "")&gt;0,NOT(ISBLANK(G407)))</formula>
    </cfRule>
  </conditionalFormatting>
  <conditionalFormatting sqref="G408">
    <cfRule type="expression" dxfId="0" priority="1846">
      <formula>COUNTIF(I408:BG408,"&lt;&gt;" &amp; "")&gt;0</formula>
    </cfRule>
    <cfRule type="expression" dxfId="1" priority="1847">
      <formula>AND(COUNTIF(I408:BG408,"&lt;&gt;" &amp; "")&gt;0,NOT(ISBLANK(G408)))</formula>
    </cfRule>
  </conditionalFormatting>
  <conditionalFormatting sqref="G409">
    <cfRule type="expression" dxfId="0" priority="1849">
      <formula>COUNTIF(I409:BG409,"&lt;&gt;" &amp; "")&gt;0</formula>
    </cfRule>
    <cfRule type="expression" dxfId="1" priority="1850">
      <formula>AND(COUNTIF(I409:BG409,"&lt;&gt;" &amp; "")&gt;0,NOT(ISBLANK(G409)))</formula>
    </cfRule>
  </conditionalFormatting>
  <conditionalFormatting sqref="G41">
    <cfRule type="expression" dxfId="0" priority="331">
      <formula>COUNTIF(I41:BG41,"&lt;&gt;" &amp; "")&gt;0</formula>
    </cfRule>
    <cfRule type="expression" dxfId="1" priority="332">
      <formula>AND(COUNTIF(I41:BG41,"&lt;&gt;" &amp; "")&gt;0,NOT(ISBLANK(G41)))</formula>
    </cfRule>
  </conditionalFormatting>
  <conditionalFormatting sqref="G410">
    <cfRule type="expression" dxfId="0" priority="1852">
      <formula>COUNTIF(I410:BG410,"&lt;&gt;" &amp; "")&gt;0</formula>
    </cfRule>
    <cfRule type="expression" dxfId="1" priority="1853">
      <formula>AND(COUNTIF(I410:BG410,"&lt;&gt;" &amp; "")&gt;0,NOT(ISBLANK(G410)))</formula>
    </cfRule>
  </conditionalFormatting>
  <conditionalFormatting sqref="G411">
    <cfRule type="expression" dxfId="0" priority="1855">
      <formula>COUNTIF(I411:BG411,"&lt;&gt;" &amp; "")&gt;0</formula>
    </cfRule>
    <cfRule type="expression" dxfId="1" priority="1856">
      <formula>AND(COUNTIF(I411:BG411,"&lt;&gt;" &amp; "")&gt;0,NOT(ISBLANK(G411)))</formula>
    </cfRule>
  </conditionalFormatting>
  <conditionalFormatting sqref="G412">
    <cfRule type="expression" dxfId="0" priority="1858">
      <formula>COUNTIF(I412:BG412,"&lt;&gt;" &amp; "")&gt;0</formula>
    </cfRule>
    <cfRule type="expression" dxfId="1" priority="1859">
      <formula>AND(COUNTIF(I412:BG412,"&lt;&gt;" &amp; "")&gt;0,NOT(ISBLANK(G412)))</formula>
    </cfRule>
  </conditionalFormatting>
  <conditionalFormatting sqref="G413">
    <cfRule type="expression" dxfId="0" priority="1861">
      <formula>COUNTIF(I413:BG413,"&lt;&gt;" &amp; "")&gt;0</formula>
    </cfRule>
    <cfRule type="expression" dxfId="1" priority="1862">
      <formula>AND(COUNTIF(I413:BG413,"&lt;&gt;" &amp; "")&gt;0,NOT(ISBLANK(G413)))</formula>
    </cfRule>
  </conditionalFormatting>
  <conditionalFormatting sqref="G414">
    <cfRule type="expression" dxfId="0" priority="1864">
      <formula>COUNTIF(I414:BG414,"&lt;&gt;" &amp; "")&gt;0</formula>
    </cfRule>
    <cfRule type="expression" dxfId="1" priority="1865">
      <formula>AND(COUNTIF(I414:BG414,"&lt;&gt;" &amp; "")&gt;0,NOT(ISBLANK(G414)))</formula>
    </cfRule>
  </conditionalFormatting>
  <conditionalFormatting sqref="G415">
    <cfRule type="expression" dxfId="0" priority="1867">
      <formula>COUNTIF(I415:BG415,"&lt;&gt;" &amp; "")&gt;0</formula>
    </cfRule>
    <cfRule type="expression" dxfId="1" priority="1868">
      <formula>AND(COUNTIF(I415:BG415,"&lt;&gt;" &amp; "")&gt;0,NOT(ISBLANK(G415)))</formula>
    </cfRule>
  </conditionalFormatting>
  <conditionalFormatting sqref="G416">
    <cfRule type="expression" dxfId="0" priority="1870">
      <formula>COUNTIF(I416:BG416,"&lt;&gt;" &amp; "")&gt;0</formula>
    </cfRule>
    <cfRule type="expression" dxfId="1" priority="1871">
      <formula>AND(COUNTIF(I416:BG416,"&lt;&gt;" &amp; "")&gt;0,NOT(ISBLANK(G416)))</formula>
    </cfRule>
  </conditionalFormatting>
  <conditionalFormatting sqref="G417">
    <cfRule type="expression" dxfId="0" priority="1873">
      <formula>COUNTIF(I417:BG417,"&lt;&gt;" &amp; "")&gt;0</formula>
    </cfRule>
    <cfRule type="expression" dxfId="1" priority="1874">
      <formula>AND(COUNTIF(I417:BG417,"&lt;&gt;" &amp; "")&gt;0,NOT(ISBLANK(G417)))</formula>
    </cfRule>
  </conditionalFormatting>
  <conditionalFormatting sqref="G418">
    <cfRule type="expression" dxfId="0" priority="1876">
      <formula>COUNTIF(I418:BG418,"&lt;&gt;" &amp; "")&gt;0</formula>
    </cfRule>
    <cfRule type="expression" dxfId="1" priority="1877">
      <formula>AND(COUNTIF(I418:BG418,"&lt;&gt;" &amp; "")&gt;0,NOT(ISBLANK(G418)))</formula>
    </cfRule>
  </conditionalFormatting>
  <conditionalFormatting sqref="G419">
    <cfRule type="expression" dxfId="0" priority="1879">
      <formula>COUNTIF(I419:BG419,"&lt;&gt;" &amp; "")&gt;0</formula>
    </cfRule>
    <cfRule type="expression" dxfId="1" priority="1880">
      <formula>AND(COUNTIF(I419:BG419,"&lt;&gt;" &amp; "")&gt;0,NOT(ISBLANK(G419)))</formula>
    </cfRule>
  </conditionalFormatting>
  <conditionalFormatting sqref="G42">
    <cfRule type="expression" dxfId="0" priority="334">
      <formula>COUNTIF(I42:BG42,"&lt;&gt;" &amp; "")&gt;0</formula>
    </cfRule>
    <cfRule type="expression" dxfId="1" priority="335">
      <formula>AND(COUNTIF(I42:BG42,"&lt;&gt;" &amp; "")&gt;0,NOT(ISBLANK(G42)))</formula>
    </cfRule>
  </conditionalFormatting>
  <conditionalFormatting sqref="G420">
    <cfRule type="expression" dxfId="0" priority="1882">
      <formula>COUNTIF(I420:BG420,"&lt;&gt;" &amp; "")&gt;0</formula>
    </cfRule>
    <cfRule type="expression" dxfId="1" priority="1883">
      <formula>AND(COUNTIF(I420:BG420,"&lt;&gt;" &amp; "")&gt;0,NOT(ISBLANK(G420)))</formula>
    </cfRule>
  </conditionalFormatting>
  <conditionalFormatting sqref="G421">
    <cfRule type="expression" dxfId="0" priority="1885">
      <formula>COUNTIF(I421:BG421,"&lt;&gt;" &amp; "")&gt;0</formula>
    </cfRule>
    <cfRule type="expression" dxfId="1" priority="1886">
      <formula>AND(COUNTIF(I421:BG421,"&lt;&gt;" &amp; "")&gt;0,NOT(ISBLANK(G421)))</formula>
    </cfRule>
  </conditionalFormatting>
  <conditionalFormatting sqref="G422">
    <cfRule type="expression" dxfId="0" priority="1888">
      <formula>COUNTIF(I422:BG422,"&lt;&gt;" &amp; "")&gt;0</formula>
    </cfRule>
    <cfRule type="expression" dxfId="1" priority="1889">
      <formula>AND(COUNTIF(I422:BG422,"&lt;&gt;" &amp; "")&gt;0,NOT(ISBLANK(G422)))</formula>
    </cfRule>
  </conditionalFormatting>
  <conditionalFormatting sqref="G423">
    <cfRule type="expression" dxfId="0" priority="1891">
      <formula>COUNTIF(I423:BG423,"&lt;&gt;" &amp; "")&gt;0</formula>
    </cfRule>
    <cfRule type="expression" dxfId="1" priority="1892">
      <formula>AND(COUNTIF(I423:BG423,"&lt;&gt;" &amp; "")&gt;0,NOT(ISBLANK(G423)))</formula>
    </cfRule>
  </conditionalFormatting>
  <conditionalFormatting sqref="G424">
    <cfRule type="expression" dxfId="0" priority="1894">
      <formula>COUNTIF(I424:BG424,"&lt;&gt;" &amp; "")&gt;0</formula>
    </cfRule>
    <cfRule type="expression" dxfId="1" priority="1895">
      <formula>AND(COUNTIF(I424:BG424,"&lt;&gt;" &amp; "")&gt;0,NOT(ISBLANK(G424)))</formula>
    </cfRule>
  </conditionalFormatting>
  <conditionalFormatting sqref="G425">
    <cfRule type="expression" dxfId="0" priority="1897">
      <formula>COUNTIF(I425:BG425,"&lt;&gt;" &amp; "")&gt;0</formula>
    </cfRule>
    <cfRule type="expression" dxfId="1" priority="1898">
      <formula>AND(COUNTIF(I425:BG425,"&lt;&gt;" &amp; "")&gt;0,NOT(ISBLANK(G425)))</formula>
    </cfRule>
  </conditionalFormatting>
  <conditionalFormatting sqref="G426">
    <cfRule type="expression" dxfId="0" priority="1900">
      <formula>COUNTIF(I426:BG426,"&lt;&gt;" &amp; "")&gt;0</formula>
    </cfRule>
    <cfRule type="expression" dxfId="1" priority="1901">
      <formula>AND(COUNTIF(I426:BG426,"&lt;&gt;" &amp; "")&gt;0,NOT(ISBLANK(G426)))</formula>
    </cfRule>
  </conditionalFormatting>
  <conditionalFormatting sqref="G427">
    <cfRule type="expression" dxfId="0" priority="1903">
      <formula>COUNTIF(I427:BG427,"&lt;&gt;" &amp; "")&gt;0</formula>
    </cfRule>
    <cfRule type="expression" dxfId="1" priority="1904">
      <formula>AND(COUNTIF(I427:BG427,"&lt;&gt;" &amp; "")&gt;0,NOT(ISBLANK(G427)))</formula>
    </cfRule>
  </conditionalFormatting>
  <conditionalFormatting sqref="G428">
    <cfRule type="expression" dxfId="0" priority="1906">
      <formula>COUNTIF(I428:BG428,"&lt;&gt;" &amp; "")&gt;0</formula>
    </cfRule>
    <cfRule type="expression" dxfId="1" priority="1907">
      <formula>AND(COUNTIF(I428:BG428,"&lt;&gt;" &amp; "")&gt;0,NOT(ISBLANK(G428)))</formula>
    </cfRule>
  </conditionalFormatting>
  <conditionalFormatting sqref="G429">
    <cfRule type="expression" dxfId="0" priority="1909">
      <formula>COUNTIF(I429:BG429,"&lt;&gt;" &amp; "")&gt;0</formula>
    </cfRule>
    <cfRule type="expression" dxfId="1" priority="1910">
      <formula>AND(COUNTIF(I429:BG429,"&lt;&gt;" &amp; "")&gt;0,NOT(ISBLANK(G429)))</formula>
    </cfRule>
  </conditionalFormatting>
  <conditionalFormatting sqref="G43">
    <cfRule type="expression" dxfId="0" priority="337">
      <formula>COUNTIF(I43:BG43,"&lt;&gt;" &amp; "")&gt;0</formula>
    </cfRule>
    <cfRule type="expression" dxfId="1" priority="338">
      <formula>AND(COUNTIF(I43:BG43,"&lt;&gt;" &amp; "")&gt;0,NOT(ISBLANK(G43)))</formula>
    </cfRule>
  </conditionalFormatting>
  <conditionalFormatting sqref="G430">
    <cfRule type="expression" dxfId="0" priority="1912">
      <formula>COUNTIF(I430:BG430,"&lt;&gt;" &amp; "")&gt;0</formula>
    </cfRule>
    <cfRule type="expression" dxfId="1" priority="1913">
      <formula>AND(COUNTIF(I430:BG430,"&lt;&gt;" &amp; "")&gt;0,NOT(ISBLANK(G430)))</formula>
    </cfRule>
  </conditionalFormatting>
  <conditionalFormatting sqref="G431">
    <cfRule type="expression" dxfId="0" priority="1915">
      <formula>COUNTIF(I431:BG431,"&lt;&gt;" &amp; "")&gt;0</formula>
    </cfRule>
    <cfRule type="expression" dxfId="1" priority="1916">
      <formula>AND(COUNTIF(I431:BG431,"&lt;&gt;" &amp; "")&gt;0,NOT(ISBLANK(G431)))</formula>
    </cfRule>
  </conditionalFormatting>
  <conditionalFormatting sqref="G432">
    <cfRule type="expression" dxfId="0" priority="1918">
      <formula>COUNTIF(I432:BG432,"&lt;&gt;" &amp; "")&gt;0</formula>
    </cfRule>
    <cfRule type="expression" dxfId="1" priority="1919">
      <formula>AND(COUNTIF(I432:BG432,"&lt;&gt;" &amp; "")&gt;0,NOT(ISBLANK(G432)))</formula>
    </cfRule>
  </conditionalFormatting>
  <conditionalFormatting sqref="G433">
    <cfRule type="expression" dxfId="0" priority="1921">
      <formula>COUNTIF(I433:BG433,"&lt;&gt;" &amp; "")&gt;0</formula>
    </cfRule>
    <cfRule type="expression" dxfId="1" priority="1922">
      <formula>AND(COUNTIF(I433:BG433,"&lt;&gt;" &amp; "")&gt;0,NOT(ISBLANK(G433)))</formula>
    </cfRule>
  </conditionalFormatting>
  <conditionalFormatting sqref="G434">
    <cfRule type="expression" dxfId="0" priority="1924">
      <formula>COUNTIF(I434:BG434,"&lt;&gt;" &amp; "")&gt;0</formula>
    </cfRule>
    <cfRule type="expression" dxfId="1" priority="1925">
      <formula>AND(COUNTIF(I434:BG434,"&lt;&gt;" &amp; "")&gt;0,NOT(ISBLANK(G434)))</formula>
    </cfRule>
  </conditionalFormatting>
  <conditionalFormatting sqref="G435">
    <cfRule type="expression" dxfId="0" priority="1927">
      <formula>COUNTIF(I435:BG435,"&lt;&gt;" &amp; "")&gt;0</formula>
    </cfRule>
    <cfRule type="expression" dxfId="1" priority="1928">
      <formula>AND(COUNTIF(I435:BG435,"&lt;&gt;" &amp; "")&gt;0,NOT(ISBLANK(G435)))</formula>
    </cfRule>
  </conditionalFormatting>
  <conditionalFormatting sqref="G436">
    <cfRule type="expression" dxfId="0" priority="1930">
      <formula>COUNTIF(I436:BG436,"&lt;&gt;" &amp; "")&gt;0</formula>
    </cfRule>
    <cfRule type="expression" dxfId="1" priority="1931">
      <formula>AND(COUNTIF(I436:BG436,"&lt;&gt;" &amp; "")&gt;0,NOT(ISBLANK(G436)))</formula>
    </cfRule>
  </conditionalFormatting>
  <conditionalFormatting sqref="G437">
    <cfRule type="expression" dxfId="0" priority="1933">
      <formula>COUNTIF(I437:BG437,"&lt;&gt;" &amp; "")&gt;0</formula>
    </cfRule>
    <cfRule type="expression" dxfId="1" priority="1934">
      <formula>AND(COUNTIF(I437:BG437,"&lt;&gt;" &amp; "")&gt;0,NOT(ISBLANK(G437)))</formula>
    </cfRule>
  </conditionalFormatting>
  <conditionalFormatting sqref="G438">
    <cfRule type="expression" dxfId="0" priority="1936">
      <formula>COUNTIF(I438:BG438,"&lt;&gt;" &amp; "")&gt;0</formula>
    </cfRule>
    <cfRule type="expression" dxfId="1" priority="1937">
      <formula>AND(COUNTIF(I438:BG438,"&lt;&gt;" &amp; "")&gt;0,NOT(ISBLANK(G438)))</formula>
    </cfRule>
  </conditionalFormatting>
  <conditionalFormatting sqref="G439">
    <cfRule type="expression" dxfId="0" priority="1939">
      <formula>COUNTIF(I439:BG439,"&lt;&gt;" &amp; "")&gt;0</formula>
    </cfRule>
    <cfRule type="expression" dxfId="1" priority="1940">
      <formula>AND(COUNTIF(I439:BG439,"&lt;&gt;" &amp; "")&gt;0,NOT(ISBLANK(G439)))</formula>
    </cfRule>
  </conditionalFormatting>
  <conditionalFormatting sqref="G44">
    <cfRule type="expression" dxfId="0" priority="340">
      <formula>COUNTIF(I44:BG44,"&lt;&gt;" &amp; "")&gt;0</formula>
    </cfRule>
    <cfRule type="expression" dxfId="1" priority="341">
      <formula>AND(COUNTIF(I44:BG44,"&lt;&gt;" &amp; "")&gt;0,NOT(ISBLANK(G44)))</formula>
    </cfRule>
  </conditionalFormatting>
  <conditionalFormatting sqref="G440">
    <cfRule type="expression" dxfId="0" priority="1942">
      <formula>COUNTIF(I440:BG440,"&lt;&gt;" &amp; "")&gt;0</formula>
    </cfRule>
    <cfRule type="expression" dxfId="1" priority="1943">
      <formula>AND(COUNTIF(I440:BG440,"&lt;&gt;" &amp; "")&gt;0,NOT(ISBLANK(G440)))</formula>
    </cfRule>
  </conditionalFormatting>
  <conditionalFormatting sqref="G441">
    <cfRule type="expression" dxfId="0" priority="1945">
      <formula>COUNTIF(I441:BG441,"&lt;&gt;" &amp; "")&gt;0</formula>
    </cfRule>
    <cfRule type="expression" dxfId="1" priority="1946">
      <formula>AND(COUNTIF(I441:BG441,"&lt;&gt;" &amp; "")&gt;0,NOT(ISBLANK(G441)))</formula>
    </cfRule>
  </conditionalFormatting>
  <conditionalFormatting sqref="G442">
    <cfRule type="expression" dxfId="0" priority="1948">
      <formula>COUNTIF(I442:BG442,"&lt;&gt;" &amp; "")&gt;0</formula>
    </cfRule>
    <cfRule type="expression" dxfId="1" priority="1949">
      <formula>AND(COUNTIF(I442:BG442,"&lt;&gt;" &amp; "")&gt;0,NOT(ISBLANK(G442)))</formula>
    </cfRule>
  </conditionalFormatting>
  <conditionalFormatting sqref="G443">
    <cfRule type="expression" dxfId="0" priority="1951">
      <formula>COUNTIF(I443:BG443,"&lt;&gt;" &amp; "")&gt;0</formula>
    </cfRule>
    <cfRule type="expression" dxfId="1" priority="1952">
      <formula>AND(COUNTIF(I443:BG443,"&lt;&gt;" &amp; "")&gt;0,NOT(ISBLANK(G443)))</formula>
    </cfRule>
  </conditionalFormatting>
  <conditionalFormatting sqref="G444">
    <cfRule type="expression" dxfId="0" priority="1954">
      <formula>COUNTIF(I444:BG444,"&lt;&gt;" &amp; "")&gt;0</formula>
    </cfRule>
    <cfRule type="expression" dxfId="1" priority="1955">
      <formula>AND(COUNTIF(I444:BG444,"&lt;&gt;" &amp; "")&gt;0,NOT(ISBLANK(G444)))</formula>
    </cfRule>
  </conditionalFormatting>
  <conditionalFormatting sqref="G445">
    <cfRule type="expression" dxfId="0" priority="1957">
      <formula>COUNTIF(I445:BG445,"&lt;&gt;" &amp; "")&gt;0</formula>
    </cfRule>
    <cfRule type="expression" dxfId="1" priority="1958">
      <formula>AND(COUNTIF(I445:BG445,"&lt;&gt;" &amp; "")&gt;0,NOT(ISBLANK(G445)))</formula>
    </cfRule>
  </conditionalFormatting>
  <conditionalFormatting sqref="G446">
    <cfRule type="expression" dxfId="0" priority="1960">
      <formula>COUNTIF(I446:BG446,"&lt;&gt;" &amp; "")&gt;0</formula>
    </cfRule>
    <cfRule type="expression" dxfId="1" priority="1961">
      <formula>AND(COUNTIF(I446:BG446,"&lt;&gt;" &amp; "")&gt;0,NOT(ISBLANK(G446)))</formula>
    </cfRule>
  </conditionalFormatting>
  <conditionalFormatting sqref="G447">
    <cfRule type="expression" dxfId="0" priority="1963">
      <formula>COUNTIF(I447:BG447,"&lt;&gt;" &amp; "")&gt;0</formula>
    </cfRule>
    <cfRule type="expression" dxfId="1" priority="1964">
      <formula>AND(COUNTIF(I447:BG447,"&lt;&gt;" &amp; "")&gt;0,NOT(ISBLANK(G447)))</formula>
    </cfRule>
  </conditionalFormatting>
  <conditionalFormatting sqref="G448">
    <cfRule type="expression" dxfId="0" priority="1966">
      <formula>COUNTIF(I448:BG448,"&lt;&gt;" &amp; "")&gt;0</formula>
    </cfRule>
    <cfRule type="expression" dxfId="1" priority="1967">
      <formula>AND(COUNTIF(I448:BG448,"&lt;&gt;" &amp; "")&gt;0,NOT(ISBLANK(G448)))</formula>
    </cfRule>
  </conditionalFormatting>
  <conditionalFormatting sqref="G449">
    <cfRule type="expression" dxfId="0" priority="1969">
      <formula>COUNTIF(I449:BG449,"&lt;&gt;" &amp; "")&gt;0</formula>
    </cfRule>
    <cfRule type="expression" dxfId="1" priority="1970">
      <formula>AND(COUNTIF(I449:BG449,"&lt;&gt;" &amp; "")&gt;0,NOT(ISBLANK(G449)))</formula>
    </cfRule>
  </conditionalFormatting>
  <conditionalFormatting sqref="G45">
    <cfRule type="expression" dxfId="0" priority="343">
      <formula>COUNTIF(I45:BG45,"&lt;&gt;" &amp; "")&gt;0</formula>
    </cfRule>
    <cfRule type="expression" dxfId="1" priority="344">
      <formula>AND(COUNTIF(I45:BG45,"&lt;&gt;" &amp; "")&gt;0,NOT(ISBLANK(G45)))</formula>
    </cfRule>
  </conditionalFormatting>
  <conditionalFormatting sqref="G450">
    <cfRule type="expression" dxfId="0" priority="1972">
      <formula>COUNTIF(I450:BG450,"&lt;&gt;" &amp; "")&gt;0</formula>
    </cfRule>
    <cfRule type="expression" dxfId="1" priority="1973">
      <formula>AND(COUNTIF(I450:BG450,"&lt;&gt;" &amp; "")&gt;0,NOT(ISBLANK(G450)))</formula>
    </cfRule>
  </conditionalFormatting>
  <conditionalFormatting sqref="G451">
    <cfRule type="expression" dxfId="0" priority="1975">
      <formula>COUNTIF(I451:BG451,"&lt;&gt;" &amp; "")&gt;0</formula>
    </cfRule>
    <cfRule type="expression" dxfId="1" priority="1976">
      <formula>AND(COUNTIF(I451:BG451,"&lt;&gt;" &amp; "")&gt;0,NOT(ISBLANK(G451)))</formula>
    </cfRule>
  </conditionalFormatting>
  <conditionalFormatting sqref="G452">
    <cfRule type="expression" dxfId="0" priority="1978">
      <formula>COUNTIF(I452:BG452,"&lt;&gt;" &amp; "")&gt;0</formula>
    </cfRule>
    <cfRule type="expression" dxfId="1" priority="1979">
      <formula>AND(COUNTIF(I452:BG452,"&lt;&gt;" &amp; "")&gt;0,NOT(ISBLANK(G452)))</formula>
    </cfRule>
  </conditionalFormatting>
  <conditionalFormatting sqref="G453">
    <cfRule type="expression" dxfId="0" priority="1981">
      <formula>COUNTIF(I453:BG453,"&lt;&gt;" &amp; "")&gt;0</formula>
    </cfRule>
    <cfRule type="expression" dxfId="1" priority="1982">
      <formula>AND(COUNTIF(I453:BG453,"&lt;&gt;" &amp; "")&gt;0,NOT(ISBLANK(G453)))</formula>
    </cfRule>
  </conditionalFormatting>
  <conditionalFormatting sqref="G454">
    <cfRule type="expression" dxfId="0" priority="1984">
      <formula>COUNTIF(I454:BG454,"&lt;&gt;" &amp; "")&gt;0</formula>
    </cfRule>
    <cfRule type="expression" dxfId="1" priority="1985">
      <formula>AND(COUNTIF(I454:BG454,"&lt;&gt;" &amp; "")&gt;0,NOT(ISBLANK(G454)))</formula>
    </cfRule>
  </conditionalFormatting>
  <conditionalFormatting sqref="G455">
    <cfRule type="expression" dxfId="0" priority="1987">
      <formula>COUNTIF(I455:BG455,"&lt;&gt;" &amp; "")&gt;0</formula>
    </cfRule>
    <cfRule type="expression" dxfId="1" priority="1988">
      <formula>AND(COUNTIF(I455:BG455,"&lt;&gt;" &amp; "")&gt;0,NOT(ISBLANK(G455)))</formula>
    </cfRule>
  </conditionalFormatting>
  <conditionalFormatting sqref="G456">
    <cfRule type="expression" dxfId="0" priority="1990">
      <formula>COUNTIF(I456:BG456,"&lt;&gt;" &amp; "")&gt;0</formula>
    </cfRule>
    <cfRule type="expression" dxfId="1" priority="1991">
      <formula>AND(COUNTIF(I456:BG456,"&lt;&gt;" &amp; "")&gt;0,NOT(ISBLANK(G456)))</formula>
    </cfRule>
  </conditionalFormatting>
  <conditionalFormatting sqref="G457">
    <cfRule type="expression" dxfId="0" priority="1993">
      <formula>COUNTIF(I457:BG457,"&lt;&gt;" &amp; "")&gt;0</formula>
    </cfRule>
    <cfRule type="expression" dxfId="1" priority="1994">
      <formula>AND(COUNTIF(I457:BG457,"&lt;&gt;" &amp; "")&gt;0,NOT(ISBLANK(G457)))</formula>
    </cfRule>
  </conditionalFormatting>
  <conditionalFormatting sqref="G458">
    <cfRule type="expression" dxfId="0" priority="1996">
      <formula>COUNTIF(I458:BG458,"&lt;&gt;" &amp; "")&gt;0</formula>
    </cfRule>
    <cfRule type="expression" dxfId="1" priority="1997">
      <formula>AND(COUNTIF(I458:BG458,"&lt;&gt;" &amp; "")&gt;0,NOT(ISBLANK(G458)))</formula>
    </cfRule>
  </conditionalFormatting>
  <conditionalFormatting sqref="G459">
    <cfRule type="expression" dxfId="0" priority="1999">
      <formula>COUNTIF(I459:BG459,"&lt;&gt;" &amp; "")&gt;0</formula>
    </cfRule>
    <cfRule type="expression" dxfId="1" priority="2000">
      <formula>AND(COUNTIF(I459:BG459,"&lt;&gt;" &amp; "")&gt;0,NOT(ISBLANK(G459)))</formula>
    </cfRule>
  </conditionalFormatting>
  <conditionalFormatting sqref="G46">
    <cfRule type="expression" dxfId="0" priority="346">
      <formula>COUNTIF(I46:BG46,"&lt;&gt;" &amp; "")&gt;0</formula>
    </cfRule>
    <cfRule type="expression" dxfId="1" priority="347">
      <formula>AND(COUNTIF(I46:BG46,"&lt;&gt;" &amp; "")&gt;0,NOT(ISBLANK(G46)))</formula>
    </cfRule>
  </conditionalFormatting>
  <conditionalFormatting sqref="G460">
    <cfRule type="expression" dxfId="0" priority="2002">
      <formula>COUNTIF(I460:BG460,"&lt;&gt;" &amp; "")&gt;0</formula>
    </cfRule>
    <cfRule type="expression" dxfId="1" priority="2003">
      <formula>AND(COUNTIF(I460:BG460,"&lt;&gt;" &amp; "")&gt;0,NOT(ISBLANK(G460)))</formula>
    </cfRule>
  </conditionalFormatting>
  <conditionalFormatting sqref="G461">
    <cfRule type="expression" dxfId="0" priority="2005">
      <formula>COUNTIF(I461:BG461,"&lt;&gt;" &amp; "")&gt;0</formula>
    </cfRule>
    <cfRule type="expression" dxfId="1" priority="2006">
      <formula>AND(COUNTIF(I461:BG461,"&lt;&gt;" &amp; "")&gt;0,NOT(ISBLANK(G461)))</formula>
    </cfRule>
  </conditionalFormatting>
  <conditionalFormatting sqref="G462">
    <cfRule type="expression" dxfId="0" priority="2008">
      <formula>COUNTIF(I462:BG462,"&lt;&gt;" &amp; "")&gt;0</formula>
    </cfRule>
    <cfRule type="expression" dxfId="1" priority="2009">
      <formula>AND(COUNTIF(I462:BG462,"&lt;&gt;" &amp; "")&gt;0,NOT(ISBLANK(G462)))</formula>
    </cfRule>
  </conditionalFormatting>
  <conditionalFormatting sqref="G463">
    <cfRule type="expression" dxfId="0" priority="2011">
      <formula>COUNTIF(I463:BG463,"&lt;&gt;" &amp; "")&gt;0</formula>
    </cfRule>
    <cfRule type="expression" dxfId="1" priority="2012">
      <formula>AND(COUNTIF(I463:BG463,"&lt;&gt;" &amp; "")&gt;0,NOT(ISBLANK(G463)))</formula>
    </cfRule>
  </conditionalFormatting>
  <conditionalFormatting sqref="G464">
    <cfRule type="expression" dxfId="0" priority="2014">
      <formula>COUNTIF(I464:BG464,"&lt;&gt;" &amp; "")&gt;0</formula>
    </cfRule>
    <cfRule type="expression" dxfId="1" priority="2015">
      <formula>AND(COUNTIF(I464:BG464,"&lt;&gt;" &amp; "")&gt;0,NOT(ISBLANK(G464)))</formula>
    </cfRule>
  </conditionalFormatting>
  <conditionalFormatting sqref="G465">
    <cfRule type="expression" dxfId="0" priority="2017">
      <formula>COUNTIF(I465:BG465,"&lt;&gt;" &amp; "")&gt;0</formula>
    </cfRule>
    <cfRule type="expression" dxfId="1" priority="2018">
      <formula>AND(COUNTIF(I465:BG465,"&lt;&gt;" &amp; "")&gt;0,NOT(ISBLANK(G465)))</formula>
    </cfRule>
  </conditionalFormatting>
  <conditionalFormatting sqref="G466">
    <cfRule type="expression" dxfId="0" priority="2020">
      <formula>COUNTIF(I466:BG466,"&lt;&gt;" &amp; "")&gt;0</formula>
    </cfRule>
    <cfRule type="expression" dxfId="1" priority="2021">
      <formula>AND(COUNTIF(I466:BG466,"&lt;&gt;" &amp; "")&gt;0,NOT(ISBLANK(G466)))</formula>
    </cfRule>
  </conditionalFormatting>
  <conditionalFormatting sqref="G467">
    <cfRule type="expression" dxfId="0" priority="2023">
      <formula>COUNTIF(I467:BG467,"&lt;&gt;" &amp; "")&gt;0</formula>
    </cfRule>
    <cfRule type="expression" dxfId="1" priority="2024">
      <formula>AND(COUNTIF(I467:BG467,"&lt;&gt;" &amp; "")&gt;0,NOT(ISBLANK(G467)))</formula>
    </cfRule>
  </conditionalFormatting>
  <conditionalFormatting sqref="G468">
    <cfRule type="expression" dxfId="0" priority="2026">
      <formula>COUNTIF(I468:BG468,"&lt;&gt;" &amp; "")&gt;0</formula>
    </cfRule>
    <cfRule type="expression" dxfId="1" priority="2027">
      <formula>AND(COUNTIF(I468:BG468,"&lt;&gt;" &amp; "")&gt;0,NOT(ISBLANK(G468)))</formula>
    </cfRule>
  </conditionalFormatting>
  <conditionalFormatting sqref="G469">
    <cfRule type="expression" dxfId="0" priority="2029">
      <formula>COUNTIF(I469:BG469,"&lt;&gt;" &amp; "")&gt;0</formula>
    </cfRule>
    <cfRule type="expression" dxfId="1" priority="2030">
      <formula>AND(COUNTIF(I469:BG469,"&lt;&gt;" &amp; "")&gt;0,NOT(ISBLANK(G469)))</formula>
    </cfRule>
  </conditionalFormatting>
  <conditionalFormatting sqref="G47">
    <cfRule type="expression" dxfId="0" priority="349">
      <formula>COUNTIF(I47:BG47,"&lt;&gt;" &amp; "")&gt;0</formula>
    </cfRule>
    <cfRule type="expression" dxfId="1" priority="350">
      <formula>AND(COUNTIF(I47:BG47,"&lt;&gt;" &amp; "")&gt;0,NOT(ISBLANK(G47)))</formula>
    </cfRule>
  </conditionalFormatting>
  <conditionalFormatting sqref="G470">
    <cfRule type="expression" dxfId="0" priority="2032">
      <formula>COUNTIF(I470:BG470,"&lt;&gt;" &amp; "")&gt;0</formula>
    </cfRule>
    <cfRule type="expression" dxfId="1" priority="2033">
      <formula>AND(COUNTIF(I470:BG470,"&lt;&gt;" &amp; "")&gt;0,NOT(ISBLANK(G470)))</formula>
    </cfRule>
  </conditionalFormatting>
  <conditionalFormatting sqref="G471">
    <cfRule type="expression" dxfId="0" priority="2035">
      <formula>COUNTIF(I471:BG471,"&lt;&gt;" &amp; "")&gt;0</formula>
    </cfRule>
    <cfRule type="expression" dxfId="1" priority="2036">
      <formula>AND(COUNTIF(I471:BG471,"&lt;&gt;" &amp; "")&gt;0,NOT(ISBLANK(G471)))</formula>
    </cfRule>
  </conditionalFormatting>
  <conditionalFormatting sqref="G472">
    <cfRule type="expression" dxfId="0" priority="2038">
      <formula>COUNTIF(I472:BG472,"&lt;&gt;" &amp; "")&gt;0</formula>
    </cfRule>
    <cfRule type="expression" dxfId="1" priority="2039">
      <formula>AND(COUNTIF(I472:BG472,"&lt;&gt;" &amp; "")&gt;0,NOT(ISBLANK(G472)))</formula>
    </cfRule>
  </conditionalFormatting>
  <conditionalFormatting sqref="G473">
    <cfRule type="expression" dxfId="0" priority="2041">
      <formula>COUNTIF(I473:BG473,"&lt;&gt;" &amp; "")&gt;0</formula>
    </cfRule>
    <cfRule type="expression" dxfId="1" priority="2042">
      <formula>AND(COUNTIF(I473:BG473,"&lt;&gt;" &amp; "")&gt;0,NOT(ISBLANK(G473)))</formula>
    </cfRule>
  </conditionalFormatting>
  <conditionalFormatting sqref="G474">
    <cfRule type="expression" dxfId="0" priority="2044">
      <formula>COUNTIF(I474:BG474,"&lt;&gt;" &amp; "")&gt;0</formula>
    </cfRule>
    <cfRule type="expression" dxfId="1" priority="2045">
      <formula>AND(COUNTIF(I474:BG474,"&lt;&gt;" &amp; "")&gt;0,NOT(ISBLANK(G474)))</formula>
    </cfRule>
  </conditionalFormatting>
  <conditionalFormatting sqref="G475">
    <cfRule type="expression" dxfId="0" priority="2047">
      <formula>COUNTIF(I475:BG475,"&lt;&gt;" &amp; "")&gt;0</formula>
    </cfRule>
    <cfRule type="expression" dxfId="1" priority="2048">
      <formula>AND(COUNTIF(I475:BG475,"&lt;&gt;" &amp; "")&gt;0,NOT(ISBLANK(G475)))</formula>
    </cfRule>
  </conditionalFormatting>
  <conditionalFormatting sqref="G476">
    <cfRule type="expression" dxfId="0" priority="2050">
      <formula>COUNTIF(I476:BG476,"&lt;&gt;" &amp; "")&gt;0</formula>
    </cfRule>
    <cfRule type="expression" dxfId="1" priority="2051">
      <formula>AND(COUNTIF(I476:BG476,"&lt;&gt;" &amp; "")&gt;0,NOT(ISBLANK(G476)))</formula>
    </cfRule>
  </conditionalFormatting>
  <conditionalFormatting sqref="G477">
    <cfRule type="expression" dxfId="0" priority="2053">
      <formula>COUNTIF(I477:BG477,"&lt;&gt;" &amp; "")&gt;0</formula>
    </cfRule>
    <cfRule type="expression" dxfId="1" priority="2054">
      <formula>AND(COUNTIF(I477:BG477,"&lt;&gt;" &amp; "")&gt;0,NOT(ISBLANK(G477)))</formula>
    </cfRule>
  </conditionalFormatting>
  <conditionalFormatting sqref="G478">
    <cfRule type="expression" dxfId="0" priority="2056">
      <formula>COUNTIF(I478:BG478,"&lt;&gt;" &amp; "")&gt;0</formula>
    </cfRule>
    <cfRule type="expression" dxfId="1" priority="2057">
      <formula>AND(COUNTIF(I478:BG478,"&lt;&gt;" &amp; "")&gt;0,NOT(ISBLANK(G478)))</formula>
    </cfRule>
  </conditionalFormatting>
  <conditionalFormatting sqref="G479">
    <cfRule type="expression" dxfId="0" priority="2059">
      <formula>COUNTIF(I479:BG479,"&lt;&gt;" &amp; "")&gt;0</formula>
    </cfRule>
    <cfRule type="expression" dxfId="1" priority="2060">
      <formula>AND(COUNTIF(I479:BG479,"&lt;&gt;" &amp; "")&gt;0,NOT(ISBLANK(G479)))</formula>
    </cfRule>
  </conditionalFormatting>
  <conditionalFormatting sqref="G48">
    <cfRule type="expression" dxfId="0" priority="352">
      <formula>COUNTIF(I48:BG48,"&lt;&gt;" &amp; "")&gt;0</formula>
    </cfRule>
    <cfRule type="expression" dxfId="1" priority="353">
      <formula>AND(COUNTIF(I48:BG48,"&lt;&gt;" &amp; "")&gt;0,NOT(ISBLANK(G48)))</formula>
    </cfRule>
  </conditionalFormatting>
  <conditionalFormatting sqref="G480">
    <cfRule type="expression" dxfId="0" priority="2062">
      <formula>COUNTIF(I480:BG480,"&lt;&gt;" &amp; "")&gt;0</formula>
    </cfRule>
    <cfRule type="expression" dxfId="1" priority="2063">
      <formula>AND(COUNTIF(I480:BG480,"&lt;&gt;" &amp; "")&gt;0,NOT(ISBLANK(G480)))</formula>
    </cfRule>
  </conditionalFormatting>
  <conditionalFormatting sqref="G481">
    <cfRule type="expression" dxfId="0" priority="2065">
      <formula>COUNTIF(I481:BG481,"&lt;&gt;" &amp; "")&gt;0</formula>
    </cfRule>
    <cfRule type="expression" dxfId="1" priority="2066">
      <formula>AND(COUNTIF(I481:BG481,"&lt;&gt;" &amp; "")&gt;0,NOT(ISBLANK(G481)))</formula>
    </cfRule>
  </conditionalFormatting>
  <conditionalFormatting sqref="G482">
    <cfRule type="expression" dxfId="0" priority="2068">
      <formula>COUNTIF(I482:BG482,"&lt;&gt;" &amp; "")&gt;0</formula>
    </cfRule>
    <cfRule type="expression" dxfId="1" priority="2069">
      <formula>AND(COUNTIF(I482:BG482,"&lt;&gt;" &amp; "")&gt;0,NOT(ISBLANK(G482)))</formula>
    </cfRule>
  </conditionalFormatting>
  <conditionalFormatting sqref="G483">
    <cfRule type="expression" dxfId="0" priority="2071">
      <formula>COUNTIF(I483:BG483,"&lt;&gt;" &amp; "")&gt;0</formula>
    </cfRule>
    <cfRule type="expression" dxfId="1" priority="2072">
      <formula>AND(COUNTIF(I483:BG483,"&lt;&gt;" &amp; "")&gt;0,NOT(ISBLANK(G483)))</formula>
    </cfRule>
  </conditionalFormatting>
  <conditionalFormatting sqref="G484">
    <cfRule type="expression" dxfId="0" priority="2074">
      <formula>COUNTIF(I484:BG484,"&lt;&gt;" &amp; "")&gt;0</formula>
    </cfRule>
    <cfRule type="expression" dxfId="1" priority="2075">
      <formula>AND(COUNTIF(I484:BG484,"&lt;&gt;" &amp; "")&gt;0,NOT(ISBLANK(G484)))</formula>
    </cfRule>
  </conditionalFormatting>
  <conditionalFormatting sqref="G485">
    <cfRule type="expression" dxfId="0" priority="2077">
      <formula>COUNTIF(I485:BG485,"&lt;&gt;" &amp; "")&gt;0</formula>
    </cfRule>
    <cfRule type="expression" dxfId="1" priority="2078">
      <formula>AND(COUNTIF(I485:BG485,"&lt;&gt;" &amp; "")&gt;0,NOT(ISBLANK(G485)))</formula>
    </cfRule>
  </conditionalFormatting>
  <conditionalFormatting sqref="G486">
    <cfRule type="expression" dxfId="0" priority="2080">
      <formula>COUNTIF(I486:BG486,"&lt;&gt;" &amp; "")&gt;0</formula>
    </cfRule>
    <cfRule type="expression" dxfId="1" priority="2081">
      <formula>AND(COUNTIF(I486:BG486,"&lt;&gt;" &amp; "")&gt;0,NOT(ISBLANK(G486)))</formula>
    </cfRule>
  </conditionalFormatting>
  <conditionalFormatting sqref="G487">
    <cfRule type="expression" dxfId="0" priority="2083">
      <formula>COUNTIF(I487:BG487,"&lt;&gt;" &amp; "")&gt;0</formula>
    </cfRule>
    <cfRule type="expression" dxfId="1" priority="2084">
      <formula>AND(COUNTIF(I487:BG487,"&lt;&gt;" &amp; "")&gt;0,NOT(ISBLANK(G487)))</formula>
    </cfRule>
  </conditionalFormatting>
  <conditionalFormatting sqref="G488">
    <cfRule type="expression" dxfId="0" priority="2086">
      <formula>COUNTIF(I488:BG488,"&lt;&gt;" &amp; "")&gt;0</formula>
    </cfRule>
    <cfRule type="expression" dxfId="1" priority="2087">
      <formula>AND(COUNTIF(I488:BG488,"&lt;&gt;" &amp; "")&gt;0,NOT(ISBLANK(G488)))</formula>
    </cfRule>
  </conditionalFormatting>
  <conditionalFormatting sqref="G49">
    <cfRule type="expression" dxfId="0" priority="355">
      <formula>COUNTIF(I49:BG49,"&lt;&gt;" &amp; "")&gt;0</formula>
    </cfRule>
    <cfRule type="expression" dxfId="1" priority="356">
      <formula>AND(COUNTIF(I49:BG49,"&lt;&gt;" &amp; "")&gt;0,NOT(ISBLANK(G49)))</formula>
    </cfRule>
  </conditionalFormatting>
  <conditionalFormatting sqref="G5">
    <cfRule type="cellIs" dxfId="2" priority="9" operator="equal">
      <formula>"Y"</formula>
    </cfRule>
    <cfRule type="cellIs" dxfId="3" priority="10" operator="equal">
      <formula>"N"</formula>
    </cfRule>
  </conditionalFormatting>
  <conditionalFormatting sqref="G50">
    <cfRule type="expression" dxfId="0" priority="358">
      <formula>COUNTIF(I50:BG50,"&lt;&gt;" &amp; "")&gt;0</formula>
    </cfRule>
    <cfRule type="expression" dxfId="1" priority="359">
      <formula>AND(COUNTIF(I50:BG50,"&lt;&gt;" &amp; "")&gt;0,NOT(ISBLANK(G50)))</formula>
    </cfRule>
  </conditionalFormatting>
  <conditionalFormatting sqref="G51">
    <cfRule type="expression" dxfId="0" priority="361">
      <formula>COUNTIF(I51:BG51,"&lt;&gt;" &amp; "")&gt;0</formula>
    </cfRule>
    <cfRule type="expression" dxfId="1" priority="362">
      <formula>AND(COUNTIF(I51:BG51,"&lt;&gt;" &amp; "")&gt;0,NOT(ISBLANK(G51)))</formula>
    </cfRule>
  </conditionalFormatting>
  <conditionalFormatting sqref="G52">
    <cfRule type="expression" dxfId="0" priority="364">
      <formula>COUNTIF(I52:BG52,"&lt;&gt;" &amp; "")&gt;0</formula>
    </cfRule>
    <cfRule type="expression" dxfId="1" priority="365">
      <formula>AND(COUNTIF(I52:BG52,"&lt;&gt;" &amp; "")&gt;0,NOT(ISBLANK(G52)))</formula>
    </cfRule>
  </conditionalFormatting>
  <conditionalFormatting sqref="G53">
    <cfRule type="expression" dxfId="0" priority="367">
      <formula>COUNTIF(I53:BG53,"&lt;&gt;" &amp; "")&gt;0</formula>
    </cfRule>
    <cfRule type="expression" dxfId="1" priority="368">
      <formula>AND(COUNTIF(I53:BG53,"&lt;&gt;" &amp; "")&gt;0,NOT(ISBLANK(G53)))</formula>
    </cfRule>
  </conditionalFormatting>
  <conditionalFormatting sqref="G54">
    <cfRule type="expression" dxfId="0" priority="370">
      <formula>COUNTIF(I54:BG54,"&lt;&gt;" &amp; "")&gt;0</formula>
    </cfRule>
    <cfRule type="expression" dxfId="1" priority="371">
      <formula>AND(COUNTIF(I54:BG54,"&lt;&gt;" &amp; "")&gt;0,NOT(ISBLANK(G54)))</formula>
    </cfRule>
  </conditionalFormatting>
  <conditionalFormatting sqref="G55">
    <cfRule type="expression" dxfId="0" priority="373">
      <formula>COUNTIF(I55:BG55,"&lt;&gt;" &amp; "")&gt;0</formula>
    </cfRule>
    <cfRule type="expression" dxfId="1" priority="374">
      <formula>AND(COUNTIF(I55:BG55,"&lt;&gt;" &amp; "")&gt;0,NOT(ISBLANK(G55)))</formula>
    </cfRule>
  </conditionalFormatting>
  <conditionalFormatting sqref="G56">
    <cfRule type="expression" dxfId="0" priority="376">
      <formula>COUNTIF(I56:BG56,"&lt;&gt;" &amp; "")&gt;0</formula>
    </cfRule>
    <cfRule type="expression" dxfId="1" priority="377">
      <formula>AND(COUNTIF(I56:BG56,"&lt;&gt;" &amp; "")&gt;0,NOT(ISBLANK(G56)))</formula>
    </cfRule>
  </conditionalFormatting>
  <conditionalFormatting sqref="G57">
    <cfRule type="expression" dxfId="0" priority="379">
      <formula>COUNTIF(I57:BG57,"&lt;&gt;" &amp; "")&gt;0</formula>
    </cfRule>
    <cfRule type="expression" dxfId="1" priority="380">
      <formula>AND(COUNTIF(I57:BG57,"&lt;&gt;" &amp; "")&gt;0,NOT(ISBLANK(G57)))</formula>
    </cfRule>
  </conditionalFormatting>
  <conditionalFormatting sqref="G58">
    <cfRule type="expression" dxfId="0" priority="382">
      <formula>COUNTIF(I58:BG58,"&lt;&gt;" &amp; "")&gt;0</formula>
    </cfRule>
    <cfRule type="expression" dxfId="1" priority="383">
      <formula>AND(COUNTIF(I58:BG58,"&lt;&gt;" &amp; "")&gt;0,NOT(ISBLANK(G58)))</formula>
    </cfRule>
  </conditionalFormatting>
  <conditionalFormatting sqref="G59">
    <cfRule type="expression" dxfId="0" priority="385">
      <formula>COUNTIF(I59:BG59,"&lt;&gt;" &amp; "")&gt;0</formula>
    </cfRule>
    <cfRule type="expression" dxfId="1" priority="386">
      <formula>AND(COUNTIF(I59:BG59,"&lt;&gt;" &amp; "")&gt;0,NOT(ISBLANK(G59)))</formula>
    </cfRule>
  </conditionalFormatting>
  <conditionalFormatting sqref="G6">
    <cfRule type="cellIs" dxfId="2" priority="31" operator="equal">
      <formula>"Y"</formula>
    </cfRule>
    <cfRule type="cellIs" dxfId="3" priority="32" operator="equal">
      <formula>"N"</formula>
    </cfRule>
  </conditionalFormatting>
  <conditionalFormatting sqref="G60">
    <cfRule type="expression" dxfId="0" priority="388">
      <formula>COUNTIF(I60:BG60,"&lt;&gt;" &amp; "")&gt;0</formula>
    </cfRule>
    <cfRule type="expression" dxfId="1" priority="389">
      <formula>AND(COUNTIF(I60:BG60,"&lt;&gt;" &amp; "")&gt;0,NOT(ISBLANK(G60)))</formula>
    </cfRule>
  </conditionalFormatting>
  <conditionalFormatting sqref="G61">
    <cfRule type="expression" dxfId="0" priority="391">
      <formula>COUNTIF(I61:BG61,"&lt;&gt;" &amp; "")&gt;0</formula>
    </cfRule>
    <cfRule type="expression" dxfId="1" priority="392">
      <formula>AND(COUNTIF(I61:BG61,"&lt;&gt;" &amp; "")&gt;0,NOT(ISBLANK(G61)))</formula>
    </cfRule>
  </conditionalFormatting>
  <conditionalFormatting sqref="G62">
    <cfRule type="expression" dxfId="0" priority="394">
      <formula>COUNTIF(I62:BG62,"&lt;&gt;" &amp; "")&gt;0</formula>
    </cfRule>
    <cfRule type="expression" dxfId="1" priority="395">
      <formula>AND(COUNTIF(I62:BG62,"&lt;&gt;" &amp; "")&gt;0,NOT(ISBLANK(G62)))</formula>
    </cfRule>
  </conditionalFormatting>
  <conditionalFormatting sqref="G63">
    <cfRule type="expression" dxfId="0" priority="397">
      <formula>COUNTIF(I63:BG63,"&lt;&gt;" &amp; "")&gt;0</formula>
    </cfRule>
    <cfRule type="expression" dxfId="1" priority="398">
      <formula>AND(COUNTIF(I63:BG63,"&lt;&gt;" &amp; "")&gt;0,NOT(ISBLANK(G63)))</formula>
    </cfRule>
  </conditionalFormatting>
  <conditionalFormatting sqref="G64">
    <cfRule type="expression" dxfId="0" priority="400">
      <formula>COUNTIF(I64:BG64,"&lt;&gt;" &amp; "")&gt;0</formula>
    </cfRule>
    <cfRule type="expression" dxfId="1" priority="401">
      <formula>AND(COUNTIF(I64:BG64,"&lt;&gt;" &amp; "")&gt;0,NOT(ISBLANK(G64)))</formula>
    </cfRule>
  </conditionalFormatting>
  <conditionalFormatting sqref="G65">
    <cfRule type="expression" dxfId="0" priority="403">
      <formula>COUNTIF(I65:BG65,"&lt;&gt;" &amp; "")&gt;0</formula>
    </cfRule>
    <cfRule type="expression" dxfId="1" priority="404">
      <formula>AND(COUNTIF(I65:BG65,"&lt;&gt;" &amp; "")&gt;0,NOT(ISBLANK(G65)))</formula>
    </cfRule>
  </conditionalFormatting>
  <conditionalFormatting sqref="G66">
    <cfRule type="expression" dxfId="0" priority="406">
      <formula>COUNTIF(I66:BG66,"&lt;&gt;" &amp; "")&gt;0</formula>
    </cfRule>
    <cfRule type="expression" dxfId="1" priority="407">
      <formula>AND(COUNTIF(I66:BG66,"&lt;&gt;" &amp; "")&gt;0,NOT(ISBLANK(G66)))</formula>
    </cfRule>
  </conditionalFormatting>
  <conditionalFormatting sqref="G67">
    <cfRule type="expression" dxfId="0" priority="409">
      <formula>COUNTIF(I67:BG67,"&lt;&gt;" &amp; "")&gt;0</formula>
    </cfRule>
    <cfRule type="expression" dxfId="1" priority="410">
      <formula>AND(COUNTIF(I67:BG67,"&lt;&gt;" &amp; "")&gt;0,NOT(ISBLANK(G67)))</formula>
    </cfRule>
  </conditionalFormatting>
  <conditionalFormatting sqref="G68">
    <cfRule type="expression" dxfId="0" priority="412">
      <formula>COUNTIF(I68:BG68,"&lt;&gt;" &amp; "")&gt;0</formula>
    </cfRule>
    <cfRule type="expression" dxfId="1" priority="413">
      <formula>AND(COUNTIF(I68:BG68,"&lt;&gt;" &amp; "")&gt;0,NOT(ISBLANK(G68)))</formula>
    </cfRule>
  </conditionalFormatting>
  <conditionalFormatting sqref="G69">
    <cfRule type="expression" dxfId="0" priority="415">
      <formula>COUNTIF(I69:BG69,"&lt;&gt;" &amp; "")&gt;0</formula>
    </cfRule>
    <cfRule type="expression" dxfId="1" priority="416">
      <formula>AND(COUNTIF(I69:BG69,"&lt;&gt;" &amp; "")&gt;0,NOT(ISBLANK(G69)))</formula>
    </cfRule>
  </conditionalFormatting>
  <conditionalFormatting sqref="G7">
    <cfRule type="cellIs" dxfId="2" priority="53" operator="equal">
      <formula>"Y"</formula>
    </cfRule>
    <cfRule type="cellIs" dxfId="3" priority="54" operator="equal">
      <formula>"N"</formula>
    </cfRule>
  </conditionalFormatting>
  <conditionalFormatting sqref="G70">
    <cfRule type="expression" dxfId="0" priority="418">
      <formula>COUNTIF(I70:BG70,"&lt;&gt;" &amp; "")&gt;0</formula>
    </cfRule>
    <cfRule type="expression" dxfId="1" priority="419">
      <formula>AND(COUNTIF(I70:BG70,"&lt;&gt;" &amp; "")&gt;0,NOT(ISBLANK(G70)))</formula>
    </cfRule>
  </conditionalFormatting>
  <conditionalFormatting sqref="G71">
    <cfRule type="expression" dxfId="0" priority="421">
      <formula>COUNTIF(I71:BG71,"&lt;&gt;" &amp; "")&gt;0</formula>
    </cfRule>
    <cfRule type="expression" dxfId="1" priority="422">
      <formula>AND(COUNTIF(I71:BG71,"&lt;&gt;" &amp; "")&gt;0,NOT(ISBLANK(G71)))</formula>
    </cfRule>
  </conditionalFormatting>
  <conditionalFormatting sqref="G72">
    <cfRule type="expression" dxfId="0" priority="424">
      <formula>COUNTIF(I72:BG72,"&lt;&gt;" &amp; "")&gt;0</formula>
    </cfRule>
    <cfRule type="expression" dxfId="1" priority="425">
      <formula>AND(COUNTIF(I72:BG72,"&lt;&gt;" &amp; "")&gt;0,NOT(ISBLANK(G72)))</formula>
    </cfRule>
  </conditionalFormatting>
  <conditionalFormatting sqref="G73">
    <cfRule type="expression" dxfId="0" priority="427">
      <formula>COUNTIF(I73:BG73,"&lt;&gt;" &amp; "")&gt;0</formula>
    </cfRule>
    <cfRule type="expression" dxfId="1" priority="428">
      <formula>AND(COUNTIF(I73:BG73,"&lt;&gt;" &amp; "")&gt;0,NOT(ISBLANK(G73)))</formula>
    </cfRule>
  </conditionalFormatting>
  <conditionalFormatting sqref="G74">
    <cfRule type="expression" dxfId="0" priority="430">
      <formula>COUNTIF(I74:BG74,"&lt;&gt;" &amp; "")&gt;0</formula>
    </cfRule>
    <cfRule type="expression" dxfId="1" priority="431">
      <formula>AND(COUNTIF(I74:BG74,"&lt;&gt;" &amp; "")&gt;0,NOT(ISBLANK(G74)))</formula>
    </cfRule>
  </conditionalFormatting>
  <conditionalFormatting sqref="G75">
    <cfRule type="expression" dxfId="0" priority="433">
      <formula>COUNTIF(I75:BG75,"&lt;&gt;" &amp; "")&gt;0</formula>
    </cfRule>
    <cfRule type="expression" dxfId="1" priority="434">
      <formula>AND(COUNTIF(I75:BG75,"&lt;&gt;" &amp; "")&gt;0,NOT(ISBLANK(G75)))</formula>
    </cfRule>
  </conditionalFormatting>
  <conditionalFormatting sqref="G76">
    <cfRule type="expression" dxfId="0" priority="436">
      <formula>COUNTIF(I76:BG76,"&lt;&gt;" &amp; "")&gt;0</formula>
    </cfRule>
    <cfRule type="expression" dxfId="1" priority="437">
      <formula>AND(COUNTIF(I76:BG76,"&lt;&gt;" &amp; "")&gt;0,NOT(ISBLANK(G76)))</formula>
    </cfRule>
  </conditionalFormatting>
  <conditionalFormatting sqref="G77">
    <cfRule type="expression" dxfId="0" priority="439">
      <formula>COUNTIF(I77:BG77,"&lt;&gt;" &amp; "")&gt;0</formula>
    </cfRule>
    <cfRule type="expression" dxfId="1" priority="440">
      <formula>AND(COUNTIF(I77:BG77,"&lt;&gt;" &amp; "")&gt;0,NOT(ISBLANK(G77)))</formula>
    </cfRule>
  </conditionalFormatting>
  <conditionalFormatting sqref="G78">
    <cfRule type="expression" dxfId="0" priority="442">
      <formula>COUNTIF(I78:BG78,"&lt;&gt;" &amp; "")&gt;0</formula>
    </cfRule>
    <cfRule type="expression" dxfId="1" priority="443">
      <formula>AND(COUNTIF(I78:BG78,"&lt;&gt;" &amp; "")&gt;0,NOT(ISBLANK(G78)))</formula>
    </cfRule>
  </conditionalFormatting>
  <conditionalFormatting sqref="G79">
    <cfRule type="expression" dxfId="0" priority="445">
      <formula>COUNTIF(I79:BG79,"&lt;&gt;" &amp; "")&gt;0</formula>
    </cfRule>
    <cfRule type="expression" dxfId="1" priority="446">
      <formula>AND(COUNTIF(I79:BG79,"&lt;&gt;" &amp; "")&gt;0,NOT(ISBLANK(G79)))</formula>
    </cfRule>
  </conditionalFormatting>
  <conditionalFormatting sqref="G8">
    <cfRule type="cellIs" dxfId="2" priority="75" operator="equal">
      <formula>"Y"</formula>
    </cfRule>
    <cfRule type="cellIs" dxfId="3" priority="76" operator="equal">
      <formula>"N"</formula>
    </cfRule>
  </conditionalFormatting>
  <conditionalFormatting sqref="G80">
    <cfRule type="expression" dxfId="0" priority="448">
      <formula>COUNTIF(I80:BG80,"&lt;&gt;" &amp; "")&gt;0</formula>
    </cfRule>
    <cfRule type="expression" dxfId="1" priority="449">
      <formula>AND(COUNTIF(I80:BG80,"&lt;&gt;" &amp; "")&gt;0,NOT(ISBLANK(G80)))</formula>
    </cfRule>
  </conditionalFormatting>
  <conditionalFormatting sqref="G81">
    <cfRule type="expression" dxfId="0" priority="451">
      <formula>COUNTIF(I81:BG81,"&lt;&gt;" &amp; "")&gt;0</formula>
    </cfRule>
    <cfRule type="expression" dxfId="1" priority="452">
      <formula>AND(COUNTIF(I81:BG81,"&lt;&gt;" &amp; "")&gt;0,NOT(ISBLANK(G81)))</formula>
    </cfRule>
  </conditionalFormatting>
  <conditionalFormatting sqref="G82">
    <cfRule type="expression" dxfId="0" priority="454">
      <formula>COUNTIF(I82:BG82,"&lt;&gt;" &amp; "")&gt;0</formula>
    </cfRule>
    <cfRule type="expression" dxfId="1" priority="455">
      <formula>AND(COUNTIF(I82:BG82,"&lt;&gt;" &amp; "")&gt;0,NOT(ISBLANK(G82)))</formula>
    </cfRule>
  </conditionalFormatting>
  <conditionalFormatting sqref="G83">
    <cfRule type="expression" dxfId="0" priority="457">
      <formula>COUNTIF(I83:BG83,"&lt;&gt;" &amp; "")&gt;0</formula>
    </cfRule>
    <cfRule type="expression" dxfId="1" priority="458">
      <formula>AND(COUNTIF(I83:BG83,"&lt;&gt;" &amp; "")&gt;0,NOT(ISBLANK(G83)))</formula>
    </cfRule>
  </conditionalFormatting>
  <conditionalFormatting sqref="G84">
    <cfRule type="expression" dxfId="0" priority="460">
      <formula>COUNTIF(I84:BG84,"&lt;&gt;" &amp; "")&gt;0</formula>
    </cfRule>
    <cfRule type="expression" dxfId="1" priority="461">
      <formula>AND(COUNTIF(I84:BG84,"&lt;&gt;" &amp; "")&gt;0,NOT(ISBLANK(G84)))</formula>
    </cfRule>
  </conditionalFormatting>
  <conditionalFormatting sqref="G85">
    <cfRule type="expression" dxfId="0" priority="463">
      <formula>COUNTIF(I85:BG85,"&lt;&gt;" &amp; "")&gt;0</formula>
    </cfRule>
    <cfRule type="expression" dxfId="1" priority="464">
      <formula>AND(COUNTIF(I85:BG85,"&lt;&gt;" &amp; "")&gt;0,NOT(ISBLANK(G85)))</formula>
    </cfRule>
  </conditionalFormatting>
  <conditionalFormatting sqref="G86">
    <cfRule type="expression" dxfId="0" priority="466">
      <formula>COUNTIF(I86:BG86,"&lt;&gt;" &amp; "")&gt;0</formula>
    </cfRule>
    <cfRule type="expression" dxfId="1" priority="467">
      <formula>AND(COUNTIF(I86:BG86,"&lt;&gt;" &amp; "")&gt;0,NOT(ISBLANK(G86)))</formula>
    </cfRule>
  </conditionalFormatting>
  <conditionalFormatting sqref="G87">
    <cfRule type="expression" dxfId="0" priority="469">
      <formula>COUNTIF(I87:BG87,"&lt;&gt;" &amp; "")&gt;0</formula>
    </cfRule>
    <cfRule type="expression" dxfId="1" priority="470">
      <formula>AND(COUNTIF(I87:BG87,"&lt;&gt;" &amp; "")&gt;0,NOT(ISBLANK(G87)))</formula>
    </cfRule>
  </conditionalFormatting>
  <conditionalFormatting sqref="G88">
    <cfRule type="expression" dxfId="0" priority="472">
      <formula>COUNTIF(I88:BG88,"&lt;&gt;" &amp; "")&gt;0</formula>
    </cfRule>
    <cfRule type="expression" dxfId="1" priority="473">
      <formula>AND(COUNTIF(I88:BG88,"&lt;&gt;" &amp; "")&gt;0,NOT(ISBLANK(G88)))</formula>
    </cfRule>
  </conditionalFormatting>
  <conditionalFormatting sqref="G89">
    <cfRule type="expression" dxfId="0" priority="475">
      <formula>COUNTIF(I89:BG89,"&lt;&gt;" &amp; "")&gt;0</formula>
    </cfRule>
    <cfRule type="expression" dxfId="1" priority="476">
      <formula>AND(COUNTIF(I89:BG89,"&lt;&gt;" &amp; "")&gt;0,NOT(ISBLANK(G89)))</formula>
    </cfRule>
  </conditionalFormatting>
  <conditionalFormatting sqref="G9">
    <cfRule type="cellIs" dxfId="2" priority="97" operator="equal">
      <formula>"Y"</formula>
    </cfRule>
    <cfRule type="cellIs" dxfId="3" priority="98" operator="equal">
      <formula>"N"</formula>
    </cfRule>
  </conditionalFormatting>
  <conditionalFormatting sqref="G90">
    <cfRule type="expression" dxfId="0" priority="478">
      <formula>COUNTIF(I90:BG90,"&lt;&gt;" &amp; "")&gt;0</formula>
    </cfRule>
    <cfRule type="expression" dxfId="1" priority="479">
      <formula>AND(COUNTIF(I90:BG90,"&lt;&gt;" &amp; "")&gt;0,NOT(ISBLANK(G90)))</formula>
    </cfRule>
  </conditionalFormatting>
  <conditionalFormatting sqref="G91">
    <cfRule type="expression" dxfId="0" priority="481">
      <formula>COUNTIF(I91:BG91,"&lt;&gt;" &amp; "")&gt;0</formula>
    </cfRule>
    <cfRule type="expression" dxfId="1" priority="482">
      <formula>AND(COUNTIF(I91:BG91,"&lt;&gt;" &amp; "")&gt;0,NOT(ISBLANK(G91)))</formula>
    </cfRule>
  </conditionalFormatting>
  <conditionalFormatting sqref="G92">
    <cfRule type="expression" dxfId="0" priority="484">
      <formula>COUNTIF(I92:BG92,"&lt;&gt;" &amp; "")&gt;0</formula>
    </cfRule>
    <cfRule type="expression" dxfId="1" priority="485">
      <formula>AND(COUNTIF(I92:BG92,"&lt;&gt;" &amp; "")&gt;0,NOT(ISBLANK(G92)))</formula>
    </cfRule>
  </conditionalFormatting>
  <conditionalFormatting sqref="G93">
    <cfRule type="expression" dxfId="0" priority="487">
      <formula>COUNTIF(I93:BG93,"&lt;&gt;" &amp; "")&gt;0</formula>
    </cfRule>
    <cfRule type="expression" dxfId="1" priority="488">
      <formula>AND(COUNTIF(I93:BG93,"&lt;&gt;" &amp; "")&gt;0,NOT(ISBLANK(G93)))</formula>
    </cfRule>
  </conditionalFormatting>
  <conditionalFormatting sqref="G94">
    <cfRule type="expression" dxfId="0" priority="490">
      <formula>COUNTIF(I94:BG94,"&lt;&gt;" &amp; "")&gt;0</formula>
    </cfRule>
    <cfRule type="expression" dxfId="1" priority="491">
      <formula>AND(COUNTIF(I94:BG94,"&lt;&gt;" &amp; "")&gt;0,NOT(ISBLANK(G94)))</formula>
    </cfRule>
  </conditionalFormatting>
  <conditionalFormatting sqref="G95">
    <cfRule type="expression" dxfId="0" priority="493">
      <formula>COUNTIF(I95:BG95,"&lt;&gt;" &amp; "")&gt;0</formula>
    </cfRule>
    <cfRule type="expression" dxfId="1" priority="494">
      <formula>AND(COUNTIF(I95:BG95,"&lt;&gt;" &amp; "")&gt;0,NOT(ISBLANK(G95)))</formula>
    </cfRule>
  </conditionalFormatting>
  <conditionalFormatting sqref="G96">
    <cfRule type="expression" dxfId="0" priority="496">
      <formula>COUNTIF(I96:BG96,"&lt;&gt;" &amp; "")&gt;0</formula>
    </cfRule>
    <cfRule type="expression" dxfId="1" priority="497">
      <formula>AND(COUNTIF(I96:BG96,"&lt;&gt;" &amp; "")&gt;0,NOT(ISBLANK(G96)))</formula>
    </cfRule>
  </conditionalFormatting>
  <conditionalFormatting sqref="G97">
    <cfRule type="expression" dxfId="0" priority="499">
      <formula>COUNTIF(I97:BG97,"&lt;&gt;" &amp; "")&gt;0</formula>
    </cfRule>
    <cfRule type="expression" dxfId="1" priority="500">
      <formula>AND(COUNTIF(I97:BG97,"&lt;&gt;" &amp; "")&gt;0,NOT(ISBLANK(G97)))</formula>
    </cfRule>
  </conditionalFormatting>
  <conditionalFormatting sqref="G98">
    <cfRule type="expression" dxfId="0" priority="502">
      <formula>COUNTIF(I98:BG98,"&lt;&gt;" &amp; "")&gt;0</formula>
    </cfRule>
    <cfRule type="expression" dxfId="1" priority="503">
      <formula>AND(COUNTIF(I98:BG98,"&lt;&gt;" &amp; "")&gt;0,NOT(ISBLANK(G98)))</formula>
    </cfRule>
  </conditionalFormatting>
  <conditionalFormatting sqref="G99">
    <cfRule type="expression" dxfId="0" priority="505">
      <formula>COUNTIF(I99:BG99,"&lt;&gt;" &amp; "")&gt;0</formula>
    </cfRule>
    <cfRule type="expression" dxfId="1" priority="506">
      <formula>AND(COUNTIF(I99:BG99,"&lt;&gt;" &amp; "")&gt;0,NOT(ISBLANK(G99)))</formula>
    </cfRule>
  </conditionalFormatting>
  <conditionalFormatting sqref="H10">
    <cfRule type="cellIs" dxfId="2" priority="121" operator="equal">
      <formula>"Y"</formula>
    </cfRule>
    <cfRule type="cellIs" dxfId="3" priority="122" operator="equal">
      <formula>"N"</formula>
    </cfRule>
  </conditionalFormatting>
  <conditionalFormatting sqref="H12">
    <cfRule type="cellIs" dxfId="2" priority="167" operator="equal">
      <formula>"Y"</formula>
    </cfRule>
    <cfRule type="cellIs" dxfId="3" priority="168" operator="equal">
      <formula>"N"</formula>
    </cfRule>
  </conditionalFormatting>
  <conditionalFormatting sqref="H13">
    <cfRule type="cellIs" dxfId="2" priority="189" operator="equal">
      <formula>"Y"</formula>
    </cfRule>
    <cfRule type="cellIs" dxfId="3" priority="190" operator="equal">
      <formula>"N"</formula>
    </cfRule>
  </conditionalFormatting>
  <conditionalFormatting sqref="H14">
    <cfRule type="cellIs" dxfId="2" priority="211" operator="equal">
      <formula>"Y"</formula>
    </cfRule>
    <cfRule type="cellIs" dxfId="3" priority="212" operator="equal">
      <formula>"N"</formula>
    </cfRule>
  </conditionalFormatting>
  <conditionalFormatting sqref="H15">
    <cfRule type="cellIs" dxfId="2" priority="233" operator="equal">
      <formula>"Y"</formula>
    </cfRule>
    <cfRule type="cellIs" dxfId="3" priority="234" operator="equal">
      <formula>"N"</formula>
    </cfRule>
  </conditionalFormatting>
  <conditionalFormatting sqref="H16">
    <cfRule type="cellIs" dxfId="2" priority="255" operator="equal">
      <formula>"Y"</formula>
    </cfRule>
    <cfRule type="cellIs" dxfId="3" priority="256" operator="equal">
      <formula>"N"</formula>
    </cfRule>
  </conditionalFormatting>
  <conditionalFormatting sqref="H168">
    <cfRule type="cellIs" dxfId="2" priority="707" operator="equal">
      <formula>"Y"</formula>
    </cfRule>
    <cfRule type="cellIs" dxfId="3" priority="708" operator="equal">
      <formula>"N"</formula>
    </cfRule>
  </conditionalFormatting>
  <conditionalFormatting sqref="H169">
    <cfRule type="cellIs" dxfId="2" priority="729" operator="equal">
      <formula>"Y"</formula>
    </cfRule>
    <cfRule type="cellIs" dxfId="3" priority="730" operator="equal">
      <formula>"N"</formula>
    </cfRule>
  </conditionalFormatting>
  <conditionalFormatting sqref="H170">
    <cfRule type="cellIs" dxfId="2" priority="751" operator="equal">
      <formula>"Y"</formula>
    </cfRule>
    <cfRule type="cellIs" dxfId="3" priority="752" operator="equal">
      <formula>"N"</formula>
    </cfRule>
  </conditionalFormatting>
  <conditionalFormatting sqref="H171">
    <cfRule type="cellIs" dxfId="2" priority="773" operator="equal">
      <formula>"Y"</formula>
    </cfRule>
    <cfRule type="cellIs" dxfId="3" priority="774" operator="equal">
      <formula>"N"</formula>
    </cfRule>
  </conditionalFormatting>
  <conditionalFormatting sqref="H172">
    <cfRule type="cellIs" dxfId="2" priority="795" operator="equal">
      <formula>"Y"</formula>
    </cfRule>
    <cfRule type="cellIs" dxfId="3" priority="796" operator="equal">
      <formula>"N"</formula>
    </cfRule>
  </conditionalFormatting>
  <conditionalFormatting sqref="H173">
    <cfRule type="cellIs" dxfId="2" priority="817" operator="equal">
      <formula>"Y"</formula>
    </cfRule>
    <cfRule type="cellIs" dxfId="3" priority="818" operator="equal">
      <formula>"N"</formula>
    </cfRule>
  </conditionalFormatting>
  <conditionalFormatting sqref="H175">
    <cfRule type="cellIs" dxfId="2" priority="863" operator="equal">
      <formula>"Y"</formula>
    </cfRule>
    <cfRule type="cellIs" dxfId="3" priority="864" operator="equal">
      <formula>"N"</formula>
    </cfRule>
  </conditionalFormatting>
  <conditionalFormatting sqref="H176">
    <cfRule type="cellIs" dxfId="2" priority="885" operator="equal">
      <formula>"Y"</formula>
    </cfRule>
    <cfRule type="cellIs" dxfId="3" priority="886" operator="equal">
      <formula>"N"</formula>
    </cfRule>
  </conditionalFormatting>
  <conditionalFormatting sqref="H177">
    <cfRule type="cellIs" dxfId="2" priority="907" operator="equal">
      <formula>"Y"</formula>
    </cfRule>
    <cfRule type="cellIs" dxfId="3" priority="908" operator="equal">
      <formula>"N"</formula>
    </cfRule>
  </conditionalFormatting>
  <conditionalFormatting sqref="H178">
    <cfRule type="cellIs" dxfId="2" priority="929" operator="equal">
      <formula>"Y"</formula>
    </cfRule>
    <cfRule type="cellIs" dxfId="3" priority="930" operator="equal">
      <formula>"N"</formula>
    </cfRule>
  </conditionalFormatting>
  <conditionalFormatting sqref="H179">
    <cfRule type="cellIs" dxfId="2" priority="951" operator="equal">
      <formula>"Y"</formula>
    </cfRule>
    <cfRule type="cellIs" dxfId="3" priority="952" operator="equal">
      <formula>"N"</formula>
    </cfRule>
  </conditionalFormatting>
  <conditionalFormatting sqref="H331">
    <cfRule type="cellIs" dxfId="2" priority="1403" operator="equal">
      <formula>"Y"</formula>
    </cfRule>
    <cfRule type="cellIs" dxfId="3" priority="1404" operator="equal">
      <formula>"N"</formula>
    </cfRule>
  </conditionalFormatting>
  <conditionalFormatting sqref="H332">
    <cfRule type="cellIs" dxfId="2" priority="1425" operator="equal">
      <formula>"Y"</formula>
    </cfRule>
    <cfRule type="cellIs" dxfId="3" priority="1426" operator="equal">
      <formula>"N"</formula>
    </cfRule>
  </conditionalFormatting>
  <conditionalFormatting sqref="H333">
    <cfRule type="cellIs" dxfId="2" priority="1447" operator="equal">
      <formula>"Y"</formula>
    </cfRule>
    <cfRule type="cellIs" dxfId="3" priority="1448" operator="equal">
      <formula>"N"</formula>
    </cfRule>
  </conditionalFormatting>
  <conditionalFormatting sqref="H334">
    <cfRule type="cellIs" dxfId="2" priority="1469" operator="equal">
      <formula>"Y"</formula>
    </cfRule>
    <cfRule type="cellIs" dxfId="3" priority="1470" operator="equal">
      <formula>"N"</formula>
    </cfRule>
  </conditionalFormatting>
  <conditionalFormatting sqref="H335">
    <cfRule type="cellIs" dxfId="2" priority="1491" operator="equal">
      <formula>"Y"</formula>
    </cfRule>
    <cfRule type="cellIs" dxfId="3" priority="1492" operator="equal">
      <formula>"N"</formula>
    </cfRule>
  </conditionalFormatting>
  <conditionalFormatting sqref="H336">
    <cfRule type="cellIs" dxfId="2" priority="1513" operator="equal">
      <formula>"Y"</formula>
    </cfRule>
    <cfRule type="cellIs" dxfId="3" priority="1514" operator="equal">
      <formula>"N"</formula>
    </cfRule>
  </conditionalFormatting>
  <conditionalFormatting sqref="H338">
    <cfRule type="cellIs" dxfId="2" priority="1559" operator="equal">
      <formula>"Y"</formula>
    </cfRule>
    <cfRule type="cellIs" dxfId="3" priority="1560" operator="equal">
      <formula>"N"</formula>
    </cfRule>
  </conditionalFormatting>
  <conditionalFormatting sqref="H339">
    <cfRule type="cellIs" dxfId="2" priority="1581" operator="equal">
      <formula>"Y"</formula>
    </cfRule>
    <cfRule type="cellIs" dxfId="3" priority="1582" operator="equal">
      <formula>"N"</formula>
    </cfRule>
  </conditionalFormatting>
  <conditionalFormatting sqref="H340">
    <cfRule type="cellIs" dxfId="2" priority="1603" operator="equal">
      <formula>"Y"</formula>
    </cfRule>
    <cfRule type="cellIs" dxfId="3" priority="1604" operator="equal">
      <formula>"N"</formula>
    </cfRule>
  </conditionalFormatting>
  <conditionalFormatting sqref="H341">
    <cfRule type="cellIs" dxfId="2" priority="1625" operator="equal">
      <formula>"Y"</formula>
    </cfRule>
    <cfRule type="cellIs" dxfId="3" priority="1626" operator="equal">
      <formula>"N"</formula>
    </cfRule>
  </conditionalFormatting>
  <conditionalFormatting sqref="H342">
    <cfRule type="cellIs" dxfId="2" priority="1647" operator="equal">
      <formula>"Y"</formula>
    </cfRule>
    <cfRule type="cellIs" dxfId="3" priority="1648" operator="equal">
      <formula>"N"</formula>
    </cfRule>
  </conditionalFormatting>
  <conditionalFormatting sqref="H5">
    <cfRule type="cellIs" dxfId="2" priority="11" operator="equal">
      <formula>"Y"</formula>
    </cfRule>
    <cfRule type="cellIs" dxfId="3" priority="12" operator="equal">
      <formula>"N"</formula>
    </cfRule>
  </conditionalFormatting>
  <conditionalFormatting sqref="H6">
    <cfRule type="cellIs" dxfId="2" priority="33" operator="equal">
      <formula>"Y"</formula>
    </cfRule>
    <cfRule type="cellIs" dxfId="3" priority="34" operator="equal">
      <formula>"N"</formula>
    </cfRule>
  </conditionalFormatting>
  <conditionalFormatting sqref="H7">
    <cfRule type="cellIs" dxfId="2" priority="55" operator="equal">
      <formula>"Y"</formula>
    </cfRule>
    <cfRule type="cellIs" dxfId="3" priority="56" operator="equal">
      <formula>"N"</formula>
    </cfRule>
  </conditionalFormatting>
  <conditionalFormatting sqref="H8">
    <cfRule type="cellIs" dxfId="2" priority="77" operator="equal">
      <formula>"Y"</formula>
    </cfRule>
    <cfRule type="cellIs" dxfId="3" priority="78" operator="equal">
      <formula>"N"</formula>
    </cfRule>
  </conditionalFormatting>
  <conditionalFormatting sqref="H9">
    <cfRule type="cellIs" dxfId="2" priority="99" operator="equal">
      <formula>"Y"</formula>
    </cfRule>
    <cfRule type="cellIs" dxfId="3" priority="100" operator="equal">
      <formula>"N"</formula>
    </cfRule>
  </conditionalFormatting>
  <conditionalFormatting sqref="I10">
    <cfRule type="cellIs" dxfId="2" priority="123" operator="equal">
      <formula>"Y"</formula>
    </cfRule>
    <cfRule type="cellIs" dxfId="3" priority="124" operator="equal">
      <formula>"N"</formula>
    </cfRule>
  </conditionalFormatting>
  <conditionalFormatting sqref="I11">
    <cfRule type="cellIs" dxfId="2" priority="145" operator="equal">
      <formula>"Y"</formula>
    </cfRule>
    <cfRule type="cellIs" dxfId="3" priority="146" operator="equal">
      <formula>"N"</formula>
    </cfRule>
  </conditionalFormatting>
  <conditionalFormatting sqref="I13">
    <cfRule type="cellIs" dxfId="2" priority="191" operator="equal">
      <formula>"Y"</formula>
    </cfRule>
    <cfRule type="cellIs" dxfId="3" priority="192" operator="equal">
      <formula>"N"</formula>
    </cfRule>
  </conditionalFormatting>
  <conditionalFormatting sqref="I14">
    <cfRule type="cellIs" dxfId="2" priority="213" operator="equal">
      <formula>"Y"</formula>
    </cfRule>
    <cfRule type="cellIs" dxfId="3" priority="214" operator="equal">
      <formula>"N"</formula>
    </cfRule>
  </conditionalFormatting>
  <conditionalFormatting sqref="I15">
    <cfRule type="cellIs" dxfId="2" priority="235" operator="equal">
      <formula>"Y"</formula>
    </cfRule>
    <cfRule type="cellIs" dxfId="3" priority="236" operator="equal">
      <formula>"N"</formula>
    </cfRule>
  </conditionalFormatting>
  <conditionalFormatting sqref="I16">
    <cfRule type="cellIs" dxfId="2" priority="257" operator="equal">
      <formula>"Y"</formula>
    </cfRule>
    <cfRule type="cellIs" dxfId="3" priority="258" operator="equal">
      <formula>"N"</formula>
    </cfRule>
  </conditionalFormatting>
  <conditionalFormatting sqref="I168">
    <cfRule type="cellIs" dxfId="2" priority="709" operator="equal">
      <formula>"Y"</formula>
    </cfRule>
    <cfRule type="cellIs" dxfId="3" priority="710" operator="equal">
      <formula>"N"</formula>
    </cfRule>
  </conditionalFormatting>
  <conditionalFormatting sqref="I169">
    <cfRule type="cellIs" dxfId="2" priority="731" operator="equal">
      <formula>"Y"</formula>
    </cfRule>
    <cfRule type="cellIs" dxfId="3" priority="732" operator="equal">
      <formula>"N"</formula>
    </cfRule>
  </conditionalFormatting>
  <conditionalFormatting sqref="I170">
    <cfRule type="cellIs" dxfId="2" priority="753" operator="equal">
      <formula>"Y"</formula>
    </cfRule>
    <cfRule type="cellIs" dxfId="3" priority="754" operator="equal">
      <formula>"N"</formula>
    </cfRule>
  </conditionalFormatting>
  <conditionalFormatting sqref="I171">
    <cfRule type="cellIs" dxfId="2" priority="775" operator="equal">
      <formula>"Y"</formula>
    </cfRule>
    <cfRule type="cellIs" dxfId="3" priority="776" operator="equal">
      <formula>"N"</formula>
    </cfRule>
  </conditionalFormatting>
  <conditionalFormatting sqref="I172">
    <cfRule type="cellIs" dxfId="2" priority="797" operator="equal">
      <formula>"Y"</formula>
    </cfRule>
    <cfRule type="cellIs" dxfId="3" priority="798" operator="equal">
      <formula>"N"</formula>
    </cfRule>
  </conditionalFormatting>
  <conditionalFormatting sqref="I173">
    <cfRule type="cellIs" dxfId="2" priority="819" operator="equal">
      <formula>"Y"</formula>
    </cfRule>
    <cfRule type="cellIs" dxfId="3" priority="820" operator="equal">
      <formula>"N"</formula>
    </cfRule>
  </conditionalFormatting>
  <conditionalFormatting sqref="I174">
    <cfRule type="cellIs" dxfId="2" priority="841" operator="equal">
      <formula>"Y"</formula>
    </cfRule>
    <cfRule type="cellIs" dxfId="3" priority="842" operator="equal">
      <formula>"N"</formula>
    </cfRule>
  </conditionalFormatting>
  <conditionalFormatting sqref="I176">
    <cfRule type="cellIs" dxfId="2" priority="887" operator="equal">
      <formula>"Y"</formula>
    </cfRule>
    <cfRule type="cellIs" dxfId="3" priority="888" operator="equal">
      <formula>"N"</formula>
    </cfRule>
  </conditionalFormatting>
  <conditionalFormatting sqref="I177">
    <cfRule type="cellIs" dxfId="2" priority="909" operator="equal">
      <formula>"Y"</formula>
    </cfRule>
    <cfRule type="cellIs" dxfId="3" priority="910" operator="equal">
      <formula>"N"</formula>
    </cfRule>
  </conditionalFormatting>
  <conditionalFormatting sqref="I178">
    <cfRule type="cellIs" dxfId="2" priority="931" operator="equal">
      <formula>"Y"</formula>
    </cfRule>
    <cfRule type="cellIs" dxfId="3" priority="932" operator="equal">
      <formula>"N"</formula>
    </cfRule>
  </conditionalFormatting>
  <conditionalFormatting sqref="I179">
    <cfRule type="cellIs" dxfId="2" priority="953" operator="equal">
      <formula>"Y"</formula>
    </cfRule>
    <cfRule type="cellIs" dxfId="3" priority="954" operator="equal">
      <formula>"N"</formula>
    </cfRule>
  </conditionalFormatting>
  <conditionalFormatting sqref="I331">
    <cfRule type="cellIs" dxfId="2" priority="1405" operator="equal">
      <formula>"Y"</formula>
    </cfRule>
    <cfRule type="cellIs" dxfId="3" priority="1406" operator="equal">
      <formula>"N"</formula>
    </cfRule>
  </conditionalFormatting>
  <conditionalFormatting sqref="I332">
    <cfRule type="cellIs" dxfId="2" priority="1427" operator="equal">
      <formula>"Y"</formula>
    </cfRule>
    <cfRule type="cellIs" dxfId="3" priority="1428" operator="equal">
      <formula>"N"</formula>
    </cfRule>
  </conditionalFormatting>
  <conditionalFormatting sqref="I333">
    <cfRule type="cellIs" dxfId="2" priority="1449" operator="equal">
      <formula>"Y"</formula>
    </cfRule>
    <cfRule type="cellIs" dxfId="3" priority="1450" operator="equal">
      <formula>"N"</formula>
    </cfRule>
  </conditionalFormatting>
  <conditionalFormatting sqref="I334">
    <cfRule type="cellIs" dxfId="2" priority="1471" operator="equal">
      <formula>"Y"</formula>
    </cfRule>
    <cfRule type="cellIs" dxfId="3" priority="1472" operator="equal">
      <formula>"N"</formula>
    </cfRule>
  </conditionalFormatting>
  <conditionalFormatting sqref="I335">
    <cfRule type="cellIs" dxfId="2" priority="1493" operator="equal">
      <formula>"Y"</formula>
    </cfRule>
    <cfRule type="cellIs" dxfId="3" priority="1494" operator="equal">
      <formula>"N"</formula>
    </cfRule>
  </conditionalFormatting>
  <conditionalFormatting sqref="I336">
    <cfRule type="cellIs" dxfId="2" priority="1515" operator="equal">
      <formula>"Y"</formula>
    </cfRule>
    <cfRule type="cellIs" dxfId="3" priority="1516" operator="equal">
      <formula>"N"</formula>
    </cfRule>
  </conditionalFormatting>
  <conditionalFormatting sqref="I337">
    <cfRule type="cellIs" dxfId="2" priority="1537" operator="equal">
      <formula>"Y"</formula>
    </cfRule>
    <cfRule type="cellIs" dxfId="3" priority="1538" operator="equal">
      <formula>"N"</formula>
    </cfRule>
  </conditionalFormatting>
  <conditionalFormatting sqref="I339">
    <cfRule type="cellIs" dxfId="2" priority="1583" operator="equal">
      <formula>"Y"</formula>
    </cfRule>
    <cfRule type="cellIs" dxfId="3" priority="1584" operator="equal">
      <formula>"N"</formula>
    </cfRule>
  </conditionalFormatting>
  <conditionalFormatting sqref="I340">
    <cfRule type="cellIs" dxfId="2" priority="1605" operator="equal">
      <formula>"Y"</formula>
    </cfRule>
    <cfRule type="cellIs" dxfId="3" priority="1606" operator="equal">
      <formula>"N"</formula>
    </cfRule>
  </conditionalFormatting>
  <conditionalFormatting sqref="I341">
    <cfRule type="cellIs" dxfId="2" priority="1627" operator="equal">
      <formula>"Y"</formula>
    </cfRule>
    <cfRule type="cellIs" dxfId="3" priority="1628" operator="equal">
      <formula>"N"</formula>
    </cfRule>
  </conditionalFormatting>
  <conditionalFormatting sqref="I342">
    <cfRule type="cellIs" dxfId="2" priority="1649" operator="equal">
      <formula>"Y"</formula>
    </cfRule>
    <cfRule type="cellIs" dxfId="3" priority="1650" operator="equal">
      <formula>"N"</formula>
    </cfRule>
  </conditionalFormatting>
  <conditionalFormatting sqref="I5">
    <cfRule type="cellIs" dxfId="2" priority="13" operator="equal">
      <formula>"Y"</formula>
    </cfRule>
    <cfRule type="cellIs" dxfId="3" priority="14" operator="equal">
      <formula>"N"</formula>
    </cfRule>
  </conditionalFormatting>
  <conditionalFormatting sqref="I6">
    <cfRule type="cellIs" dxfId="2" priority="35" operator="equal">
      <formula>"Y"</formula>
    </cfRule>
    <cfRule type="cellIs" dxfId="3" priority="36" operator="equal">
      <formula>"N"</formula>
    </cfRule>
  </conditionalFormatting>
  <conditionalFormatting sqref="I7">
    <cfRule type="cellIs" dxfId="2" priority="57" operator="equal">
      <formula>"Y"</formula>
    </cfRule>
    <cfRule type="cellIs" dxfId="3" priority="58" operator="equal">
      <formula>"N"</formula>
    </cfRule>
  </conditionalFormatting>
  <conditionalFormatting sqref="I8">
    <cfRule type="cellIs" dxfId="2" priority="79" operator="equal">
      <formula>"Y"</formula>
    </cfRule>
    <cfRule type="cellIs" dxfId="3" priority="80" operator="equal">
      <formula>"N"</formula>
    </cfRule>
  </conditionalFormatting>
  <conditionalFormatting sqref="I9">
    <cfRule type="cellIs" dxfId="2" priority="101" operator="equal">
      <formula>"Y"</formula>
    </cfRule>
    <cfRule type="cellIs" dxfId="3" priority="102" operator="equal">
      <formula>"N"</formula>
    </cfRule>
  </conditionalFormatting>
  <conditionalFormatting sqref="J10">
    <cfRule type="cellIs" dxfId="2" priority="125" operator="equal">
      <formula>"Y"</formula>
    </cfRule>
    <cfRule type="cellIs" dxfId="3" priority="126" operator="equal">
      <formula>"N"</formula>
    </cfRule>
  </conditionalFormatting>
  <conditionalFormatting sqref="J11">
    <cfRule type="cellIs" dxfId="2" priority="147" operator="equal">
      <formula>"Y"</formula>
    </cfRule>
    <cfRule type="cellIs" dxfId="3" priority="148" operator="equal">
      <formula>"N"</formula>
    </cfRule>
  </conditionalFormatting>
  <conditionalFormatting sqref="J12">
    <cfRule type="cellIs" dxfId="2" priority="169" operator="equal">
      <formula>"Y"</formula>
    </cfRule>
    <cfRule type="cellIs" dxfId="3" priority="170" operator="equal">
      <formula>"N"</formula>
    </cfRule>
  </conditionalFormatting>
  <conditionalFormatting sqref="J14">
    <cfRule type="cellIs" dxfId="2" priority="215" operator="equal">
      <formula>"Y"</formula>
    </cfRule>
    <cfRule type="cellIs" dxfId="3" priority="216" operator="equal">
      <formula>"N"</formula>
    </cfRule>
  </conditionalFormatting>
  <conditionalFormatting sqref="J15">
    <cfRule type="cellIs" dxfId="2" priority="237" operator="equal">
      <formula>"Y"</formula>
    </cfRule>
    <cfRule type="cellIs" dxfId="3" priority="238" operator="equal">
      <formula>"N"</formula>
    </cfRule>
  </conditionalFormatting>
  <conditionalFormatting sqref="J16">
    <cfRule type="cellIs" dxfId="2" priority="259" operator="equal">
      <formula>"Y"</formula>
    </cfRule>
    <cfRule type="cellIs" dxfId="3" priority="260" operator="equal">
      <formula>"N"</formula>
    </cfRule>
  </conditionalFormatting>
  <conditionalFormatting sqref="J168">
    <cfRule type="cellIs" dxfId="2" priority="711" operator="equal">
      <formula>"Y"</formula>
    </cfRule>
    <cfRule type="cellIs" dxfId="3" priority="712" operator="equal">
      <formula>"N"</formula>
    </cfRule>
  </conditionalFormatting>
  <conditionalFormatting sqref="J169">
    <cfRule type="cellIs" dxfId="2" priority="733" operator="equal">
      <formula>"Y"</formula>
    </cfRule>
    <cfRule type="cellIs" dxfId="3" priority="734" operator="equal">
      <formula>"N"</formula>
    </cfRule>
  </conditionalFormatting>
  <conditionalFormatting sqref="J170">
    <cfRule type="cellIs" dxfId="2" priority="755" operator="equal">
      <formula>"Y"</formula>
    </cfRule>
    <cfRule type="cellIs" dxfId="3" priority="756" operator="equal">
      <formula>"N"</formula>
    </cfRule>
  </conditionalFormatting>
  <conditionalFormatting sqref="J171">
    <cfRule type="cellIs" dxfId="2" priority="777" operator="equal">
      <formula>"Y"</formula>
    </cfRule>
    <cfRule type="cellIs" dxfId="3" priority="778" operator="equal">
      <formula>"N"</formula>
    </cfRule>
  </conditionalFormatting>
  <conditionalFormatting sqref="J172">
    <cfRule type="cellIs" dxfId="2" priority="799" operator="equal">
      <formula>"Y"</formula>
    </cfRule>
    <cfRule type="cellIs" dxfId="3" priority="800" operator="equal">
      <formula>"N"</formula>
    </cfRule>
  </conditionalFormatting>
  <conditionalFormatting sqref="J173">
    <cfRule type="cellIs" dxfId="2" priority="821" operator="equal">
      <formula>"Y"</formula>
    </cfRule>
    <cfRule type="cellIs" dxfId="3" priority="822" operator="equal">
      <formula>"N"</formula>
    </cfRule>
  </conditionalFormatting>
  <conditionalFormatting sqref="J174">
    <cfRule type="cellIs" dxfId="2" priority="843" operator="equal">
      <formula>"Y"</formula>
    </cfRule>
    <cfRule type="cellIs" dxfId="3" priority="844" operator="equal">
      <formula>"N"</formula>
    </cfRule>
  </conditionalFormatting>
  <conditionalFormatting sqref="J175">
    <cfRule type="cellIs" dxfId="2" priority="865" operator="equal">
      <formula>"Y"</formula>
    </cfRule>
    <cfRule type="cellIs" dxfId="3" priority="866" operator="equal">
      <formula>"N"</formula>
    </cfRule>
  </conditionalFormatting>
  <conditionalFormatting sqref="J177">
    <cfRule type="cellIs" dxfId="2" priority="911" operator="equal">
      <formula>"Y"</formula>
    </cfRule>
    <cfRule type="cellIs" dxfId="3" priority="912" operator="equal">
      <formula>"N"</formula>
    </cfRule>
  </conditionalFormatting>
  <conditionalFormatting sqref="J178">
    <cfRule type="cellIs" dxfId="2" priority="933" operator="equal">
      <formula>"Y"</formula>
    </cfRule>
    <cfRule type="cellIs" dxfId="3" priority="934" operator="equal">
      <formula>"N"</formula>
    </cfRule>
  </conditionalFormatting>
  <conditionalFormatting sqref="J179">
    <cfRule type="cellIs" dxfId="2" priority="955" operator="equal">
      <formula>"Y"</formula>
    </cfRule>
    <cfRule type="cellIs" dxfId="3" priority="956" operator="equal">
      <formula>"N"</formula>
    </cfRule>
  </conditionalFormatting>
  <conditionalFormatting sqref="J331">
    <cfRule type="cellIs" dxfId="2" priority="1407" operator="equal">
      <formula>"Y"</formula>
    </cfRule>
    <cfRule type="cellIs" dxfId="3" priority="1408" operator="equal">
      <formula>"N"</formula>
    </cfRule>
  </conditionalFormatting>
  <conditionalFormatting sqref="J332">
    <cfRule type="cellIs" dxfId="2" priority="1429" operator="equal">
      <formula>"Y"</formula>
    </cfRule>
    <cfRule type="cellIs" dxfId="3" priority="1430" operator="equal">
      <formula>"N"</formula>
    </cfRule>
  </conditionalFormatting>
  <conditionalFormatting sqref="J333">
    <cfRule type="cellIs" dxfId="2" priority="1451" operator="equal">
      <formula>"Y"</formula>
    </cfRule>
    <cfRule type="cellIs" dxfId="3" priority="1452" operator="equal">
      <formula>"N"</formula>
    </cfRule>
  </conditionalFormatting>
  <conditionalFormatting sqref="J334">
    <cfRule type="cellIs" dxfId="2" priority="1473" operator="equal">
      <formula>"Y"</formula>
    </cfRule>
    <cfRule type="cellIs" dxfId="3" priority="1474" operator="equal">
      <formula>"N"</formula>
    </cfRule>
  </conditionalFormatting>
  <conditionalFormatting sqref="J335">
    <cfRule type="cellIs" dxfId="2" priority="1495" operator="equal">
      <formula>"Y"</formula>
    </cfRule>
    <cfRule type="cellIs" dxfId="3" priority="1496" operator="equal">
      <formula>"N"</formula>
    </cfRule>
  </conditionalFormatting>
  <conditionalFormatting sqref="J336">
    <cfRule type="cellIs" dxfId="2" priority="1517" operator="equal">
      <formula>"Y"</formula>
    </cfRule>
    <cfRule type="cellIs" dxfId="3" priority="1518" operator="equal">
      <formula>"N"</formula>
    </cfRule>
  </conditionalFormatting>
  <conditionalFormatting sqref="J337">
    <cfRule type="cellIs" dxfId="2" priority="1539" operator="equal">
      <formula>"Y"</formula>
    </cfRule>
    <cfRule type="cellIs" dxfId="3" priority="1540" operator="equal">
      <formula>"N"</formula>
    </cfRule>
  </conditionalFormatting>
  <conditionalFormatting sqref="J338">
    <cfRule type="cellIs" dxfId="2" priority="1561" operator="equal">
      <formula>"Y"</formula>
    </cfRule>
    <cfRule type="cellIs" dxfId="3" priority="1562" operator="equal">
      <formula>"N"</formula>
    </cfRule>
  </conditionalFormatting>
  <conditionalFormatting sqref="J340">
    <cfRule type="cellIs" dxfId="2" priority="1607" operator="equal">
      <formula>"Y"</formula>
    </cfRule>
    <cfRule type="cellIs" dxfId="3" priority="1608" operator="equal">
      <formula>"N"</formula>
    </cfRule>
  </conditionalFormatting>
  <conditionalFormatting sqref="J341">
    <cfRule type="cellIs" dxfId="2" priority="1629" operator="equal">
      <formula>"Y"</formula>
    </cfRule>
    <cfRule type="cellIs" dxfId="3" priority="1630" operator="equal">
      <formula>"N"</formula>
    </cfRule>
  </conditionalFormatting>
  <conditionalFormatting sqref="J342">
    <cfRule type="cellIs" dxfId="2" priority="1651" operator="equal">
      <formula>"Y"</formula>
    </cfRule>
    <cfRule type="cellIs" dxfId="3" priority="1652" operator="equal">
      <formula>"N"</formula>
    </cfRule>
  </conditionalFormatting>
  <conditionalFormatting sqref="J5">
    <cfRule type="cellIs" dxfId="2" priority="15" operator="equal">
      <formula>"Y"</formula>
    </cfRule>
    <cfRule type="cellIs" dxfId="3" priority="16" operator="equal">
      <formula>"N"</formula>
    </cfRule>
  </conditionalFormatting>
  <conditionalFormatting sqref="J6">
    <cfRule type="cellIs" dxfId="2" priority="37" operator="equal">
      <formula>"Y"</formula>
    </cfRule>
    <cfRule type="cellIs" dxfId="3" priority="38" operator="equal">
      <formula>"N"</formula>
    </cfRule>
  </conditionalFormatting>
  <conditionalFormatting sqref="J7">
    <cfRule type="cellIs" dxfId="2" priority="59" operator="equal">
      <formula>"Y"</formula>
    </cfRule>
    <cfRule type="cellIs" dxfId="3" priority="60" operator="equal">
      <formula>"N"</formula>
    </cfRule>
  </conditionalFormatting>
  <conditionalFormatting sqref="J8">
    <cfRule type="cellIs" dxfId="2" priority="81" operator="equal">
      <formula>"Y"</formula>
    </cfRule>
    <cfRule type="cellIs" dxfId="3" priority="82" operator="equal">
      <formula>"N"</formula>
    </cfRule>
  </conditionalFormatting>
  <conditionalFormatting sqref="J9">
    <cfRule type="cellIs" dxfId="2" priority="103" operator="equal">
      <formula>"Y"</formula>
    </cfRule>
    <cfRule type="cellIs" dxfId="3" priority="104" operator="equal">
      <formula>"N"</formula>
    </cfRule>
  </conditionalFormatting>
  <conditionalFormatting sqref="K10">
    <cfRule type="cellIs" dxfId="2" priority="127" operator="equal">
      <formula>"Y"</formula>
    </cfRule>
    <cfRule type="cellIs" dxfId="3" priority="128" operator="equal">
      <formula>"N"</formula>
    </cfRule>
  </conditionalFormatting>
  <conditionalFormatting sqref="K11">
    <cfRule type="cellIs" dxfId="2" priority="149" operator="equal">
      <formula>"Y"</formula>
    </cfRule>
    <cfRule type="cellIs" dxfId="3" priority="150" operator="equal">
      <formula>"N"</formula>
    </cfRule>
  </conditionalFormatting>
  <conditionalFormatting sqref="K12">
    <cfRule type="cellIs" dxfId="2" priority="171" operator="equal">
      <formula>"Y"</formula>
    </cfRule>
    <cfRule type="cellIs" dxfId="3" priority="172" operator="equal">
      <formula>"N"</formula>
    </cfRule>
  </conditionalFormatting>
  <conditionalFormatting sqref="K13">
    <cfRule type="cellIs" dxfId="2" priority="193" operator="equal">
      <formula>"Y"</formula>
    </cfRule>
    <cfRule type="cellIs" dxfId="3" priority="194" operator="equal">
      <formula>"N"</formula>
    </cfRule>
  </conditionalFormatting>
  <conditionalFormatting sqref="K15">
    <cfRule type="cellIs" dxfId="2" priority="239" operator="equal">
      <formula>"Y"</formula>
    </cfRule>
    <cfRule type="cellIs" dxfId="3" priority="240" operator="equal">
      <formula>"N"</formula>
    </cfRule>
  </conditionalFormatting>
  <conditionalFormatting sqref="K16">
    <cfRule type="cellIs" dxfId="2" priority="261" operator="equal">
      <formula>"Y"</formula>
    </cfRule>
    <cfRule type="cellIs" dxfId="3" priority="262" operator="equal">
      <formula>"N"</formula>
    </cfRule>
  </conditionalFormatting>
  <conditionalFormatting sqref="K168">
    <cfRule type="cellIs" dxfId="2" priority="713" operator="equal">
      <formula>"Y"</formula>
    </cfRule>
    <cfRule type="cellIs" dxfId="3" priority="714" operator="equal">
      <formula>"N"</formula>
    </cfRule>
  </conditionalFormatting>
  <conditionalFormatting sqref="K169">
    <cfRule type="cellIs" dxfId="2" priority="735" operator="equal">
      <formula>"Y"</formula>
    </cfRule>
    <cfRule type="cellIs" dxfId="3" priority="736" operator="equal">
      <formula>"N"</formula>
    </cfRule>
  </conditionalFormatting>
  <conditionalFormatting sqref="K170">
    <cfRule type="cellIs" dxfId="2" priority="757" operator="equal">
      <formula>"Y"</formula>
    </cfRule>
    <cfRule type="cellIs" dxfId="3" priority="758" operator="equal">
      <formula>"N"</formula>
    </cfRule>
  </conditionalFormatting>
  <conditionalFormatting sqref="K171">
    <cfRule type="cellIs" dxfId="2" priority="779" operator="equal">
      <formula>"Y"</formula>
    </cfRule>
    <cfRule type="cellIs" dxfId="3" priority="780" operator="equal">
      <formula>"N"</formula>
    </cfRule>
  </conditionalFormatting>
  <conditionalFormatting sqref="K172">
    <cfRule type="cellIs" dxfId="2" priority="801" operator="equal">
      <formula>"Y"</formula>
    </cfRule>
    <cfRule type="cellIs" dxfId="3" priority="802" operator="equal">
      <formula>"N"</formula>
    </cfRule>
  </conditionalFormatting>
  <conditionalFormatting sqref="K173">
    <cfRule type="cellIs" dxfId="2" priority="823" operator="equal">
      <formula>"Y"</formula>
    </cfRule>
    <cfRule type="cellIs" dxfId="3" priority="824" operator="equal">
      <formula>"N"</formula>
    </cfRule>
  </conditionalFormatting>
  <conditionalFormatting sqref="K174">
    <cfRule type="cellIs" dxfId="2" priority="845" operator="equal">
      <formula>"Y"</formula>
    </cfRule>
    <cfRule type="cellIs" dxfId="3" priority="846" operator="equal">
      <formula>"N"</formula>
    </cfRule>
  </conditionalFormatting>
  <conditionalFormatting sqref="K175">
    <cfRule type="cellIs" dxfId="2" priority="867" operator="equal">
      <formula>"Y"</formula>
    </cfRule>
    <cfRule type="cellIs" dxfId="3" priority="868" operator="equal">
      <formula>"N"</formula>
    </cfRule>
  </conditionalFormatting>
  <conditionalFormatting sqref="K176">
    <cfRule type="cellIs" dxfId="2" priority="889" operator="equal">
      <formula>"Y"</formula>
    </cfRule>
    <cfRule type="cellIs" dxfId="3" priority="890" operator="equal">
      <formula>"N"</formula>
    </cfRule>
  </conditionalFormatting>
  <conditionalFormatting sqref="K178">
    <cfRule type="cellIs" dxfId="2" priority="935" operator="equal">
      <formula>"Y"</formula>
    </cfRule>
    <cfRule type="cellIs" dxfId="3" priority="936" operator="equal">
      <formula>"N"</formula>
    </cfRule>
  </conditionalFormatting>
  <conditionalFormatting sqref="K179">
    <cfRule type="cellIs" dxfId="2" priority="957" operator="equal">
      <formula>"Y"</formula>
    </cfRule>
    <cfRule type="cellIs" dxfId="3" priority="958" operator="equal">
      <formula>"N"</formula>
    </cfRule>
  </conditionalFormatting>
  <conditionalFormatting sqref="K331">
    <cfRule type="cellIs" dxfId="2" priority="1409" operator="equal">
      <formula>"Y"</formula>
    </cfRule>
    <cfRule type="cellIs" dxfId="3" priority="1410" operator="equal">
      <formula>"N"</formula>
    </cfRule>
  </conditionalFormatting>
  <conditionalFormatting sqref="K332">
    <cfRule type="cellIs" dxfId="2" priority="1431" operator="equal">
      <formula>"Y"</formula>
    </cfRule>
    <cfRule type="cellIs" dxfId="3" priority="1432" operator="equal">
      <formula>"N"</formula>
    </cfRule>
  </conditionalFormatting>
  <conditionalFormatting sqref="K333">
    <cfRule type="cellIs" dxfId="2" priority="1453" operator="equal">
      <formula>"Y"</formula>
    </cfRule>
    <cfRule type="cellIs" dxfId="3" priority="1454" operator="equal">
      <formula>"N"</formula>
    </cfRule>
  </conditionalFormatting>
  <conditionalFormatting sqref="K334">
    <cfRule type="cellIs" dxfId="2" priority="1475" operator="equal">
      <formula>"Y"</formula>
    </cfRule>
    <cfRule type="cellIs" dxfId="3" priority="1476" operator="equal">
      <formula>"N"</formula>
    </cfRule>
  </conditionalFormatting>
  <conditionalFormatting sqref="K335">
    <cfRule type="cellIs" dxfId="2" priority="1497" operator="equal">
      <formula>"Y"</formula>
    </cfRule>
    <cfRule type="cellIs" dxfId="3" priority="1498" operator="equal">
      <formula>"N"</formula>
    </cfRule>
  </conditionalFormatting>
  <conditionalFormatting sqref="K336">
    <cfRule type="cellIs" dxfId="2" priority="1519" operator="equal">
      <formula>"Y"</formula>
    </cfRule>
    <cfRule type="cellIs" dxfId="3" priority="1520" operator="equal">
      <formula>"N"</formula>
    </cfRule>
  </conditionalFormatting>
  <conditionalFormatting sqref="K337">
    <cfRule type="cellIs" dxfId="2" priority="1541" operator="equal">
      <formula>"Y"</formula>
    </cfRule>
    <cfRule type="cellIs" dxfId="3" priority="1542" operator="equal">
      <formula>"N"</formula>
    </cfRule>
  </conditionalFormatting>
  <conditionalFormatting sqref="K338">
    <cfRule type="cellIs" dxfId="2" priority="1563" operator="equal">
      <formula>"Y"</formula>
    </cfRule>
    <cfRule type="cellIs" dxfId="3" priority="1564" operator="equal">
      <formula>"N"</formula>
    </cfRule>
  </conditionalFormatting>
  <conditionalFormatting sqref="K339">
    <cfRule type="cellIs" dxfId="2" priority="1585" operator="equal">
      <formula>"Y"</formula>
    </cfRule>
    <cfRule type="cellIs" dxfId="3" priority="1586" operator="equal">
      <formula>"N"</formula>
    </cfRule>
  </conditionalFormatting>
  <conditionalFormatting sqref="K341">
    <cfRule type="cellIs" dxfId="2" priority="1631" operator="equal">
      <formula>"Y"</formula>
    </cfRule>
    <cfRule type="cellIs" dxfId="3" priority="1632" operator="equal">
      <formula>"N"</formula>
    </cfRule>
  </conditionalFormatting>
  <conditionalFormatting sqref="K342">
    <cfRule type="cellIs" dxfId="2" priority="1653" operator="equal">
      <formula>"Y"</formula>
    </cfRule>
    <cfRule type="cellIs" dxfId="3" priority="1654" operator="equal">
      <formula>"N"</formula>
    </cfRule>
  </conditionalFormatting>
  <conditionalFormatting sqref="K5">
    <cfRule type="cellIs" dxfId="2" priority="17" operator="equal">
      <formula>"Y"</formula>
    </cfRule>
    <cfRule type="cellIs" dxfId="3" priority="18" operator="equal">
      <formula>"N"</formula>
    </cfRule>
  </conditionalFormatting>
  <conditionalFormatting sqref="K6">
    <cfRule type="cellIs" dxfId="2" priority="39" operator="equal">
      <formula>"Y"</formula>
    </cfRule>
    <cfRule type="cellIs" dxfId="3" priority="40" operator="equal">
      <formula>"N"</formula>
    </cfRule>
  </conditionalFormatting>
  <conditionalFormatting sqref="K7">
    <cfRule type="cellIs" dxfId="2" priority="61" operator="equal">
      <formula>"Y"</formula>
    </cfRule>
    <cfRule type="cellIs" dxfId="3" priority="62" operator="equal">
      <formula>"N"</formula>
    </cfRule>
  </conditionalFormatting>
  <conditionalFormatting sqref="K8">
    <cfRule type="cellIs" dxfId="2" priority="83" operator="equal">
      <formula>"Y"</formula>
    </cfRule>
    <cfRule type="cellIs" dxfId="3" priority="84" operator="equal">
      <formula>"N"</formula>
    </cfRule>
  </conditionalFormatting>
  <conditionalFormatting sqref="K9">
    <cfRule type="cellIs" dxfId="2" priority="105" operator="equal">
      <formula>"Y"</formula>
    </cfRule>
    <cfRule type="cellIs" dxfId="3" priority="106" operator="equal">
      <formula>"N"</formula>
    </cfRule>
  </conditionalFormatting>
  <conditionalFormatting sqref="L10">
    <cfRule type="cellIs" dxfId="2" priority="129" operator="equal">
      <formula>"Y"</formula>
    </cfRule>
    <cfRule type="cellIs" dxfId="3" priority="130" operator="equal">
      <formula>"N"</formula>
    </cfRule>
  </conditionalFormatting>
  <conditionalFormatting sqref="L11">
    <cfRule type="cellIs" dxfId="2" priority="151" operator="equal">
      <formula>"Y"</formula>
    </cfRule>
    <cfRule type="cellIs" dxfId="3" priority="152" operator="equal">
      <formula>"N"</formula>
    </cfRule>
  </conditionalFormatting>
  <conditionalFormatting sqref="L12">
    <cfRule type="cellIs" dxfId="2" priority="173" operator="equal">
      <formula>"Y"</formula>
    </cfRule>
    <cfRule type="cellIs" dxfId="3" priority="174" operator="equal">
      <formula>"N"</formula>
    </cfRule>
  </conditionalFormatting>
  <conditionalFormatting sqref="L13">
    <cfRule type="cellIs" dxfId="2" priority="195" operator="equal">
      <formula>"Y"</formula>
    </cfRule>
    <cfRule type="cellIs" dxfId="3" priority="196" operator="equal">
      <formula>"N"</formula>
    </cfRule>
  </conditionalFormatting>
  <conditionalFormatting sqref="L14">
    <cfRule type="cellIs" dxfId="2" priority="217" operator="equal">
      <formula>"Y"</formula>
    </cfRule>
    <cfRule type="cellIs" dxfId="3" priority="218" operator="equal">
      <formula>"N"</formula>
    </cfRule>
  </conditionalFormatting>
  <conditionalFormatting sqref="L16">
    <cfRule type="cellIs" dxfId="2" priority="263" operator="equal">
      <formula>"Y"</formula>
    </cfRule>
    <cfRule type="cellIs" dxfId="3" priority="264" operator="equal">
      <formula>"N"</formula>
    </cfRule>
  </conditionalFormatting>
  <conditionalFormatting sqref="L168">
    <cfRule type="cellIs" dxfId="2" priority="715" operator="equal">
      <formula>"Y"</formula>
    </cfRule>
    <cfRule type="cellIs" dxfId="3" priority="716" operator="equal">
      <formula>"N"</formula>
    </cfRule>
  </conditionalFormatting>
  <conditionalFormatting sqref="L169">
    <cfRule type="cellIs" dxfId="2" priority="737" operator="equal">
      <formula>"Y"</formula>
    </cfRule>
    <cfRule type="cellIs" dxfId="3" priority="738" operator="equal">
      <formula>"N"</formula>
    </cfRule>
  </conditionalFormatting>
  <conditionalFormatting sqref="L170">
    <cfRule type="cellIs" dxfId="2" priority="759" operator="equal">
      <formula>"Y"</formula>
    </cfRule>
    <cfRule type="cellIs" dxfId="3" priority="760" operator="equal">
      <formula>"N"</formula>
    </cfRule>
  </conditionalFormatting>
  <conditionalFormatting sqref="L171">
    <cfRule type="cellIs" dxfId="2" priority="781" operator="equal">
      <formula>"Y"</formula>
    </cfRule>
    <cfRule type="cellIs" dxfId="3" priority="782" operator="equal">
      <formula>"N"</formula>
    </cfRule>
  </conditionalFormatting>
  <conditionalFormatting sqref="L172">
    <cfRule type="cellIs" dxfId="2" priority="803" operator="equal">
      <formula>"Y"</formula>
    </cfRule>
    <cfRule type="cellIs" dxfId="3" priority="804" operator="equal">
      <formula>"N"</formula>
    </cfRule>
  </conditionalFormatting>
  <conditionalFormatting sqref="L173">
    <cfRule type="cellIs" dxfId="2" priority="825" operator="equal">
      <formula>"Y"</formula>
    </cfRule>
    <cfRule type="cellIs" dxfId="3" priority="826" operator="equal">
      <formula>"N"</formula>
    </cfRule>
  </conditionalFormatting>
  <conditionalFormatting sqref="L174">
    <cfRule type="cellIs" dxfId="2" priority="847" operator="equal">
      <formula>"Y"</formula>
    </cfRule>
    <cfRule type="cellIs" dxfId="3" priority="848" operator="equal">
      <formula>"N"</formula>
    </cfRule>
  </conditionalFormatting>
  <conditionalFormatting sqref="L175">
    <cfRule type="cellIs" dxfId="2" priority="869" operator="equal">
      <formula>"Y"</formula>
    </cfRule>
    <cfRule type="cellIs" dxfId="3" priority="870" operator="equal">
      <formula>"N"</formula>
    </cfRule>
  </conditionalFormatting>
  <conditionalFormatting sqref="L176">
    <cfRule type="cellIs" dxfId="2" priority="891" operator="equal">
      <formula>"Y"</formula>
    </cfRule>
    <cfRule type="cellIs" dxfId="3" priority="892" operator="equal">
      <formula>"N"</formula>
    </cfRule>
  </conditionalFormatting>
  <conditionalFormatting sqref="L177">
    <cfRule type="cellIs" dxfId="2" priority="913" operator="equal">
      <formula>"Y"</formula>
    </cfRule>
    <cfRule type="cellIs" dxfId="3" priority="914" operator="equal">
      <formula>"N"</formula>
    </cfRule>
  </conditionalFormatting>
  <conditionalFormatting sqref="L179">
    <cfRule type="cellIs" dxfId="2" priority="959" operator="equal">
      <formula>"Y"</formula>
    </cfRule>
    <cfRule type="cellIs" dxfId="3" priority="960" operator="equal">
      <formula>"N"</formula>
    </cfRule>
  </conditionalFormatting>
  <conditionalFormatting sqref="L331">
    <cfRule type="cellIs" dxfId="2" priority="1411" operator="equal">
      <formula>"Y"</formula>
    </cfRule>
    <cfRule type="cellIs" dxfId="3" priority="1412" operator="equal">
      <formula>"N"</formula>
    </cfRule>
  </conditionalFormatting>
  <conditionalFormatting sqref="L332">
    <cfRule type="cellIs" dxfId="2" priority="1433" operator="equal">
      <formula>"Y"</formula>
    </cfRule>
    <cfRule type="cellIs" dxfId="3" priority="1434" operator="equal">
      <formula>"N"</formula>
    </cfRule>
  </conditionalFormatting>
  <conditionalFormatting sqref="L333">
    <cfRule type="cellIs" dxfId="2" priority="1455" operator="equal">
      <formula>"Y"</formula>
    </cfRule>
    <cfRule type="cellIs" dxfId="3" priority="1456" operator="equal">
      <formula>"N"</formula>
    </cfRule>
  </conditionalFormatting>
  <conditionalFormatting sqref="L334">
    <cfRule type="cellIs" dxfId="2" priority="1477" operator="equal">
      <formula>"Y"</formula>
    </cfRule>
    <cfRule type="cellIs" dxfId="3" priority="1478" operator="equal">
      <formula>"N"</formula>
    </cfRule>
  </conditionalFormatting>
  <conditionalFormatting sqref="L335">
    <cfRule type="cellIs" dxfId="2" priority="1499" operator="equal">
      <formula>"Y"</formula>
    </cfRule>
    <cfRule type="cellIs" dxfId="3" priority="1500" operator="equal">
      <formula>"N"</formula>
    </cfRule>
  </conditionalFormatting>
  <conditionalFormatting sqref="L336">
    <cfRule type="cellIs" dxfId="2" priority="1521" operator="equal">
      <formula>"Y"</formula>
    </cfRule>
    <cfRule type="cellIs" dxfId="3" priority="1522" operator="equal">
      <formula>"N"</formula>
    </cfRule>
  </conditionalFormatting>
  <conditionalFormatting sqref="L337">
    <cfRule type="cellIs" dxfId="2" priority="1543" operator="equal">
      <formula>"Y"</formula>
    </cfRule>
    <cfRule type="cellIs" dxfId="3" priority="1544" operator="equal">
      <formula>"N"</formula>
    </cfRule>
  </conditionalFormatting>
  <conditionalFormatting sqref="L338">
    <cfRule type="cellIs" dxfId="2" priority="1565" operator="equal">
      <formula>"Y"</formula>
    </cfRule>
    <cfRule type="cellIs" dxfId="3" priority="1566" operator="equal">
      <formula>"N"</formula>
    </cfRule>
  </conditionalFormatting>
  <conditionalFormatting sqref="L339">
    <cfRule type="cellIs" dxfId="2" priority="1587" operator="equal">
      <formula>"Y"</formula>
    </cfRule>
    <cfRule type="cellIs" dxfId="3" priority="1588" operator="equal">
      <formula>"N"</formula>
    </cfRule>
  </conditionalFormatting>
  <conditionalFormatting sqref="L340">
    <cfRule type="cellIs" dxfId="2" priority="1609" operator="equal">
      <formula>"Y"</formula>
    </cfRule>
    <cfRule type="cellIs" dxfId="3" priority="1610" operator="equal">
      <formula>"N"</formula>
    </cfRule>
  </conditionalFormatting>
  <conditionalFormatting sqref="L342">
    <cfRule type="cellIs" dxfId="2" priority="1655" operator="equal">
      <formula>"Y"</formula>
    </cfRule>
    <cfRule type="cellIs" dxfId="3" priority="1656" operator="equal">
      <formula>"N"</formula>
    </cfRule>
  </conditionalFormatting>
  <conditionalFormatting sqref="L5">
    <cfRule type="cellIs" dxfId="2" priority="19" operator="equal">
      <formula>"Y"</formula>
    </cfRule>
    <cfRule type="cellIs" dxfId="3" priority="20" operator="equal">
      <formula>"N"</formula>
    </cfRule>
  </conditionalFormatting>
  <conditionalFormatting sqref="L6">
    <cfRule type="cellIs" dxfId="2" priority="41" operator="equal">
      <formula>"Y"</formula>
    </cfRule>
    <cfRule type="cellIs" dxfId="3" priority="42" operator="equal">
      <formula>"N"</formula>
    </cfRule>
  </conditionalFormatting>
  <conditionalFormatting sqref="L7">
    <cfRule type="cellIs" dxfId="2" priority="63" operator="equal">
      <formula>"Y"</formula>
    </cfRule>
    <cfRule type="cellIs" dxfId="3" priority="64" operator="equal">
      <formula>"N"</formula>
    </cfRule>
  </conditionalFormatting>
  <conditionalFormatting sqref="L8">
    <cfRule type="cellIs" dxfId="2" priority="85" operator="equal">
      <formula>"Y"</formula>
    </cfRule>
    <cfRule type="cellIs" dxfId="3" priority="86" operator="equal">
      <formula>"N"</formula>
    </cfRule>
  </conditionalFormatting>
  <conditionalFormatting sqref="L9">
    <cfRule type="cellIs" dxfId="2" priority="107" operator="equal">
      <formula>"Y"</formula>
    </cfRule>
    <cfRule type="cellIs" dxfId="3" priority="108" operator="equal">
      <formula>"N"</formula>
    </cfRule>
  </conditionalFormatting>
  <conditionalFormatting sqref="M10">
    <cfRule type="cellIs" dxfId="2" priority="131" operator="equal">
      <formula>"Y"</formula>
    </cfRule>
    <cfRule type="cellIs" dxfId="3" priority="132" operator="equal">
      <formula>"N"</formula>
    </cfRule>
  </conditionalFormatting>
  <conditionalFormatting sqref="M11">
    <cfRule type="cellIs" dxfId="2" priority="153" operator="equal">
      <formula>"Y"</formula>
    </cfRule>
    <cfRule type="cellIs" dxfId="3" priority="154" operator="equal">
      <formula>"N"</formula>
    </cfRule>
  </conditionalFormatting>
  <conditionalFormatting sqref="M12">
    <cfRule type="cellIs" dxfId="2" priority="175" operator="equal">
      <formula>"Y"</formula>
    </cfRule>
    <cfRule type="cellIs" dxfId="3" priority="176" operator="equal">
      <formula>"N"</formula>
    </cfRule>
  </conditionalFormatting>
  <conditionalFormatting sqref="M13">
    <cfRule type="cellIs" dxfId="2" priority="197" operator="equal">
      <formula>"Y"</formula>
    </cfRule>
    <cfRule type="cellIs" dxfId="3" priority="198" operator="equal">
      <formula>"N"</formula>
    </cfRule>
  </conditionalFormatting>
  <conditionalFormatting sqref="M14">
    <cfRule type="cellIs" dxfId="2" priority="219" operator="equal">
      <formula>"Y"</formula>
    </cfRule>
    <cfRule type="cellIs" dxfId="3" priority="220" operator="equal">
      <formula>"N"</formula>
    </cfRule>
  </conditionalFormatting>
  <conditionalFormatting sqref="M15">
    <cfRule type="cellIs" dxfId="2" priority="241" operator="equal">
      <formula>"Y"</formula>
    </cfRule>
    <cfRule type="cellIs" dxfId="3" priority="242" operator="equal">
      <formula>"N"</formula>
    </cfRule>
  </conditionalFormatting>
  <conditionalFormatting sqref="M168">
    <cfRule type="cellIs" dxfId="2" priority="717" operator="equal">
      <formula>"Y"</formula>
    </cfRule>
    <cfRule type="cellIs" dxfId="3" priority="718" operator="equal">
      <formula>"N"</formula>
    </cfRule>
  </conditionalFormatting>
  <conditionalFormatting sqref="M169">
    <cfRule type="cellIs" dxfId="2" priority="739" operator="equal">
      <formula>"Y"</formula>
    </cfRule>
    <cfRule type="cellIs" dxfId="3" priority="740" operator="equal">
      <formula>"N"</formula>
    </cfRule>
  </conditionalFormatting>
  <conditionalFormatting sqref="M170">
    <cfRule type="cellIs" dxfId="2" priority="761" operator="equal">
      <formula>"Y"</formula>
    </cfRule>
    <cfRule type="cellIs" dxfId="3" priority="762" operator="equal">
      <formula>"N"</formula>
    </cfRule>
  </conditionalFormatting>
  <conditionalFormatting sqref="M171">
    <cfRule type="cellIs" dxfId="2" priority="783" operator="equal">
      <formula>"Y"</formula>
    </cfRule>
    <cfRule type="cellIs" dxfId="3" priority="784" operator="equal">
      <formula>"N"</formula>
    </cfRule>
  </conditionalFormatting>
  <conditionalFormatting sqref="M172">
    <cfRule type="cellIs" dxfId="2" priority="805" operator="equal">
      <formula>"Y"</formula>
    </cfRule>
    <cfRule type="cellIs" dxfId="3" priority="806" operator="equal">
      <formula>"N"</formula>
    </cfRule>
  </conditionalFormatting>
  <conditionalFormatting sqref="M173">
    <cfRule type="cellIs" dxfId="2" priority="827" operator="equal">
      <formula>"Y"</formula>
    </cfRule>
    <cfRule type="cellIs" dxfId="3" priority="828" operator="equal">
      <formula>"N"</formula>
    </cfRule>
  </conditionalFormatting>
  <conditionalFormatting sqref="M174">
    <cfRule type="cellIs" dxfId="2" priority="849" operator="equal">
      <formula>"Y"</formula>
    </cfRule>
    <cfRule type="cellIs" dxfId="3" priority="850" operator="equal">
      <formula>"N"</formula>
    </cfRule>
  </conditionalFormatting>
  <conditionalFormatting sqref="M175">
    <cfRule type="cellIs" dxfId="2" priority="871" operator="equal">
      <formula>"Y"</formula>
    </cfRule>
    <cfRule type="cellIs" dxfId="3" priority="872" operator="equal">
      <formula>"N"</formula>
    </cfRule>
  </conditionalFormatting>
  <conditionalFormatting sqref="M176">
    <cfRule type="cellIs" dxfId="2" priority="893" operator="equal">
      <formula>"Y"</formula>
    </cfRule>
    <cfRule type="cellIs" dxfId="3" priority="894" operator="equal">
      <formula>"N"</formula>
    </cfRule>
  </conditionalFormatting>
  <conditionalFormatting sqref="M177">
    <cfRule type="cellIs" dxfId="2" priority="915" operator="equal">
      <formula>"Y"</formula>
    </cfRule>
    <cfRule type="cellIs" dxfId="3" priority="916" operator="equal">
      <formula>"N"</formula>
    </cfRule>
  </conditionalFormatting>
  <conditionalFormatting sqref="M178">
    <cfRule type="cellIs" dxfId="2" priority="937" operator="equal">
      <formula>"Y"</formula>
    </cfRule>
    <cfRule type="cellIs" dxfId="3" priority="938" operator="equal">
      <formula>"N"</formula>
    </cfRule>
  </conditionalFormatting>
  <conditionalFormatting sqref="M331">
    <cfRule type="cellIs" dxfId="2" priority="1413" operator="equal">
      <formula>"Y"</formula>
    </cfRule>
    <cfRule type="cellIs" dxfId="3" priority="1414" operator="equal">
      <formula>"N"</formula>
    </cfRule>
  </conditionalFormatting>
  <conditionalFormatting sqref="M332">
    <cfRule type="cellIs" dxfId="2" priority="1435" operator="equal">
      <formula>"Y"</formula>
    </cfRule>
    <cfRule type="cellIs" dxfId="3" priority="1436" operator="equal">
      <formula>"N"</formula>
    </cfRule>
  </conditionalFormatting>
  <conditionalFormatting sqref="M333">
    <cfRule type="cellIs" dxfId="2" priority="1457" operator="equal">
      <formula>"Y"</formula>
    </cfRule>
    <cfRule type="cellIs" dxfId="3" priority="1458" operator="equal">
      <formula>"N"</formula>
    </cfRule>
  </conditionalFormatting>
  <conditionalFormatting sqref="M334">
    <cfRule type="cellIs" dxfId="2" priority="1479" operator="equal">
      <formula>"Y"</formula>
    </cfRule>
    <cfRule type="cellIs" dxfId="3" priority="1480" operator="equal">
      <formula>"N"</formula>
    </cfRule>
  </conditionalFormatting>
  <conditionalFormatting sqref="M335">
    <cfRule type="cellIs" dxfId="2" priority="1501" operator="equal">
      <formula>"Y"</formula>
    </cfRule>
    <cfRule type="cellIs" dxfId="3" priority="1502" operator="equal">
      <formula>"N"</formula>
    </cfRule>
  </conditionalFormatting>
  <conditionalFormatting sqref="M336">
    <cfRule type="cellIs" dxfId="2" priority="1523" operator="equal">
      <formula>"Y"</formula>
    </cfRule>
    <cfRule type="cellIs" dxfId="3" priority="1524" operator="equal">
      <formula>"N"</formula>
    </cfRule>
  </conditionalFormatting>
  <conditionalFormatting sqref="M337">
    <cfRule type="cellIs" dxfId="2" priority="1545" operator="equal">
      <formula>"Y"</formula>
    </cfRule>
    <cfRule type="cellIs" dxfId="3" priority="1546" operator="equal">
      <formula>"N"</formula>
    </cfRule>
  </conditionalFormatting>
  <conditionalFormatting sqref="M338">
    <cfRule type="cellIs" dxfId="2" priority="1567" operator="equal">
      <formula>"Y"</formula>
    </cfRule>
    <cfRule type="cellIs" dxfId="3" priority="1568" operator="equal">
      <formula>"N"</formula>
    </cfRule>
  </conditionalFormatting>
  <conditionalFormatting sqref="M339">
    <cfRule type="cellIs" dxfId="2" priority="1589" operator="equal">
      <formula>"Y"</formula>
    </cfRule>
    <cfRule type="cellIs" dxfId="3" priority="1590" operator="equal">
      <formula>"N"</formula>
    </cfRule>
  </conditionalFormatting>
  <conditionalFormatting sqref="M340">
    <cfRule type="cellIs" dxfId="2" priority="1611" operator="equal">
      <formula>"Y"</formula>
    </cfRule>
    <cfRule type="cellIs" dxfId="3" priority="1612" operator="equal">
      <formula>"N"</formula>
    </cfRule>
  </conditionalFormatting>
  <conditionalFormatting sqref="M341">
    <cfRule type="cellIs" dxfId="2" priority="1633" operator="equal">
      <formula>"Y"</formula>
    </cfRule>
    <cfRule type="cellIs" dxfId="3" priority="1634" operator="equal">
      <formula>"N"</formula>
    </cfRule>
  </conditionalFormatting>
  <conditionalFormatting sqref="M5">
    <cfRule type="cellIs" dxfId="2" priority="21" operator="equal">
      <formula>"Y"</formula>
    </cfRule>
    <cfRule type="cellIs" dxfId="3" priority="22" operator="equal">
      <formula>"N"</formula>
    </cfRule>
  </conditionalFormatting>
  <conditionalFormatting sqref="M6">
    <cfRule type="cellIs" dxfId="2" priority="43" operator="equal">
      <formula>"Y"</formula>
    </cfRule>
    <cfRule type="cellIs" dxfId="3" priority="44" operator="equal">
      <formula>"N"</formula>
    </cfRule>
  </conditionalFormatting>
  <conditionalFormatting sqref="M7">
    <cfRule type="cellIs" dxfId="2" priority="65" operator="equal">
      <formula>"Y"</formula>
    </cfRule>
    <cfRule type="cellIs" dxfId="3" priority="66" operator="equal">
      <formula>"N"</formula>
    </cfRule>
  </conditionalFormatting>
  <conditionalFormatting sqref="M8">
    <cfRule type="cellIs" dxfId="2" priority="87" operator="equal">
      <formula>"Y"</formula>
    </cfRule>
    <cfRule type="cellIs" dxfId="3" priority="88" operator="equal">
      <formula>"N"</formula>
    </cfRule>
  </conditionalFormatting>
  <conditionalFormatting sqref="M9">
    <cfRule type="cellIs" dxfId="2" priority="109" operator="equal">
      <formula>"Y"</formula>
    </cfRule>
    <cfRule type="cellIs" dxfId="3" priority="110" operator="equal">
      <formula>"N"</formula>
    </cfRule>
  </conditionalFormatting>
  <dataValidations count="864">
    <dataValidation type="list" allowBlank="1" showInputMessage="1" showErrorMessage="1" sqref="B5">
      <formula1>"N.A."</formula1>
    </dataValidation>
    <dataValidation type="list" allowBlank="1" showInputMessage="1" showErrorMessage="1" sqref="C5">
      <formula1>"Y,N"</formula1>
    </dataValidation>
    <dataValidation type="list" allowBlank="1" showInputMessage="1" showErrorMessage="1" sqref="D5">
      <formula1>"Y,N"</formula1>
    </dataValidation>
    <dataValidation type="list" allowBlank="1" showInputMessage="1" showErrorMessage="1" sqref="E5">
      <formula1>"Y,N"</formula1>
    </dataValidation>
    <dataValidation type="list" allowBlank="1" showInputMessage="1" showErrorMessage="1" sqref="F5">
      <formula1>"Y,N"</formula1>
    </dataValidation>
    <dataValidation type="list" allowBlank="1" showInputMessage="1" showErrorMessage="1" sqref="G5">
      <formula1>"Y,N"</formula1>
    </dataValidation>
    <dataValidation type="list" allowBlank="1" showInputMessage="1" showErrorMessage="1" sqref="H5">
      <formula1>"Y,N"</formula1>
    </dataValidation>
    <dataValidation type="list" allowBlank="1" showInputMessage="1" showErrorMessage="1" sqref="I5">
      <formula1>"Y,N"</formula1>
    </dataValidation>
    <dataValidation type="list" allowBlank="1" showInputMessage="1" showErrorMessage="1" sqref="J5">
      <formula1>"Y,N"</formula1>
    </dataValidation>
    <dataValidation type="list" allowBlank="1" showInputMessage="1" showErrorMessage="1" sqref="K5">
      <formula1>"Y,N"</formula1>
    </dataValidation>
    <dataValidation type="list" allowBlank="1" showInputMessage="1" showErrorMessage="1" sqref="L5">
      <formula1>"Y,N"</formula1>
    </dataValidation>
    <dataValidation type="list" allowBlank="1" showInputMessage="1" showErrorMessage="1" sqref="M5">
      <formula1>"Y,N"</formula1>
    </dataValidation>
    <dataValidation type="list" allowBlank="1" showInputMessage="1" showErrorMessage="1" sqref="B6">
      <formula1>"Y,N"</formula1>
    </dataValidation>
    <dataValidation type="list" allowBlank="1" showInputMessage="1" showErrorMessage="1" sqref="C6">
      <formula1>"N.A."</formula1>
    </dataValidation>
    <dataValidation type="list" allowBlank="1" showInputMessage="1" showErrorMessage="1" sqref="D6">
      <formula1>"Y,N"</formula1>
    </dataValidation>
    <dataValidation type="list" allowBlank="1" showInputMessage="1" showErrorMessage="1" sqref="E6">
      <formula1>"Y,N"</formula1>
    </dataValidation>
    <dataValidation type="list" allowBlank="1" showInputMessage="1" showErrorMessage="1" sqref="F6">
      <formula1>"Y,N"</formula1>
    </dataValidation>
    <dataValidation type="list" allowBlank="1" showInputMessage="1" showErrorMessage="1" sqref="G6">
      <formula1>"Y,N"</formula1>
    </dataValidation>
    <dataValidation type="list" allowBlank="1" showInputMessage="1" showErrorMessage="1" sqref="H6">
      <formula1>"Y,N"</formula1>
    </dataValidation>
    <dataValidation type="list" allowBlank="1" showInputMessage="1" showErrorMessage="1" sqref="I6">
      <formula1>"Y,N"</formula1>
    </dataValidation>
    <dataValidation type="list" allowBlank="1" showInputMessage="1" showErrorMessage="1" sqref="J6">
      <formula1>"Y,N"</formula1>
    </dataValidation>
    <dataValidation type="list" allowBlank="1" showInputMessage="1" showErrorMessage="1" sqref="K6">
      <formula1>"Y,N"</formula1>
    </dataValidation>
    <dataValidation type="list" allowBlank="1" showInputMessage="1" showErrorMessage="1" sqref="L6">
      <formula1>"Y,N"</formula1>
    </dataValidation>
    <dataValidation type="list" allowBlank="1" showInputMessage="1" showErrorMessage="1" sqref="M6">
      <formula1>"Y,N"</formula1>
    </dataValidation>
    <dataValidation type="list" allowBlank="1" showInputMessage="1" showErrorMessage="1" sqref="B7">
      <formula1>"Y,N"</formula1>
    </dataValidation>
    <dataValidation type="list" allowBlank="1" showInputMessage="1" showErrorMessage="1" sqref="C7">
      <formula1>"Y,N"</formula1>
    </dataValidation>
    <dataValidation type="list" allowBlank="1" showInputMessage="1" showErrorMessage="1" sqref="D7">
      <formula1>"N.A."</formula1>
    </dataValidation>
    <dataValidation type="list" allowBlank="1" showInputMessage="1" showErrorMessage="1" sqref="E7">
      <formula1>"Y,N"</formula1>
    </dataValidation>
    <dataValidation type="list" allowBlank="1" showInputMessage="1" showErrorMessage="1" sqref="F7">
      <formula1>"Y,N"</formula1>
    </dataValidation>
    <dataValidation type="list" allowBlank="1" showInputMessage="1" showErrorMessage="1" sqref="G7">
      <formula1>"Y,N"</formula1>
    </dataValidation>
    <dataValidation type="list" allowBlank="1" showInputMessage="1" showErrorMessage="1" sqref="H7">
      <formula1>"Y,N"</formula1>
    </dataValidation>
    <dataValidation type="list" allowBlank="1" showInputMessage="1" showErrorMessage="1" sqref="I7">
      <formula1>"Y,N"</formula1>
    </dataValidation>
    <dataValidation type="list" allowBlank="1" showInputMessage="1" showErrorMessage="1" sqref="J7">
      <formula1>"Y,N"</formula1>
    </dataValidation>
    <dataValidation type="list" allowBlank="1" showInputMessage="1" showErrorMessage="1" sqref="K7">
      <formula1>"Y,N"</formula1>
    </dataValidation>
    <dataValidation type="list" allowBlank="1" showInputMessage="1" showErrorMessage="1" sqref="L7">
      <formula1>"Y,N"</formula1>
    </dataValidation>
    <dataValidation type="list" allowBlank="1" showInputMessage="1" showErrorMessage="1" sqref="M7">
      <formula1>"Y,N"</formula1>
    </dataValidation>
    <dataValidation type="list" allowBlank="1" showInputMessage="1" showErrorMessage="1" sqref="B8">
      <formula1>"Y,N"</formula1>
    </dataValidation>
    <dataValidation type="list" allowBlank="1" showInputMessage="1" showErrorMessage="1" sqref="C8">
      <formula1>"Y,N"</formula1>
    </dataValidation>
    <dataValidation type="list" allowBlank="1" showInputMessage="1" showErrorMessage="1" sqref="D8">
      <formula1>"Y,N"</formula1>
    </dataValidation>
    <dataValidation type="list" allowBlank="1" showInputMessage="1" showErrorMessage="1" sqref="E8">
      <formula1>"N.A."</formula1>
    </dataValidation>
    <dataValidation type="list" allowBlank="1" showInputMessage="1" showErrorMessage="1" sqref="F8">
      <formula1>"Y,N"</formula1>
    </dataValidation>
    <dataValidation type="list" allowBlank="1" showInputMessage="1" showErrorMessage="1" sqref="G8">
      <formula1>"Y,N"</formula1>
    </dataValidation>
    <dataValidation type="list" allowBlank="1" showInputMessage="1" showErrorMessage="1" sqref="H8">
      <formula1>"Y,N"</formula1>
    </dataValidation>
    <dataValidation type="list" allowBlank="1" showInputMessage="1" showErrorMessage="1" sqref="I8">
      <formula1>"Y,N"</formula1>
    </dataValidation>
    <dataValidation type="list" allowBlank="1" showInputMessage="1" showErrorMessage="1" sqref="J8">
      <formula1>"Y,N"</formula1>
    </dataValidation>
    <dataValidation type="list" allowBlank="1" showInputMessage="1" showErrorMessage="1" sqref="K8">
      <formula1>"Y,N"</formula1>
    </dataValidation>
    <dataValidation type="list" allowBlank="1" showInputMessage="1" showErrorMessage="1" sqref="L8">
      <formula1>"Y,N"</formula1>
    </dataValidation>
    <dataValidation type="list" allowBlank="1" showInputMessage="1" showErrorMessage="1" sqref="M8">
      <formula1>"Y,N"</formula1>
    </dataValidation>
    <dataValidation type="list" allowBlank="1" showInputMessage="1" showErrorMessage="1" sqref="B9">
      <formula1>"Y,N"</formula1>
    </dataValidation>
    <dataValidation type="list" allowBlank="1" showInputMessage="1" showErrorMessage="1" sqref="C9">
      <formula1>"Y,N"</formula1>
    </dataValidation>
    <dataValidation type="list" allowBlank="1" showInputMessage="1" showErrorMessage="1" sqref="D9">
      <formula1>"Y,N"</formula1>
    </dataValidation>
    <dataValidation type="list" allowBlank="1" showInputMessage="1" showErrorMessage="1" sqref="E9">
      <formula1>"Y,N"</formula1>
    </dataValidation>
    <dataValidation type="list" allowBlank="1" showInputMessage="1" showErrorMessage="1" sqref="F9">
      <formula1>"N.A."</formula1>
    </dataValidation>
    <dataValidation type="list" allowBlank="1" showInputMessage="1" showErrorMessage="1" sqref="G9">
      <formula1>"Y,N"</formula1>
    </dataValidation>
    <dataValidation type="list" allowBlank="1" showInputMessage="1" showErrorMessage="1" sqref="H9">
      <formula1>"Y,N"</formula1>
    </dataValidation>
    <dataValidation type="list" allowBlank="1" showInputMessage="1" showErrorMessage="1" sqref="I9">
      <formula1>"Y,N"</formula1>
    </dataValidation>
    <dataValidation type="list" allowBlank="1" showInputMessage="1" showErrorMessage="1" sqref="J9">
      <formula1>"Y,N"</formula1>
    </dataValidation>
    <dataValidation type="list" allowBlank="1" showInputMessage="1" showErrorMessage="1" sqref="K9">
      <formula1>"Y,N"</formula1>
    </dataValidation>
    <dataValidation type="list" allowBlank="1" showInputMessage="1" showErrorMessage="1" sqref="L9">
      <formula1>"Y,N"</formula1>
    </dataValidation>
    <dataValidation type="list" allowBlank="1" showInputMessage="1" showErrorMessage="1" sqref="M9">
      <formula1>"Y,N"</formula1>
    </dataValidation>
    <dataValidation type="list" allowBlank="1" showInputMessage="1" showErrorMessage="1" sqref="B10">
      <formula1>"Y,N"</formula1>
    </dataValidation>
    <dataValidation type="list" allowBlank="1" showInputMessage="1" showErrorMessage="1" sqref="C10">
      <formula1>"Y,N"</formula1>
    </dataValidation>
    <dataValidation type="list" allowBlank="1" showInputMessage="1" showErrorMessage="1" sqref="D10">
      <formula1>"Y,N"</formula1>
    </dataValidation>
    <dataValidation type="list" allowBlank="1" showInputMessage="1" showErrorMessage="1" sqref="E10">
      <formula1>"Y,N"</formula1>
    </dataValidation>
    <dataValidation type="list" allowBlank="1" showInputMessage="1" showErrorMessage="1" sqref="F10">
      <formula1>"Y,N"</formula1>
    </dataValidation>
    <dataValidation type="list" allowBlank="1" showInputMessage="1" showErrorMessage="1" sqref="G10">
      <formula1>"N.A."</formula1>
    </dataValidation>
    <dataValidation type="list" allowBlank="1" showInputMessage="1" showErrorMessage="1" sqref="H10">
      <formula1>"Y,N"</formula1>
    </dataValidation>
    <dataValidation type="list" allowBlank="1" showInputMessage="1" showErrorMessage="1" sqref="I10">
      <formula1>"Y,N"</formula1>
    </dataValidation>
    <dataValidation type="list" allowBlank="1" showInputMessage="1" showErrorMessage="1" sqref="J10">
      <formula1>"Y,N"</formula1>
    </dataValidation>
    <dataValidation type="list" allowBlank="1" showInputMessage="1" showErrorMessage="1" sqref="K10">
      <formula1>"Y,N"</formula1>
    </dataValidation>
    <dataValidation type="list" allowBlank="1" showInputMessage="1" showErrorMessage="1" sqref="L10">
      <formula1>"Y,N"</formula1>
    </dataValidation>
    <dataValidation type="list" allowBlank="1" showInputMessage="1" showErrorMessage="1" sqref="M10">
      <formula1>"Y,N"</formula1>
    </dataValidation>
    <dataValidation type="list" allowBlank="1" showInputMessage="1" showErrorMessage="1" sqref="B11">
      <formula1>"Y,N"</formula1>
    </dataValidation>
    <dataValidation type="list" allowBlank="1" showInputMessage="1" showErrorMessage="1" sqref="C11">
      <formula1>"Y,N"</formula1>
    </dataValidation>
    <dataValidation type="list" allowBlank="1" showInputMessage="1" showErrorMessage="1" sqref="D11">
      <formula1>"Y,N"</formula1>
    </dataValidation>
    <dataValidation type="list" allowBlank="1" showInputMessage="1" showErrorMessage="1" sqref="E11">
      <formula1>"Y,N"</formula1>
    </dataValidation>
    <dataValidation type="list" allowBlank="1" showInputMessage="1" showErrorMessage="1" sqref="F11">
      <formula1>"Y,N"</formula1>
    </dataValidation>
    <dataValidation type="list" allowBlank="1" showInputMessage="1" showErrorMessage="1" sqref="G11">
      <formula1>"Y,N"</formula1>
    </dataValidation>
    <dataValidation type="list" allowBlank="1" showInputMessage="1" showErrorMessage="1" sqref="H11">
      <formula1>"N.A."</formula1>
    </dataValidation>
    <dataValidation type="list" allowBlank="1" showInputMessage="1" showErrorMessage="1" sqref="I11">
      <formula1>"Y,N"</formula1>
    </dataValidation>
    <dataValidation type="list" allowBlank="1" showInputMessage="1" showErrorMessage="1" sqref="J11">
      <formula1>"Y,N"</formula1>
    </dataValidation>
    <dataValidation type="list" allowBlank="1" showInputMessage="1" showErrorMessage="1" sqref="K11">
      <formula1>"Y,N"</formula1>
    </dataValidation>
    <dataValidation type="list" allowBlank="1" showInputMessage="1" showErrorMessage="1" sqref="L11">
      <formula1>"Y,N"</formula1>
    </dataValidation>
    <dataValidation type="list" allowBlank="1" showInputMessage="1" showErrorMessage="1" sqref="M11">
      <formula1>"Y,N"</formula1>
    </dataValidation>
    <dataValidation type="list" allowBlank="1" showInputMessage="1" showErrorMessage="1" sqref="B12">
      <formula1>"Y,N"</formula1>
    </dataValidation>
    <dataValidation type="list" allowBlank="1" showInputMessage="1" showErrorMessage="1" sqref="C12">
      <formula1>"Y,N"</formula1>
    </dataValidation>
    <dataValidation type="list" allowBlank="1" showInputMessage="1" showErrorMessage="1" sqref="D12">
      <formula1>"Y,N"</formula1>
    </dataValidation>
    <dataValidation type="list" allowBlank="1" showInputMessage="1" showErrorMessage="1" sqref="E12">
      <formula1>"Y,N"</formula1>
    </dataValidation>
    <dataValidation type="list" allowBlank="1" showInputMessage="1" showErrorMessage="1" sqref="F12">
      <formula1>"Y,N"</formula1>
    </dataValidation>
    <dataValidation type="list" allowBlank="1" showInputMessage="1" showErrorMessage="1" sqref="G12">
      <formula1>"Y,N"</formula1>
    </dataValidation>
    <dataValidation type="list" allowBlank="1" showInputMessage="1" showErrorMessage="1" sqref="H12">
      <formula1>"Y,N"</formula1>
    </dataValidation>
    <dataValidation type="list" allowBlank="1" showInputMessage="1" showErrorMessage="1" sqref="I12">
      <formula1>"N.A."</formula1>
    </dataValidation>
    <dataValidation type="list" allowBlank="1" showInputMessage="1" showErrorMessage="1" sqref="J12">
      <formula1>"Y,N"</formula1>
    </dataValidation>
    <dataValidation type="list" allowBlank="1" showInputMessage="1" showErrorMessage="1" sqref="K12">
      <formula1>"Y,N"</formula1>
    </dataValidation>
    <dataValidation type="list" allowBlank="1" showInputMessage="1" showErrorMessage="1" sqref="L12">
      <formula1>"Y,N"</formula1>
    </dataValidation>
    <dataValidation type="list" allowBlank="1" showInputMessage="1" showErrorMessage="1" sqref="M12">
      <formula1>"Y,N"</formula1>
    </dataValidation>
    <dataValidation type="list" allowBlank="1" showInputMessage="1" showErrorMessage="1" sqref="B13">
      <formula1>"Y,N"</formula1>
    </dataValidation>
    <dataValidation type="list" allowBlank="1" showInputMessage="1" showErrorMessage="1" sqref="C13">
      <formula1>"Y,N"</formula1>
    </dataValidation>
    <dataValidation type="list" allowBlank="1" showInputMessage="1" showErrorMessage="1" sqref="D13">
      <formula1>"Y,N"</formula1>
    </dataValidation>
    <dataValidation type="list" allowBlank="1" showInputMessage="1" showErrorMessage="1" sqref="E13">
      <formula1>"Y,N"</formula1>
    </dataValidation>
    <dataValidation type="list" allowBlank="1" showInputMessage="1" showErrorMessage="1" sqref="F13">
      <formula1>"Y,N"</formula1>
    </dataValidation>
    <dataValidation type="list" allowBlank="1" showInputMessage="1" showErrorMessage="1" sqref="G13">
      <formula1>"Y,N"</formula1>
    </dataValidation>
    <dataValidation type="list" allowBlank="1" showInputMessage="1" showErrorMessage="1" sqref="H13">
      <formula1>"Y,N"</formula1>
    </dataValidation>
    <dataValidation type="list" allowBlank="1" showInputMessage="1" showErrorMessage="1" sqref="I13">
      <formula1>"Y,N"</formula1>
    </dataValidation>
    <dataValidation type="list" allowBlank="1" showInputMessage="1" showErrorMessage="1" sqref="J13">
      <formula1>"N.A."</formula1>
    </dataValidation>
    <dataValidation type="list" allowBlank="1" showInputMessage="1" showErrorMessage="1" sqref="K13">
      <formula1>"Y,N"</formula1>
    </dataValidation>
    <dataValidation type="list" allowBlank="1" showInputMessage="1" showErrorMessage="1" sqref="L13">
      <formula1>"Y,N"</formula1>
    </dataValidation>
    <dataValidation type="list" allowBlank="1" showInputMessage="1" showErrorMessage="1" sqref="M13">
      <formula1>"Y,N"</formula1>
    </dataValidation>
    <dataValidation type="list" allowBlank="1" showInputMessage="1" showErrorMessage="1" sqref="B14">
      <formula1>"Y,N"</formula1>
    </dataValidation>
    <dataValidation type="list" allowBlank="1" showInputMessage="1" showErrorMessage="1" sqref="C14">
      <formula1>"Y,N"</formula1>
    </dataValidation>
    <dataValidation type="list" allowBlank="1" showInputMessage="1" showErrorMessage="1" sqref="D14">
      <formula1>"Y,N"</formula1>
    </dataValidation>
    <dataValidation type="list" allowBlank="1" showInputMessage="1" showErrorMessage="1" sqref="E14">
      <formula1>"Y,N"</formula1>
    </dataValidation>
    <dataValidation type="list" allowBlank="1" showInputMessage="1" showErrorMessage="1" sqref="F14">
      <formula1>"Y,N"</formula1>
    </dataValidation>
    <dataValidation type="list" allowBlank="1" showInputMessage="1" showErrorMessage="1" sqref="G14">
      <formula1>"Y,N"</formula1>
    </dataValidation>
    <dataValidation type="list" allowBlank="1" showInputMessage="1" showErrorMessage="1" sqref="H14">
      <formula1>"Y,N"</formula1>
    </dataValidation>
    <dataValidation type="list" allowBlank="1" showInputMessage="1" showErrorMessage="1" sqref="I14">
      <formula1>"Y,N"</formula1>
    </dataValidation>
    <dataValidation type="list" allowBlank="1" showInputMessage="1" showErrorMessage="1" sqref="J14">
      <formula1>"Y,N"</formula1>
    </dataValidation>
    <dataValidation type="list" allowBlank="1" showInputMessage="1" showErrorMessage="1" sqref="K14">
      <formula1>"N.A."</formula1>
    </dataValidation>
    <dataValidation type="list" allowBlank="1" showInputMessage="1" showErrorMessage="1" sqref="L14">
      <formula1>"Y,N"</formula1>
    </dataValidation>
    <dataValidation type="list" allowBlank="1" showInputMessage="1" showErrorMessage="1" sqref="M14">
      <formula1>"Y,N"</formula1>
    </dataValidation>
    <dataValidation type="list" allowBlank="1" showInputMessage="1" showErrorMessage="1" sqref="B15">
      <formula1>"Y,N"</formula1>
    </dataValidation>
    <dataValidation type="list" allowBlank="1" showInputMessage="1" showErrorMessage="1" sqref="C15">
      <formula1>"Y,N"</formula1>
    </dataValidation>
    <dataValidation type="list" allowBlank="1" showInputMessage="1" showErrorMessage="1" sqref="D15">
      <formula1>"Y,N"</formula1>
    </dataValidation>
    <dataValidation type="list" allowBlank="1" showInputMessage="1" showErrorMessage="1" sqref="E15">
      <formula1>"Y,N"</formula1>
    </dataValidation>
    <dataValidation type="list" allowBlank="1" showInputMessage="1" showErrorMessage="1" sqref="F15">
      <formula1>"Y,N"</formula1>
    </dataValidation>
    <dataValidation type="list" allowBlank="1" showInputMessage="1" showErrorMessage="1" sqref="G15">
      <formula1>"Y,N"</formula1>
    </dataValidation>
    <dataValidation type="list" allowBlank="1" showInputMessage="1" showErrorMessage="1" sqref="H15">
      <formula1>"Y,N"</formula1>
    </dataValidation>
    <dataValidation type="list" allowBlank="1" showInputMessage="1" showErrorMessage="1" sqref="I15">
      <formula1>"Y,N"</formula1>
    </dataValidation>
    <dataValidation type="list" allowBlank="1" showInputMessage="1" showErrorMessage="1" sqref="J15">
      <formula1>"Y,N"</formula1>
    </dataValidation>
    <dataValidation type="list" allowBlank="1" showInputMessage="1" showErrorMessage="1" sqref="K15">
      <formula1>"Y,N"</formula1>
    </dataValidation>
    <dataValidation type="list" allowBlank="1" showInputMessage="1" showErrorMessage="1" sqref="L15">
      <formula1>"N.A."</formula1>
    </dataValidation>
    <dataValidation type="list" allowBlank="1" showInputMessage="1" showErrorMessage="1" sqref="M15">
      <formula1>"Y,N"</formula1>
    </dataValidation>
    <dataValidation type="list" allowBlank="1" showInputMessage="1" showErrorMessage="1" sqref="B16">
      <formula1>"Y,N"</formula1>
    </dataValidation>
    <dataValidation type="list" allowBlank="1" showInputMessage="1" showErrorMessage="1" sqref="C16">
      <formula1>"Y,N"</formula1>
    </dataValidation>
    <dataValidation type="list" allowBlank="1" showInputMessage="1" showErrorMessage="1" sqref="D16">
      <formula1>"Y,N"</formula1>
    </dataValidation>
    <dataValidation type="list" allowBlank="1" showInputMessage="1" showErrorMessage="1" sqref="E16">
      <formula1>"Y,N"</formula1>
    </dataValidation>
    <dataValidation type="list" allowBlank="1" showInputMessage="1" showErrorMessage="1" sqref="F16">
      <formula1>"Y,N"</formula1>
    </dataValidation>
    <dataValidation type="list" allowBlank="1" showInputMessage="1" showErrorMessage="1" sqref="G16">
      <formula1>"Y,N"</formula1>
    </dataValidation>
    <dataValidation type="list" allowBlank="1" showInputMessage="1" showErrorMessage="1" sqref="H16">
      <formula1>"Y,N"</formula1>
    </dataValidation>
    <dataValidation type="list" allowBlank="1" showInputMessage="1" showErrorMessage="1" sqref="I16">
      <formula1>"Y,N"</formula1>
    </dataValidation>
    <dataValidation type="list" allowBlank="1" showInputMessage="1" showErrorMessage="1" sqref="J16">
      <formula1>"Y,N"</formula1>
    </dataValidation>
    <dataValidation type="list" allowBlank="1" showInputMessage="1" showErrorMessage="1" sqref="K16">
      <formula1>"Y,N"</formula1>
    </dataValidation>
    <dataValidation type="list" allowBlank="1" showInputMessage="1" showErrorMessage="1" sqref="L16">
      <formula1>"Y,N"</formula1>
    </dataValidation>
    <dataValidation type="list" allowBlank="1" showInputMessage="1" showErrorMessage="1" sqref="M16">
      <formula1>"N.A."</formula1>
    </dataValidation>
    <dataValidation type="list" allowBlank="1" showInputMessage="1" showErrorMessage="1" sqref="E19">
      <formula1>"Number (years),Rate (per year),Duration (years)"</formula1>
    </dataValidation>
    <dataValidation type="list" allowBlank="1" showInputMessage="1" showErrorMessage="1" sqref="E20">
      <formula1>"Number (years),Rate (per year),Duration (years)"</formula1>
    </dataValidation>
    <dataValidation type="list" allowBlank="1" showInputMessage="1" showErrorMessage="1" sqref="E21">
      <formula1>"Number (years),Rate (per year),Duration (years)"</formula1>
    </dataValidation>
    <dataValidation type="list" allowBlank="1" showInputMessage="1" showErrorMessage="1" sqref="E22">
      <formula1>"Number (years),Rate (per year),Duration (years)"</formula1>
    </dataValidation>
    <dataValidation type="list" allowBlank="1" showInputMessage="1" showErrorMessage="1" sqref="E23">
      <formula1>"Number (years),Rate (per year),Duration (years)"</formula1>
    </dataValidation>
    <dataValidation type="list" allowBlank="1" showInputMessage="1" showErrorMessage="1" sqref="E24">
      <formula1>"Number (years),Rate (per year),Duration (years)"</formula1>
    </dataValidation>
    <dataValidation type="list" allowBlank="1" showInputMessage="1" showErrorMessage="1" sqref="E25">
      <formula1>"Number (years),Rate (per year),Duration (years)"</formula1>
    </dataValidation>
    <dataValidation type="list" allowBlank="1" showInputMessage="1" showErrorMessage="1" sqref="E26">
      <formula1>"Number (years),Rate (per year),Duration (years)"</formula1>
    </dataValidation>
    <dataValidation type="list" allowBlank="1" showInputMessage="1" showErrorMessage="1" sqref="E27">
      <formula1>"Number (years),Rate (per year),Duration (years)"</formula1>
    </dataValidation>
    <dataValidation type="list" allowBlank="1" showInputMessage="1" showErrorMessage="1" sqref="E28">
      <formula1>"Number (years),Rate (per year),Duration (years)"</formula1>
    </dataValidation>
    <dataValidation type="list" allowBlank="1" showInputMessage="1" showErrorMessage="1" sqref="E29">
      <formula1>"Number (years),Rate (per year),Duration (years)"</formula1>
    </dataValidation>
    <dataValidation type="list" allowBlank="1" showInputMessage="1" showErrorMessage="1" sqref="E30">
      <formula1>"Number (years),Rate (per year),Duration (years)"</formula1>
    </dataValidation>
    <dataValidation type="list" allowBlank="1" showInputMessage="1" showErrorMessage="1" sqref="E31">
      <formula1>"Number (years),Rate (per year),Duration (years)"</formula1>
    </dataValidation>
    <dataValidation type="list" allowBlank="1" showInputMessage="1" showErrorMessage="1" sqref="E32">
      <formula1>"Number (years),Rate (per year),Duration (years)"</formula1>
    </dataValidation>
    <dataValidation type="list" allowBlank="1" showInputMessage="1" showErrorMessage="1" sqref="E33">
      <formula1>"Number (years),Rate (per year),Duration (years)"</formula1>
    </dataValidation>
    <dataValidation type="list" allowBlank="1" showInputMessage="1" showErrorMessage="1" sqref="E34">
      <formula1>"Number (years),Rate (per year),Duration (years)"</formula1>
    </dataValidation>
    <dataValidation type="list" allowBlank="1" showInputMessage="1" showErrorMessage="1" sqref="E35">
      <formula1>"Number (years),Rate (per year),Duration (years)"</formula1>
    </dataValidation>
    <dataValidation type="list" allowBlank="1" showInputMessage="1" showErrorMessage="1" sqref="E36">
      <formula1>"Number (years),Rate (per year),Duration (years)"</formula1>
    </dataValidation>
    <dataValidation type="list" allowBlank="1" showInputMessage="1" showErrorMessage="1" sqref="E37">
      <formula1>"Number (years),Rate (per year),Duration (years)"</formula1>
    </dataValidation>
    <dataValidation type="list" allowBlank="1" showInputMessage="1" showErrorMessage="1" sqref="E38">
      <formula1>"Number (years),Rate (per year),Duration (years)"</formula1>
    </dataValidation>
    <dataValidation type="list" allowBlank="1" showInputMessage="1" showErrorMessage="1" sqref="E39">
      <formula1>"Number (years),Rate (per year),Duration (years)"</formula1>
    </dataValidation>
    <dataValidation type="list" allowBlank="1" showInputMessage="1" showErrorMessage="1" sqref="E40">
      <formula1>"Number (years),Rate (per year),Duration (years)"</formula1>
    </dataValidation>
    <dataValidation type="list" allowBlank="1" showInputMessage="1" showErrorMessage="1" sqref="E41">
      <formula1>"Number (years),Rate (per year),Duration (years)"</formula1>
    </dataValidation>
    <dataValidation type="list" allowBlank="1" showInputMessage="1" showErrorMessage="1" sqref="E42">
      <formula1>"Number (years),Rate (per year),Duration (years)"</formula1>
    </dataValidation>
    <dataValidation type="list" allowBlank="1" showInputMessage="1" showErrorMessage="1" sqref="E43">
      <formula1>"Number (years),Rate (per year),Duration (years)"</formula1>
    </dataValidation>
    <dataValidation type="list" allowBlank="1" showInputMessage="1" showErrorMessage="1" sqref="E44">
      <formula1>"Number (years),Rate (per year),Duration (years)"</formula1>
    </dataValidation>
    <dataValidation type="list" allowBlank="1" showInputMessage="1" showErrorMessage="1" sqref="E45">
      <formula1>"Number (years),Rate (per year),Duration (years)"</formula1>
    </dataValidation>
    <dataValidation type="list" allowBlank="1" showInputMessage="1" showErrorMessage="1" sqref="E46">
      <formula1>"Number (years),Rate (per year),Duration (years)"</formula1>
    </dataValidation>
    <dataValidation type="list" allowBlank="1" showInputMessage="1" showErrorMessage="1" sqref="E47">
      <formula1>"Number (years),Rate (per year),Duration (years)"</formula1>
    </dataValidation>
    <dataValidation type="list" allowBlank="1" showInputMessage="1" showErrorMessage="1" sqref="E48">
      <formula1>"Number (years),Rate (per year),Duration (years)"</formula1>
    </dataValidation>
    <dataValidation type="list" allowBlank="1" showInputMessage="1" showErrorMessage="1" sqref="E49">
      <formula1>"Number (years),Rate (per year),Duration (years)"</formula1>
    </dataValidation>
    <dataValidation type="list" allowBlank="1" showInputMessage="1" showErrorMessage="1" sqref="E50">
      <formula1>"Number (years),Rate (per year),Duration (years)"</formula1>
    </dataValidation>
    <dataValidation type="list" allowBlank="1" showInputMessage="1" showErrorMessage="1" sqref="E51">
      <formula1>"Number (years),Rate (per year),Duration (years)"</formula1>
    </dataValidation>
    <dataValidation type="list" allowBlank="1" showInputMessage="1" showErrorMessage="1" sqref="E52">
      <formula1>"Number (years),Rate (per year),Duration (years)"</formula1>
    </dataValidation>
    <dataValidation type="list" allowBlank="1" showInputMessage="1" showErrorMessage="1" sqref="E53">
      <formula1>"Number (years),Rate (per year),Duration (years)"</formula1>
    </dataValidation>
    <dataValidation type="list" allowBlank="1" showInputMessage="1" showErrorMessage="1" sqref="E54">
      <formula1>"Number (years),Rate (per year),Duration (years)"</formula1>
    </dataValidation>
    <dataValidation type="list" allowBlank="1" showInputMessage="1" showErrorMessage="1" sqref="E55">
      <formula1>"Number (years),Rate (per year),Duration (years)"</formula1>
    </dataValidation>
    <dataValidation type="list" allowBlank="1" showInputMessage="1" showErrorMessage="1" sqref="E56">
      <formula1>"Number (years),Rate (per year),Duration (years)"</formula1>
    </dataValidation>
    <dataValidation type="list" allowBlank="1" showInputMessage="1" showErrorMessage="1" sqref="E57">
      <formula1>"Number (years),Rate (per year),Duration (years)"</formula1>
    </dataValidation>
    <dataValidation type="list" allowBlank="1" showInputMessage="1" showErrorMessage="1" sqref="E58">
      <formula1>"Number (years),Rate (per year),Duration (years)"</formula1>
    </dataValidation>
    <dataValidation type="list" allowBlank="1" showInputMessage="1" showErrorMessage="1" sqref="E59">
      <formula1>"Number (years),Rate (per year),Duration (years)"</formula1>
    </dataValidation>
    <dataValidation type="list" allowBlank="1" showInputMessage="1" showErrorMessage="1" sqref="E60">
      <formula1>"Number (years),Rate (per year),Duration (years)"</formula1>
    </dataValidation>
    <dataValidation type="list" allowBlank="1" showInputMessage="1" showErrorMessage="1" sqref="E61">
      <formula1>"Number (years),Rate (per year),Duration (years)"</formula1>
    </dataValidation>
    <dataValidation type="list" allowBlank="1" showInputMessage="1" showErrorMessage="1" sqref="E62">
      <formula1>"Number (years),Rate (per year),Duration (years)"</formula1>
    </dataValidation>
    <dataValidation type="list" allowBlank="1" showInputMessage="1" showErrorMessage="1" sqref="E63">
      <formula1>"Number (years),Rate (per year),Duration (years)"</formula1>
    </dataValidation>
    <dataValidation type="list" allowBlank="1" showInputMessage="1" showErrorMessage="1" sqref="E64">
      <formula1>"Number (years),Rate (per year),Duration (years)"</formula1>
    </dataValidation>
    <dataValidation type="list" allowBlank="1" showInputMessage="1" showErrorMessage="1" sqref="E65">
      <formula1>"Number (years),Rate (per year),Duration (years)"</formula1>
    </dataValidation>
    <dataValidation type="list" allowBlank="1" showInputMessage="1" showErrorMessage="1" sqref="E66">
      <formula1>"Number (years),Rate (per year),Duration (years)"</formula1>
    </dataValidation>
    <dataValidation type="list" allowBlank="1" showInputMessage="1" showErrorMessage="1" sqref="E67">
      <formula1>"Number (years),Rate (per year),Duration (years)"</formula1>
    </dataValidation>
    <dataValidation type="list" allowBlank="1" showInputMessage="1" showErrorMessage="1" sqref="E68">
      <formula1>"Number (years),Rate (per year),Duration (years)"</formula1>
    </dataValidation>
    <dataValidation type="list" allowBlank="1" showInputMessage="1" showErrorMessage="1" sqref="E69">
      <formula1>"Number (years),Rate (per year),Duration (years)"</formula1>
    </dataValidation>
    <dataValidation type="list" allowBlank="1" showInputMessage="1" showErrorMessage="1" sqref="E70">
      <formula1>"Number (years),Rate (per year),Duration (years)"</formula1>
    </dataValidation>
    <dataValidation type="list" allowBlank="1" showInputMessage="1" showErrorMessage="1" sqref="E71">
      <formula1>"Number (years),Rate (per year),Duration (years)"</formula1>
    </dataValidation>
    <dataValidation type="list" allowBlank="1" showInputMessage="1" showErrorMessage="1" sqref="E72">
      <formula1>"Number (years),Rate (per year),Duration (years)"</formula1>
    </dataValidation>
    <dataValidation type="list" allowBlank="1" showInputMessage="1" showErrorMessage="1" sqref="E73">
      <formula1>"Number (years),Rate (per year),Duration (years)"</formula1>
    </dataValidation>
    <dataValidation type="list" allowBlank="1" showInputMessage="1" showErrorMessage="1" sqref="E74">
      <formula1>"Number (years),Rate (per year),Duration (years)"</formula1>
    </dataValidation>
    <dataValidation type="list" allowBlank="1" showInputMessage="1" showErrorMessage="1" sqref="E75">
      <formula1>"Number (years),Rate (per year),Duration (years)"</formula1>
    </dataValidation>
    <dataValidation type="list" allowBlank="1" showInputMessage="1" showErrorMessage="1" sqref="E76">
      <formula1>"Number (years),Rate (per year),Duration (years)"</formula1>
    </dataValidation>
    <dataValidation type="list" allowBlank="1" showInputMessage="1" showErrorMessage="1" sqref="E77">
      <formula1>"Number (years),Rate (per year),Duration (years)"</formula1>
    </dataValidation>
    <dataValidation type="list" allowBlank="1" showInputMessage="1" showErrorMessage="1" sqref="E78">
      <formula1>"Number (years),Rate (per year),Duration (years)"</formula1>
    </dataValidation>
    <dataValidation type="list" allowBlank="1" showInputMessage="1" showErrorMessage="1" sqref="E79">
      <formula1>"Number (years),Rate (per year),Duration (years)"</formula1>
    </dataValidation>
    <dataValidation type="list" allowBlank="1" showInputMessage="1" showErrorMessage="1" sqref="E80">
      <formula1>"Number (years),Rate (per year),Duration (years)"</formula1>
    </dataValidation>
    <dataValidation type="list" allowBlank="1" showInputMessage="1" showErrorMessage="1" sqref="E81">
      <formula1>"Number (years),Rate (per year),Duration (years)"</formula1>
    </dataValidation>
    <dataValidation type="list" allowBlank="1" showInputMessage="1" showErrorMessage="1" sqref="E82">
      <formula1>"Number (years),Rate (per year),Duration (years)"</formula1>
    </dataValidation>
    <dataValidation type="list" allowBlank="1" showInputMessage="1" showErrorMessage="1" sqref="E83">
      <formula1>"Number (years),Rate (per year),Duration (years)"</formula1>
    </dataValidation>
    <dataValidation type="list" allowBlank="1" showInputMessage="1" showErrorMessage="1" sqref="E84">
      <formula1>"Number (years),Rate (per year),Duration (years)"</formula1>
    </dataValidation>
    <dataValidation type="list" allowBlank="1" showInputMessage="1" showErrorMessage="1" sqref="E85">
      <formula1>"Number (years),Rate (per year),Duration (years)"</formula1>
    </dataValidation>
    <dataValidation type="list" allowBlank="1" showInputMessage="1" showErrorMessage="1" sqref="E86">
      <formula1>"Number (years),Rate (per year),Duration (years)"</formula1>
    </dataValidation>
    <dataValidation type="list" allowBlank="1" showInputMessage="1" showErrorMessage="1" sqref="E87">
      <formula1>"Number (years),Rate (per year),Duration (years)"</formula1>
    </dataValidation>
    <dataValidation type="list" allowBlank="1" showInputMessage="1" showErrorMessage="1" sqref="E88">
      <formula1>"Number (years),Rate (per year),Duration (years)"</formula1>
    </dataValidation>
    <dataValidation type="list" allowBlank="1" showInputMessage="1" showErrorMessage="1" sqref="E89">
      <formula1>"Number (years),Rate (per year),Duration (years)"</formula1>
    </dataValidation>
    <dataValidation type="list" allowBlank="1" showInputMessage="1" showErrorMessage="1" sqref="E90">
      <formula1>"Number (years),Rate (per year),Duration (years)"</formula1>
    </dataValidation>
    <dataValidation type="list" allowBlank="1" showInputMessage="1" showErrorMessage="1" sqref="E91">
      <formula1>"Number (years),Rate (per year),Duration (years)"</formula1>
    </dataValidation>
    <dataValidation type="list" allowBlank="1" showInputMessage="1" showErrorMessage="1" sqref="E92">
      <formula1>"Number (years),Rate (per year),Duration (years)"</formula1>
    </dataValidation>
    <dataValidation type="list" allowBlank="1" showInputMessage="1" showErrorMessage="1" sqref="E93">
      <formula1>"Number (years),Rate (per year),Duration (years)"</formula1>
    </dataValidation>
    <dataValidation type="list" allowBlank="1" showInputMessage="1" showErrorMessage="1" sqref="E94">
      <formula1>"Number (years),Rate (per year),Duration (years)"</formula1>
    </dataValidation>
    <dataValidation type="list" allowBlank="1" showInputMessage="1" showErrorMessage="1" sqref="E95">
      <formula1>"Number (years),Rate (per year),Duration (years)"</formula1>
    </dataValidation>
    <dataValidation type="list" allowBlank="1" showInputMessage="1" showErrorMessage="1" sqref="E96">
      <formula1>"Number (years),Rate (per year),Duration (years)"</formula1>
    </dataValidation>
    <dataValidation type="list" allowBlank="1" showInputMessage="1" showErrorMessage="1" sqref="E97">
      <formula1>"Number (years),Rate (per year),Duration (years)"</formula1>
    </dataValidation>
    <dataValidation type="list" allowBlank="1" showInputMessage="1" showErrorMessage="1" sqref="E98">
      <formula1>"Number (years),Rate (per year),Duration (years)"</formula1>
    </dataValidation>
    <dataValidation type="list" allowBlank="1" showInputMessage="1" showErrorMessage="1" sqref="E99">
      <formula1>"Number (years),Rate (per year),Duration (years)"</formula1>
    </dataValidation>
    <dataValidation type="list" allowBlank="1" showInputMessage="1" showErrorMessage="1" sqref="E100">
      <formula1>"Number (years),Rate (per year),Duration (years)"</formula1>
    </dataValidation>
    <dataValidation type="list" allowBlank="1" showInputMessage="1" showErrorMessage="1" sqref="E101">
      <formula1>"Number (years),Rate (per year),Duration (years)"</formula1>
    </dataValidation>
    <dataValidation type="list" allowBlank="1" showInputMessage="1" showErrorMessage="1" sqref="E102">
      <formula1>"Number (years),Rate (per year),Duration (years)"</formula1>
    </dataValidation>
    <dataValidation type="list" allowBlank="1" showInputMessage="1" showErrorMessage="1" sqref="E103">
      <formula1>"Number (years),Rate (per year),Duration (years)"</formula1>
    </dataValidation>
    <dataValidation type="list" allowBlank="1" showInputMessage="1" showErrorMessage="1" sqref="E104">
      <formula1>"Number (years),Rate (per year),Duration (years)"</formula1>
    </dataValidation>
    <dataValidation type="list" allowBlank="1" showInputMessage="1" showErrorMessage="1" sqref="E105">
      <formula1>"Number (years),Rate (per year),Duration (years)"</formula1>
    </dataValidation>
    <dataValidation type="list" allowBlank="1" showInputMessage="1" showErrorMessage="1" sqref="E106">
      <formula1>"Number (years),Rate (per year),Duration (years)"</formula1>
    </dataValidation>
    <dataValidation type="list" allowBlank="1" showInputMessage="1" showErrorMessage="1" sqref="E107">
      <formula1>"Number (years),Rate (per year),Duration (years)"</formula1>
    </dataValidation>
    <dataValidation type="list" allowBlank="1" showInputMessage="1" showErrorMessage="1" sqref="E108">
      <formula1>"Number (years),Rate (per year),Duration (years)"</formula1>
    </dataValidation>
    <dataValidation type="list" allowBlank="1" showInputMessage="1" showErrorMessage="1" sqref="E109">
      <formula1>"Number (years),Rate (per year),Duration (years)"</formula1>
    </dataValidation>
    <dataValidation type="list" allowBlank="1" showInputMessage="1" showErrorMessage="1" sqref="E110">
      <formula1>"Number (years),Rate (per year),Duration (years)"</formula1>
    </dataValidation>
    <dataValidation type="list" allowBlank="1" showInputMessage="1" showErrorMessage="1" sqref="E111">
      <formula1>"Number (years),Rate (per year),Duration (years)"</formula1>
    </dataValidation>
    <dataValidation type="list" allowBlank="1" showInputMessage="1" showErrorMessage="1" sqref="E112">
      <formula1>"Number (years),Rate (per year),Duration (years)"</formula1>
    </dataValidation>
    <dataValidation type="list" allowBlank="1" showInputMessage="1" showErrorMessage="1" sqref="E113">
      <formula1>"Number (years),Rate (per year),Duration (years)"</formula1>
    </dataValidation>
    <dataValidation type="list" allowBlank="1" showInputMessage="1" showErrorMessage="1" sqref="E114">
      <formula1>"Number (years),Rate (per year),Duration (years)"</formula1>
    </dataValidation>
    <dataValidation type="list" allowBlank="1" showInputMessage="1" showErrorMessage="1" sqref="E115">
      <formula1>"Number (years),Rate (per year),Duration (years)"</formula1>
    </dataValidation>
    <dataValidation type="list" allowBlank="1" showInputMessage="1" showErrorMessage="1" sqref="E116">
      <formula1>"Number (years),Rate (per year),Duration (years)"</formula1>
    </dataValidation>
    <dataValidation type="list" allowBlank="1" showInputMessage="1" showErrorMessage="1" sqref="E117">
      <formula1>"Number (years),Rate (per year),Duration (years)"</formula1>
    </dataValidation>
    <dataValidation type="list" allowBlank="1" showInputMessage="1" showErrorMessage="1" sqref="E118">
      <formula1>"Number (years),Rate (per year),Duration (years)"</formula1>
    </dataValidation>
    <dataValidation type="list" allowBlank="1" showInputMessage="1" showErrorMessage="1" sqref="E119">
      <formula1>"Number (years),Rate (per year),Duration (years)"</formula1>
    </dataValidation>
    <dataValidation type="list" allowBlank="1" showInputMessage="1" showErrorMessage="1" sqref="E120">
      <formula1>"Number (years),Rate (per year),Duration (years)"</formula1>
    </dataValidation>
    <dataValidation type="list" allowBlank="1" showInputMessage="1" showErrorMessage="1" sqref="E121">
      <formula1>"Number (years),Rate (per year),Duration (years)"</formula1>
    </dataValidation>
    <dataValidation type="list" allowBlank="1" showInputMessage="1" showErrorMessage="1" sqref="E122">
      <formula1>"Number (years),Rate (per year),Duration (years)"</formula1>
    </dataValidation>
    <dataValidation type="list" allowBlank="1" showInputMessage="1" showErrorMessage="1" sqref="E123">
      <formula1>"Number (years),Rate (per year),Duration (years)"</formula1>
    </dataValidation>
    <dataValidation type="list" allowBlank="1" showInputMessage="1" showErrorMessage="1" sqref="E124">
      <formula1>"Number (years),Rate (per year),Duration (years)"</formula1>
    </dataValidation>
    <dataValidation type="list" allowBlank="1" showInputMessage="1" showErrorMessage="1" sqref="E125">
      <formula1>"Number (years),Rate (per year),Duration (years)"</formula1>
    </dataValidation>
    <dataValidation type="list" allowBlank="1" showInputMessage="1" showErrorMessage="1" sqref="E126">
      <formula1>"Number (years),Rate (per year),Duration (years)"</formula1>
    </dataValidation>
    <dataValidation type="list" allowBlank="1" showInputMessage="1" showErrorMessage="1" sqref="E127">
      <formula1>"Number (years),Rate (per year),Duration (years)"</formula1>
    </dataValidation>
    <dataValidation type="list" allowBlank="1" showInputMessage="1" showErrorMessage="1" sqref="E128">
      <formula1>"Number (years),Rate (per year),Duration (years)"</formula1>
    </dataValidation>
    <dataValidation type="list" allowBlank="1" showInputMessage="1" showErrorMessage="1" sqref="E129">
      <formula1>"Number (years),Rate (per year),Duration (years)"</formula1>
    </dataValidation>
    <dataValidation type="list" allowBlank="1" showInputMessage="1" showErrorMessage="1" sqref="E130">
      <formula1>"Number (years),Rate (per year),Duration (years)"</formula1>
    </dataValidation>
    <dataValidation type="list" allowBlank="1" showInputMessage="1" showErrorMessage="1" sqref="E131">
      <formula1>"Number (years),Rate (per year),Duration (years)"</formula1>
    </dataValidation>
    <dataValidation type="list" allowBlank="1" showInputMessage="1" showErrorMessage="1" sqref="E132">
      <formula1>"Number (years),Rate (per year),Duration (years)"</formula1>
    </dataValidation>
    <dataValidation type="list" allowBlank="1" showInputMessage="1" showErrorMessage="1" sqref="E133">
      <formula1>"Number (years),Rate (per year),Duration (years)"</formula1>
    </dataValidation>
    <dataValidation type="list" allowBlank="1" showInputMessage="1" showErrorMessage="1" sqref="E134">
      <formula1>"Number (years),Rate (per year),Duration (years)"</formula1>
    </dataValidation>
    <dataValidation type="list" allowBlank="1" showInputMessage="1" showErrorMessage="1" sqref="E135">
      <formula1>"Number (years),Rate (per year),Duration (years)"</formula1>
    </dataValidation>
    <dataValidation type="list" allowBlank="1" showInputMessage="1" showErrorMessage="1" sqref="E136">
      <formula1>"Number (years),Rate (per year),Duration (years)"</formula1>
    </dataValidation>
    <dataValidation type="list" allowBlank="1" showInputMessage="1" showErrorMessage="1" sqref="E137">
      <formula1>"Number (years),Rate (per year),Duration (years)"</formula1>
    </dataValidation>
    <dataValidation type="list" allowBlank="1" showInputMessage="1" showErrorMessage="1" sqref="E138">
      <formula1>"Number (years),Rate (per year),Duration (years)"</formula1>
    </dataValidation>
    <dataValidation type="list" allowBlank="1" showInputMessage="1" showErrorMessage="1" sqref="E139">
      <formula1>"Number (years),Rate (per year),Duration (years)"</formula1>
    </dataValidation>
    <dataValidation type="list" allowBlank="1" showInputMessage="1" showErrorMessage="1" sqref="E140">
      <formula1>"Number (years),Rate (per year),Duration (years)"</formula1>
    </dataValidation>
    <dataValidation type="list" allowBlank="1" showInputMessage="1" showErrorMessage="1" sqref="E141">
      <formula1>"Number (years),Rate (per year),Duration (years)"</formula1>
    </dataValidation>
    <dataValidation type="list" allowBlank="1" showInputMessage="1" showErrorMessage="1" sqref="E142">
      <formula1>"Number (years),Rate (per year),Duration (years)"</formula1>
    </dataValidation>
    <dataValidation type="list" allowBlank="1" showInputMessage="1" showErrorMessage="1" sqref="E143">
      <formula1>"Number (years),Rate (per year),Duration (years)"</formula1>
    </dataValidation>
    <dataValidation type="list" allowBlank="1" showInputMessage="1" showErrorMessage="1" sqref="E144">
      <formula1>"Number (years),Rate (per year),Duration (years)"</formula1>
    </dataValidation>
    <dataValidation type="list" allowBlank="1" showInputMessage="1" showErrorMessage="1" sqref="E145">
      <formula1>"Number (years),Rate (per year),Duration (years)"</formula1>
    </dataValidation>
    <dataValidation type="list" allowBlank="1" showInputMessage="1" showErrorMessage="1" sqref="E146">
      <formula1>"Number (years),Rate (per year),Duration (years)"</formula1>
    </dataValidation>
    <dataValidation type="list" allowBlank="1" showInputMessage="1" showErrorMessage="1" sqref="E147">
      <formula1>"Number (years),Rate (per year),Duration (years)"</formula1>
    </dataValidation>
    <dataValidation type="list" allowBlank="1" showInputMessage="1" showErrorMessage="1" sqref="E148">
      <formula1>"Number (years),Rate (per year),Duration (years)"</formula1>
    </dataValidation>
    <dataValidation type="list" allowBlank="1" showInputMessage="1" showErrorMessage="1" sqref="E149">
      <formula1>"Number (years),Rate (per year),Duration (years)"</formula1>
    </dataValidation>
    <dataValidation type="list" allowBlank="1" showInputMessage="1" showErrorMessage="1" sqref="E150">
      <formula1>"Number (years),Rate (per year),Duration (years)"</formula1>
    </dataValidation>
    <dataValidation type="list" allowBlank="1" showInputMessage="1" showErrorMessage="1" sqref="E151">
      <formula1>"Number (years),Rate (per year),Duration (years)"</formula1>
    </dataValidation>
    <dataValidation type="list" allowBlank="1" showInputMessage="1" showErrorMessage="1" sqref="E152">
      <formula1>"Number (years),Rate (per year),Duration (years)"</formula1>
    </dataValidation>
    <dataValidation type="list" allowBlank="1" showInputMessage="1" showErrorMessage="1" sqref="E153">
      <formula1>"Number (years),Rate (per year),Duration (years)"</formula1>
    </dataValidation>
    <dataValidation type="list" allowBlank="1" showInputMessage="1" showErrorMessage="1" sqref="E154">
      <formula1>"Number (years),Rate (per year),Duration (years)"</formula1>
    </dataValidation>
    <dataValidation type="list" allowBlank="1" showInputMessage="1" showErrorMessage="1" sqref="E155">
      <formula1>"Number (years),Rate (per year),Duration (years)"</formula1>
    </dataValidation>
    <dataValidation type="list" allowBlank="1" showInputMessage="1" showErrorMessage="1" sqref="E156">
      <formula1>"Number (years),Rate (per year),Duration (years)"</formula1>
    </dataValidation>
    <dataValidation type="list" allowBlank="1" showInputMessage="1" showErrorMessage="1" sqref="E157">
      <formula1>"Number (years),Rate (per year),Duration (years)"</formula1>
    </dataValidation>
    <dataValidation type="list" allowBlank="1" showInputMessage="1" showErrorMessage="1" sqref="E158">
      <formula1>"Number (years),Rate (per year),Duration (years)"</formula1>
    </dataValidation>
    <dataValidation type="list" allowBlank="1" showInputMessage="1" showErrorMessage="1" sqref="E159">
      <formula1>"Number (years),Rate (per year),Duration (years)"</formula1>
    </dataValidation>
    <dataValidation type="list" allowBlank="1" showInputMessage="1" showErrorMessage="1" sqref="E160">
      <formula1>"Number (years),Rate (per year),Duration (years)"</formula1>
    </dataValidation>
    <dataValidation type="list" allowBlank="1" showInputMessage="1" showErrorMessage="1" sqref="E161">
      <formula1>"Number (years),Rate (per year),Duration (years)"</formula1>
    </dataValidation>
    <dataValidation type="list" allowBlank="1" showInputMessage="1" showErrorMessage="1" sqref="E162">
      <formula1>"Number (years),Rate (per year),Duration (years)"</formula1>
    </dataValidation>
    <dataValidation type="list" allowBlank="1" showInputMessage="1" showErrorMessage="1" sqref="B168">
      <formula1>"N.A."</formula1>
    </dataValidation>
    <dataValidation type="list" allowBlank="1" showInputMessage="1" showErrorMessage="1" sqref="C168">
      <formula1>"Y,N"</formula1>
    </dataValidation>
    <dataValidation type="list" allowBlank="1" showInputMessage="1" showErrorMessage="1" sqref="D168">
      <formula1>"Y,N"</formula1>
    </dataValidation>
    <dataValidation type="list" allowBlank="1" showInputMessage="1" showErrorMessage="1" sqref="E168">
      <formula1>"Y,N"</formula1>
    </dataValidation>
    <dataValidation type="list" allowBlank="1" showInputMessage="1" showErrorMessage="1" sqref="F168">
      <formula1>"Y,N"</formula1>
    </dataValidation>
    <dataValidation type="list" allowBlank="1" showInputMessage="1" showErrorMessage="1" sqref="G168">
      <formula1>"Y,N"</formula1>
    </dataValidation>
    <dataValidation type="list" allowBlank="1" showInputMessage="1" showErrorMessage="1" sqref="H168">
      <formula1>"Y,N"</formula1>
    </dataValidation>
    <dataValidation type="list" allowBlank="1" showInputMessage="1" showErrorMessage="1" sqref="I168">
      <formula1>"Y,N"</formula1>
    </dataValidation>
    <dataValidation type="list" allowBlank="1" showInputMessage="1" showErrorMessage="1" sqref="J168">
      <formula1>"Y,N"</formula1>
    </dataValidation>
    <dataValidation type="list" allowBlank="1" showInputMessage="1" showErrorMessage="1" sqref="K168">
      <formula1>"Y,N"</formula1>
    </dataValidation>
    <dataValidation type="list" allowBlank="1" showInputMessage="1" showErrorMessage="1" sqref="L168">
      <formula1>"Y,N"</formula1>
    </dataValidation>
    <dataValidation type="list" allowBlank="1" showInputMessage="1" showErrorMessage="1" sqref="M168">
      <formula1>"Y,N"</formula1>
    </dataValidation>
    <dataValidation type="list" allowBlank="1" showInputMessage="1" showErrorMessage="1" sqref="B169">
      <formula1>"Y,N"</formula1>
    </dataValidation>
    <dataValidation type="list" allowBlank="1" showInputMessage="1" showErrorMessage="1" sqref="C169">
      <formula1>"N.A."</formula1>
    </dataValidation>
    <dataValidation type="list" allowBlank="1" showInputMessage="1" showErrorMessage="1" sqref="D169">
      <formula1>"Y,N"</formula1>
    </dataValidation>
    <dataValidation type="list" allowBlank="1" showInputMessage="1" showErrorMessage="1" sqref="E169">
      <formula1>"Y,N"</formula1>
    </dataValidation>
    <dataValidation type="list" allowBlank="1" showInputMessage="1" showErrorMessage="1" sqref="F169">
      <formula1>"Y,N"</formula1>
    </dataValidation>
    <dataValidation type="list" allowBlank="1" showInputMessage="1" showErrorMessage="1" sqref="G169">
      <formula1>"Y,N"</formula1>
    </dataValidation>
    <dataValidation type="list" allowBlank="1" showInputMessage="1" showErrorMessage="1" sqref="H169">
      <formula1>"Y,N"</formula1>
    </dataValidation>
    <dataValidation type="list" allowBlank="1" showInputMessage="1" showErrorMessage="1" sqref="I169">
      <formula1>"Y,N"</formula1>
    </dataValidation>
    <dataValidation type="list" allowBlank="1" showInputMessage="1" showErrorMessage="1" sqref="J169">
      <formula1>"Y,N"</formula1>
    </dataValidation>
    <dataValidation type="list" allowBlank="1" showInputMessage="1" showErrorMessage="1" sqref="K169">
      <formula1>"Y,N"</formula1>
    </dataValidation>
    <dataValidation type="list" allowBlank="1" showInputMessage="1" showErrorMessage="1" sqref="L169">
      <formula1>"Y,N"</formula1>
    </dataValidation>
    <dataValidation type="list" allowBlank="1" showInputMessage="1" showErrorMessage="1" sqref="M169">
      <formula1>"Y,N"</formula1>
    </dataValidation>
    <dataValidation type="list" allowBlank="1" showInputMessage="1" showErrorMessage="1" sqref="B170">
      <formula1>"Y,N"</formula1>
    </dataValidation>
    <dataValidation type="list" allowBlank="1" showInputMessage="1" showErrorMessage="1" sqref="C170">
      <formula1>"Y,N"</formula1>
    </dataValidation>
    <dataValidation type="list" allowBlank="1" showInputMessage="1" showErrorMessage="1" sqref="D170">
      <formula1>"N.A."</formula1>
    </dataValidation>
    <dataValidation type="list" allowBlank="1" showInputMessage="1" showErrorMessage="1" sqref="E170">
      <formula1>"Y,N"</formula1>
    </dataValidation>
    <dataValidation type="list" allowBlank="1" showInputMessage="1" showErrorMessage="1" sqref="F170">
      <formula1>"Y,N"</formula1>
    </dataValidation>
    <dataValidation type="list" allowBlank="1" showInputMessage="1" showErrorMessage="1" sqref="G170">
      <formula1>"Y,N"</formula1>
    </dataValidation>
    <dataValidation type="list" allowBlank="1" showInputMessage="1" showErrorMessage="1" sqref="H170">
      <formula1>"Y,N"</formula1>
    </dataValidation>
    <dataValidation type="list" allowBlank="1" showInputMessage="1" showErrorMessage="1" sqref="I170">
      <formula1>"Y,N"</formula1>
    </dataValidation>
    <dataValidation type="list" allowBlank="1" showInputMessage="1" showErrorMessage="1" sqref="J170">
      <formula1>"Y,N"</formula1>
    </dataValidation>
    <dataValidation type="list" allowBlank="1" showInputMessage="1" showErrorMessage="1" sqref="K170">
      <formula1>"Y,N"</formula1>
    </dataValidation>
    <dataValidation type="list" allowBlank="1" showInputMessage="1" showErrorMessage="1" sqref="L170">
      <formula1>"Y,N"</formula1>
    </dataValidation>
    <dataValidation type="list" allowBlank="1" showInputMessage="1" showErrorMessage="1" sqref="M170">
      <formula1>"Y,N"</formula1>
    </dataValidation>
    <dataValidation type="list" allowBlank="1" showInputMessage="1" showErrorMessage="1" sqref="B171">
      <formula1>"Y,N"</formula1>
    </dataValidation>
    <dataValidation type="list" allowBlank="1" showInputMessage="1" showErrorMessage="1" sqref="C171">
      <formula1>"Y,N"</formula1>
    </dataValidation>
    <dataValidation type="list" allowBlank="1" showInputMessage="1" showErrorMessage="1" sqref="D171">
      <formula1>"Y,N"</formula1>
    </dataValidation>
    <dataValidation type="list" allowBlank="1" showInputMessage="1" showErrorMessage="1" sqref="E171">
      <formula1>"N.A."</formula1>
    </dataValidation>
    <dataValidation type="list" allowBlank="1" showInputMessage="1" showErrorMessage="1" sqref="F171">
      <formula1>"Y,N"</formula1>
    </dataValidation>
    <dataValidation type="list" allowBlank="1" showInputMessage="1" showErrorMessage="1" sqref="G171">
      <formula1>"Y,N"</formula1>
    </dataValidation>
    <dataValidation type="list" allowBlank="1" showInputMessage="1" showErrorMessage="1" sqref="H171">
      <formula1>"Y,N"</formula1>
    </dataValidation>
    <dataValidation type="list" allowBlank="1" showInputMessage="1" showErrorMessage="1" sqref="I171">
      <formula1>"Y,N"</formula1>
    </dataValidation>
    <dataValidation type="list" allowBlank="1" showInputMessage="1" showErrorMessage="1" sqref="J171">
      <formula1>"Y,N"</formula1>
    </dataValidation>
    <dataValidation type="list" allowBlank="1" showInputMessage="1" showErrorMessage="1" sqref="K171">
      <formula1>"Y,N"</formula1>
    </dataValidation>
    <dataValidation type="list" allowBlank="1" showInputMessage="1" showErrorMessage="1" sqref="L171">
      <formula1>"Y,N"</formula1>
    </dataValidation>
    <dataValidation type="list" allowBlank="1" showInputMessage="1" showErrorMessage="1" sqref="M171">
      <formula1>"Y,N"</formula1>
    </dataValidation>
    <dataValidation type="list" allowBlank="1" showInputMessage="1" showErrorMessage="1" sqref="B172">
      <formula1>"Y,N"</formula1>
    </dataValidation>
    <dataValidation type="list" allowBlank="1" showInputMessage="1" showErrorMessage="1" sqref="C172">
      <formula1>"Y,N"</formula1>
    </dataValidation>
    <dataValidation type="list" allowBlank="1" showInputMessage="1" showErrorMessage="1" sqref="D172">
      <formula1>"Y,N"</formula1>
    </dataValidation>
    <dataValidation type="list" allowBlank="1" showInputMessage="1" showErrorMessage="1" sqref="E172">
      <formula1>"Y,N"</formula1>
    </dataValidation>
    <dataValidation type="list" allowBlank="1" showInputMessage="1" showErrorMessage="1" sqref="F172">
      <formula1>"N.A."</formula1>
    </dataValidation>
    <dataValidation type="list" allowBlank="1" showInputMessage="1" showErrorMessage="1" sqref="G172">
      <formula1>"Y,N"</formula1>
    </dataValidation>
    <dataValidation type="list" allowBlank="1" showInputMessage="1" showErrorMessage="1" sqref="H172">
      <formula1>"Y,N"</formula1>
    </dataValidation>
    <dataValidation type="list" allowBlank="1" showInputMessage="1" showErrorMessage="1" sqref="I172">
      <formula1>"Y,N"</formula1>
    </dataValidation>
    <dataValidation type="list" allowBlank="1" showInputMessage="1" showErrorMessage="1" sqref="J172">
      <formula1>"Y,N"</formula1>
    </dataValidation>
    <dataValidation type="list" allowBlank="1" showInputMessage="1" showErrorMessage="1" sqref="K172">
      <formula1>"Y,N"</formula1>
    </dataValidation>
    <dataValidation type="list" allowBlank="1" showInputMessage="1" showErrorMessage="1" sqref="L172">
      <formula1>"Y,N"</formula1>
    </dataValidation>
    <dataValidation type="list" allowBlank="1" showInputMessage="1" showErrorMessage="1" sqref="M172">
      <formula1>"Y,N"</formula1>
    </dataValidation>
    <dataValidation type="list" allowBlank="1" showInputMessage="1" showErrorMessage="1" sqref="B173">
      <formula1>"Y,N"</formula1>
    </dataValidation>
    <dataValidation type="list" allowBlank="1" showInputMessage="1" showErrorMessage="1" sqref="C173">
      <formula1>"Y,N"</formula1>
    </dataValidation>
    <dataValidation type="list" allowBlank="1" showInputMessage="1" showErrorMessage="1" sqref="D173">
      <formula1>"Y,N"</formula1>
    </dataValidation>
    <dataValidation type="list" allowBlank="1" showInputMessage="1" showErrorMessage="1" sqref="E173">
      <formula1>"Y,N"</formula1>
    </dataValidation>
    <dataValidation type="list" allowBlank="1" showInputMessage="1" showErrorMessage="1" sqref="F173">
      <formula1>"Y,N"</formula1>
    </dataValidation>
    <dataValidation type="list" allowBlank="1" showInputMessage="1" showErrorMessage="1" sqref="G173">
      <formula1>"N.A."</formula1>
    </dataValidation>
    <dataValidation type="list" allowBlank="1" showInputMessage="1" showErrorMessage="1" sqref="H173">
      <formula1>"Y,N"</formula1>
    </dataValidation>
    <dataValidation type="list" allowBlank="1" showInputMessage="1" showErrorMessage="1" sqref="I173">
      <formula1>"Y,N"</formula1>
    </dataValidation>
    <dataValidation type="list" allowBlank="1" showInputMessage="1" showErrorMessage="1" sqref="J173">
      <formula1>"Y,N"</formula1>
    </dataValidation>
    <dataValidation type="list" allowBlank="1" showInputMessage="1" showErrorMessage="1" sqref="K173">
      <formula1>"Y,N"</formula1>
    </dataValidation>
    <dataValidation type="list" allowBlank="1" showInputMessage="1" showErrorMessage="1" sqref="L173">
      <formula1>"Y,N"</formula1>
    </dataValidation>
    <dataValidation type="list" allowBlank="1" showInputMessage="1" showErrorMessage="1" sqref="M173">
      <formula1>"Y,N"</formula1>
    </dataValidation>
    <dataValidation type="list" allowBlank="1" showInputMessage="1" showErrorMessage="1" sqref="B174">
      <formula1>"Y,N"</formula1>
    </dataValidation>
    <dataValidation type="list" allowBlank="1" showInputMessage="1" showErrorMessage="1" sqref="C174">
      <formula1>"Y,N"</formula1>
    </dataValidation>
    <dataValidation type="list" allowBlank="1" showInputMessage="1" showErrorMessage="1" sqref="D174">
      <formula1>"Y,N"</formula1>
    </dataValidation>
    <dataValidation type="list" allowBlank="1" showInputMessage="1" showErrorMessage="1" sqref="E174">
      <formula1>"Y,N"</formula1>
    </dataValidation>
    <dataValidation type="list" allowBlank="1" showInputMessage="1" showErrorMessage="1" sqref="F174">
      <formula1>"Y,N"</formula1>
    </dataValidation>
    <dataValidation type="list" allowBlank="1" showInputMessage="1" showErrorMessage="1" sqref="G174">
      <formula1>"Y,N"</formula1>
    </dataValidation>
    <dataValidation type="list" allowBlank="1" showInputMessage="1" showErrorMessage="1" sqref="H174">
      <formula1>"N.A."</formula1>
    </dataValidation>
    <dataValidation type="list" allowBlank="1" showInputMessage="1" showErrorMessage="1" sqref="I174">
      <formula1>"Y,N"</formula1>
    </dataValidation>
    <dataValidation type="list" allowBlank="1" showInputMessage="1" showErrorMessage="1" sqref="J174">
      <formula1>"Y,N"</formula1>
    </dataValidation>
    <dataValidation type="list" allowBlank="1" showInputMessage="1" showErrorMessage="1" sqref="K174">
      <formula1>"Y,N"</formula1>
    </dataValidation>
    <dataValidation type="list" allowBlank="1" showInputMessage="1" showErrorMessage="1" sqref="L174">
      <formula1>"Y,N"</formula1>
    </dataValidation>
    <dataValidation type="list" allowBlank="1" showInputMessage="1" showErrorMessage="1" sqref="M174">
      <formula1>"Y,N"</formula1>
    </dataValidation>
    <dataValidation type="list" allowBlank="1" showInputMessage="1" showErrorMessage="1" sqref="B175">
      <formula1>"Y,N"</formula1>
    </dataValidation>
    <dataValidation type="list" allowBlank="1" showInputMessage="1" showErrorMessage="1" sqref="C175">
      <formula1>"Y,N"</formula1>
    </dataValidation>
    <dataValidation type="list" allowBlank="1" showInputMessage="1" showErrorMessage="1" sqref="D175">
      <formula1>"Y,N"</formula1>
    </dataValidation>
    <dataValidation type="list" allowBlank="1" showInputMessage="1" showErrorMessage="1" sqref="E175">
      <formula1>"Y,N"</formula1>
    </dataValidation>
    <dataValidation type="list" allowBlank="1" showInputMessage="1" showErrorMessage="1" sqref="F175">
      <formula1>"Y,N"</formula1>
    </dataValidation>
    <dataValidation type="list" allowBlank="1" showInputMessage="1" showErrorMessage="1" sqref="G175">
      <formula1>"Y,N"</formula1>
    </dataValidation>
    <dataValidation type="list" allowBlank="1" showInputMessage="1" showErrorMessage="1" sqref="H175">
      <formula1>"Y,N"</formula1>
    </dataValidation>
    <dataValidation type="list" allowBlank="1" showInputMessage="1" showErrorMessage="1" sqref="I175">
      <formula1>"N.A."</formula1>
    </dataValidation>
    <dataValidation type="list" allowBlank="1" showInputMessage="1" showErrorMessage="1" sqref="J175">
      <formula1>"Y,N"</formula1>
    </dataValidation>
    <dataValidation type="list" allowBlank="1" showInputMessage="1" showErrorMessage="1" sqref="K175">
      <formula1>"Y,N"</formula1>
    </dataValidation>
    <dataValidation type="list" allowBlank="1" showInputMessage="1" showErrorMessage="1" sqref="L175">
      <formula1>"Y,N"</formula1>
    </dataValidation>
    <dataValidation type="list" allowBlank="1" showInputMessage="1" showErrorMessage="1" sqref="M175">
      <formula1>"Y,N"</formula1>
    </dataValidation>
    <dataValidation type="list" allowBlank="1" showInputMessage="1" showErrorMessage="1" sqref="B176">
      <formula1>"Y,N"</formula1>
    </dataValidation>
    <dataValidation type="list" allowBlank="1" showInputMessage="1" showErrorMessage="1" sqref="C176">
      <formula1>"Y,N"</formula1>
    </dataValidation>
    <dataValidation type="list" allowBlank="1" showInputMessage="1" showErrorMessage="1" sqref="D176">
      <formula1>"Y,N"</formula1>
    </dataValidation>
    <dataValidation type="list" allowBlank="1" showInputMessage="1" showErrorMessage="1" sqref="E176">
      <formula1>"Y,N"</formula1>
    </dataValidation>
    <dataValidation type="list" allowBlank="1" showInputMessage="1" showErrorMessage="1" sqref="F176">
      <formula1>"Y,N"</formula1>
    </dataValidation>
    <dataValidation type="list" allowBlank="1" showInputMessage="1" showErrorMessage="1" sqref="G176">
      <formula1>"Y,N"</formula1>
    </dataValidation>
    <dataValidation type="list" allowBlank="1" showInputMessage="1" showErrorMessage="1" sqref="H176">
      <formula1>"Y,N"</formula1>
    </dataValidation>
    <dataValidation type="list" allowBlank="1" showInputMessage="1" showErrorMessage="1" sqref="I176">
      <formula1>"Y,N"</formula1>
    </dataValidation>
    <dataValidation type="list" allowBlank="1" showInputMessage="1" showErrorMessage="1" sqref="J176">
      <formula1>"N.A."</formula1>
    </dataValidation>
    <dataValidation type="list" allowBlank="1" showInputMessage="1" showErrorMessage="1" sqref="K176">
      <formula1>"Y,N"</formula1>
    </dataValidation>
    <dataValidation type="list" allowBlank="1" showInputMessage="1" showErrorMessage="1" sqref="L176">
      <formula1>"Y,N"</formula1>
    </dataValidation>
    <dataValidation type="list" allowBlank="1" showInputMessage="1" showErrorMessage="1" sqref="M176">
      <formula1>"Y,N"</formula1>
    </dataValidation>
    <dataValidation type="list" allowBlank="1" showInputMessage="1" showErrorMessage="1" sqref="B177">
      <formula1>"Y,N"</formula1>
    </dataValidation>
    <dataValidation type="list" allowBlank="1" showInputMessage="1" showErrorMessage="1" sqref="C177">
      <formula1>"Y,N"</formula1>
    </dataValidation>
    <dataValidation type="list" allowBlank="1" showInputMessage="1" showErrorMessage="1" sqref="D177">
      <formula1>"Y,N"</formula1>
    </dataValidation>
    <dataValidation type="list" allowBlank="1" showInputMessage="1" showErrorMessage="1" sqref="E177">
      <formula1>"Y,N"</formula1>
    </dataValidation>
    <dataValidation type="list" allowBlank="1" showInputMessage="1" showErrorMessage="1" sqref="F177">
      <formula1>"Y,N"</formula1>
    </dataValidation>
    <dataValidation type="list" allowBlank="1" showInputMessage="1" showErrorMessage="1" sqref="G177">
      <formula1>"Y,N"</formula1>
    </dataValidation>
    <dataValidation type="list" allowBlank="1" showInputMessage="1" showErrorMessage="1" sqref="H177">
      <formula1>"Y,N"</formula1>
    </dataValidation>
    <dataValidation type="list" allowBlank="1" showInputMessage="1" showErrorMessage="1" sqref="I177">
      <formula1>"Y,N"</formula1>
    </dataValidation>
    <dataValidation type="list" allowBlank="1" showInputMessage="1" showErrorMessage="1" sqref="J177">
      <formula1>"Y,N"</formula1>
    </dataValidation>
    <dataValidation type="list" allowBlank="1" showInputMessage="1" showErrorMessage="1" sqref="K177">
      <formula1>"N.A."</formula1>
    </dataValidation>
    <dataValidation type="list" allowBlank="1" showInputMessage="1" showErrorMessage="1" sqref="L177">
      <formula1>"Y,N"</formula1>
    </dataValidation>
    <dataValidation type="list" allowBlank="1" showInputMessage="1" showErrorMessage="1" sqref="M177">
      <formula1>"Y,N"</formula1>
    </dataValidation>
    <dataValidation type="list" allowBlank="1" showInputMessage="1" showErrorMessage="1" sqref="B178">
      <formula1>"Y,N"</formula1>
    </dataValidation>
    <dataValidation type="list" allowBlank="1" showInputMessage="1" showErrorMessage="1" sqref="C178">
      <formula1>"Y,N"</formula1>
    </dataValidation>
    <dataValidation type="list" allowBlank="1" showInputMessage="1" showErrorMessage="1" sqref="D178">
      <formula1>"Y,N"</formula1>
    </dataValidation>
    <dataValidation type="list" allowBlank="1" showInputMessage="1" showErrorMessage="1" sqref="E178">
      <formula1>"Y,N"</formula1>
    </dataValidation>
    <dataValidation type="list" allowBlank="1" showInputMessage="1" showErrorMessage="1" sqref="F178">
      <formula1>"Y,N"</formula1>
    </dataValidation>
    <dataValidation type="list" allowBlank="1" showInputMessage="1" showErrorMessage="1" sqref="G178">
      <formula1>"Y,N"</formula1>
    </dataValidation>
    <dataValidation type="list" allowBlank="1" showInputMessage="1" showErrorMessage="1" sqref="H178">
      <formula1>"Y,N"</formula1>
    </dataValidation>
    <dataValidation type="list" allowBlank="1" showInputMessage="1" showErrorMessage="1" sqref="I178">
      <formula1>"Y,N"</formula1>
    </dataValidation>
    <dataValidation type="list" allowBlank="1" showInputMessage="1" showErrorMessage="1" sqref="J178">
      <formula1>"Y,N"</formula1>
    </dataValidation>
    <dataValidation type="list" allowBlank="1" showInputMessage="1" showErrorMessage="1" sqref="K178">
      <formula1>"Y,N"</formula1>
    </dataValidation>
    <dataValidation type="list" allowBlank="1" showInputMessage="1" showErrorMessage="1" sqref="L178">
      <formula1>"N.A."</formula1>
    </dataValidation>
    <dataValidation type="list" allowBlank="1" showInputMessage="1" showErrorMessage="1" sqref="M178">
      <formula1>"Y,N"</formula1>
    </dataValidation>
    <dataValidation type="list" allowBlank="1" showInputMessage="1" showErrorMessage="1" sqref="B179">
      <formula1>"Y,N"</formula1>
    </dataValidation>
    <dataValidation type="list" allowBlank="1" showInputMessage="1" showErrorMessage="1" sqref="C179">
      <formula1>"Y,N"</formula1>
    </dataValidation>
    <dataValidation type="list" allowBlank="1" showInputMessage="1" showErrorMessage="1" sqref="D179">
      <formula1>"Y,N"</formula1>
    </dataValidation>
    <dataValidation type="list" allowBlank="1" showInputMessage="1" showErrorMessage="1" sqref="E179">
      <formula1>"Y,N"</formula1>
    </dataValidation>
    <dataValidation type="list" allowBlank="1" showInputMessage="1" showErrorMessage="1" sqref="F179">
      <formula1>"Y,N"</formula1>
    </dataValidation>
    <dataValidation type="list" allowBlank="1" showInputMessage="1" showErrorMessage="1" sqref="G179">
      <formula1>"Y,N"</formula1>
    </dataValidation>
    <dataValidation type="list" allowBlank="1" showInputMessage="1" showErrorMessage="1" sqref="H179">
      <formula1>"Y,N"</formula1>
    </dataValidation>
    <dataValidation type="list" allowBlank="1" showInputMessage="1" showErrorMessage="1" sqref="I179">
      <formula1>"Y,N"</formula1>
    </dataValidation>
    <dataValidation type="list" allowBlank="1" showInputMessage="1" showErrorMessage="1" sqref="J179">
      <formula1>"Y,N"</formula1>
    </dataValidation>
    <dataValidation type="list" allowBlank="1" showInputMessage="1" showErrorMessage="1" sqref="K179">
      <formula1>"Y,N"</formula1>
    </dataValidation>
    <dataValidation type="list" allowBlank="1" showInputMessage="1" showErrorMessage="1" sqref="L179">
      <formula1>"Y,N"</formula1>
    </dataValidation>
    <dataValidation type="list" allowBlank="1" showInputMessage="1" showErrorMessage="1" sqref="M179">
      <formula1>"N.A."</formula1>
    </dataValidation>
    <dataValidation type="list" allowBlank="1" showInputMessage="1" showErrorMessage="1" sqref="E182">
      <formula1>"Number (years),Rate (per year),Duration (years)"</formula1>
    </dataValidation>
    <dataValidation type="list" allowBlank="1" showInputMessage="1" showErrorMessage="1" sqref="E183">
      <formula1>"Number (years),Rate (per year),Duration (years)"</formula1>
    </dataValidation>
    <dataValidation type="list" allowBlank="1" showInputMessage="1" showErrorMessage="1" sqref="E184">
      <formula1>"Number (years),Rate (per year),Duration (years)"</formula1>
    </dataValidation>
    <dataValidation type="list" allowBlank="1" showInputMessage="1" showErrorMessage="1" sqref="E185">
      <formula1>"Number (years),Rate (per year),Duration (years)"</formula1>
    </dataValidation>
    <dataValidation type="list" allowBlank="1" showInputMessage="1" showErrorMessage="1" sqref="E186">
      <formula1>"Number (years),Rate (per year),Duration (years)"</formula1>
    </dataValidation>
    <dataValidation type="list" allowBlank="1" showInputMessage="1" showErrorMessage="1" sqref="E187">
      <formula1>"Number (years),Rate (per year),Duration (years)"</formula1>
    </dataValidation>
    <dataValidation type="list" allowBlank="1" showInputMessage="1" showErrorMessage="1" sqref="E188">
      <formula1>"Number (years),Rate (per year),Duration (years)"</formula1>
    </dataValidation>
    <dataValidation type="list" allowBlank="1" showInputMessage="1" showErrorMessage="1" sqref="E189">
      <formula1>"Number (years),Rate (per year),Duration (years)"</formula1>
    </dataValidation>
    <dataValidation type="list" allowBlank="1" showInputMessage="1" showErrorMessage="1" sqref="E190">
      <formula1>"Number (years),Rate (per year),Duration (years)"</formula1>
    </dataValidation>
    <dataValidation type="list" allowBlank="1" showInputMessage="1" showErrorMessage="1" sqref="E191">
      <formula1>"Number (years),Rate (per year),Duration (years)"</formula1>
    </dataValidation>
    <dataValidation type="list" allowBlank="1" showInputMessage="1" showErrorMessage="1" sqref="E192">
      <formula1>"Number (years),Rate (per year),Duration (years)"</formula1>
    </dataValidation>
    <dataValidation type="list" allowBlank="1" showInputMessage="1" showErrorMessage="1" sqref="E193">
      <formula1>"Number (years),Rate (per year),Duration (years)"</formula1>
    </dataValidation>
    <dataValidation type="list" allowBlank="1" showInputMessage="1" showErrorMessage="1" sqref="E194">
      <formula1>"Number (years),Rate (per year),Duration (years)"</formula1>
    </dataValidation>
    <dataValidation type="list" allowBlank="1" showInputMessage="1" showErrorMessage="1" sqref="E195">
      <formula1>"Number (years),Rate (per year),Duration (years)"</formula1>
    </dataValidation>
    <dataValidation type="list" allowBlank="1" showInputMessage="1" showErrorMessage="1" sqref="E196">
      <formula1>"Number (years),Rate (per year),Duration (years)"</formula1>
    </dataValidation>
    <dataValidation type="list" allowBlank="1" showInputMessage="1" showErrorMessage="1" sqref="E197">
      <formula1>"Number (years),Rate (per year),Duration (years)"</formula1>
    </dataValidation>
    <dataValidation type="list" allowBlank="1" showInputMessage="1" showErrorMessage="1" sqref="E198">
      <formula1>"Number (years),Rate (per year),Duration (years)"</formula1>
    </dataValidation>
    <dataValidation type="list" allowBlank="1" showInputMessage="1" showErrorMessage="1" sqref="E199">
      <formula1>"Number (years),Rate (per year),Duration (years)"</formula1>
    </dataValidation>
    <dataValidation type="list" allowBlank="1" showInputMessage="1" showErrorMessage="1" sqref="E200">
      <formula1>"Number (years),Rate (per year),Duration (years)"</formula1>
    </dataValidation>
    <dataValidation type="list" allowBlank="1" showInputMessage="1" showErrorMessage="1" sqref="E201">
      <formula1>"Number (years),Rate (per year),Duration (years)"</formula1>
    </dataValidation>
    <dataValidation type="list" allowBlank="1" showInputMessage="1" showErrorMessage="1" sqref="E202">
      <formula1>"Number (years),Rate (per year),Duration (years)"</formula1>
    </dataValidation>
    <dataValidation type="list" allowBlank="1" showInputMessage="1" showErrorMessage="1" sqref="E203">
      <formula1>"Number (years),Rate (per year),Duration (years)"</formula1>
    </dataValidation>
    <dataValidation type="list" allowBlank="1" showInputMessage="1" showErrorMessage="1" sqref="E204">
      <formula1>"Number (years),Rate (per year),Duration (years)"</formula1>
    </dataValidation>
    <dataValidation type="list" allowBlank="1" showInputMessage="1" showErrorMessage="1" sqref="E205">
      <formula1>"Number (years),Rate (per year),Duration (years)"</formula1>
    </dataValidation>
    <dataValidation type="list" allowBlank="1" showInputMessage="1" showErrorMessage="1" sqref="E206">
      <formula1>"Number (years),Rate (per year),Duration (years)"</formula1>
    </dataValidation>
    <dataValidation type="list" allowBlank="1" showInputMessage="1" showErrorMessage="1" sqref="E207">
      <formula1>"Number (years),Rate (per year),Duration (years)"</formula1>
    </dataValidation>
    <dataValidation type="list" allowBlank="1" showInputMessage="1" showErrorMessage="1" sqref="E208">
      <formula1>"Number (years),Rate (per year),Duration (years)"</formula1>
    </dataValidation>
    <dataValidation type="list" allowBlank="1" showInputMessage="1" showErrorMessage="1" sqref="E209">
      <formula1>"Number (years),Rate (per year),Duration (years)"</formula1>
    </dataValidation>
    <dataValidation type="list" allowBlank="1" showInputMessage="1" showErrorMessage="1" sqref="E210">
      <formula1>"Number (years),Rate (per year),Duration (years)"</formula1>
    </dataValidation>
    <dataValidation type="list" allowBlank="1" showInputMessage="1" showErrorMessage="1" sqref="E211">
      <formula1>"Number (years),Rate (per year),Duration (years)"</formula1>
    </dataValidation>
    <dataValidation type="list" allowBlank="1" showInputMessage="1" showErrorMessage="1" sqref="E212">
      <formula1>"Number (years),Rate (per year),Duration (years)"</formula1>
    </dataValidation>
    <dataValidation type="list" allowBlank="1" showInputMessage="1" showErrorMessage="1" sqref="E213">
      <formula1>"Number (years),Rate (per year),Duration (years)"</formula1>
    </dataValidation>
    <dataValidation type="list" allowBlank="1" showInputMessage="1" showErrorMessage="1" sqref="E214">
      <formula1>"Number (years),Rate (per year),Duration (years)"</formula1>
    </dataValidation>
    <dataValidation type="list" allowBlank="1" showInputMessage="1" showErrorMessage="1" sqref="E215">
      <formula1>"Number (years),Rate (per year),Duration (years)"</formula1>
    </dataValidation>
    <dataValidation type="list" allowBlank="1" showInputMessage="1" showErrorMessage="1" sqref="E216">
      <formula1>"Number (years),Rate (per year),Duration (years)"</formula1>
    </dataValidation>
    <dataValidation type="list" allowBlank="1" showInputMessage="1" showErrorMessage="1" sqref="E217">
      <formula1>"Number (years),Rate (per year),Duration (years)"</formula1>
    </dataValidation>
    <dataValidation type="list" allowBlank="1" showInputMessage="1" showErrorMessage="1" sqref="E218">
      <formula1>"Number (years),Rate (per year),Duration (years)"</formula1>
    </dataValidation>
    <dataValidation type="list" allowBlank="1" showInputMessage="1" showErrorMessage="1" sqref="E219">
      <formula1>"Number (years),Rate (per year),Duration (years)"</formula1>
    </dataValidation>
    <dataValidation type="list" allowBlank="1" showInputMessage="1" showErrorMessage="1" sqref="E220">
      <formula1>"Number (years),Rate (per year),Duration (years)"</formula1>
    </dataValidation>
    <dataValidation type="list" allowBlank="1" showInputMessage="1" showErrorMessage="1" sqref="E221">
      <formula1>"Number (years),Rate (per year),Duration (years)"</formula1>
    </dataValidation>
    <dataValidation type="list" allowBlank="1" showInputMessage="1" showErrorMessage="1" sqref="E222">
      <formula1>"Number (years),Rate (per year),Duration (years)"</formula1>
    </dataValidation>
    <dataValidation type="list" allowBlank="1" showInputMessage="1" showErrorMessage="1" sqref="E223">
      <formula1>"Number (years),Rate (per year),Duration (years)"</formula1>
    </dataValidation>
    <dataValidation type="list" allowBlank="1" showInputMessage="1" showErrorMessage="1" sqref="E224">
      <formula1>"Number (years),Rate (per year),Duration (years)"</formula1>
    </dataValidation>
    <dataValidation type="list" allowBlank="1" showInputMessage="1" showErrorMessage="1" sqref="E225">
      <formula1>"Number (years),Rate (per year),Duration (years)"</formula1>
    </dataValidation>
    <dataValidation type="list" allowBlank="1" showInputMessage="1" showErrorMessage="1" sqref="E226">
      <formula1>"Number (years),Rate (per year),Duration (years)"</formula1>
    </dataValidation>
    <dataValidation type="list" allowBlank="1" showInputMessage="1" showErrorMessage="1" sqref="E227">
      <formula1>"Number (years),Rate (per year),Duration (years)"</formula1>
    </dataValidation>
    <dataValidation type="list" allowBlank="1" showInputMessage="1" showErrorMessage="1" sqref="E228">
      <formula1>"Number (years),Rate (per year),Duration (years)"</formula1>
    </dataValidation>
    <dataValidation type="list" allowBlank="1" showInputMessage="1" showErrorMessage="1" sqref="E229">
      <formula1>"Number (years),Rate (per year),Duration (years)"</formula1>
    </dataValidation>
    <dataValidation type="list" allowBlank="1" showInputMessage="1" showErrorMessage="1" sqref="E230">
      <formula1>"Number (years),Rate (per year),Duration (years)"</formula1>
    </dataValidation>
    <dataValidation type="list" allowBlank="1" showInputMessage="1" showErrorMessage="1" sqref="E231">
      <formula1>"Number (years),Rate (per year),Duration (years)"</formula1>
    </dataValidation>
    <dataValidation type="list" allowBlank="1" showInputMessage="1" showErrorMessage="1" sqref="E232">
      <formula1>"Number (years),Rate (per year),Duration (years)"</formula1>
    </dataValidation>
    <dataValidation type="list" allowBlank="1" showInputMessage="1" showErrorMessage="1" sqref="E233">
      <formula1>"Number (years),Rate (per year),Duration (years)"</formula1>
    </dataValidation>
    <dataValidation type="list" allowBlank="1" showInputMessage="1" showErrorMessage="1" sqref="E234">
      <formula1>"Number (years),Rate (per year),Duration (years)"</formula1>
    </dataValidation>
    <dataValidation type="list" allowBlank="1" showInputMessage="1" showErrorMessage="1" sqref="E235">
      <formula1>"Number (years),Rate (per year),Duration (years)"</formula1>
    </dataValidation>
    <dataValidation type="list" allowBlank="1" showInputMessage="1" showErrorMessage="1" sqref="E236">
      <formula1>"Number (years),Rate (per year),Duration (years)"</formula1>
    </dataValidation>
    <dataValidation type="list" allowBlank="1" showInputMessage="1" showErrorMessage="1" sqref="E237">
      <formula1>"Number (years),Rate (per year),Duration (years)"</formula1>
    </dataValidation>
    <dataValidation type="list" allowBlank="1" showInputMessage="1" showErrorMessage="1" sqref="E238">
      <formula1>"Number (years),Rate (per year),Duration (years)"</formula1>
    </dataValidation>
    <dataValidation type="list" allowBlank="1" showInputMessage="1" showErrorMessage="1" sqref="E239">
      <formula1>"Number (years),Rate (per year),Duration (years)"</formula1>
    </dataValidation>
    <dataValidation type="list" allowBlank="1" showInputMessage="1" showErrorMessage="1" sqref="E240">
      <formula1>"Number (years),Rate (per year),Duration (years)"</formula1>
    </dataValidation>
    <dataValidation type="list" allowBlank="1" showInputMessage="1" showErrorMessage="1" sqref="E241">
      <formula1>"Number (years),Rate (per year),Duration (years)"</formula1>
    </dataValidation>
    <dataValidation type="list" allowBlank="1" showInputMessage="1" showErrorMessage="1" sqref="E242">
      <formula1>"Number (years),Rate (per year),Duration (years)"</formula1>
    </dataValidation>
    <dataValidation type="list" allowBlank="1" showInputMessage="1" showErrorMessage="1" sqref="E243">
      <formula1>"Number (years),Rate (per year),Duration (years)"</formula1>
    </dataValidation>
    <dataValidation type="list" allowBlank="1" showInputMessage="1" showErrorMessage="1" sqref="E244">
      <formula1>"Number (years),Rate (per year),Duration (years)"</formula1>
    </dataValidation>
    <dataValidation type="list" allowBlank="1" showInputMessage="1" showErrorMessage="1" sqref="E245">
      <formula1>"Number (years),Rate (per year),Duration (years)"</formula1>
    </dataValidation>
    <dataValidation type="list" allowBlank="1" showInputMessage="1" showErrorMessage="1" sqref="E246">
      <formula1>"Number (years),Rate (per year),Duration (years)"</formula1>
    </dataValidation>
    <dataValidation type="list" allowBlank="1" showInputMessage="1" showErrorMessage="1" sqref="E247">
      <formula1>"Number (years),Rate (per year),Duration (years)"</formula1>
    </dataValidation>
    <dataValidation type="list" allowBlank="1" showInputMessage="1" showErrorMessage="1" sqref="E248">
      <formula1>"Number (years),Rate (per year),Duration (years)"</formula1>
    </dataValidation>
    <dataValidation type="list" allowBlank="1" showInputMessage="1" showErrorMessage="1" sqref="E249">
      <formula1>"Number (years),Rate (per year),Duration (years)"</formula1>
    </dataValidation>
    <dataValidation type="list" allowBlank="1" showInputMessage="1" showErrorMessage="1" sqref="E250">
      <formula1>"Number (years),Rate (per year),Duration (years)"</formula1>
    </dataValidation>
    <dataValidation type="list" allowBlank="1" showInputMessage="1" showErrorMessage="1" sqref="E251">
      <formula1>"Number (years),Rate (per year),Duration (years)"</formula1>
    </dataValidation>
    <dataValidation type="list" allowBlank="1" showInputMessage="1" showErrorMessage="1" sqref="E252">
      <formula1>"Number (years),Rate (per year),Duration (years)"</formula1>
    </dataValidation>
    <dataValidation type="list" allowBlank="1" showInputMessage="1" showErrorMessage="1" sqref="E253">
      <formula1>"Number (years),Rate (per year),Duration (years)"</formula1>
    </dataValidation>
    <dataValidation type="list" allowBlank="1" showInputMessage="1" showErrorMessage="1" sqref="E254">
      <formula1>"Number (years),Rate (per year),Duration (years)"</formula1>
    </dataValidation>
    <dataValidation type="list" allowBlank="1" showInputMessage="1" showErrorMessage="1" sqref="E255">
      <formula1>"Number (years),Rate (per year),Duration (years)"</formula1>
    </dataValidation>
    <dataValidation type="list" allowBlank="1" showInputMessage="1" showErrorMessage="1" sqref="E256">
      <formula1>"Number (years),Rate (per year),Duration (years)"</formula1>
    </dataValidation>
    <dataValidation type="list" allowBlank="1" showInputMessage="1" showErrorMessage="1" sqref="E257">
      <formula1>"Number (years),Rate (per year),Duration (years)"</formula1>
    </dataValidation>
    <dataValidation type="list" allowBlank="1" showInputMessage="1" showErrorMessage="1" sqref="E258">
      <formula1>"Number (years),Rate (per year),Duration (years)"</formula1>
    </dataValidation>
    <dataValidation type="list" allowBlank="1" showInputMessage="1" showErrorMessage="1" sqref="E259">
      <formula1>"Number (years),Rate (per year),Duration (years)"</formula1>
    </dataValidation>
    <dataValidation type="list" allowBlank="1" showInputMessage="1" showErrorMessage="1" sqref="E260">
      <formula1>"Number (years),Rate (per year),Duration (years)"</formula1>
    </dataValidation>
    <dataValidation type="list" allowBlank="1" showInputMessage="1" showErrorMessage="1" sqref="E261">
      <formula1>"Number (years),Rate (per year),Duration (years)"</formula1>
    </dataValidation>
    <dataValidation type="list" allowBlank="1" showInputMessage="1" showErrorMessage="1" sqref="E262">
      <formula1>"Number (years),Rate (per year),Duration (years)"</formula1>
    </dataValidation>
    <dataValidation type="list" allowBlank="1" showInputMessage="1" showErrorMessage="1" sqref="E263">
      <formula1>"Number (years),Rate (per year),Duration (years)"</formula1>
    </dataValidation>
    <dataValidation type="list" allowBlank="1" showInputMessage="1" showErrorMessage="1" sqref="E264">
      <formula1>"Number (years),Rate (per year),Duration (years)"</formula1>
    </dataValidation>
    <dataValidation type="list" allowBlank="1" showInputMessage="1" showErrorMessage="1" sqref="E265">
      <formula1>"Number (years),Rate (per year),Duration (years)"</formula1>
    </dataValidation>
    <dataValidation type="list" allowBlank="1" showInputMessage="1" showErrorMessage="1" sqref="E266">
      <formula1>"Number (years),Rate (per year),Duration (years)"</formula1>
    </dataValidation>
    <dataValidation type="list" allowBlank="1" showInputMessage="1" showErrorMessage="1" sqref="E267">
      <formula1>"Number (years),Rate (per year),Duration (years)"</formula1>
    </dataValidation>
    <dataValidation type="list" allowBlank="1" showInputMessage="1" showErrorMessage="1" sqref="E268">
      <formula1>"Number (years),Rate (per year),Duration (years)"</formula1>
    </dataValidation>
    <dataValidation type="list" allowBlank="1" showInputMessage="1" showErrorMessage="1" sqref="E269">
      <formula1>"Number (years),Rate (per year),Duration (years)"</formula1>
    </dataValidation>
    <dataValidation type="list" allowBlank="1" showInputMessage="1" showErrorMessage="1" sqref="E270">
      <formula1>"Number (years),Rate (per year),Duration (years)"</formula1>
    </dataValidation>
    <dataValidation type="list" allowBlank="1" showInputMessage="1" showErrorMessage="1" sqref="E271">
      <formula1>"Number (years),Rate (per year),Duration (years)"</formula1>
    </dataValidation>
    <dataValidation type="list" allowBlank="1" showInputMessage="1" showErrorMessage="1" sqref="E272">
      <formula1>"Number (years),Rate (per year),Duration (years)"</formula1>
    </dataValidation>
    <dataValidation type="list" allowBlank="1" showInputMessage="1" showErrorMessage="1" sqref="E273">
      <formula1>"Number (years),Rate (per year),Duration (years)"</formula1>
    </dataValidation>
    <dataValidation type="list" allowBlank="1" showInputMessage="1" showErrorMessage="1" sqref="E274">
      <formula1>"Number (years),Rate (per year),Duration (years)"</formula1>
    </dataValidation>
    <dataValidation type="list" allowBlank="1" showInputMessage="1" showErrorMessage="1" sqref="E275">
      <formula1>"Number (years),Rate (per year),Duration (years)"</formula1>
    </dataValidation>
    <dataValidation type="list" allowBlank="1" showInputMessage="1" showErrorMessage="1" sqref="E276">
      <formula1>"Number (years),Rate (per year),Duration (years)"</formula1>
    </dataValidation>
    <dataValidation type="list" allowBlank="1" showInputMessage="1" showErrorMessage="1" sqref="E277">
      <formula1>"Number (years),Rate (per year),Duration (years)"</formula1>
    </dataValidation>
    <dataValidation type="list" allowBlank="1" showInputMessage="1" showErrorMessage="1" sqref="E278">
      <formula1>"Number (years),Rate (per year),Duration (years)"</formula1>
    </dataValidation>
    <dataValidation type="list" allowBlank="1" showInputMessage="1" showErrorMessage="1" sqref="E279">
      <formula1>"Number (years),Rate (per year),Duration (years)"</formula1>
    </dataValidation>
    <dataValidation type="list" allowBlank="1" showInputMessage="1" showErrorMessage="1" sqref="E280">
      <formula1>"Number (years),Rate (per year),Duration (years)"</formula1>
    </dataValidation>
    <dataValidation type="list" allowBlank="1" showInputMessage="1" showErrorMessage="1" sqref="E281">
      <formula1>"Number (years),Rate (per year),Duration (years)"</formula1>
    </dataValidation>
    <dataValidation type="list" allowBlank="1" showInputMessage="1" showErrorMessage="1" sqref="E282">
      <formula1>"Number (years),Rate (per year),Duration (years)"</formula1>
    </dataValidation>
    <dataValidation type="list" allowBlank="1" showInputMessage="1" showErrorMessage="1" sqref="E283">
      <formula1>"Number (years),Rate (per year),Duration (years)"</formula1>
    </dataValidation>
    <dataValidation type="list" allowBlank="1" showInputMessage="1" showErrorMessage="1" sqref="E284">
      <formula1>"Number (years),Rate (per year),Duration (years)"</formula1>
    </dataValidation>
    <dataValidation type="list" allowBlank="1" showInputMessage="1" showErrorMessage="1" sqref="E285">
      <formula1>"Number (years),Rate (per year),Duration (years)"</formula1>
    </dataValidation>
    <dataValidation type="list" allowBlank="1" showInputMessage="1" showErrorMessage="1" sqref="E286">
      <formula1>"Number (years),Rate (per year),Duration (years)"</formula1>
    </dataValidation>
    <dataValidation type="list" allowBlank="1" showInputMessage="1" showErrorMessage="1" sqref="E287">
      <formula1>"Number (years),Rate (per year),Duration (years)"</formula1>
    </dataValidation>
    <dataValidation type="list" allowBlank="1" showInputMessage="1" showErrorMessage="1" sqref="E288">
      <formula1>"Number (years),Rate (per year),Duration (years)"</formula1>
    </dataValidation>
    <dataValidation type="list" allowBlank="1" showInputMessage="1" showErrorMessage="1" sqref="E289">
      <formula1>"Number (years),Rate (per year),Duration (years)"</formula1>
    </dataValidation>
    <dataValidation type="list" allowBlank="1" showInputMessage="1" showErrorMessage="1" sqref="E290">
      <formula1>"Number (years),Rate (per year),Duration (years)"</formula1>
    </dataValidation>
    <dataValidation type="list" allowBlank="1" showInputMessage="1" showErrorMessage="1" sqref="E291">
      <formula1>"Number (years),Rate (per year),Duration (years)"</formula1>
    </dataValidation>
    <dataValidation type="list" allowBlank="1" showInputMessage="1" showErrorMessage="1" sqref="E292">
      <formula1>"Number (years),Rate (per year),Duration (years)"</formula1>
    </dataValidation>
    <dataValidation type="list" allowBlank="1" showInputMessage="1" showErrorMessage="1" sqref="E293">
      <formula1>"Number (years),Rate (per year),Duration (years)"</formula1>
    </dataValidation>
    <dataValidation type="list" allowBlank="1" showInputMessage="1" showErrorMessage="1" sqref="E294">
      <formula1>"Number (years),Rate (per year),Duration (years)"</formula1>
    </dataValidation>
    <dataValidation type="list" allowBlank="1" showInputMessage="1" showErrorMessage="1" sqref="E295">
      <formula1>"Number (years),Rate (per year),Duration (years)"</formula1>
    </dataValidation>
    <dataValidation type="list" allowBlank="1" showInputMessage="1" showErrorMessage="1" sqref="E296">
      <formula1>"Number (years),Rate (per year),Duration (years)"</formula1>
    </dataValidation>
    <dataValidation type="list" allowBlank="1" showInputMessage="1" showErrorMessage="1" sqref="E297">
      <formula1>"Number (years),Rate (per year),Duration (years)"</formula1>
    </dataValidation>
    <dataValidation type="list" allowBlank="1" showInputMessage="1" showErrorMessage="1" sqref="E298">
      <formula1>"Number (years),Rate (per year),Duration (years)"</formula1>
    </dataValidation>
    <dataValidation type="list" allowBlank="1" showInputMessage="1" showErrorMessage="1" sqref="E299">
      <formula1>"Number (years),Rate (per year),Duration (years)"</formula1>
    </dataValidation>
    <dataValidation type="list" allowBlank="1" showInputMessage="1" showErrorMessage="1" sqref="E300">
      <formula1>"Number (years),Rate (per year),Duration (years)"</formula1>
    </dataValidation>
    <dataValidation type="list" allowBlank="1" showInputMessage="1" showErrorMessage="1" sqref="E301">
      <formula1>"Number (years),Rate (per year),Duration (years)"</formula1>
    </dataValidation>
    <dataValidation type="list" allowBlank="1" showInputMessage="1" showErrorMessage="1" sqref="E302">
      <formula1>"Number (years),Rate (per year),Duration (years)"</formula1>
    </dataValidation>
    <dataValidation type="list" allowBlank="1" showInputMessage="1" showErrorMessage="1" sqref="E303">
      <formula1>"Number (years),Rate (per year),Duration (years)"</formula1>
    </dataValidation>
    <dataValidation type="list" allowBlank="1" showInputMessage="1" showErrorMessage="1" sqref="E304">
      <formula1>"Number (years),Rate (per year),Duration (years)"</formula1>
    </dataValidation>
    <dataValidation type="list" allowBlank="1" showInputMessage="1" showErrorMessage="1" sqref="E305">
      <formula1>"Number (years),Rate (per year),Duration (years)"</formula1>
    </dataValidation>
    <dataValidation type="list" allowBlank="1" showInputMessage="1" showErrorMessage="1" sqref="E306">
      <formula1>"Number (years),Rate (per year),Duration (years)"</formula1>
    </dataValidation>
    <dataValidation type="list" allowBlank="1" showInputMessage="1" showErrorMessage="1" sqref="E307">
      <formula1>"Number (years),Rate (per year),Duration (years)"</formula1>
    </dataValidation>
    <dataValidation type="list" allowBlank="1" showInputMessage="1" showErrorMessage="1" sqref="E308">
      <formula1>"Number (years),Rate (per year),Duration (years)"</formula1>
    </dataValidation>
    <dataValidation type="list" allowBlank="1" showInputMessage="1" showErrorMessage="1" sqref="E309">
      <formula1>"Number (years),Rate (per year),Duration (years)"</formula1>
    </dataValidation>
    <dataValidation type="list" allowBlank="1" showInputMessage="1" showErrorMessage="1" sqref="E310">
      <formula1>"Number (years),Rate (per year),Duration (years)"</formula1>
    </dataValidation>
    <dataValidation type="list" allowBlank="1" showInputMessage="1" showErrorMessage="1" sqref="E311">
      <formula1>"Number (years),Rate (per year),Duration (years)"</formula1>
    </dataValidation>
    <dataValidation type="list" allowBlank="1" showInputMessage="1" showErrorMessage="1" sqref="E312">
      <formula1>"Number (years),Rate (per year),Duration (years)"</formula1>
    </dataValidation>
    <dataValidation type="list" allowBlank="1" showInputMessage="1" showErrorMessage="1" sqref="E313">
      <formula1>"Number (years),Rate (per year),Duration (years)"</formula1>
    </dataValidation>
    <dataValidation type="list" allowBlank="1" showInputMessage="1" showErrorMessage="1" sqref="E314">
      <formula1>"Number (years),Rate (per year),Duration (years)"</formula1>
    </dataValidation>
    <dataValidation type="list" allowBlank="1" showInputMessage="1" showErrorMessage="1" sqref="E315">
      <formula1>"Number (years),Rate (per year),Duration (years)"</formula1>
    </dataValidation>
    <dataValidation type="list" allowBlank="1" showInputMessage="1" showErrorMessage="1" sqref="E316">
      <formula1>"Number (years),Rate (per year),Duration (years)"</formula1>
    </dataValidation>
    <dataValidation type="list" allowBlank="1" showInputMessage="1" showErrorMessage="1" sqref="E317">
      <formula1>"Number (years),Rate (per year),Duration (years)"</formula1>
    </dataValidation>
    <dataValidation type="list" allowBlank="1" showInputMessage="1" showErrorMessage="1" sqref="E318">
      <formula1>"Number (years),Rate (per year),Duration (years)"</formula1>
    </dataValidation>
    <dataValidation type="list" allowBlank="1" showInputMessage="1" showErrorMessage="1" sqref="E319">
      <formula1>"Number (years),Rate (per year),Duration (years)"</formula1>
    </dataValidation>
    <dataValidation type="list" allowBlank="1" showInputMessage="1" showErrorMessage="1" sqref="E320">
      <formula1>"Number (years),Rate (per year),Duration (years)"</formula1>
    </dataValidation>
    <dataValidation type="list" allowBlank="1" showInputMessage="1" showErrorMessage="1" sqref="E321">
      <formula1>"Number (years),Rate (per year),Duration (years)"</formula1>
    </dataValidation>
    <dataValidation type="list" allowBlank="1" showInputMessage="1" showErrorMessage="1" sqref="E322">
      <formula1>"Number (years),Rate (per year),Duration (years)"</formula1>
    </dataValidation>
    <dataValidation type="list" allowBlank="1" showInputMessage="1" showErrorMessage="1" sqref="E323">
      <formula1>"Number (years),Rate (per year),Duration (years)"</formula1>
    </dataValidation>
    <dataValidation type="list" allowBlank="1" showInputMessage="1" showErrorMessage="1" sqref="E324">
      <formula1>"Number (years),Rate (per year),Duration (years)"</formula1>
    </dataValidation>
    <dataValidation type="list" allowBlank="1" showInputMessage="1" showErrorMessage="1" sqref="E325">
      <formula1>"Number (years),Rate (per year),Duration (years)"</formula1>
    </dataValidation>
    <dataValidation type="list" allowBlank="1" showInputMessage="1" showErrorMessage="1" sqref="B331">
      <formula1>"N.A."</formula1>
    </dataValidation>
    <dataValidation type="list" allowBlank="1" showInputMessage="1" showErrorMessage="1" sqref="C331">
      <formula1>"Y,N"</formula1>
    </dataValidation>
    <dataValidation type="list" allowBlank="1" showInputMessage="1" showErrorMessage="1" sqref="D331">
      <formula1>"Y,N"</formula1>
    </dataValidation>
    <dataValidation type="list" allowBlank="1" showInputMessage="1" showErrorMessage="1" sqref="E331">
      <formula1>"Y,N"</formula1>
    </dataValidation>
    <dataValidation type="list" allowBlank="1" showInputMessage="1" showErrorMessage="1" sqref="F331">
      <formula1>"Y,N"</formula1>
    </dataValidation>
    <dataValidation type="list" allowBlank="1" showInputMessage="1" showErrorMessage="1" sqref="G331">
      <formula1>"Y,N"</formula1>
    </dataValidation>
    <dataValidation type="list" allowBlank="1" showInputMessage="1" showErrorMessage="1" sqref="H331">
      <formula1>"Y,N"</formula1>
    </dataValidation>
    <dataValidation type="list" allowBlank="1" showInputMessage="1" showErrorMessage="1" sqref="I331">
      <formula1>"Y,N"</formula1>
    </dataValidation>
    <dataValidation type="list" allowBlank="1" showInputMessage="1" showErrorMessage="1" sqref="J331">
      <formula1>"Y,N"</formula1>
    </dataValidation>
    <dataValidation type="list" allowBlank="1" showInputMessage="1" showErrorMessage="1" sqref="K331">
      <formula1>"Y,N"</formula1>
    </dataValidation>
    <dataValidation type="list" allowBlank="1" showInputMessage="1" showErrorMessage="1" sqref="L331">
      <formula1>"Y,N"</formula1>
    </dataValidation>
    <dataValidation type="list" allowBlank="1" showInputMessage="1" showErrorMessage="1" sqref="M331">
      <formula1>"Y,N"</formula1>
    </dataValidation>
    <dataValidation type="list" allowBlank="1" showInputMessage="1" showErrorMessage="1" sqref="B332">
      <formula1>"Y,N"</formula1>
    </dataValidation>
    <dataValidation type="list" allowBlank="1" showInputMessage="1" showErrorMessage="1" sqref="C332">
      <formula1>"N.A."</formula1>
    </dataValidation>
    <dataValidation type="list" allowBlank="1" showInputMessage="1" showErrorMessage="1" sqref="D332">
      <formula1>"Y,N"</formula1>
    </dataValidation>
    <dataValidation type="list" allowBlank="1" showInputMessage="1" showErrorMessage="1" sqref="E332">
      <formula1>"Y,N"</formula1>
    </dataValidation>
    <dataValidation type="list" allowBlank="1" showInputMessage="1" showErrorMessage="1" sqref="F332">
      <formula1>"Y,N"</formula1>
    </dataValidation>
    <dataValidation type="list" allowBlank="1" showInputMessage="1" showErrorMessage="1" sqref="G332">
      <formula1>"Y,N"</formula1>
    </dataValidation>
    <dataValidation type="list" allowBlank="1" showInputMessage="1" showErrorMessage="1" sqref="H332">
      <formula1>"Y,N"</formula1>
    </dataValidation>
    <dataValidation type="list" allowBlank="1" showInputMessage="1" showErrorMessage="1" sqref="I332">
      <formula1>"Y,N"</formula1>
    </dataValidation>
    <dataValidation type="list" allowBlank="1" showInputMessage="1" showErrorMessage="1" sqref="J332">
      <formula1>"Y,N"</formula1>
    </dataValidation>
    <dataValidation type="list" allowBlank="1" showInputMessage="1" showErrorMessage="1" sqref="K332">
      <formula1>"Y,N"</formula1>
    </dataValidation>
    <dataValidation type="list" allowBlank="1" showInputMessage="1" showErrorMessage="1" sqref="L332">
      <formula1>"Y,N"</formula1>
    </dataValidation>
    <dataValidation type="list" allowBlank="1" showInputMessage="1" showErrorMessage="1" sqref="M332">
      <formula1>"Y,N"</formula1>
    </dataValidation>
    <dataValidation type="list" allowBlank="1" showInputMessage="1" showErrorMessage="1" sqref="B333">
      <formula1>"Y,N"</formula1>
    </dataValidation>
    <dataValidation type="list" allowBlank="1" showInputMessage="1" showErrorMessage="1" sqref="C333">
      <formula1>"Y,N"</formula1>
    </dataValidation>
    <dataValidation type="list" allowBlank="1" showInputMessage="1" showErrorMessage="1" sqref="D333">
      <formula1>"N.A."</formula1>
    </dataValidation>
    <dataValidation type="list" allowBlank="1" showInputMessage="1" showErrorMessage="1" sqref="E333">
      <formula1>"Y,N"</formula1>
    </dataValidation>
    <dataValidation type="list" allowBlank="1" showInputMessage="1" showErrorMessage="1" sqref="F333">
      <formula1>"Y,N"</formula1>
    </dataValidation>
    <dataValidation type="list" allowBlank="1" showInputMessage="1" showErrorMessage="1" sqref="G333">
      <formula1>"Y,N"</formula1>
    </dataValidation>
    <dataValidation type="list" allowBlank="1" showInputMessage="1" showErrorMessage="1" sqref="H333">
      <formula1>"Y,N"</formula1>
    </dataValidation>
    <dataValidation type="list" allowBlank="1" showInputMessage="1" showErrorMessage="1" sqref="I333">
      <formula1>"Y,N"</formula1>
    </dataValidation>
    <dataValidation type="list" allowBlank="1" showInputMessage="1" showErrorMessage="1" sqref="J333">
      <formula1>"Y,N"</formula1>
    </dataValidation>
    <dataValidation type="list" allowBlank="1" showInputMessage="1" showErrorMessage="1" sqref="K333">
      <formula1>"Y,N"</formula1>
    </dataValidation>
    <dataValidation type="list" allowBlank="1" showInputMessage="1" showErrorMessage="1" sqref="L333">
      <formula1>"Y,N"</formula1>
    </dataValidation>
    <dataValidation type="list" allowBlank="1" showInputMessage="1" showErrorMessage="1" sqref="M333">
      <formula1>"Y,N"</formula1>
    </dataValidation>
    <dataValidation type="list" allowBlank="1" showInputMessage="1" showErrorMessage="1" sqref="B334">
      <formula1>"Y,N"</formula1>
    </dataValidation>
    <dataValidation type="list" allowBlank="1" showInputMessage="1" showErrorMessage="1" sqref="C334">
      <formula1>"Y,N"</formula1>
    </dataValidation>
    <dataValidation type="list" allowBlank="1" showInputMessage="1" showErrorMessage="1" sqref="D334">
      <formula1>"Y,N"</formula1>
    </dataValidation>
    <dataValidation type="list" allowBlank="1" showInputMessage="1" showErrorMessage="1" sqref="E334">
      <formula1>"N.A."</formula1>
    </dataValidation>
    <dataValidation type="list" allowBlank="1" showInputMessage="1" showErrorMessage="1" sqref="F334">
      <formula1>"Y,N"</formula1>
    </dataValidation>
    <dataValidation type="list" allowBlank="1" showInputMessage="1" showErrorMessage="1" sqref="G334">
      <formula1>"Y,N"</formula1>
    </dataValidation>
    <dataValidation type="list" allowBlank="1" showInputMessage="1" showErrorMessage="1" sqref="H334">
      <formula1>"Y,N"</formula1>
    </dataValidation>
    <dataValidation type="list" allowBlank="1" showInputMessage="1" showErrorMessage="1" sqref="I334">
      <formula1>"Y,N"</formula1>
    </dataValidation>
    <dataValidation type="list" allowBlank="1" showInputMessage="1" showErrorMessage="1" sqref="J334">
      <formula1>"Y,N"</formula1>
    </dataValidation>
    <dataValidation type="list" allowBlank="1" showInputMessage="1" showErrorMessage="1" sqref="K334">
      <formula1>"Y,N"</formula1>
    </dataValidation>
    <dataValidation type="list" allowBlank="1" showInputMessage="1" showErrorMessage="1" sqref="L334">
      <formula1>"Y,N"</formula1>
    </dataValidation>
    <dataValidation type="list" allowBlank="1" showInputMessage="1" showErrorMessage="1" sqref="M334">
      <formula1>"Y,N"</formula1>
    </dataValidation>
    <dataValidation type="list" allowBlank="1" showInputMessage="1" showErrorMessage="1" sqref="B335">
      <formula1>"Y,N"</formula1>
    </dataValidation>
    <dataValidation type="list" allowBlank="1" showInputMessage="1" showErrorMessage="1" sqref="C335">
      <formula1>"Y,N"</formula1>
    </dataValidation>
    <dataValidation type="list" allowBlank="1" showInputMessage="1" showErrorMessage="1" sqref="D335">
      <formula1>"Y,N"</formula1>
    </dataValidation>
    <dataValidation type="list" allowBlank="1" showInputMessage="1" showErrorMessage="1" sqref="E335">
      <formula1>"Y,N"</formula1>
    </dataValidation>
    <dataValidation type="list" allowBlank="1" showInputMessage="1" showErrorMessage="1" sqref="F335">
      <formula1>"N.A."</formula1>
    </dataValidation>
    <dataValidation type="list" allowBlank="1" showInputMessage="1" showErrorMessage="1" sqref="G335">
      <formula1>"Y,N"</formula1>
    </dataValidation>
    <dataValidation type="list" allowBlank="1" showInputMessage="1" showErrorMessage="1" sqref="H335">
      <formula1>"Y,N"</formula1>
    </dataValidation>
    <dataValidation type="list" allowBlank="1" showInputMessage="1" showErrorMessage="1" sqref="I335">
      <formula1>"Y,N"</formula1>
    </dataValidation>
    <dataValidation type="list" allowBlank="1" showInputMessage="1" showErrorMessage="1" sqref="J335">
      <formula1>"Y,N"</formula1>
    </dataValidation>
    <dataValidation type="list" allowBlank="1" showInputMessage="1" showErrorMessage="1" sqref="K335">
      <formula1>"Y,N"</formula1>
    </dataValidation>
    <dataValidation type="list" allowBlank="1" showInputMessage="1" showErrorMessage="1" sqref="L335">
      <formula1>"Y,N"</formula1>
    </dataValidation>
    <dataValidation type="list" allowBlank="1" showInputMessage="1" showErrorMessage="1" sqref="M335">
      <formula1>"Y,N"</formula1>
    </dataValidation>
    <dataValidation type="list" allowBlank="1" showInputMessage="1" showErrorMessage="1" sqref="B336">
      <formula1>"Y,N"</formula1>
    </dataValidation>
    <dataValidation type="list" allowBlank="1" showInputMessage="1" showErrorMessage="1" sqref="C336">
      <formula1>"Y,N"</formula1>
    </dataValidation>
    <dataValidation type="list" allowBlank="1" showInputMessage="1" showErrorMessage="1" sqref="D336">
      <formula1>"Y,N"</formula1>
    </dataValidation>
    <dataValidation type="list" allowBlank="1" showInputMessage="1" showErrorMessage="1" sqref="E336">
      <formula1>"Y,N"</formula1>
    </dataValidation>
    <dataValidation type="list" allowBlank="1" showInputMessage="1" showErrorMessage="1" sqref="F336">
      <formula1>"Y,N"</formula1>
    </dataValidation>
    <dataValidation type="list" allowBlank="1" showInputMessage="1" showErrorMessage="1" sqref="G336">
      <formula1>"N.A."</formula1>
    </dataValidation>
    <dataValidation type="list" allowBlank="1" showInputMessage="1" showErrorMessage="1" sqref="H336">
      <formula1>"Y,N"</formula1>
    </dataValidation>
    <dataValidation type="list" allowBlank="1" showInputMessage="1" showErrorMessage="1" sqref="I336">
      <formula1>"Y,N"</formula1>
    </dataValidation>
    <dataValidation type="list" allowBlank="1" showInputMessage="1" showErrorMessage="1" sqref="J336">
      <formula1>"Y,N"</formula1>
    </dataValidation>
    <dataValidation type="list" allowBlank="1" showInputMessage="1" showErrorMessage="1" sqref="K336">
      <formula1>"Y,N"</formula1>
    </dataValidation>
    <dataValidation type="list" allowBlank="1" showInputMessage="1" showErrorMessage="1" sqref="L336">
      <formula1>"Y,N"</formula1>
    </dataValidation>
    <dataValidation type="list" allowBlank="1" showInputMessage="1" showErrorMessage="1" sqref="M336">
      <formula1>"Y,N"</formula1>
    </dataValidation>
    <dataValidation type="list" allowBlank="1" showInputMessage="1" showErrorMessage="1" sqref="B337">
      <formula1>"Y,N"</formula1>
    </dataValidation>
    <dataValidation type="list" allowBlank="1" showInputMessage="1" showErrorMessage="1" sqref="C337">
      <formula1>"Y,N"</formula1>
    </dataValidation>
    <dataValidation type="list" allowBlank="1" showInputMessage="1" showErrorMessage="1" sqref="D337">
      <formula1>"Y,N"</formula1>
    </dataValidation>
    <dataValidation type="list" allowBlank="1" showInputMessage="1" showErrorMessage="1" sqref="E337">
      <formula1>"Y,N"</formula1>
    </dataValidation>
    <dataValidation type="list" allowBlank="1" showInputMessage="1" showErrorMessage="1" sqref="F337">
      <formula1>"Y,N"</formula1>
    </dataValidation>
    <dataValidation type="list" allowBlank="1" showInputMessage="1" showErrorMessage="1" sqref="G337">
      <formula1>"Y,N"</formula1>
    </dataValidation>
    <dataValidation type="list" allowBlank="1" showInputMessage="1" showErrorMessage="1" sqref="H337">
      <formula1>"N.A."</formula1>
    </dataValidation>
    <dataValidation type="list" allowBlank="1" showInputMessage="1" showErrorMessage="1" sqref="I337">
      <formula1>"Y,N"</formula1>
    </dataValidation>
    <dataValidation type="list" allowBlank="1" showInputMessage="1" showErrorMessage="1" sqref="J337">
      <formula1>"Y,N"</formula1>
    </dataValidation>
    <dataValidation type="list" allowBlank="1" showInputMessage="1" showErrorMessage="1" sqref="K337">
      <formula1>"Y,N"</formula1>
    </dataValidation>
    <dataValidation type="list" allowBlank="1" showInputMessage="1" showErrorMessage="1" sqref="L337">
      <formula1>"Y,N"</formula1>
    </dataValidation>
    <dataValidation type="list" allowBlank="1" showInputMessage="1" showErrorMessage="1" sqref="M337">
      <formula1>"Y,N"</formula1>
    </dataValidation>
    <dataValidation type="list" allowBlank="1" showInputMessage="1" showErrorMessage="1" sqref="B338">
      <formula1>"Y,N"</formula1>
    </dataValidation>
    <dataValidation type="list" allowBlank="1" showInputMessage="1" showErrorMessage="1" sqref="C338">
      <formula1>"Y,N"</formula1>
    </dataValidation>
    <dataValidation type="list" allowBlank="1" showInputMessage="1" showErrorMessage="1" sqref="D338">
      <formula1>"Y,N"</formula1>
    </dataValidation>
    <dataValidation type="list" allowBlank="1" showInputMessage="1" showErrorMessage="1" sqref="E338">
      <formula1>"Y,N"</formula1>
    </dataValidation>
    <dataValidation type="list" allowBlank="1" showInputMessage="1" showErrorMessage="1" sqref="F338">
      <formula1>"Y,N"</formula1>
    </dataValidation>
    <dataValidation type="list" allowBlank="1" showInputMessage="1" showErrorMessage="1" sqref="G338">
      <formula1>"Y,N"</formula1>
    </dataValidation>
    <dataValidation type="list" allowBlank="1" showInputMessage="1" showErrorMessage="1" sqref="H338">
      <formula1>"Y,N"</formula1>
    </dataValidation>
    <dataValidation type="list" allowBlank="1" showInputMessage="1" showErrorMessage="1" sqref="I338">
      <formula1>"N.A."</formula1>
    </dataValidation>
    <dataValidation type="list" allowBlank="1" showInputMessage="1" showErrorMessage="1" sqref="J338">
      <formula1>"Y,N"</formula1>
    </dataValidation>
    <dataValidation type="list" allowBlank="1" showInputMessage="1" showErrorMessage="1" sqref="K338">
      <formula1>"Y,N"</formula1>
    </dataValidation>
    <dataValidation type="list" allowBlank="1" showInputMessage="1" showErrorMessage="1" sqref="L338">
      <formula1>"Y,N"</formula1>
    </dataValidation>
    <dataValidation type="list" allowBlank="1" showInputMessage="1" showErrorMessage="1" sqref="M338">
      <formula1>"Y,N"</formula1>
    </dataValidation>
    <dataValidation type="list" allowBlank="1" showInputMessage="1" showErrorMessage="1" sqref="B339">
      <formula1>"Y,N"</formula1>
    </dataValidation>
    <dataValidation type="list" allowBlank="1" showInputMessage="1" showErrorMessage="1" sqref="C339">
      <formula1>"Y,N"</formula1>
    </dataValidation>
    <dataValidation type="list" allowBlank="1" showInputMessage="1" showErrorMessage="1" sqref="D339">
      <formula1>"Y,N"</formula1>
    </dataValidation>
    <dataValidation type="list" allowBlank="1" showInputMessage="1" showErrorMessage="1" sqref="E339">
      <formula1>"Y,N"</formula1>
    </dataValidation>
    <dataValidation type="list" allowBlank="1" showInputMessage="1" showErrorMessage="1" sqref="F339">
      <formula1>"Y,N"</formula1>
    </dataValidation>
    <dataValidation type="list" allowBlank="1" showInputMessage="1" showErrorMessage="1" sqref="G339">
      <formula1>"Y,N"</formula1>
    </dataValidation>
    <dataValidation type="list" allowBlank="1" showInputMessage="1" showErrorMessage="1" sqref="H339">
      <formula1>"Y,N"</formula1>
    </dataValidation>
    <dataValidation type="list" allowBlank="1" showInputMessage="1" showErrorMessage="1" sqref="I339">
      <formula1>"Y,N"</formula1>
    </dataValidation>
    <dataValidation type="list" allowBlank="1" showInputMessage="1" showErrorMessage="1" sqref="J339">
      <formula1>"N.A."</formula1>
    </dataValidation>
    <dataValidation type="list" allowBlank="1" showInputMessage="1" showErrorMessage="1" sqref="K339">
      <formula1>"Y,N"</formula1>
    </dataValidation>
    <dataValidation type="list" allowBlank="1" showInputMessage="1" showErrorMessage="1" sqref="L339">
      <formula1>"Y,N"</formula1>
    </dataValidation>
    <dataValidation type="list" allowBlank="1" showInputMessage="1" showErrorMessage="1" sqref="M339">
      <formula1>"Y,N"</formula1>
    </dataValidation>
    <dataValidation type="list" allowBlank="1" showInputMessage="1" showErrorMessage="1" sqref="B340">
      <formula1>"Y,N"</formula1>
    </dataValidation>
    <dataValidation type="list" allowBlank="1" showInputMessage="1" showErrorMessage="1" sqref="C340">
      <formula1>"Y,N"</formula1>
    </dataValidation>
    <dataValidation type="list" allowBlank="1" showInputMessage="1" showErrorMessage="1" sqref="D340">
      <formula1>"Y,N"</formula1>
    </dataValidation>
    <dataValidation type="list" allowBlank="1" showInputMessage="1" showErrorMessage="1" sqref="E340">
      <formula1>"Y,N"</formula1>
    </dataValidation>
    <dataValidation type="list" allowBlank="1" showInputMessage="1" showErrorMessage="1" sqref="F340">
      <formula1>"Y,N"</formula1>
    </dataValidation>
    <dataValidation type="list" allowBlank="1" showInputMessage="1" showErrorMessage="1" sqref="G340">
      <formula1>"Y,N"</formula1>
    </dataValidation>
    <dataValidation type="list" allowBlank="1" showInputMessage="1" showErrorMessage="1" sqref="H340">
      <formula1>"Y,N"</formula1>
    </dataValidation>
    <dataValidation type="list" allowBlank="1" showInputMessage="1" showErrorMessage="1" sqref="I340">
      <formula1>"Y,N"</formula1>
    </dataValidation>
    <dataValidation type="list" allowBlank="1" showInputMessage="1" showErrorMessage="1" sqref="J340">
      <formula1>"Y,N"</formula1>
    </dataValidation>
    <dataValidation type="list" allowBlank="1" showInputMessage="1" showErrorMessage="1" sqref="K340">
      <formula1>"N.A."</formula1>
    </dataValidation>
    <dataValidation type="list" allowBlank="1" showInputMessage="1" showErrorMessage="1" sqref="L340">
      <formula1>"Y,N"</formula1>
    </dataValidation>
    <dataValidation type="list" allowBlank="1" showInputMessage="1" showErrorMessage="1" sqref="M340">
      <formula1>"Y,N"</formula1>
    </dataValidation>
    <dataValidation type="list" allowBlank="1" showInputMessage="1" showErrorMessage="1" sqref="B341">
      <formula1>"Y,N"</formula1>
    </dataValidation>
    <dataValidation type="list" allowBlank="1" showInputMessage="1" showErrorMessage="1" sqref="C341">
      <formula1>"Y,N"</formula1>
    </dataValidation>
    <dataValidation type="list" allowBlank="1" showInputMessage="1" showErrorMessage="1" sqref="D341">
      <formula1>"Y,N"</formula1>
    </dataValidation>
    <dataValidation type="list" allowBlank="1" showInputMessage="1" showErrorMessage="1" sqref="E341">
      <formula1>"Y,N"</formula1>
    </dataValidation>
    <dataValidation type="list" allowBlank="1" showInputMessage="1" showErrorMessage="1" sqref="F341">
      <formula1>"Y,N"</formula1>
    </dataValidation>
    <dataValidation type="list" allowBlank="1" showInputMessage="1" showErrorMessage="1" sqref="G341">
      <formula1>"Y,N"</formula1>
    </dataValidation>
    <dataValidation type="list" allowBlank="1" showInputMessage="1" showErrorMessage="1" sqref="H341">
      <formula1>"Y,N"</formula1>
    </dataValidation>
    <dataValidation type="list" allowBlank="1" showInputMessage="1" showErrorMessage="1" sqref="I341">
      <formula1>"Y,N"</formula1>
    </dataValidation>
    <dataValidation type="list" allowBlank="1" showInputMessage="1" showErrorMessage="1" sqref="J341">
      <formula1>"Y,N"</formula1>
    </dataValidation>
    <dataValidation type="list" allowBlank="1" showInputMessage="1" showErrorMessage="1" sqref="K341">
      <formula1>"Y,N"</formula1>
    </dataValidation>
    <dataValidation type="list" allowBlank="1" showInputMessage="1" showErrorMessage="1" sqref="L341">
      <formula1>"N.A."</formula1>
    </dataValidation>
    <dataValidation type="list" allowBlank="1" showInputMessage="1" showErrorMessage="1" sqref="M341">
      <formula1>"Y,N"</formula1>
    </dataValidation>
    <dataValidation type="list" allowBlank="1" showInputMessage="1" showErrorMessage="1" sqref="B342">
      <formula1>"Y,N"</formula1>
    </dataValidation>
    <dataValidation type="list" allowBlank="1" showInputMessage="1" showErrorMessage="1" sqref="C342">
      <formula1>"Y,N"</formula1>
    </dataValidation>
    <dataValidation type="list" allowBlank="1" showInputMessage="1" showErrorMessage="1" sqref="D342">
      <formula1>"Y,N"</formula1>
    </dataValidation>
    <dataValidation type="list" allowBlank="1" showInputMessage="1" showErrorMessage="1" sqref="E342">
      <formula1>"Y,N"</formula1>
    </dataValidation>
    <dataValidation type="list" allowBlank="1" showInputMessage="1" showErrorMessage="1" sqref="F342">
      <formula1>"Y,N"</formula1>
    </dataValidation>
    <dataValidation type="list" allowBlank="1" showInputMessage="1" showErrorMessage="1" sqref="G342">
      <formula1>"Y,N"</formula1>
    </dataValidation>
    <dataValidation type="list" allowBlank="1" showInputMessage="1" showErrorMessage="1" sqref="H342">
      <formula1>"Y,N"</formula1>
    </dataValidation>
    <dataValidation type="list" allowBlank="1" showInputMessage="1" showErrorMessage="1" sqref="I342">
      <formula1>"Y,N"</formula1>
    </dataValidation>
    <dataValidation type="list" allowBlank="1" showInputMessage="1" showErrorMessage="1" sqref="J342">
      <formula1>"Y,N"</formula1>
    </dataValidation>
    <dataValidation type="list" allowBlank="1" showInputMessage="1" showErrorMessage="1" sqref="K342">
      <formula1>"Y,N"</formula1>
    </dataValidation>
    <dataValidation type="list" allowBlank="1" showInputMessage="1" showErrorMessage="1" sqref="L342">
      <formula1>"Y,N"</formula1>
    </dataValidation>
    <dataValidation type="list" allowBlank="1" showInputMessage="1" showErrorMessage="1" sqref="M342">
      <formula1>"N.A."</formula1>
    </dataValidation>
    <dataValidation type="list" allowBlank="1" showInputMessage="1" showErrorMessage="1" sqref="E345">
      <formula1>"Number (years),Rate (per year),Duration (years)"</formula1>
    </dataValidation>
    <dataValidation type="list" allowBlank="1" showInputMessage="1" showErrorMessage="1" sqref="E346">
      <formula1>"Number (years),Rate (per year),Duration (years)"</formula1>
    </dataValidation>
    <dataValidation type="list" allowBlank="1" showInputMessage="1" showErrorMessage="1" sqref="E347">
      <formula1>"Number (years),Rate (per year),Duration (years)"</formula1>
    </dataValidation>
    <dataValidation type="list" allowBlank="1" showInputMessage="1" showErrorMessage="1" sqref="E348">
      <formula1>"Number (years),Rate (per year),Duration (years)"</formula1>
    </dataValidation>
    <dataValidation type="list" allowBlank="1" showInputMessage="1" showErrorMessage="1" sqref="E349">
      <formula1>"Number (years),Rate (per year),Duration (years)"</formula1>
    </dataValidation>
    <dataValidation type="list" allowBlank="1" showInputMessage="1" showErrorMessage="1" sqref="E350">
      <formula1>"Number (years),Rate (per year),Duration (years)"</formula1>
    </dataValidation>
    <dataValidation type="list" allowBlank="1" showInputMessage="1" showErrorMessage="1" sqref="E351">
      <formula1>"Number (years),Rate (per year),Duration (years)"</formula1>
    </dataValidation>
    <dataValidation type="list" allowBlank="1" showInputMessage="1" showErrorMessage="1" sqref="E352">
      <formula1>"Number (years),Rate (per year),Duration (years)"</formula1>
    </dataValidation>
    <dataValidation type="list" allowBlank="1" showInputMessage="1" showErrorMessage="1" sqref="E353">
      <formula1>"Number (years),Rate (per year),Duration (years)"</formula1>
    </dataValidation>
    <dataValidation type="list" allowBlank="1" showInputMessage="1" showErrorMessage="1" sqref="E354">
      <formula1>"Number (years),Rate (per year),Duration (years)"</formula1>
    </dataValidation>
    <dataValidation type="list" allowBlank="1" showInputMessage="1" showErrorMessage="1" sqref="E355">
      <formula1>"Number (years),Rate (per year),Duration (years)"</formula1>
    </dataValidation>
    <dataValidation type="list" allowBlank="1" showInputMessage="1" showErrorMessage="1" sqref="E356">
      <formula1>"Number (years),Rate (per year),Duration (years)"</formula1>
    </dataValidation>
    <dataValidation type="list" allowBlank="1" showInputMessage="1" showErrorMessage="1" sqref="E357">
      <formula1>"Number (years),Rate (per year),Duration (years)"</formula1>
    </dataValidation>
    <dataValidation type="list" allowBlank="1" showInputMessage="1" showErrorMessage="1" sqref="E358">
      <formula1>"Number (years),Rate (per year),Duration (years)"</formula1>
    </dataValidation>
    <dataValidation type="list" allowBlank="1" showInputMessage="1" showErrorMessage="1" sqref="E359">
      <formula1>"Number (years),Rate (per year),Duration (years)"</formula1>
    </dataValidation>
    <dataValidation type="list" allowBlank="1" showInputMessage="1" showErrorMessage="1" sqref="E360">
      <formula1>"Number (years),Rate (per year),Duration (years)"</formula1>
    </dataValidation>
    <dataValidation type="list" allowBlank="1" showInputMessage="1" showErrorMessage="1" sqref="E361">
      <formula1>"Number (years),Rate (per year),Duration (years)"</formula1>
    </dataValidation>
    <dataValidation type="list" allowBlank="1" showInputMessage="1" showErrorMessage="1" sqref="E362">
      <formula1>"Number (years),Rate (per year),Duration (years)"</formula1>
    </dataValidation>
    <dataValidation type="list" allowBlank="1" showInputMessage="1" showErrorMessage="1" sqref="E363">
      <formula1>"Number (years),Rate (per year),Duration (years)"</formula1>
    </dataValidation>
    <dataValidation type="list" allowBlank="1" showInputMessage="1" showErrorMessage="1" sqref="E364">
      <formula1>"Number (years),Rate (per year),Duration (years)"</formula1>
    </dataValidation>
    <dataValidation type="list" allowBlank="1" showInputMessage="1" showErrorMessage="1" sqref="E365">
      <formula1>"Number (years),Rate (per year),Duration (years)"</formula1>
    </dataValidation>
    <dataValidation type="list" allowBlank="1" showInputMessage="1" showErrorMessage="1" sqref="E366">
      <formula1>"Number (years),Rate (per year),Duration (years)"</formula1>
    </dataValidation>
    <dataValidation type="list" allowBlank="1" showInputMessage="1" showErrorMessage="1" sqref="E367">
      <formula1>"Number (years),Rate (per year),Duration (years)"</formula1>
    </dataValidation>
    <dataValidation type="list" allowBlank="1" showInputMessage="1" showErrorMessage="1" sqref="E368">
      <formula1>"Number (years),Rate (per year),Duration (years)"</formula1>
    </dataValidation>
    <dataValidation type="list" allowBlank="1" showInputMessage="1" showErrorMessage="1" sqref="E369">
      <formula1>"Number (years),Rate (per year),Duration (years)"</formula1>
    </dataValidation>
    <dataValidation type="list" allowBlank="1" showInputMessage="1" showErrorMessage="1" sqref="E370">
      <formula1>"Number (years),Rate (per year),Duration (years)"</formula1>
    </dataValidation>
    <dataValidation type="list" allowBlank="1" showInputMessage="1" showErrorMessage="1" sqref="E371">
      <formula1>"Number (years),Rate (per year),Duration (years)"</formula1>
    </dataValidation>
    <dataValidation type="list" allowBlank="1" showInputMessage="1" showErrorMessage="1" sqref="E372">
      <formula1>"Number (years),Rate (per year),Duration (years)"</formula1>
    </dataValidation>
    <dataValidation type="list" allowBlank="1" showInputMessage="1" showErrorMessage="1" sqref="E373">
      <formula1>"Number (years),Rate (per year),Duration (years)"</formula1>
    </dataValidation>
    <dataValidation type="list" allowBlank="1" showInputMessage="1" showErrorMessage="1" sqref="E374">
      <formula1>"Number (years),Rate (per year),Duration (years)"</formula1>
    </dataValidation>
    <dataValidation type="list" allowBlank="1" showInputMessage="1" showErrorMessage="1" sqref="E375">
      <formula1>"Number (years),Rate (per year),Duration (years)"</formula1>
    </dataValidation>
    <dataValidation type="list" allowBlank="1" showInputMessage="1" showErrorMessage="1" sqref="E376">
      <formula1>"Number (years),Rate (per year),Duration (years)"</formula1>
    </dataValidation>
    <dataValidation type="list" allowBlank="1" showInputMessage="1" showErrorMessage="1" sqref="E377">
      <formula1>"Number (years),Rate (per year),Duration (years)"</formula1>
    </dataValidation>
    <dataValidation type="list" allowBlank="1" showInputMessage="1" showErrorMessage="1" sqref="E378">
      <formula1>"Number (years),Rate (per year),Duration (years)"</formula1>
    </dataValidation>
    <dataValidation type="list" allowBlank="1" showInputMessage="1" showErrorMessage="1" sqref="E379">
      <formula1>"Number (years),Rate (per year),Duration (years)"</formula1>
    </dataValidation>
    <dataValidation type="list" allowBlank="1" showInputMessage="1" showErrorMessage="1" sqref="E380">
      <formula1>"Number (years),Rate (per year),Duration (years)"</formula1>
    </dataValidation>
    <dataValidation type="list" allowBlank="1" showInputMessage="1" showErrorMessage="1" sqref="E381">
      <formula1>"Number (years),Rate (per year),Duration (years)"</formula1>
    </dataValidation>
    <dataValidation type="list" allowBlank="1" showInputMessage="1" showErrorMessage="1" sqref="E382">
      <formula1>"Number (years),Rate (per year),Duration (years)"</formula1>
    </dataValidation>
    <dataValidation type="list" allowBlank="1" showInputMessage="1" showErrorMessage="1" sqref="E383">
      <formula1>"Number (years),Rate (per year),Duration (years)"</formula1>
    </dataValidation>
    <dataValidation type="list" allowBlank="1" showInputMessage="1" showErrorMessage="1" sqref="E384">
      <formula1>"Number (years),Rate (per year),Duration (years)"</formula1>
    </dataValidation>
    <dataValidation type="list" allowBlank="1" showInputMessage="1" showErrorMessage="1" sqref="E385">
      <formula1>"Number (years),Rate (per year),Duration (years)"</formula1>
    </dataValidation>
    <dataValidation type="list" allowBlank="1" showInputMessage="1" showErrorMessage="1" sqref="E386">
      <formula1>"Number (years),Rate (per year),Duration (years)"</formula1>
    </dataValidation>
    <dataValidation type="list" allowBlank="1" showInputMessage="1" showErrorMessage="1" sqref="E387">
      <formula1>"Number (years),Rate (per year),Duration (years)"</formula1>
    </dataValidation>
    <dataValidation type="list" allowBlank="1" showInputMessage="1" showErrorMessage="1" sqref="E388">
      <formula1>"Number (years),Rate (per year),Duration (years)"</formula1>
    </dataValidation>
    <dataValidation type="list" allowBlank="1" showInputMessage="1" showErrorMessage="1" sqref="E389">
      <formula1>"Number (years),Rate (per year),Duration (years)"</formula1>
    </dataValidation>
    <dataValidation type="list" allowBlank="1" showInputMessage="1" showErrorMessage="1" sqref="E390">
      <formula1>"Number (years),Rate (per year),Duration (years)"</formula1>
    </dataValidation>
    <dataValidation type="list" allowBlank="1" showInputMessage="1" showErrorMessage="1" sqref="E391">
      <formula1>"Number (years),Rate (per year),Duration (years)"</formula1>
    </dataValidation>
    <dataValidation type="list" allowBlank="1" showInputMessage="1" showErrorMessage="1" sqref="E392">
      <formula1>"Number (years),Rate (per year),Duration (years)"</formula1>
    </dataValidation>
    <dataValidation type="list" allowBlank="1" showInputMessage="1" showErrorMessage="1" sqref="E393">
      <formula1>"Number (years),Rate (per year),Duration (years)"</formula1>
    </dataValidation>
    <dataValidation type="list" allowBlank="1" showInputMessage="1" showErrorMessage="1" sqref="E394">
      <formula1>"Number (years),Rate (per year),Duration (years)"</formula1>
    </dataValidation>
    <dataValidation type="list" allowBlank="1" showInputMessage="1" showErrorMessage="1" sqref="E395">
      <formula1>"Number (years),Rate (per year),Duration (years)"</formula1>
    </dataValidation>
    <dataValidation type="list" allowBlank="1" showInputMessage="1" showErrorMessage="1" sqref="E396">
      <formula1>"Number (years),Rate (per year),Duration (years)"</formula1>
    </dataValidation>
    <dataValidation type="list" allowBlank="1" showInputMessage="1" showErrorMessage="1" sqref="E397">
      <formula1>"Number (years),Rate (per year),Duration (years)"</formula1>
    </dataValidation>
    <dataValidation type="list" allowBlank="1" showInputMessage="1" showErrorMessage="1" sqref="E398">
      <formula1>"Number (years),Rate (per year),Duration (years)"</formula1>
    </dataValidation>
    <dataValidation type="list" allowBlank="1" showInputMessage="1" showErrorMessage="1" sqref="E399">
      <formula1>"Number (years),Rate (per year),Duration (years)"</formula1>
    </dataValidation>
    <dataValidation type="list" allowBlank="1" showInputMessage="1" showErrorMessage="1" sqref="E400">
      <formula1>"Number (years),Rate (per year),Duration (years)"</formula1>
    </dataValidation>
    <dataValidation type="list" allowBlank="1" showInputMessage="1" showErrorMessage="1" sqref="E401">
      <formula1>"Number (years),Rate (per year),Duration (years)"</formula1>
    </dataValidation>
    <dataValidation type="list" allowBlank="1" showInputMessage="1" showErrorMessage="1" sqref="E402">
      <formula1>"Number (years),Rate (per year),Duration (years)"</formula1>
    </dataValidation>
    <dataValidation type="list" allowBlank="1" showInputMessage="1" showErrorMessage="1" sqref="E403">
      <formula1>"Number (years),Rate (per year),Duration (years)"</formula1>
    </dataValidation>
    <dataValidation type="list" allowBlank="1" showInputMessage="1" showErrorMessage="1" sqref="E404">
      <formula1>"Number (years),Rate (per year),Duration (years)"</formula1>
    </dataValidation>
    <dataValidation type="list" allowBlank="1" showInputMessage="1" showErrorMessage="1" sqref="E405">
      <formula1>"Number (years),Rate (per year),Duration (years)"</formula1>
    </dataValidation>
    <dataValidation type="list" allowBlank="1" showInputMessage="1" showErrorMessage="1" sqref="E406">
      <formula1>"Number (years),Rate (per year),Duration (years)"</formula1>
    </dataValidation>
    <dataValidation type="list" allowBlank="1" showInputMessage="1" showErrorMessage="1" sqref="E407">
      <formula1>"Number (years),Rate (per year),Duration (years)"</formula1>
    </dataValidation>
    <dataValidation type="list" allowBlank="1" showInputMessage="1" showErrorMessage="1" sqref="E408">
      <formula1>"Number (years),Rate (per year),Duration (years)"</formula1>
    </dataValidation>
    <dataValidation type="list" allowBlank="1" showInputMessage="1" showErrorMessage="1" sqref="E409">
      <formula1>"Number (years),Rate (per year),Duration (years)"</formula1>
    </dataValidation>
    <dataValidation type="list" allowBlank="1" showInputMessage="1" showErrorMessage="1" sqref="E410">
      <formula1>"Number (years),Rate (per year),Duration (years)"</formula1>
    </dataValidation>
    <dataValidation type="list" allowBlank="1" showInputMessage="1" showErrorMessage="1" sqref="E411">
      <formula1>"Number (years),Rate (per year),Duration (years)"</formula1>
    </dataValidation>
    <dataValidation type="list" allowBlank="1" showInputMessage="1" showErrorMessage="1" sqref="E412">
      <formula1>"Number (years),Rate (per year),Duration (years)"</formula1>
    </dataValidation>
    <dataValidation type="list" allowBlank="1" showInputMessage="1" showErrorMessage="1" sqref="E413">
      <formula1>"Number (years),Rate (per year),Duration (years)"</formula1>
    </dataValidation>
    <dataValidation type="list" allowBlank="1" showInputMessage="1" showErrorMessage="1" sqref="E414">
      <formula1>"Number (years),Rate (per year),Duration (years)"</formula1>
    </dataValidation>
    <dataValidation type="list" allowBlank="1" showInputMessage="1" showErrorMessage="1" sqref="E415">
      <formula1>"Number (years),Rate (per year),Duration (years)"</formula1>
    </dataValidation>
    <dataValidation type="list" allowBlank="1" showInputMessage="1" showErrorMessage="1" sqref="E416">
      <formula1>"Number (years),Rate (per year),Duration (years)"</formula1>
    </dataValidation>
    <dataValidation type="list" allowBlank="1" showInputMessage="1" showErrorMessage="1" sqref="E417">
      <formula1>"Number (years),Rate (per year),Duration (years)"</formula1>
    </dataValidation>
    <dataValidation type="list" allowBlank="1" showInputMessage="1" showErrorMessage="1" sqref="E418">
      <formula1>"Number (years),Rate (per year),Duration (years)"</formula1>
    </dataValidation>
    <dataValidation type="list" allowBlank="1" showInputMessage="1" showErrorMessage="1" sqref="E419">
      <formula1>"Number (years),Rate (per year),Duration (years)"</formula1>
    </dataValidation>
    <dataValidation type="list" allowBlank="1" showInputMessage="1" showErrorMessage="1" sqref="E420">
      <formula1>"Number (years),Rate (per year),Duration (years)"</formula1>
    </dataValidation>
    <dataValidation type="list" allowBlank="1" showInputMessage="1" showErrorMessage="1" sqref="E421">
      <formula1>"Number (years),Rate (per year),Duration (years)"</formula1>
    </dataValidation>
    <dataValidation type="list" allowBlank="1" showInputMessage="1" showErrorMessage="1" sqref="E422">
      <formula1>"Number (years),Rate (per year),Duration (years)"</formula1>
    </dataValidation>
    <dataValidation type="list" allowBlank="1" showInputMessage="1" showErrorMessage="1" sqref="E423">
      <formula1>"Number (years),Rate (per year),Duration (years)"</formula1>
    </dataValidation>
    <dataValidation type="list" allowBlank="1" showInputMessage="1" showErrorMessage="1" sqref="E424">
      <formula1>"Number (years),Rate (per year),Duration (years)"</formula1>
    </dataValidation>
    <dataValidation type="list" allowBlank="1" showInputMessage="1" showErrorMessage="1" sqref="E425">
      <formula1>"Number (years),Rate (per year),Duration (years)"</formula1>
    </dataValidation>
    <dataValidation type="list" allowBlank="1" showInputMessage="1" showErrorMessage="1" sqref="E426">
      <formula1>"Number (years),Rate (per year),Duration (years)"</formula1>
    </dataValidation>
    <dataValidation type="list" allowBlank="1" showInputMessage="1" showErrorMessage="1" sqref="E427">
      <formula1>"Number (years),Rate (per year),Duration (years)"</formula1>
    </dataValidation>
    <dataValidation type="list" allowBlank="1" showInputMessage="1" showErrorMessage="1" sqref="E428">
      <formula1>"Number (years),Rate (per year),Duration (years)"</formula1>
    </dataValidation>
    <dataValidation type="list" allowBlank="1" showInputMessage="1" showErrorMessage="1" sqref="E429">
      <formula1>"Number (years),Rate (per year),Duration (years)"</formula1>
    </dataValidation>
    <dataValidation type="list" allowBlank="1" showInputMessage="1" showErrorMessage="1" sqref="E430">
      <formula1>"Number (years),Rate (per year),Duration (years)"</formula1>
    </dataValidation>
    <dataValidation type="list" allowBlank="1" showInputMessage="1" showErrorMessage="1" sqref="E431">
      <formula1>"Number (years),Rate (per year),Duration (years)"</formula1>
    </dataValidation>
    <dataValidation type="list" allowBlank="1" showInputMessage="1" showErrorMessage="1" sqref="E432">
      <formula1>"Number (years),Rate (per year),Duration (years)"</formula1>
    </dataValidation>
    <dataValidation type="list" allowBlank="1" showInputMessage="1" showErrorMessage="1" sqref="E433">
      <formula1>"Number (years),Rate (per year),Duration (years)"</formula1>
    </dataValidation>
    <dataValidation type="list" allowBlank="1" showInputMessage="1" showErrorMessage="1" sqref="E434">
      <formula1>"Number (years),Rate (per year),Duration (years)"</formula1>
    </dataValidation>
    <dataValidation type="list" allowBlank="1" showInputMessage="1" showErrorMessage="1" sqref="E435">
      <formula1>"Number (years),Rate (per year),Duration (years)"</formula1>
    </dataValidation>
    <dataValidation type="list" allowBlank="1" showInputMessage="1" showErrorMessage="1" sqref="E436">
      <formula1>"Number (years),Rate (per year),Duration (years)"</formula1>
    </dataValidation>
    <dataValidation type="list" allowBlank="1" showInputMessage="1" showErrorMessage="1" sqref="E437">
      <formula1>"Number (years),Rate (per year),Duration (years)"</formula1>
    </dataValidation>
    <dataValidation type="list" allowBlank="1" showInputMessage="1" showErrorMessage="1" sqref="E438">
      <formula1>"Number (years),Rate (per year),Duration (years)"</formula1>
    </dataValidation>
    <dataValidation type="list" allowBlank="1" showInputMessage="1" showErrorMessage="1" sqref="E439">
      <formula1>"Number (years),Rate (per year),Duration (years)"</formula1>
    </dataValidation>
    <dataValidation type="list" allowBlank="1" showInputMessage="1" showErrorMessage="1" sqref="E440">
      <formula1>"Number (years),Rate (per year),Duration (years)"</formula1>
    </dataValidation>
    <dataValidation type="list" allowBlank="1" showInputMessage="1" showErrorMessage="1" sqref="E441">
      <formula1>"Number (years),Rate (per year),Duration (years)"</formula1>
    </dataValidation>
    <dataValidation type="list" allowBlank="1" showInputMessage="1" showErrorMessage="1" sqref="E442">
      <formula1>"Number (years),Rate (per year),Duration (years)"</formula1>
    </dataValidation>
    <dataValidation type="list" allowBlank="1" showInputMessage="1" showErrorMessage="1" sqref="E443">
      <formula1>"Number (years),Rate (per year),Duration (years)"</formula1>
    </dataValidation>
    <dataValidation type="list" allowBlank="1" showInputMessage="1" showErrorMessage="1" sqref="E444">
      <formula1>"Number (years),Rate (per year),Duration (years)"</formula1>
    </dataValidation>
    <dataValidation type="list" allowBlank="1" showInputMessage="1" showErrorMessage="1" sqref="E445">
      <formula1>"Number (years),Rate (per year),Duration (years)"</formula1>
    </dataValidation>
    <dataValidation type="list" allowBlank="1" showInputMessage="1" showErrorMessage="1" sqref="E446">
      <formula1>"Number (years),Rate (per year),Duration (years)"</formula1>
    </dataValidation>
    <dataValidation type="list" allowBlank="1" showInputMessage="1" showErrorMessage="1" sqref="E447">
      <formula1>"Number (years),Rate (per year),Duration (years)"</formula1>
    </dataValidation>
    <dataValidation type="list" allowBlank="1" showInputMessage="1" showErrorMessage="1" sqref="E448">
      <formula1>"Number (years),Rate (per year),Duration (years)"</formula1>
    </dataValidation>
    <dataValidation type="list" allowBlank="1" showInputMessage="1" showErrorMessage="1" sqref="E449">
      <formula1>"Number (years),Rate (per year),Duration (years)"</formula1>
    </dataValidation>
    <dataValidation type="list" allowBlank="1" showInputMessage="1" showErrorMessage="1" sqref="E450">
      <formula1>"Number (years),Rate (per year),Duration (years)"</formula1>
    </dataValidation>
    <dataValidation type="list" allowBlank="1" showInputMessage="1" showErrorMessage="1" sqref="E451">
      <formula1>"Number (years),Rate (per year),Duration (years)"</formula1>
    </dataValidation>
    <dataValidation type="list" allowBlank="1" showInputMessage="1" showErrorMessage="1" sqref="E452">
      <formula1>"Number (years),Rate (per year),Duration (years)"</formula1>
    </dataValidation>
    <dataValidation type="list" allowBlank="1" showInputMessage="1" showErrorMessage="1" sqref="E453">
      <formula1>"Number (years),Rate (per year),Duration (years)"</formula1>
    </dataValidation>
    <dataValidation type="list" allowBlank="1" showInputMessage="1" showErrorMessage="1" sqref="E454">
      <formula1>"Number (years),Rate (per year),Duration (years)"</formula1>
    </dataValidation>
    <dataValidation type="list" allowBlank="1" showInputMessage="1" showErrorMessage="1" sqref="E455">
      <formula1>"Number (years),Rate (per year),Duration (years)"</formula1>
    </dataValidation>
    <dataValidation type="list" allowBlank="1" showInputMessage="1" showErrorMessage="1" sqref="E456">
      <formula1>"Number (years),Rate (per year),Duration (years)"</formula1>
    </dataValidation>
    <dataValidation type="list" allowBlank="1" showInputMessage="1" showErrorMessage="1" sqref="E457">
      <formula1>"Number (years),Rate (per year),Duration (years)"</formula1>
    </dataValidation>
    <dataValidation type="list" allowBlank="1" showInputMessage="1" showErrorMessage="1" sqref="E458">
      <formula1>"Number (years),Rate (per year),Duration (years)"</formula1>
    </dataValidation>
    <dataValidation type="list" allowBlank="1" showInputMessage="1" showErrorMessage="1" sqref="E459">
      <formula1>"Number (years),Rate (per year),Duration (years)"</formula1>
    </dataValidation>
    <dataValidation type="list" allowBlank="1" showInputMessage="1" showErrorMessage="1" sqref="E460">
      <formula1>"Number (years),Rate (per year),Duration (years)"</formula1>
    </dataValidation>
    <dataValidation type="list" allowBlank="1" showInputMessage="1" showErrorMessage="1" sqref="E461">
      <formula1>"Number (years),Rate (per year),Duration (years)"</formula1>
    </dataValidation>
    <dataValidation type="list" allowBlank="1" showInputMessage="1" showErrorMessage="1" sqref="E462">
      <formula1>"Number (years),Rate (per year),Duration (years)"</formula1>
    </dataValidation>
    <dataValidation type="list" allowBlank="1" showInputMessage="1" showErrorMessage="1" sqref="E463">
      <formula1>"Number (years),Rate (per year),Duration (years)"</formula1>
    </dataValidation>
    <dataValidation type="list" allowBlank="1" showInputMessage="1" showErrorMessage="1" sqref="E464">
      <formula1>"Number (years),Rate (per year),Duration (years)"</formula1>
    </dataValidation>
    <dataValidation type="list" allowBlank="1" showInputMessage="1" showErrorMessage="1" sqref="E465">
      <formula1>"Number (years),Rate (per year),Duration (years)"</formula1>
    </dataValidation>
    <dataValidation type="list" allowBlank="1" showInputMessage="1" showErrorMessage="1" sqref="E466">
      <formula1>"Number (years),Rate (per year),Duration (years)"</formula1>
    </dataValidation>
    <dataValidation type="list" allowBlank="1" showInputMessage="1" showErrorMessage="1" sqref="E467">
      <formula1>"Number (years),Rate (per year),Duration (years)"</formula1>
    </dataValidation>
    <dataValidation type="list" allowBlank="1" showInputMessage="1" showErrorMessage="1" sqref="E468">
      <formula1>"Number (years),Rate (per year),Duration (years)"</formula1>
    </dataValidation>
    <dataValidation type="list" allowBlank="1" showInputMessage="1" showErrorMessage="1" sqref="E469">
      <formula1>"Number (years),Rate (per year),Duration (years)"</formula1>
    </dataValidation>
    <dataValidation type="list" allowBlank="1" showInputMessage="1" showErrorMessage="1" sqref="E470">
      <formula1>"Number (years),Rate (per year),Duration (years)"</formula1>
    </dataValidation>
    <dataValidation type="list" allowBlank="1" showInputMessage="1" showErrorMessage="1" sqref="E471">
      <formula1>"Number (years),Rate (per year),Duration (years)"</formula1>
    </dataValidation>
    <dataValidation type="list" allowBlank="1" showInputMessage="1" showErrorMessage="1" sqref="E472">
      <formula1>"Number (years),Rate (per year),Duration (years)"</formula1>
    </dataValidation>
    <dataValidation type="list" allowBlank="1" showInputMessage="1" showErrorMessage="1" sqref="E473">
      <formula1>"Number (years),Rate (per year),Duration (years)"</formula1>
    </dataValidation>
    <dataValidation type="list" allowBlank="1" showInputMessage="1" showErrorMessage="1" sqref="E474">
      <formula1>"Number (years),Rate (per year),Duration (years)"</formula1>
    </dataValidation>
    <dataValidation type="list" allowBlank="1" showInputMessage="1" showErrorMessage="1" sqref="E475">
      <formula1>"Number (years),Rate (per year),Duration (years)"</formula1>
    </dataValidation>
    <dataValidation type="list" allowBlank="1" showInputMessage="1" showErrorMessage="1" sqref="E476">
      <formula1>"Number (years),Rate (per year),Duration (years)"</formula1>
    </dataValidation>
    <dataValidation type="list" allowBlank="1" showInputMessage="1" showErrorMessage="1" sqref="E477">
      <formula1>"Number (years),Rate (per year),Duration (years)"</formula1>
    </dataValidation>
    <dataValidation type="list" allowBlank="1" showInputMessage="1" showErrorMessage="1" sqref="E478">
      <formula1>"Number (years),Rate (per year),Duration (years)"</formula1>
    </dataValidation>
    <dataValidation type="list" allowBlank="1" showInputMessage="1" showErrorMessage="1" sqref="E479">
      <formula1>"Number (years),Rate (per year),Duration (years)"</formula1>
    </dataValidation>
    <dataValidation type="list" allowBlank="1" showInputMessage="1" showErrorMessage="1" sqref="E480">
      <formula1>"Number (years),Rate (per year),Duration (years)"</formula1>
    </dataValidation>
    <dataValidation type="list" allowBlank="1" showInputMessage="1" showErrorMessage="1" sqref="E481">
      <formula1>"Number (years),Rate (per year),Duration (years)"</formula1>
    </dataValidation>
    <dataValidation type="list" allowBlank="1" showInputMessage="1" showErrorMessage="1" sqref="E482">
      <formula1>"Number (years),Rate (per year),Duration (years)"</formula1>
    </dataValidation>
    <dataValidation type="list" allowBlank="1" showInputMessage="1" showErrorMessage="1" sqref="E483">
      <formula1>"Number (years),Rate (per year),Duration (years)"</formula1>
    </dataValidation>
    <dataValidation type="list" allowBlank="1" showInputMessage="1" showErrorMessage="1" sqref="E484">
      <formula1>"Number (years),Rate (per year),Duration (years)"</formula1>
    </dataValidation>
    <dataValidation type="list" allowBlank="1" showInputMessage="1" showErrorMessage="1" sqref="E485">
      <formula1>"Number (years),Rate (per year),Duration (years)"</formula1>
    </dataValidation>
    <dataValidation type="list" allowBlank="1" showInputMessage="1" showErrorMessage="1" sqref="E486">
      <formula1>"Number (years),Rate (per year),Duration (years)"</formula1>
    </dataValidation>
    <dataValidation type="list" allowBlank="1" showInputMessage="1" showErrorMessage="1" sqref="E487">
      <formula1>"Number (years),Rate (per year),Duration (years)"</formula1>
    </dataValidation>
    <dataValidation type="list" allowBlank="1" showInputMessage="1" showErrorMessage="1" sqref="E488">
      <formula1>"Number (years),Rate (per year),Duration (years)"</formula1>
    </dataValidation>
  </dataValidations>
  <hyperlinks>
    <hyperlink ref="C5" location="Transfers!B20" display="N"/>
    <hyperlink ref="D5" location="Transfers!B21" display="N"/>
    <hyperlink ref="E5" location="Transfers!B22" display="N"/>
    <hyperlink ref="F5" location="Transfers!B23" display="N"/>
    <hyperlink ref="G5" location="Transfers!B24" display="N"/>
    <hyperlink ref="H5" location="Transfers!B25" display="N"/>
    <hyperlink ref="I5" location="Transfers!B26" display="N"/>
    <hyperlink ref="J5" location="Transfers!B27" display="N"/>
    <hyperlink ref="K5" location="Transfers!B28" display="N"/>
    <hyperlink ref="L5" location="Transfers!B29" display="N"/>
    <hyperlink ref="M5" location="Transfers!B30" display="N"/>
    <hyperlink ref="B6" location="Transfers!B31" display="N"/>
    <hyperlink ref="D6" location="Transfers!B33" display="N"/>
    <hyperlink ref="E6" location="Transfers!B34" display="N"/>
    <hyperlink ref="F6" location="Transfers!B35" display="N"/>
    <hyperlink ref="G6" location="Transfers!B36" display="N"/>
    <hyperlink ref="H6" location="Transfers!B37" display="N"/>
    <hyperlink ref="I6" location="Transfers!B38" display="N"/>
    <hyperlink ref="J6" location="Transfers!B39" display="N"/>
    <hyperlink ref="K6" location="Transfers!B40" display="N"/>
    <hyperlink ref="L6" location="Transfers!B41" display="N"/>
    <hyperlink ref="M6" location="Transfers!B42" display="N"/>
    <hyperlink ref="B7" location="Transfers!B43" display="N"/>
    <hyperlink ref="C7" location="Transfers!B44" display="N"/>
    <hyperlink ref="E7" location="Transfers!B46" display="N"/>
    <hyperlink ref="F7" location="Transfers!B47" display="Y"/>
    <hyperlink ref="G7" location="Transfers!B48" display="N"/>
    <hyperlink ref="H7" location="Transfers!B49" display="N"/>
    <hyperlink ref="I7" location="Transfers!B50" display="N"/>
    <hyperlink ref="J7" location="Transfers!B51" display="N"/>
    <hyperlink ref="K7" location="Transfers!B52" display="N"/>
    <hyperlink ref="L7" location="Transfers!B53" display="N"/>
    <hyperlink ref="M7" location="Transfers!B54" display="N"/>
    <hyperlink ref="B8" location="Transfers!B55" display="N"/>
    <hyperlink ref="C8" location="Transfers!B56" display="N"/>
    <hyperlink ref="D8" location="Transfers!B57" display="N"/>
    <hyperlink ref="F8" location="Transfers!B59" display="N"/>
    <hyperlink ref="G8" location="Transfers!B60" display="Y"/>
    <hyperlink ref="H8" location="Transfers!B61" display="N"/>
    <hyperlink ref="I8" location="Transfers!B62" display="N"/>
    <hyperlink ref="J8" location="Transfers!B63" display="N"/>
    <hyperlink ref="K8" location="Transfers!B64" display="N"/>
    <hyperlink ref="L8" location="Transfers!B65" display="N"/>
    <hyperlink ref="M8" location="Transfers!B66" display="N"/>
    <hyperlink ref="B9" location="Transfers!B67" display="N"/>
    <hyperlink ref="C9" location="Transfers!B68" display="N"/>
    <hyperlink ref="D9" location="Transfers!B69" display="N"/>
    <hyperlink ref="E9" location="Transfers!B70" display="N"/>
    <hyperlink ref="G9" location="Transfers!B72" display="N"/>
    <hyperlink ref="H9" location="Transfers!B73" display="Y"/>
    <hyperlink ref="I9" location="Transfers!B74" display="N"/>
    <hyperlink ref="J9" location="Transfers!B75" display="N"/>
    <hyperlink ref="K9" location="Transfers!B76" display="N"/>
    <hyperlink ref="L9" location="Transfers!B77" display="N"/>
    <hyperlink ref="M9" location="Transfers!B78" display="N"/>
    <hyperlink ref="B10" location="Transfers!B79" display="N"/>
    <hyperlink ref="C10" location="Transfers!B80" display="N"/>
    <hyperlink ref="D10" location="Transfers!B81" display="N"/>
    <hyperlink ref="E10" location="Transfers!B82" display="N"/>
    <hyperlink ref="F10" location="Transfers!B83" display="N"/>
    <hyperlink ref="H10" location="Transfers!B85" display="N"/>
    <hyperlink ref="I10" location="Transfers!B86" display="Y"/>
    <hyperlink ref="J10" location="Transfers!B87" display="N"/>
    <hyperlink ref="K10" location="Transfers!B88" display="N"/>
    <hyperlink ref="L10" location="Transfers!B89" display="N"/>
    <hyperlink ref="M10" location="Transfers!B90" display="N"/>
    <hyperlink ref="B11" location="Transfers!B91" display="N"/>
    <hyperlink ref="C11" location="Transfers!B92" display="N"/>
    <hyperlink ref="D11" location="Transfers!B93" display="N"/>
    <hyperlink ref="E11" location="Transfers!B94" display="N"/>
    <hyperlink ref="F11" location="Transfers!B95" display="N"/>
    <hyperlink ref="G11" location="Transfers!B96" display="N"/>
    <hyperlink ref="I11" location="Transfers!B98" display="N"/>
    <hyperlink ref="J11" location="Transfers!B99" display="Y"/>
    <hyperlink ref="K11" location="Transfers!B100" display="N"/>
    <hyperlink ref="L11" location="Transfers!B101" display="N"/>
    <hyperlink ref="M11" location="Transfers!B102" display="N"/>
    <hyperlink ref="B12" location="Transfers!B103" display="N"/>
    <hyperlink ref="C12" location="Transfers!B104" display="N"/>
    <hyperlink ref="D12" location="Transfers!B105" display="N"/>
    <hyperlink ref="E12" location="Transfers!B106" display="N"/>
    <hyperlink ref="F12" location="Transfers!B107" display="N"/>
    <hyperlink ref="G12" location="Transfers!B108" display="N"/>
    <hyperlink ref="H12" location="Transfers!B109" display="N"/>
    <hyperlink ref="J12" location="Transfers!B111" display="N"/>
    <hyperlink ref="K12" location="Transfers!B112" display="Y"/>
    <hyperlink ref="L12" location="Transfers!B113" display="N"/>
    <hyperlink ref="M12" location="Transfers!B114" display="N"/>
    <hyperlink ref="B13" location="Transfers!B115" display="N"/>
    <hyperlink ref="C13" location="Transfers!B116" display="N"/>
    <hyperlink ref="D13" location="Transfers!B117" display="N"/>
    <hyperlink ref="E13" location="Transfers!B118" display="N"/>
    <hyperlink ref="F13" location="Transfers!B119" display="N"/>
    <hyperlink ref="G13" location="Transfers!B120" display="N"/>
    <hyperlink ref="H13" location="Transfers!B121" display="N"/>
    <hyperlink ref="I13" location="Transfers!B122" display="N"/>
    <hyperlink ref="K13" location="Transfers!B124" display="N"/>
    <hyperlink ref="L13" location="Transfers!B125" display="N"/>
    <hyperlink ref="M13" location="Transfers!B126" display="N"/>
    <hyperlink ref="B14" location="Transfers!B127" display="N"/>
    <hyperlink ref="C14" location="Transfers!B128" display="N"/>
    <hyperlink ref="D14" location="Transfers!B129" display="N"/>
    <hyperlink ref="E14" location="Transfers!B130" display="N"/>
    <hyperlink ref="F14" location="Transfers!B131" display="N"/>
    <hyperlink ref="G14" location="Transfers!B132" display="N"/>
    <hyperlink ref="H14" location="Transfers!B133" display="N"/>
    <hyperlink ref="I14" location="Transfers!B134" display="N"/>
    <hyperlink ref="J14" location="Transfers!B135" display="N"/>
    <hyperlink ref="L14" location="Transfers!B137" display="N"/>
    <hyperlink ref="M14" location="Transfers!B138" display="N"/>
    <hyperlink ref="B15" location="Transfers!B139" display="N"/>
    <hyperlink ref="C15" location="Transfers!B140" display="N"/>
    <hyperlink ref="D15" location="Transfers!B141" display="N"/>
    <hyperlink ref="E15" location="Transfers!B142" display="N"/>
    <hyperlink ref="F15" location="Transfers!B143" display="N"/>
    <hyperlink ref="G15" location="Transfers!B144" display="N"/>
    <hyperlink ref="H15" location="Transfers!B145" display="N"/>
    <hyperlink ref="I15" location="Transfers!B146" display="N"/>
    <hyperlink ref="J15" location="Transfers!B147" display="N"/>
    <hyperlink ref="K15" location="Transfers!B148" display="N"/>
    <hyperlink ref="M15" location="Transfers!B150" display="N"/>
    <hyperlink ref="B16" location="Transfers!B151" display="N"/>
    <hyperlink ref="C16" location="Transfers!B152" display="N"/>
    <hyperlink ref="D16" location="Transfers!B153" display="N"/>
    <hyperlink ref="E16" location="Transfers!B154" display="N"/>
    <hyperlink ref="F16" location="Transfers!B155" display="N"/>
    <hyperlink ref="G16" location="Transfers!B156" display="N"/>
    <hyperlink ref="H16" location="Transfers!B157" display="N"/>
    <hyperlink ref="I16" location="Transfers!B158" display="N"/>
    <hyperlink ref="J16" location="Transfers!B159" display="N"/>
    <hyperlink ref="K16" location="Transfers!B160" display="N"/>
    <hyperlink ref="L16" location="Transfers!B161" display="N"/>
    <hyperlink ref="B20" location="Transfers!$C$5" display="Transfers!$C$5"/>
    <hyperlink ref="B21" location="Transfers!$D$5" display="Transfers!$D$5"/>
    <hyperlink ref="B22" location="Transfers!$E$5" display="Transfers!$E$5"/>
    <hyperlink ref="B23" location="Transfers!$F$5" display="Transfers!$F$5"/>
    <hyperlink ref="B24" location="Transfers!$G$5" display="Transfers!$G$5"/>
    <hyperlink ref="B25" location="Transfers!$H$5" display="Transfers!$H$5"/>
    <hyperlink ref="B26" location="Transfers!$I$5" display="Transfers!$I$5"/>
    <hyperlink ref="B27" location="Transfers!$J$5" display="Transfers!$J$5"/>
    <hyperlink ref="B28" location="Transfers!$K$5" display="Transfers!$K$5"/>
    <hyperlink ref="B29" location="Transfers!$L$5" display="Transfers!$L$5"/>
    <hyperlink ref="B30" location="Transfers!$M$5" display="Transfers!$M$5"/>
    <hyperlink ref="B31" location="Transfers!$B$6" display="Transfers!$B$6"/>
    <hyperlink ref="B33" location="Transfers!$D$6" display="Transfers!$D$6"/>
    <hyperlink ref="B34" location="Transfers!$E$6" display="Transfers!$E$6"/>
    <hyperlink ref="B35" location="Transfers!$F$6" display="Transfers!$F$6"/>
    <hyperlink ref="B36" location="Transfers!$G$6" display="Transfers!$G$6"/>
    <hyperlink ref="B37" location="Transfers!$H$6" display="Transfers!$H$6"/>
    <hyperlink ref="B38" location="Transfers!$I$6" display="Transfers!$I$6"/>
    <hyperlink ref="B39" location="Transfers!$J$6" display="Transfers!$J$6"/>
    <hyperlink ref="B40" location="Transfers!$K$6" display="Transfers!$K$6"/>
    <hyperlink ref="B41" location="Transfers!$L$6" display="Transfers!$L$6"/>
    <hyperlink ref="B42" location="Transfers!$M$6" display="Transfers!$M$6"/>
    <hyperlink ref="B43" location="Transfers!$B$7" display="Transfers!$B$7"/>
    <hyperlink ref="B44" location="Transfers!$C$7" display="Transfers!$C$7"/>
    <hyperlink ref="B46" location="Transfers!$E$7" display="Transfers!$E$7"/>
    <hyperlink ref="B47" location="Transfers!$F$7" display="Transfers!$F$7"/>
    <hyperlink ref="B48" location="Transfers!$G$7" display="Transfers!$G$7"/>
    <hyperlink ref="B49" location="Transfers!$H$7" display="Transfers!$H$7"/>
    <hyperlink ref="B50" location="Transfers!$I$7" display="Transfers!$I$7"/>
    <hyperlink ref="B51" location="Transfers!$J$7" display="Transfers!$J$7"/>
    <hyperlink ref="B52" location="Transfers!$K$7" display="Transfers!$K$7"/>
    <hyperlink ref="B53" location="Transfers!$L$7" display="Transfers!$L$7"/>
    <hyperlink ref="B54" location="Transfers!$M$7" display="Transfers!$M$7"/>
    <hyperlink ref="B55" location="Transfers!$B$8" display="Transfers!$B$8"/>
    <hyperlink ref="B56" location="Transfers!$C$8" display="Transfers!$C$8"/>
    <hyperlink ref="B57" location="Transfers!$D$8" display="Transfers!$D$8"/>
    <hyperlink ref="B59" location="Transfers!$F$8" display="Transfers!$F$8"/>
    <hyperlink ref="B60" location="Transfers!$G$8" display="Transfers!$G$8"/>
    <hyperlink ref="B61" location="Transfers!$H$8" display="Transfers!$H$8"/>
    <hyperlink ref="B62" location="Transfers!$I$8" display="Transfers!$I$8"/>
    <hyperlink ref="B63" location="Transfers!$J$8" display="Transfers!$J$8"/>
    <hyperlink ref="B64" location="Transfers!$K$8" display="Transfers!$K$8"/>
    <hyperlink ref="B65" location="Transfers!$L$8" display="Transfers!$L$8"/>
    <hyperlink ref="B66" location="Transfers!$M$8" display="Transfers!$M$8"/>
    <hyperlink ref="B67" location="Transfers!$B$9" display="Transfers!$B$9"/>
    <hyperlink ref="B68" location="Transfers!$C$9" display="Transfers!$C$9"/>
    <hyperlink ref="B69" location="Transfers!$D$9" display="Transfers!$D$9"/>
    <hyperlink ref="B70" location="Transfers!$E$9" display="Transfers!$E$9"/>
    <hyperlink ref="B72" location="Transfers!$G$9" display="Transfers!$G$9"/>
    <hyperlink ref="B73" location="Transfers!$H$9" display="Transfers!$H$9"/>
    <hyperlink ref="B74" location="Transfers!$I$9" display="Transfers!$I$9"/>
    <hyperlink ref="B75" location="Transfers!$J$9" display="Transfers!$J$9"/>
    <hyperlink ref="B76" location="Transfers!$K$9" display="Transfers!$K$9"/>
    <hyperlink ref="B77" location="Transfers!$L$9" display="Transfers!$L$9"/>
    <hyperlink ref="B78" location="Transfers!$M$9" display="Transfers!$M$9"/>
    <hyperlink ref="B79" location="Transfers!$B$10" display="Transfers!$B$10"/>
    <hyperlink ref="B80" location="Transfers!$C$10" display="Transfers!$C$10"/>
    <hyperlink ref="B81" location="Transfers!$D$10" display="Transfers!$D$10"/>
    <hyperlink ref="B82" location="Transfers!$E$10" display="Transfers!$E$10"/>
    <hyperlink ref="B83" location="Transfers!$F$10" display="Transfers!$F$10"/>
    <hyperlink ref="B85" location="Transfers!$H$10" display="Transfers!$H$10"/>
    <hyperlink ref="B86" location="Transfers!$I$10" display="Transfers!$I$10"/>
    <hyperlink ref="B87" location="Transfers!$J$10" display="Transfers!$J$10"/>
    <hyperlink ref="B88" location="Transfers!$K$10" display="Transfers!$K$10"/>
    <hyperlink ref="B89" location="Transfers!$L$10" display="Transfers!$L$10"/>
    <hyperlink ref="B90" location="Transfers!$M$10" display="Transfers!$M$10"/>
    <hyperlink ref="B91" location="Transfers!$B$11" display="Transfers!$B$11"/>
    <hyperlink ref="B92" location="Transfers!$C$11" display="Transfers!$C$11"/>
    <hyperlink ref="B93" location="Transfers!$D$11" display="Transfers!$D$11"/>
    <hyperlink ref="B94" location="Transfers!$E$11" display="Transfers!$E$11"/>
    <hyperlink ref="B95" location="Transfers!$F$11" display="Transfers!$F$11"/>
    <hyperlink ref="B96" location="Transfers!$G$11" display="Transfers!$G$11"/>
    <hyperlink ref="B98" location="Transfers!$I$11" display="Transfers!$I$11"/>
    <hyperlink ref="B99" location="Transfers!$J$11" display="Transfers!$J$11"/>
    <hyperlink ref="B100" location="Transfers!$K$11" display="Transfers!$K$11"/>
    <hyperlink ref="B101" location="Transfers!$L$11" display="Transfers!$L$11"/>
    <hyperlink ref="B102" location="Transfers!$M$11" display="Transfers!$M$11"/>
    <hyperlink ref="B103" location="Transfers!$B$12" display="Transfers!$B$12"/>
    <hyperlink ref="B104" location="Transfers!$C$12" display="Transfers!$C$12"/>
    <hyperlink ref="B105" location="Transfers!$D$12" display="Transfers!$D$12"/>
    <hyperlink ref="B106" location="Transfers!$E$12" display="Transfers!$E$12"/>
    <hyperlink ref="B107" location="Transfers!$F$12" display="Transfers!$F$12"/>
    <hyperlink ref="B108" location="Transfers!$G$12" display="Transfers!$G$12"/>
    <hyperlink ref="B109" location="Transfers!$H$12" display="Transfers!$H$12"/>
    <hyperlink ref="B111" location="Transfers!$J$12" display="Transfers!$J$12"/>
    <hyperlink ref="B112" location="Transfers!$K$12" display="Transfers!$K$12"/>
    <hyperlink ref="B113" location="Transfers!$L$12" display="Transfers!$L$12"/>
    <hyperlink ref="B114" location="Transfers!$M$12" display="Transfers!$M$12"/>
    <hyperlink ref="B115" location="Transfers!$B$13" display="Transfers!$B$13"/>
    <hyperlink ref="B116" location="Transfers!$C$13" display="Transfers!$C$13"/>
    <hyperlink ref="B117" location="Transfers!$D$13" display="Transfers!$D$13"/>
    <hyperlink ref="B118" location="Transfers!$E$13" display="Transfers!$E$13"/>
    <hyperlink ref="B119" location="Transfers!$F$13" display="Transfers!$F$13"/>
    <hyperlink ref="B120" location="Transfers!$G$13" display="Transfers!$G$13"/>
    <hyperlink ref="B121" location="Transfers!$H$13" display="Transfers!$H$13"/>
    <hyperlink ref="B122" location="Transfers!$I$13" display="Transfers!$I$13"/>
    <hyperlink ref="B124" location="Transfers!$K$13" display="Transfers!$K$13"/>
    <hyperlink ref="B125" location="Transfers!$L$13" display="Transfers!$L$13"/>
    <hyperlink ref="B126" location="Transfers!$M$13" display="Transfers!$M$13"/>
    <hyperlink ref="B127" location="Transfers!$B$14" display="Transfers!$B$14"/>
    <hyperlink ref="B128" location="Transfers!$C$14" display="Transfers!$C$14"/>
    <hyperlink ref="B129" location="Transfers!$D$14" display="Transfers!$D$14"/>
    <hyperlink ref="B130" location="Transfers!$E$14" display="Transfers!$E$14"/>
    <hyperlink ref="B131" location="Transfers!$F$14" display="Transfers!$F$14"/>
    <hyperlink ref="B132" location="Transfers!$G$14" display="Transfers!$G$14"/>
    <hyperlink ref="B133" location="Transfers!$H$14" display="Transfers!$H$14"/>
    <hyperlink ref="B134" location="Transfers!$I$14" display="Transfers!$I$14"/>
    <hyperlink ref="B135" location="Transfers!$J$14" display="Transfers!$J$14"/>
    <hyperlink ref="B137" location="Transfers!$L$14" display="Transfers!$L$14"/>
    <hyperlink ref="B138" location="Transfers!$M$14" display="Transfers!$M$14"/>
    <hyperlink ref="B139" location="Transfers!$B$15" display="Transfers!$B$15"/>
    <hyperlink ref="B140" location="Transfers!$C$15" display="Transfers!$C$15"/>
    <hyperlink ref="B141" location="Transfers!$D$15" display="Transfers!$D$15"/>
    <hyperlink ref="B142" location="Transfers!$E$15" display="Transfers!$E$15"/>
    <hyperlink ref="B143" location="Transfers!$F$15" display="Transfers!$F$15"/>
    <hyperlink ref="B144" location="Transfers!$G$15" display="Transfers!$G$15"/>
    <hyperlink ref="B145" location="Transfers!$H$15" display="Transfers!$H$15"/>
    <hyperlink ref="B146" location="Transfers!$I$15" display="Transfers!$I$15"/>
    <hyperlink ref="B147" location="Transfers!$J$15" display="Transfers!$J$15"/>
    <hyperlink ref="B148" location="Transfers!$K$15" display="Transfers!$K$15"/>
    <hyperlink ref="B150" location="Transfers!$M$15" display="Transfers!$M$15"/>
    <hyperlink ref="B151" location="Transfers!$B$16" display="Transfers!$B$16"/>
    <hyperlink ref="B152" location="Transfers!$C$16" display="Transfers!$C$16"/>
    <hyperlink ref="B153" location="Transfers!$D$16" display="Transfers!$D$16"/>
    <hyperlink ref="B154" location="Transfers!$E$16" display="Transfers!$E$16"/>
    <hyperlink ref="B155" location="Transfers!$F$16" display="Transfers!$F$16"/>
    <hyperlink ref="B156" location="Transfers!$G$16" display="Transfers!$G$16"/>
    <hyperlink ref="B157" location="Transfers!$H$16" display="Transfers!$H$16"/>
    <hyperlink ref="B158" location="Transfers!$I$16" display="Transfers!$I$16"/>
    <hyperlink ref="B159" location="Transfers!$J$16" display="Transfers!$J$16"/>
    <hyperlink ref="B160" location="Transfers!$K$16" display="Transfers!$K$16"/>
    <hyperlink ref="B161" location="Transfers!$L$16" display="Transfers!$L$16"/>
    <hyperlink ref="C168" location="Transfers!B183" display="N"/>
    <hyperlink ref="D168" location="Transfers!B184" display="N"/>
    <hyperlink ref="E168" location="Transfers!B185" display="N"/>
    <hyperlink ref="F168" location="Transfers!B186" display="N"/>
    <hyperlink ref="G168" location="Transfers!B187" display="N"/>
    <hyperlink ref="H168" location="Transfers!B188" display="Y"/>
    <hyperlink ref="I168" location="Transfers!B189" display="N"/>
    <hyperlink ref="J168" location="Transfers!B190" display="N"/>
    <hyperlink ref="K168" location="Transfers!B191" display="N"/>
    <hyperlink ref="L168" location="Transfers!B192" display="N"/>
    <hyperlink ref="M168" location="Transfers!B193" display="N"/>
    <hyperlink ref="B169" location="Transfers!B194" display="N"/>
    <hyperlink ref="D169" location="Transfers!B196" display="N"/>
    <hyperlink ref="E169" location="Transfers!B197" display="N"/>
    <hyperlink ref="F169" location="Transfers!B198" display="N"/>
    <hyperlink ref="G169" location="Transfers!B199" display="N"/>
    <hyperlink ref="H169" location="Transfers!B200" display="N"/>
    <hyperlink ref="I169" location="Transfers!B201" display="Y"/>
    <hyperlink ref="J169" location="Transfers!B202" display="N"/>
    <hyperlink ref="K169" location="Transfers!B203" display="N"/>
    <hyperlink ref="L169" location="Transfers!B204" display="N"/>
    <hyperlink ref="M169" location="Transfers!B205" display="N"/>
    <hyperlink ref="B170" location="Transfers!B206" display="N"/>
    <hyperlink ref="C170" location="Transfers!B207" display="N"/>
    <hyperlink ref="E170" location="Transfers!B209" display="N"/>
    <hyperlink ref="F170" location="Transfers!B210" display="N"/>
    <hyperlink ref="G170" location="Transfers!B211" display="N"/>
    <hyperlink ref="H170" location="Transfers!B212" display="N"/>
    <hyperlink ref="I170" location="Transfers!B213" display="N"/>
    <hyperlink ref="J170" location="Transfers!B214" display="N"/>
    <hyperlink ref="K170" location="Transfers!B215" display="N"/>
    <hyperlink ref="L170" location="Transfers!B216" display="N"/>
    <hyperlink ref="M170" location="Transfers!B217" display="N"/>
    <hyperlink ref="B171" location="Transfers!B218" display="N"/>
    <hyperlink ref="C171" location="Transfers!B219" display="N"/>
    <hyperlink ref="D171" location="Transfers!B220" display="N"/>
    <hyperlink ref="F171" location="Transfers!B222" display="N"/>
    <hyperlink ref="G171" location="Transfers!B223" display="N"/>
    <hyperlink ref="H171" location="Transfers!B224" display="N"/>
    <hyperlink ref="I171" location="Transfers!B225" display="N"/>
    <hyperlink ref="J171" location="Transfers!B226" display="N"/>
    <hyperlink ref="K171" location="Transfers!B227" display="N"/>
    <hyperlink ref="L171" location="Transfers!B228" display="N"/>
    <hyperlink ref="M171" location="Transfers!B229" display="N"/>
    <hyperlink ref="B172" location="Transfers!B230" display="N"/>
    <hyperlink ref="C172" location="Transfers!B231" display="N"/>
    <hyperlink ref="D172" location="Transfers!B232" display="N"/>
    <hyperlink ref="E172" location="Transfers!B233" display="N"/>
    <hyperlink ref="G172" location="Transfers!B235" display="N"/>
    <hyperlink ref="H172" location="Transfers!B236" display="N"/>
    <hyperlink ref="I172" location="Transfers!B237" display="N"/>
    <hyperlink ref="J172" location="Transfers!B238" display="N"/>
    <hyperlink ref="K172" location="Transfers!B239" display="N"/>
    <hyperlink ref="L172" location="Transfers!B240" display="N"/>
    <hyperlink ref="M172" location="Transfers!B241" display="N"/>
    <hyperlink ref="B173" location="Transfers!B242" display="N"/>
    <hyperlink ref="C173" location="Transfers!B243" display="N"/>
    <hyperlink ref="D173" location="Transfers!B244" display="N"/>
    <hyperlink ref="E173" location="Transfers!B245" display="N"/>
    <hyperlink ref="F173" location="Transfers!B246" display="N"/>
    <hyperlink ref="H173" location="Transfers!B248" display="N"/>
    <hyperlink ref="I173" location="Transfers!B249" display="N"/>
    <hyperlink ref="J173" location="Transfers!B250" display="N"/>
    <hyperlink ref="K173" location="Transfers!B251" display="N"/>
    <hyperlink ref="L173" location="Transfers!B252" display="N"/>
    <hyperlink ref="M173" location="Transfers!B253" display="N"/>
    <hyperlink ref="B174" location="Transfers!B254" display="Y"/>
    <hyperlink ref="C174" location="Transfers!B255" display="N"/>
    <hyperlink ref="D174" location="Transfers!B256" display="N"/>
    <hyperlink ref="E174" location="Transfers!B257" display="N"/>
    <hyperlink ref="F174" location="Transfers!B258" display="N"/>
    <hyperlink ref="G174" location="Transfers!B259" display="N"/>
    <hyperlink ref="I174" location="Transfers!B261" display="N"/>
    <hyperlink ref="J174" location="Transfers!B262" display="N"/>
    <hyperlink ref="K174" location="Transfers!B263" display="N"/>
    <hyperlink ref="L174" location="Transfers!B264" display="N"/>
    <hyperlink ref="M174" location="Transfers!B265" display="N"/>
    <hyperlink ref="B175" location="Transfers!B266" display="N"/>
    <hyperlink ref="C175" location="Transfers!B267" display="Y"/>
    <hyperlink ref="D175" location="Transfers!B268" display="N"/>
    <hyperlink ref="E175" location="Transfers!B269" display="N"/>
    <hyperlink ref="F175" location="Transfers!B270" display="N"/>
    <hyperlink ref="G175" location="Transfers!B271" display="N"/>
    <hyperlink ref="H175" location="Transfers!B272" display="N"/>
    <hyperlink ref="J175" location="Transfers!B274" display="N"/>
    <hyperlink ref="K175" location="Transfers!B275" display="N"/>
    <hyperlink ref="L175" location="Transfers!B276" display="N"/>
    <hyperlink ref="M175" location="Transfers!B277" display="N"/>
    <hyperlink ref="B176" location="Transfers!B278" display="N"/>
    <hyperlink ref="C176" location="Transfers!B279" display="N"/>
    <hyperlink ref="D176" location="Transfers!B280" display="N"/>
    <hyperlink ref="E176" location="Transfers!B281" display="N"/>
    <hyperlink ref="F176" location="Transfers!B282" display="N"/>
    <hyperlink ref="G176" location="Transfers!B283" display="N"/>
    <hyperlink ref="H176" location="Transfers!B284" display="N"/>
    <hyperlink ref="I176" location="Transfers!B285" display="N"/>
    <hyperlink ref="K176" location="Transfers!B287" display="N"/>
    <hyperlink ref="L176" location="Transfers!B288" display="N"/>
    <hyperlink ref="M176" location="Transfers!B289" display="N"/>
    <hyperlink ref="B177" location="Transfers!B290" display="N"/>
    <hyperlink ref="C177" location="Transfers!B291" display="N"/>
    <hyperlink ref="D177" location="Transfers!B292" display="N"/>
    <hyperlink ref="E177" location="Transfers!B293" display="N"/>
    <hyperlink ref="F177" location="Transfers!B294" display="N"/>
    <hyperlink ref="G177" location="Transfers!B295" display="N"/>
    <hyperlink ref="H177" location="Transfers!B296" display="N"/>
    <hyperlink ref="I177" location="Transfers!B297" display="N"/>
    <hyperlink ref="J177" location="Transfers!B298" display="N"/>
    <hyperlink ref="L177" location="Transfers!B300" display="N"/>
    <hyperlink ref="M177" location="Transfers!B301" display="N"/>
    <hyperlink ref="B178" location="Transfers!B302" display="N"/>
    <hyperlink ref="C178" location="Transfers!B303" display="N"/>
    <hyperlink ref="D178" location="Transfers!B304" display="N"/>
    <hyperlink ref="E178" location="Transfers!B305" display="N"/>
    <hyperlink ref="F178" location="Transfers!B306" display="N"/>
    <hyperlink ref="G178" location="Transfers!B307" display="N"/>
    <hyperlink ref="H178" location="Transfers!B308" display="N"/>
    <hyperlink ref="I178" location="Transfers!B309" display="N"/>
    <hyperlink ref="J178" location="Transfers!B310" display="N"/>
    <hyperlink ref="K178" location="Transfers!B311" display="N"/>
    <hyperlink ref="M178" location="Transfers!B313" display="N"/>
    <hyperlink ref="B179" location="Transfers!B314" display="N"/>
    <hyperlink ref="C179" location="Transfers!B315" display="N"/>
    <hyperlink ref="D179" location="Transfers!B316" display="N"/>
    <hyperlink ref="E179" location="Transfers!B317" display="N"/>
    <hyperlink ref="F179" location="Transfers!B318" display="N"/>
    <hyperlink ref="G179" location="Transfers!B319" display="N"/>
    <hyperlink ref="H179" location="Transfers!B320" display="N"/>
    <hyperlink ref="I179" location="Transfers!B321" display="N"/>
    <hyperlink ref="J179" location="Transfers!B322" display="N"/>
    <hyperlink ref="K179" location="Transfers!B323" display="N"/>
    <hyperlink ref="L179" location="Transfers!B324" display="N"/>
    <hyperlink ref="B183" location="Transfers!$C$168" display="Transfers!$C$168"/>
    <hyperlink ref="B184" location="Transfers!$D$168" display="Transfers!$D$168"/>
    <hyperlink ref="B185" location="Transfers!$E$168" display="Transfers!$E$168"/>
    <hyperlink ref="B186" location="Transfers!$F$168" display="Transfers!$F$168"/>
    <hyperlink ref="B187" location="Transfers!$G$168" display="Transfers!$G$168"/>
    <hyperlink ref="B188" location="Transfers!$H$168" display="Transfers!$H$168"/>
    <hyperlink ref="B189" location="Transfers!$I$168" display="Transfers!$I$168"/>
    <hyperlink ref="B190" location="Transfers!$J$168" display="Transfers!$J$168"/>
    <hyperlink ref="B191" location="Transfers!$K$168" display="Transfers!$K$168"/>
    <hyperlink ref="B192" location="Transfers!$L$168" display="Transfers!$L$168"/>
    <hyperlink ref="B193" location="Transfers!$M$168" display="Transfers!$M$168"/>
    <hyperlink ref="B194" location="Transfers!$B$169" display="Transfers!$B$169"/>
    <hyperlink ref="B196" location="Transfers!$D$169" display="Transfers!$D$169"/>
    <hyperlink ref="B197" location="Transfers!$E$169" display="Transfers!$E$169"/>
    <hyperlink ref="B198" location="Transfers!$F$169" display="Transfers!$F$169"/>
    <hyperlink ref="B199" location="Transfers!$G$169" display="Transfers!$G$169"/>
    <hyperlink ref="B200" location="Transfers!$H$169" display="Transfers!$H$169"/>
    <hyperlink ref="B201" location="Transfers!$I$169" display="Transfers!$I$169"/>
    <hyperlink ref="B202" location="Transfers!$J$169" display="Transfers!$J$169"/>
    <hyperlink ref="B203" location="Transfers!$K$169" display="Transfers!$K$169"/>
    <hyperlink ref="B204" location="Transfers!$L$169" display="Transfers!$L$169"/>
    <hyperlink ref="B205" location="Transfers!$M$169" display="Transfers!$M$169"/>
    <hyperlink ref="B206" location="Transfers!$B$170" display="Transfers!$B$170"/>
    <hyperlink ref="B207" location="Transfers!$C$170" display="Transfers!$C$170"/>
    <hyperlink ref="B209" location="Transfers!$E$170" display="Transfers!$E$170"/>
    <hyperlink ref="B210" location="Transfers!$F$170" display="Transfers!$F$170"/>
    <hyperlink ref="B211" location="Transfers!$G$170" display="Transfers!$G$170"/>
    <hyperlink ref="B212" location="Transfers!$H$170" display="Transfers!$H$170"/>
    <hyperlink ref="B213" location="Transfers!$I$170" display="Transfers!$I$170"/>
    <hyperlink ref="B214" location="Transfers!$J$170" display="Transfers!$J$170"/>
    <hyperlink ref="B215" location="Transfers!$K$170" display="Transfers!$K$170"/>
    <hyperlink ref="B216" location="Transfers!$L$170" display="Transfers!$L$170"/>
    <hyperlink ref="B217" location="Transfers!$M$170" display="Transfers!$M$170"/>
    <hyperlink ref="B218" location="Transfers!$B$171" display="Transfers!$B$171"/>
    <hyperlink ref="B219" location="Transfers!$C$171" display="Transfers!$C$171"/>
    <hyperlink ref="B220" location="Transfers!$D$171" display="Transfers!$D$171"/>
    <hyperlink ref="B222" location="Transfers!$F$171" display="Transfers!$F$171"/>
    <hyperlink ref="B223" location="Transfers!$G$171" display="Transfers!$G$171"/>
    <hyperlink ref="B224" location="Transfers!$H$171" display="Transfers!$H$171"/>
    <hyperlink ref="B225" location="Transfers!$I$171" display="Transfers!$I$171"/>
    <hyperlink ref="B226" location="Transfers!$J$171" display="Transfers!$J$171"/>
    <hyperlink ref="B227" location="Transfers!$K$171" display="Transfers!$K$171"/>
    <hyperlink ref="B228" location="Transfers!$L$171" display="Transfers!$L$171"/>
    <hyperlink ref="B229" location="Transfers!$M$171" display="Transfers!$M$171"/>
    <hyperlink ref="B230" location="Transfers!$B$172" display="Transfers!$B$172"/>
    <hyperlink ref="B231" location="Transfers!$C$172" display="Transfers!$C$172"/>
    <hyperlink ref="B232" location="Transfers!$D$172" display="Transfers!$D$172"/>
    <hyperlink ref="B233" location="Transfers!$E$172" display="Transfers!$E$172"/>
    <hyperlink ref="B235" location="Transfers!$G$172" display="Transfers!$G$172"/>
    <hyperlink ref="B236" location="Transfers!$H$172" display="Transfers!$H$172"/>
    <hyperlink ref="B237" location="Transfers!$I$172" display="Transfers!$I$172"/>
    <hyperlink ref="B238" location="Transfers!$J$172" display="Transfers!$J$172"/>
    <hyperlink ref="B239" location="Transfers!$K$172" display="Transfers!$K$172"/>
    <hyperlink ref="B240" location="Transfers!$L$172" display="Transfers!$L$172"/>
    <hyperlink ref="B241" location="Transfers!$M$172" display="Transfers!$M$172"/>
    <hyperlink ref="B242" location="Transfers!$B$173" display="Transfers!$B$173"/>
    <hyperlink ref="B243" location="Transfers!$C$173" display="Transfers!$C$173"/>
    <hyperlink ref="B244" location="Transfers!$D$173" display="Transfers!$D$173"/>
    <hyperlink ref="B245" location="Transfers!$E$173" display="Transfers!$E$173"/>
    <hyperlink ref="B246" location="Transfers!$F$173" display="Transfers!$F$173"/>
    <hyperlink ref="B248" location="Transfers!$H$173" display="Transfers!$H$173"/>
    <hyperlink ref="B249" location="Transfers!$I$173" display="Transfers!$I$173"/>
    <hyperlink ref="B250" location="Transfers!$J$173" display="Transfers!$J$173"/>
    <hyperlink ref="B251" location="Transfers!$K$173" display="Transfers!$K$173"/>
    <hyperlink ref="B252" location="Transfers!$L$173" display="Transfers!$L$173"/>
    <hyperlink ref="B253" location="Transfers!$M$173" display="Transfers!$M$173"/>
    <hyperlink ref="B254" location="Transfers!$B$174" display="Transfers!$B$174"/>
    <hyperlink ref="B255" location="Transfers!$C$174" display="Transfers!$C$174"/>
    <hyperlink ref="B256" location="Transfers!$D$174" display="Transfers!$D$174"/>
    <hyperlink ref="B257" location="Transfers!$E$174" display="Transfers!$E$174"/>
    <hyperlink ref="B258" location="Transfers!$F$174" display="Transfers!$F$174"/>
    <hyperlink ref="B259" location="Transfers!$G$174" display="Transfers!$G$174"/>
    <hyperlink ref="B261" location="Transfers!$I$174" display="Transfers!$I$174"/>
    <hyperlink ref="B262" location="Transfers!$J$174" display="Transfers!$J$174"/>
    <hyperlink ref="B263" location="Transfers!$K$174" display="Transfers!$K$174"/>
    <hyperlink ref="B264" location="Transfers!$L$174" display="Transfers!$L$174"/>
    <hyperlink ref="B265" location="Transfers!$M$174" display="Transfers!$M$174"/>
    <hyperlink ref="B266" location="Transfers!$B$175" display="Transfers!$B$175"/>
    <hyperlink ref="B267" location="Transfers!$C$175" display="Transfers!$C$175"/>
    <hyperlink ref="B268" location="Transfers!$D$175" display="Transfers!$D$175"/>
    <hyperlink ref="B269" location="Transfers!$E$175" display="Transfers!$E$175"/>
    <hyperlink ref="B270" location="Transfers!$F$175" display="Transfers!$F$175"/>
    <hyperlink ref="B271" location="Transfers!$G$175" display="Transfers!$G$175"/>
    <hyperlink ref="B272" location="Transfers!$H$175" display="Transfers!$H$175"/>
    <hyperlink ref="B274" location="Transfers!$J$175" display="Transfers!$J$175"/>
    <hyperlink ref="B275" location="Transfers!$K$175" display="Transfers!$K$175"/>
    <hyperlink ref="B276" location="Transfers!$L$175" display="Transfers!$L$175"/>
    <hyperlink ref="B277" location="Transfers!$M$175" display="Transfers!$M$175"/>
    <hyperlink ref="B278" location="Transfers!$B$176" display="Transfers!$B$176"/>
    <hyperlink ref="B279" location="Transfers!$C$176" display="Transfers!$C$176"/>
    <hyperlink ref="B280" location="Transfers!$D$176" display="Transfers!$D$176"/>
    <hyperlink ref="B281" location="Transfers!$E$176" display="Transfers!$E$176"/>
    <hyperlink ref="B282" location="Transfers!$F$176" display="Transfers!$F$176"/>
    <hyperlink ref="B283" location="Transfers!$G$176" display="Transfers!$G$176"/>
    <hyperlink ref="B284" location="Transfers!$H$176" display="Transfers!$H$176"/>
    <hyperlink ref="B285" location="Transfers!$I$176" display="Transfers!$I$176"/>
    <hyperlink ref="B287" location="Transfers!$K$176" display="Transfers!$K$176"/>
    <hyperlink ref="B288" location="Transfers!$L$176" display="Transfers!$L$176"/>
    <hyperlink ref="B289" location="Transfers!$M$176" display="Transfers!$M$176"/>
    <hyperlink ref="B290" location="Transfers!$B$177" display="Transfers!$B$177"/>
    <hyperlink ref="B291" location="Transfers!$C$177" display="Transfers!$C$177"/>
    <hyperlink ref="B292" location="Transfers!$D$177" display="Transfers!$D$177"/>
    <hyperlink ref="B293" location="Transfers!$E$177" display="Transfers!$E$177"/>
    <hyperlink ref="B294" location="Transfers!$F$177" display="Transfers!$F$177"/>
    <hyperlink ref="B295" location="Transfers!$G$177" display="Transfers!$G$177"/>
    <hyperlink ref="B296" location="Transfers!$H$177" display="Transfers!$H$177"/>
    <hyperlink ref="B297" location="Transfers!$I$177" display="Transfers!$I$177"/>
    <hyperlink ref="B298" location="Transfers!$J$177" display="Transfers!$J$177"/>
    <hyperlink ref="B300" location="Transfers!$L$177" display="Transfers!$L$177"/>
    <hyperlink ref="B301" location="Transfers!$M$177" display="Transfers!$M$177"/>
    <hyperlink ref="B302" location="Transfers!$B$178" display="Transfers!$B$178"/>
    <hyperlink ref="B303" location="Transfers!$C$178" display="Transfers!$C$178"/>
    <hyperlink ref="B304" location="Transfers!$D$178" display="Transfers!$D$178"/>
    <hyperlink ref="B305" location="Transfers!$E$178" display="Transfers!$E$178"/>
    <hyperlink ref="B306" location="Transfers!$F$178" display="Transfers!$F$178"/>
    <hyperlink ref="B307" location="Transfers!$G$178" display="Transfers!$G$178"/>
    <hyperlink ref="B308" location="Transfers!$H$178" display="Transfers!$H$178"/>
    <hyperlink ref="B309" location="Transfers!$I$178" display="Transfers!$I$178"/>
    <hyperlink ref="B310" location="Transfers!$J$178" display="Transfers!$J$178"/>
    <hyperlink ref="B311" location="Transfers!$K$178" display="Transfers!$K$178"/>
    <hyperlink ref="B313" location="Transfers!$M$178" display="Transfers!$M$178"/>
    <hyperlink ref="B314" location="Transfers!$B$179" display="Transfers!$B$179"/>
    <hyperlink ref="B315" location="Transfers!$C$179" display="Transfers!$C$179"/>
    <hyperlink ref="B316" location="Transfers!$D$179" display="Transfers!$D$179"/>
    <hyperlink ref="B317" location="Transfers!$E$179" display="Transfers!$E$179"/>
    <hyperlink ref="B318" location="Transfers!$F$179" display="Transfers!$F$179"/>
    <hyperlink ref="B319" location="Transfers!$G$179" display="Transfers!$G$179"/>
    <hyperlink ref="B320" location="Transfers!$H$179" display="Transfers!$H$179"/>
    <hyperlink ref="B321" location="Transfers!$I$179" display="Transfers!$I$179"/>
    <hyperlink ref="B322" location="Transfers!$J$179" display="Transfers!$J$179"/>
    <hyperlink ref="B323" location="Transfers!$K$179" display="Transfers!$K$179"/>
    <hyperlink ref="B324" location="Transfers!$L$179" display="Transfers!$L$179"/>
    <hyperlink ref="C331" location="Transfers!B346" display="N"/>
    <hyperlink ref="D331" location="Transfers!B347" display="N"/>
    <hyperlink ref="E331" location="Transfers!B348" display="N"/>
    <hyperlink ref="F331" location="Transfers!B349" display="N"/>
    <hyperlink ref="G331" location="Transfers!B350" display="N"/>
    <hyperlink ref="H331" location="Transfers!B351" display="N"/>
    <hyperlink ref="I331" location="Transfers!B352" display="N"/>
    <hyperlink ref="J331" location="Transfers!B353" display="N"/>
    <hyperlink ref="K331" location="Transfers!B354" display="N"/>
    <hyperlink ref="L331" location="Transfers!B355" display="Y"/>
    <hyperlink ref="M331" location="Transfers!B356" display="N"/>
    <hyperlink ref="B332" location="Transfers!B357" display="N"/>
    <hyperlink ref="D332" location="Transfers!B359" display="N"/>
    <hyperlink ref="E332" location="Transfers!B360" display="N"/>
    <hyperlink ref="F332" location="Transfers!B361" display="N"/>
    <hyperlink ref="G332" location="Transfers!B362" display="N"/>
    <hyperlink ref="H332" location="Transfers!B363" display="N"/>
    <hyperlink ref="I332" location="Transfers!B364" display="N"/>
    <hyperlink ref="J332" location="Transfers!B365" display="N"/>
    <hyperlink ref="K332" location="Transfers!B366" display="N"/>
    <hyperlink ref="L332" location="Transfers!B367" display="N"/>
    <hyperlink ref="M332" location="Transfers!B368" display="Y"/>
    <hyperlink ref="B333" location="Transfers!B369" display="N"/>
    <hyperlink ref="C333" location="Transfers!B370" display="N"/>
    <hyperlink ref="E333" location="Transfers!B372" display="N"/>
    <hyperlink ref="F333" location="Transfers!B373" display="N"/>
    <hyperlink ref="G333" location="Transfers!B374" display="N"/>
    <hyperlink ref="H333" location="Transfers!B375" display="N"/>
    <hyperlink ref="I333" location="Transfers!B376" display="N"/>
    <hyperlink ref="J333" location="Transfers!B377" display="N"/>
    <hyperlink ref="K333" location="Transfers!B378" display="N"/>
    <hyperlink ref="L333" location="Transfers!B379" display="N"/>
    <hyperlink ref="M333" location="Transfers!B380" display="N"/>
    <hyperlink ref="B334" location="Transfers!B381" display="N"/>
    <hyperlink ref="C334" location="Transfers!B382" display="N"/>
    <hyperlink ref="D334" location="Transfers!B383" display="N"/>
    <hyperlink ref="F334" location="Transfers!B385" display="N"/>
    <hyperlink ref="G334" location="Transfers!B386" display="N"/>
    <hyperlink ref="H334" location="Transfers!B387" display="N"/>
    <hyperlink ref="I334" location="Transfers!B388" display="N"/>
    <hyperlink ref="J334" location="Transfers!B389" display="N"/>
    <hyperlink ref="K334" location="Transfers!B390" display="N"/>
    <hyperlink ref="L334" location="Transfers!B391" display="N"/>
    <hyperlink ref="M334" location="Transfers!B392" display="N"/>
    <hyperlink ref="B335" location="Transfers!B393" display="N"/>
    <hyperlink ref="C335" location="Transfers!B394" display="N"/>
    <hyperlink ref="D335" location="Transfers!B395" display="N"/>
    <hyperlink ref="E335" location="Transfers!B396" display="N"/>
    <hyperlink ref="G335" location="Transfers!B398" display="N"/>
    <hyperlink ref="H335" location="Transfers!B399" display="N"/>
    <hyperlink ref="I335" location="Transfers!B400" display="N"/>
    <hyperlink ref="J335" location="Transfers!B401" display="N"/>
    <hyperlink ref="K335" location="Transfers!B402" display="N"/>
    <hyperlink ref="L335" location="Transfers!B403" display="N"/>
    <hyperlink ref="M335" location="Transfers!B404" display="N"/>
    <hyperlink ref="B336" location="Transfers!B405" display="N"/>
    <hyperlink ref="C336" location="Transfers!B406" display="N"/>
    <hyperlink ref="D336" location="Transfers!B407" display="N"/>
    <hyperlink ref="E336" location="Transfers!B408" display="N"/>
    <hyperlink ref="F336" location="Transfers!B409" display="N"/>
    <hyperlink ref="H336" location="Transfers!B411" display="N"/>
    <hyperlink ref="I336" location="Transfers!B412" display="N"/>
    <hyperlink ref="J336" location="Transfers!B413" display="N"/>
    <hyperlink ref="K336" location="Transfers!B414" display="N"/>
    <hyperlink ref="L336" location="Transfers!B415" display="N"/>
    <hyperlink ref="M336" location="Transfers!B416" display="N"/>
    <hyperlink ref="B337" location="Transfers!B417" display="N"/>
    <hyperlink ref="C337" location="Transfers!B418" display="N"/>
    <hyperlink ref="D337" location="Transfers!B419" display="N"/>
    <hyperlink ref="E337" location="Transfers!B420" display="N"/>
    <hyperlink ref="F337" location="Transfers!B421" display="N"/>
    <hyperlink ref="G337" location="Transfers!B422" display="N"/>
    <hyperlink ref="I337" location="Transfers!B424" display="N"/>
    <hyperlink ref="J337" location="Transfers!B425" display="N"/>
    <hyperlink ref="K337" location="Transfers!B426" display="N"/>
    <hyperlink ref="L337" location="Transfers!B427" display="Y"/>
    <hyperlink ref="M337" location="Transfers!B428" display="N"/>
    <hyperlink ref="B338" location="Transfers!B429" display="N"/>
    <hyperlink ref="C338" location="Transfers!B430" display="N"/>
    <hyperlink ref="D338" location="Transfers!B431" display="N"/>
    <hyperlink ref="E338" location="Transfers!B432" display="N"/>
    <hyperlink ref="F338" location="Transfers!B433" display="N"/>
    <hyperlink ref="G338" location="Transfers!B434" display="N"/>
    <hyperlink ref="H338" location="Transfers!B435" display="N"/>
    <hyperlink ref="J338" location="Transfers!B437" display="N"/>
    <hyperlink ref="K338" location="Transfers!B438" display="N"/>
    <hyperlink ref="L338" location="Transfers!B439" display="N"/>
    <hyperlink ref="M338" location="Transfers!B440" display="Y"/>
    <hyperlink ref="B339" location="Transfers!B441" display="N"/>
    <hyperlink ref="C339" location="Transfers!B442" display="N"/>
    <hyperlink ref="D339" location="Transfers!B443" display="N"/>
    <hyperlink ref="E339" location="Transfers!B444" display="N"/>
    <hyperlink ref="F339" location="Transfers!B445" display="N"/>
    <hyperlink ref="G339" location="Transfers!B446" display="N"/>
    <hyperlink ref="H339" location="Transfers!B447" display="N"/>
    <hyperlink ref="I339" location="Transfers!B448" display="N"/>
    <hyperlink ref="K339" location="Transfers!B450" display="N"/>
    <hyperlink ref="L339" location="Transfers!B451" display="N"/>
    <hyperlink ref="M339" location="Transfers!B452" display="N"/>
    <hyperlink ref="B340" location="Transfers!B453" display="N"/>
    <hyperlink ref="C340" location="Transfers!B454" display="N"/>
    <hyperlink ref="D340" location="Transfers!B455" display="N"/>
    <hyperlink ref="E340" location="Transfers!B456" display="N"/>
    <hyperlink ref="F340" location="Transfers!B457" display="N"/>
    <hyperlink ref="G340" location="Transfers!B458" display="N"/>
    <hyperlink ref="H340" location="Transfers!B459" display="N"/>
    <hyperlink ref="I340" location="Transfers!B460" display="N"/>
    <hyperlink ref="J340" location="Transfers!B461" display="N"/>
    <hyperlink ref="L340" location="Transfers!B463" display="N"/>
    <hyperlink ref="M340" location="Transfers!B464" display="N"/>
    <hyperlink ref="B341" location="Transfers!B465" display="Y"/>
    <hyperlink ref="C341" location="Transfers!B466" display="N"/>
    <hyperlink ref="D341" location="Transfers!B467" display="N"/>
    <hyperlink ref="E341" location="Transfers!B468" display="N"/>
    <hyperlink ref="F341" location="Transfers!B469" display="N"/>
    <hyperlink ref="G341" location="Transfers!B470" display="N"/>
    <hyperlink ref="H341" location="Transfers!B471" display="Y"/>
    <hyperlink ref="I341" location="Transfers!B472" display="N"/>
    <hyperlink ref="J341" location="Transfers!B473" display="N"/>
    <hyperlink ref="K341" location="Transfers!B474" display="N"/>
    <hyperlink ref="M341" location="Transfers!B476" display="N"/>
    <hyperlink ref="B342" location="Transfers!B477" display="N"/>
    <hyperlink ref="C342" location="Transfers!B478" display="Y"/>
    <hyperlink ref="D342" location="Transfers!B479" display="N"/>
    <hyperlink ref="E342" location="Transfers!B480" display="N"/>
    <hyperlink ref="F342" location="Transfers!B481" display="N"/>
    <hyperlink ref="G342" location="Transfers!B482" display="N"/>
    <hyperlink ref="H342" location="Transfers!B483" display="N"/>
    <hyperlink ref="I342" location="Transfers!B484" display="Y"/>
    <hyperlink ref="J342" location="Transfers!B485" display="N"/>
    <hyperlink ref="K342" location="Transfers!B486" display="N"/>
    <hyperlink ref="L342" location="Transfers!B487" display="N"/>
    <hyperlink ref="B346" location="Transfers!$C$331" display="Transfers!$C$331"/>
    <hyperlink ref="B347" location="Transfers!$D$331" display="Transfers!$D$331"/>
    <hyperlink ref="B348" location="Transfers!$E$331" display="Transfers!$E$331"/>
    <hyperlink ref="B349" location="Transfers!$F$331" display="Transfers!$F$331"/>
    <hyperlink ref="B350" location="Transfers!$G$331" display="Transfers!$G$331"/>
    <hyperlink ref="B351" location="Transfers!$H$331" display="Transfers!$H$331"/>
    <hyperlink ref="B352" location="Transfers!$I$331" display="Transfers!$I$331"/>
    <hyperlink ref="B353" location="Transfers!$J$331" display="Transfers!$J$331"/>
    <hyperlink ref="B354" location="Transfers!$K$331" display="Transfers!$K$331"/>
    <hyperlink ref="B355" location="Transfers!$L$331" display="Transfers!$L$331"/>
    <hyperlink ref="B356" location="Transfers!$M$331" display="Transfers!$M$331"/>
    <hyperlink ref="B357" location="Transfers!$B$332" display="Transfers!$B$332"/>
    <hyperlink ref="B359" location="Transfers!$D$332" display="Transfers!$D$332"/>
    <hyperlink ref="B360" location="Transfers!$E$332" display="Transfers!$E$332"/>
    <hyperlink ref="B361" location="Transfers!$F$332" display="Transfers!$F$332"/>
    <hyperlink ref="B362" location="Transfers!$G$332" display="Transfers!$G$332"/>
    <hyperlink ref="B363" location="Transfers!$H$332" display="Transfers!$H$332"/>
    <hyperlink ref="B364" location="Transfers!$I$332" display="Transfers!$I$332"/>
    <hyperlink ref="B365" location="Transfers!$J$332" display="Transfers!$J$332"/>
    <hyperlink ref="B366" location="Transfers!$K$332" display="Transfers!$K$332"/>
    <hyperlink ref="B367" location="Transfers!$L$332" display="Transfers!$L$332"/>
    <hyperlink ref="B368" location="Transfers!$M$332" display="Transfers!$M$332"/>
    <hyperlink ref="B369" location="Transfers!$B$333" display="Transfers!$B$333"/>
    <hyperlink ref="B370" location="Transfers!$C$333" display="Transfers!$C$333"/>
    <hyperlink ref="B372" location="Transfers!$E$333" display="Transfers!$E$333"/>
    <hyperlink ref="B373" location="Transfers!$F$333" display="Transfers!$F$333"/>
    <hyperlink ref="B374" location="Transfers!$G$333" display="Transfers!$G$333"/>
    <hyperlink ref="B375" location="Transfers!$H$333" display="Transfers!$H$333"/>
    <hyperlink ref="B376" location="Transfers!$I$333" display="Transfers!$I$333"/>
    <hyperlink ref="B377" location="Transfers!$J$333" display="Transfers!$J$333"/>
    <hyperlink ref="B378" location="Transfers!$K$333" display="Transfers!$K$333"/>
    <hyperlink ref="B379" location="Transfers!$L$333" display="Transfers!$L$333"/>
    <hyperlink ref="B380" location="Transfers!$M$333" display="Transfers!$M$333"/>
    <hyperlink ref="B381" location="Transfers!$B$334" display="Transfers!$B$334"/>
    <hyperlink ref="B382" location="Transfers!$C$334" display="Transfers!$C$334"/>
    <hyperlink ref="B383" location="Transfers!$D$334" display="Transfers!$D$334"/>
    <hyperlink ref="B385" location="Transfers!$F$334" display="Transfers!$F$334"/>
    <hyperlink ref="B386" location="Transfers!$G$334" display="Transfers!$G$334"/>
    <hyperlink ref="B387" location="Transfers!$H$334" display="Transfers!$H$334"/>
    <hyperlink ref="B388" location="Transfers!$I$334" display="Transfers!$I$334"/>
    <hyperlink ref="B389" location="Transfers!$J$334" display="Transfers!$J$334"/>
    <hyperlink ref="B390" location="Transfers!$K$334" display="Transfers!$K$334"/>
    <hyperlink ref="B391" location="Transfers!$L$334" display="Transfers!$L$334"/>
    <hyperlink ref="B392" location="Transfers!$M$334" display="Transfers!$M$334"/>
    <hyperlink ref="B393" location="Transfers!$B$335" display="Transfers!$B$335"/>
    <hyperlink ref="B394" location="Transfers!$C$335" display="Transfers!$C$335"/>
    <hyperlink ref="B395" location="Transfers!$D$335" display="Transfers!$D$335"/>
    <hyperlink ref="B396" location="Transfers!$E$335" display="Transfers!$E$335"/>
    <hyperlink ref="B398" location="Transfers!$G$335" display="Transfers!$G$335"/>
    <hyperlink ref="B399" location="Transfers!$H$335" display="Transfers!$H$335"/>
    <hyperlink ref="B400" location="Transfers!$I$335" display="Transfers!$I$335"/>
    <hyperlink ref="B401" location="Transfers!$J$335" display="Transfers!$J$335"/>
    <hyperlink ref="B402" location="Transfers!$K$335" display="Transfers!$K$335"/>
    <hyperlink ref="B403" location="Transfers!$L$335" display="Transfers!$L$335"/>
    <hyperlink ref="B404" location="Transfers!$M$335" display="Transfers!$M$335"/>
    <hyperlink ref="B405" location="Transfers!$B$336" display="Transfers!$B$336"/>
    <hyperlink ref="B406" location="Transfers!$C$336" display="Transfers!$C$336"/>
    <hyperlink ref="B407" location="Transfers!$D$336" display="Transfers!$D$336"/>
    <hyperlink ref="B408" location="Transfers!$E$336" display="Transfers!$E$336"/>
    <hyperlink ref="B409" location="Transfers!$F$336" display="Transfers!$F$336"/>
    <hyperlink ref="B411" location="Transfers!$H$336" display="Transfers!$H$336"/>
    <hyperlink ref="B412" location="Transfers!$I$336" display="Transfers!$I$336"/>
    <hyperlink ref="B413" location="Transfers!$J$336" display="Transfers!$J$336"/>
    <hyperlink ref="B414" location="Transfers!$K$336" display="Transfers!$K$336"/>
    <hyperlink ref="B415" location="Transfers!$L$336" display="Transfers!$L$336"/>
    <hyperlink ref="B416" location="Transfers!$M$336" display="Transfers!$M$336"/>
    <hyperlink ref="B417" location="Transfers!$B$337" display="Transfers!$B$337"/>
    <hyperlink ref="B418" location="Transfers!$C$337" display="Transfers!$C$337"/>
    <hyperlink ref="B419" location="Transfers!$D$337" display="Transfers!$D$337"/>
    <hyperlink ref="B420" location="Transfers!$E$337" display="Transfers!$E$337"/>
    <hyperlink ref="B421" location="Transfers!$F$337" display="Transfers!$F$337"/>
    <hyperlink ref="B422" location="Transfers!$G$337" display="Transfers!$G$337"/>
    <hyperlink ref="B424" location="Transfers!$I$337" display="Transfers!$I$337"/>
    <hyperlink ref="B425" location="Transfers!$J$337" display="Transfers!$J$337"/>
    <hyperlink ref="B426" location="Transfers!$K$337" display="Transfers!$K$337"/>
    <hyperlink ref="B427" location="Transfers!$L$337" display="Transfers!$L$337"/>
    <hyperlink ref="B428" location="Transfers!$M$337" display="Transfers!$M$337"/>
    <hyperlink ref="B429" location="Transfers!$B$338" display="Transfers!$B$338"/>
    <hyperlink ref="B430" location="Transfers!$C$338" display="Transfers!$C$338"/>
    <hyperlink ref="B431" location="Transfers!$D$338" display="Transfers!$D$338"/>
    <hyperlink ref="B432" location="Transfers!$E$338" display="Transfers!$E$338"/>
    <hyperlink ref="B433" location="Transfers!$F$338" display="Transfers!$F$338"/>
    <hyperlink ref="B434" location="Transfers!$G$338" display="Transfers!$G$338"/>
    <hyperlink ref="B435" location="Transfers!$H$338" display="Transfers!$H$338"/>
    <hyperlink ref="B437" location="Transfers!$J$338" display="Transfers!$J$338"/>
    <hyperlink ref="B438" location="Transfers!$K$338" display="Transfers!$K$338"/>
    <hyperlink ref="B439" location="Transfers!$L$338" display="Transfers!$L$338"/>
    <hyperlink ref="B440" location="Transfers!$M$338" display="Transfers!$M$338"/>
    <hyperlink ref="B441" location="Transfers!$B$339" display="Transfers!$B$339"/>
    <hyperlink ref="B442" location="Transfers!$C$339" display="Transfers!$C$339"/>
    <hyperlink ref="B443" location="Transfers!$D$339" display="Transfers!$D$339"/>
    <hyperlink ref="B444" location="Transfers!$E$339" display="Transfers!$E$339"/>
    <hyperlink ref="B445" location="Transfers!$F$339" display="Transfers!$F$339"/>
    <hyperlink ref="B446" location="Transfers!$G$339" display="Transfers!$G$339"/>
    <hyperlink ref="B447" location="Transfers!$H$339" display="Transfers!$H$339"/>
    <hyperlink ref="B448" location="Transfers!$I$339" display="Transfers!$I$339"/>
    <hyperlink ref="B450" location="Transfers!$K$339" display="Transfers!$K$339"/>
    <hyperlink ref="B451" location="Transfers!$L$339" display="Transfers!$L$339"/>
    <hyperlink ref="B452" location="Transfers!$M$339" display="Transfers!$M$339"/>
    <hyperlink ref="B453" location="Transfers!$B$340" display="Transfers!$B$340"/>
    <hyperlink ref="B454" location="Transfers!$C$340" display="Transfers!$C$340"/>
    <hyperlink ref="B455" location="Transfers!$D$340" display="Transfers!$D$340"/>
    <hyperlink ref="B456" location="Transfers!$E$340" display="Transfers!$E$340"/>
    <hyperlink ref="B457" location="Transfers!$F$340" display="Transfers!$F$340"/>
    <hyperlink ref="B458" location="Transfers!$G$340" display="Transfers!$G$340"/>
    <hyperlink ref="B459" location="Transfers!$H$340" display="Transfers!$H$340"/>
    <hyperlink ref="B460" location="Transfers!$I$340" display="Transfers!$I$340"/>
    <hyperlink ref="B461" location="Transfers!$J$340" display="Transfers!$J$340"/>
    <hyperlink ref="B463" location="Transfers!$L$340" display="Transfers!$L$340"/>
    <hyperlink ref="B464" location="Transfers!$M$340" display="Transfers!$M$340"/>
    <hyperlink ref="B465" location="Transfers!$B$341" display="Transfers!$B$341"/>
    <hyperlink ref="B466" location="Transfers!$C$341" display="Transfers!$C$341"/>
    <hyperlink ref="B467" location="Transfers!$D$341" display="Transfers!$D$341"/>
    <hyperlink ref="B468" location="Transfers!$E$341" display="Transfers!$E$341"/>
    <hyperlink ref="B469" location="Transfers!$F$341" display="Transfers!$F$341"/>
    <hyperlink ref="B470" location="Transfers!$G$341" display="Transfers!$G$341"/>
    <hyperlink ref="B471" location="Transfers!$H$341" display="Transfers!$H$341"/>
    <hyperlink ref="B472" location="Transfers!$I$341" display="Transfers!$I$341"/>
    <hyperlink ref="B473" location="Transfers!$J$341" display="Transfers!$J$341"/>
    <hyperlink ref="B474" location="Transfers!$K$341" display="Transfers!$K$341"/>
    <hyperlink ref="B476" location="Transfers!$M$341" display="Transfers!$M$341"/>
    <hyperlink ref="B477" location="Transfers!$B$342" display="Transfers!$B$342"/>
    <hyperlink ref="B478" location="Transfers!$C$342" display="Transfers!$C$342"/>
    <hyperlink ref="B479" location="Transfers!$D$342" display="Transfers!$D$342"/>
    <hyperlink ref="B480" location="Transfers!$E$342" display="Transfers!$E$342"/>
    <hyperlink ref="B481" location="Transfers!$F$342" display="Transfers!$F$342"/>
    <hyperlink ref="B482" location="Transfers!$G$342" display="Transfers!$G$342"/>
    <hyperlink ref="B483" location="Transfers!$H$342" display="Transfers!$H$342"/>
    <hyperlink ref="B484" location="Transfers!$I$342" display="Transfers!$I$342"/>
    <hyperlink ref="B485" location="Transfers!$J$342" display="Transfers!$J$342"/>
    <hyperlink ref="B486" location="Transfers!$K$342" display="Transfers!$K$342"/>
    <hyperlink ref="B487" location="Transfers!$L$342" display="Transfers!$L$342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2DC9346A4EFF44B9278E035670E998A" ma:contentTypeVersion="9" ma:contentTypeDescription="Create a new document." ma:contentTypeScope="" ma:versionID="b6002ac4d6852791cc52372fb08f1f93">
  <xsd:schema xmlns:xsd="http://www.w3.org/2001/XMLSchema" xmlns:xs="http://www.w3.org/2001/XMLSchema" xmlns:p="http://schemas.microsoft.com/office/2006/metadata/properties" xmlns:ns2="460e4ad2-c64b-4f67-8552-094351f252e3" targetNamespace="http://schemas.microsoft.com/office/2006/metadata/properties" ma:root="true" ma:fieldsID="d81800e77b8320248f69566da91fdce8" ns2:_="">
    <xsd:import namespace="460e4ad2-c64b-4f67-8552-094351f252e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60e4ad2-c64b-4f67-8552-094351f252e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460e4ad2-c64b-4f67-8552-094351f252e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19B4111D-4DEA-4BA1-9A14-A8319169991B}"/>
</file>

<file path=customXml/itemProps2.xml><?xml version="1.0" encoding="utf-8"?>
<ds:datastoreItem xmlns:ds="http://schemas.openxmlformats.org/officeDocument/2006/customXml" ds:itemID="{EBB8146F-E219-4D57-B46B-32FBBCF2089A}"/>
</file>

<file path=customXml/itemProps3.xml><?xml version="1.0" encoding="utf-8"?>
<ds:datastoreItem xmlns:ds="http://schemas.openxmlformats.org/officeDocument/2006/customXml" ds:itemID="{028F94A4-F709-40E3-81D4-C681C0A4D6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Population Definitions</vt:lpstr>
      <vt:lpstr>Disease Burden</vt:lpstr>
      <vt:lpstr>Demographics</vt:lpstr>
      <vt:lpstr>Infectiousness</vt:lpstr>
      <vt:lpstr>Disease Progression</vt:lpstr>
      <vt:lpstr>Diagnosis</vt:lpstr>
      <vt:lpstr>Loss to follow-up</vt:lpstr>
      <vt:lpstr>Re-engagement</vt:lpstr>
      <vt:lpstr>Treatment</vt:lpstr>
      <vt:lpstr>Liver Transplant</vt:lpstr>
      <vt:lpstr>Overall Indicators</vt:lpstr>
      <vt:lpstr>Initialization</vt:lpstr>
      <vt:lpstr>Care Cascade</vt:lpstr>
      <vt:lpstr>Other intermediate pars</vt:lpstr>
      <vt:lpstr>Vaccine parameters</vt:lpstr>
      <vt:lpstr>Interactions</vt:lpstr>
      <vt:lpstr>Transfers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2025-08-04T07:05:42Z</dcterms:created>
  <dcterms:modified xsi:type="dcterms:W3CDTF">2025-08-04T07:05:42Z</dcterms:modified>
  <cp:category>atomica:databook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0x01010042DC9346A4EFF44B9278E035670E998A</vt:lpwstr>
  </property>
</Properties>
</file>