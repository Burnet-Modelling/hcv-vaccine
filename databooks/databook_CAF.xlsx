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opulation Definitions" sheetId="1" r:id="rId1"/>
    <sheet name="Disease Burden" sheetId="2" r:id="rId2"/>
    <sheet name="Demographics" sheetId="3" r:id="rId3"/>
    <sheet name="Infectiousness" sheetId="4" r:id="rId4"/>
    <sheet name="Disease Progression" sheetId="5" r:id="rId5"/>
    <sheet name="Diagnosis" sheetId="6" r:id="rId6"/>
    <sheet name="Loss to follow-up" sheetId="7" r:id="rId7"/>
    <sheet name="Re-engagement" sheetId="8" r:id="rId8"/>
    <sheet name="Treatment" sheetId="9" r:id="rId9"/>
    <sheet name="Liver Transplant" sheetId="10" r:id="rId10"/>
    <sheet name="Overall Indicators" sheetId="11" r:id="rId11"/>
    <sheet name="Initialization" sheetId="12" r:id="rId12"/>
    <sheet name="Care Cascade" sheetId="13" r:id="rId13"/>
    <sheet name="Other intermediate pars" sheetId="14" r:id="rId14"/>
    <sheet name="Vaccine parameters" sheetId="15" r:id="rId15"/>
    <sheet name="Interactions" sheetId="16" r:id="rId16"/>
    <sheet name="Transfers" sheetId="17" r:id="rId17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69" authorId="0">
      <text>
        <r>
          <rPr>
            <sz val="8"/>
            <color indexed="81"/>
            <rFont val="Tahoma"/>
            <family val="2"/>
          </rPr>
          <t>Proportion of undiagnosed that can't be reached by existing services (can be linked to care via programs)</t>
        </r>
      </text>
    </comment>
  </commentList>
</comments>
</file>

<file path=xl/sharedStrings.xml><?xml version="1.0" encoding="utf-8"?>
<sst xmlns="http://schemas.openxmlformats.org/spreadsheetml/2006/main" count="6575" uniqueCount="776">
  <si>
    <t>Abbreviation</t>
  </si>
  <si>
    <t>Full Name</t>
  </si>
  <si>
    <t>Population type</t>
  </si>
  <si>
    <t>PWID_males</t>
  </si>
  <si>
    <t>People Who Inject Drugs (males)</t>
  </si>
  <si>
    <t>human</t>
  </si>
  <si>
    <t>PWID_females</t>
  </si>
  <si>
    <t>People Who Inject Drugs (females)</t>
  </si>
  <si>
    <t>0-9_males</t>
  </si>
  <si>
    <t>General Population 0-9 males</t>
  </si>
  <si>
    <t>0-9_females</t>
  </si>
  <si>
    <t>General Population 0-9 females</t>
  </si>
  <si>
    <t>10-17_males</t>
  </si>
  <si>
    <t>General Population 10-17 males</t>
  </si>
  <si>
    <t>10-17_females</t>
  </si>
  <si>
    <t>General Population 10-17 females</t>
  </si>
  <si>
    <t>18-64_males</t>
  </si>
  <si>
    <t>General Population 18-64 males</t>
  </si>
  <si>
    <t>18-64_females</t>
  </si>
  <si>
    <t>General Population 18-64 females</t>
  </si>
  <si>
    <t>65+_males</t>
  </si>
  <si>
    <t>General Population 65+ males</t>
  </si>
  <si>
    <t>65+_females</t>
  </si>
  <si>
    <t>General Population 65+ females</t>
  </si>
  <si>
    <t>Prisoners_males</t>
  </si>
  <si>
    <t>Prisoners (males)</t>
  </si>
  <si>
    <t>Prisoners_females</t>
  </si>
  <si>
    <t>Prisoners (females)</t>
  </si>
  <si>
    <t>Population living with chronic HCV</t>
  </si>
  <si>
    <t>Provenance</t>
  </si>
  <si>
    <t>Units</t>
  </si>
  <si>
    <t>Uncertainty</t>
  </si>
  <si>
    <t>Number</t>
  </si>
  <si>
    <t>HCV Prevalence</t>
  </si>
  <si>
    <t>Fraction</t>
  </si>
  <si>
    <t>Proportion who have F0-F2</t>
  </si>
  <si>
    <t>Constant</t>
  </si>
  <si>
    <t>OR</t>
  </si>
  <si>
    <t>Proportion who have F3</t>
  </si>
  <si>
    <t>Proportion who have F4</t>
  </si>
  <si>
    <t>Proportion who have DC</t>
  </si>
  <si>
    <t>Proportion who have HCC</t>
  </si>
  <si>
    <t>Undiagnosed proportion</t>
  </si>
  <si>
    <t>Proportion that failed treatments</t>
  </si>
  <si>
    <t>Proportion LTFU after Ab diagnosis</t>
  </si>
  <si>
    <t>Proportion LTFU after RNA diagnosis</t>
  </si>
  <si>
    <t>Proportion LTFU after failed treatment 1</t>
  </si>
  <si>
    <t>Proportion of undiagnosed that are lost to care</t>
  </si>
  <si>
    <t>Proportion</t>
  </si>
  <si>
    <t>Population size</t>
  </si>
  <si>
    <t>Number of live births</t>
  </si>
  <si>
    <t>Number (per year)</t>
  </si>
  <si>
    <t>Net migration rate</t>
  </si>
  <si>
    <t>Rate (per year)</t>
  </si>
  <si>
    <t>All cause death rate</t>
  </si>
  <si>
    <t>Force of Infection constant</t>
  </si>
  <si>
    <t>N.A.</t>
  </si>
  <si>
    <t>Infectivity among the general population</t>
  </si>
  <si>
    <t>Probability (per year)</t>
  </si>
  <si>
    <t>Proportion of HCV infections spontaneously clearing</t>
  </si>
  <si>
    <t>Average duration for spontaneous viral clearance</t>
  </si>
  <si>
    <t>Framework-supplied default</t>
  </si>
  <si>
    <t>Duration (years)</t>
  </si>
  <si>
    <t>F0 to F1 progression rate (intermediate step)</t>
  </si>
  <si>
    <t>F1 to F2 progression rate (intermediate step)</t>
  </si>
  <si>
    <t>F2 to F3 progression rate (intermediate step)</t>
  </si>
  <si>
    <t>F3 to F4 progression rate (intermediate step)</t>
  </si>
  <si>
    <t>F4 to DC progression rate (intermediate step)</t>
  </si>
  <si>
    <t>F4 to HCC progression rate (intermediate step)</t>
  </si>
  <si>
    <t>Susceptible DC relapse rate (intermediate step)</t>
  </si>
  <si>
    <t>Susceptible HCC relapse rate (intermediate step)</t>
  </si>
  <si>
    <t>DC to HCC progression rate (intermediate step)</t>
  </si>
  <si>
    <t>F4 death rate (intermediate step)</t>
  </si>
  <si>
    <t>DC death rate (intermediate step)</t>
  </si>
  <si>
    <t>HCC death rate (intermediate step)</t>
  </si>
  <si>
    <t>Liver Transplant in Year 1 death rate (intermediate step)</t>
  </si>
  <si>
    <t>Liver Transplant 2+ Years Ago death rate (intermediate step)</t>
  </si>
  <si>
    <t>Reduction in mortality post DC cure</t>
  </si>
  <si>
    <t>Reduction in mortality post HCC cure</t>
  </si>
  <si>
    <t>Antibody testing rate in F0-F2, undiagnosed, in care (intermediate step)</t>
  </si>
  <si>
    <t>Antibody testing rate in F3+, undiagnosed, in care (intermediate step)</t>
  </si>
  <si>
    <t>RNA testing rate in F0-F2, Ab diagnosed, in care (intermediate step)</t>
  </si>
  <si>
    <t>RNA testing rate in F3+, Ab diagnosed, in care (intermediate step)</t>
  </si>
  <si>
    <t>Loss to follow-up rate on antibody test in F0-F2</t>
  </si>
  <si>
    <t>Loss to follow-up rate on antibody test in F3+</t>
  </si>
  <si>
    <t>Loss to follow-up rate on PCR test in F0-F2</t>
  </si>
  <si>
    <t>Loss to follow-up rate on PCR test in F3+</t>
  </si>
  <si>
    <t>Loss to follow-up rate after treatment initiation in F0-F2</t>
  </si>
  <si>
    <t>Loss to follow-up rate after treatment initiation in F3+</t>
  </si>
  <si>
    <t>Antibody re-engagement in care, F0-F2, lost to follow-up after Ab test</t>
  </si>
  <si>
    <t>Antibody re-engagement in care, F3+, lost to follow-up after Ab test</t>
  </si>
  <si>
    <t>RNA re-engagement in care, F0-F2, lost to follow up after RNA test</t>
  </si>
  <si>
    <t>RNA re-engagement in care, F3+, lost to follow up after RNA test</t>
  </si>
  <si>
    <t>Re-engagement in care after treatment initiation, F0-F2</t>
  </si>
  <si>
    <t>Re-engagement in care after treatment initiation, F3+</t>
  </si>
  <si>
    <t>RNA re-engagement in care, F0-F2, lost to follow up after Ab test</t>
  </si>
  <si>
    <t>RNA re-engagement in care, F3+, lost to follow up after Ab test</t>
  </si>
  <si>
    <t>Proportion of treatments allocated to each population pre-DAA</t>
  </si>
  <si>
    <t>Proportion of treatments allocated to each population post-DAA</t>
  </si>
  <si>
    <t>Proportion of treatments allocated to each population pre-DAA (PWID and Prisoners)</t>
  </si>
  <si>
    <t>Proportion of treatments allocated to each population post-DAA (PWID and Prisoners)</t>
  </si>
  <si>
    <t>Average treatment duration</t>
  </si>
  <si>
    <t>Probability of achieving SVR</t>
  </si>
  <si>
    <t>Proportion of treatments that are retreatments due to failure</t>
  </si>
  <si>
    <t>DC to liver transplant rate</t>
  </si>
  <si>
    <t>HCC to liver transplant rate</t>
  </si>
  <si>
    <t>DC liver transplant 1 to 2+ years ago rate</t>
  </si>
  <si>
    <t>HCC liver transplant 1 to 2+ years ago rate</t>
  </si>
  <si>
    <t>Percent diagnosed Ab or RNA (ever)</t>
  </si>
  <si>
    <t>Total</t>
  </si>
  <si>
    <t>Number of treatments</t>
  </si>
  <si>
    <t>Chronic HCV infections</t>
  </si>
  <si>
    <t>Total number of people living with HCV</t>
  </si>
  <si>
    <t>Positive antibody tests</t>
  </si>
  <si>
    <t>Total number of diagnoses</t>
  </si>
  <si>
    <t>Chronic HCV infections in F0-F2</t>
  </si>
  <si>
    <t>Chronic HCV infections in F3</t>
  </si>
  <si>
    <t>Number of prevalent cases of compensated cirrhosis due to HCV (including cured)</t>
  </si>
  <si>
    <t>Number of prevalent cases of decompensated compensated cirrhosis due to HCV (including cured)</t>
  </si>
  <si>
    <t>Chronic HCV infections in HCC</t>
  </si>
  <si>
    <t>HCV incidence</t>
  </si>
  <si>
    <t>DC incidence</t>
  </si>
  <si>
    <t>HCC incidence</t>
  </si>
  <si>
    <t>Liver transplants due to HCV</t>
  </si>
  <si>
    <t>HCV-related deaths</t>
  </si>
  <si>
    <t>All-cause deaths (18+)</t>
  </si>
  <si>
    <t>Population living with acute HCV</t>
  </si>
  <si>
    <t>Susceptible, antibody positive (aware, unaware, treated)</t>
  </si>
  <si>
    <t>Susceptible (all)</t>
  </si>
  <si>
    <t>Liver Fibrosis F0 (Chronic) (vaccinated)</t>
  </si>
  <si>
    <t>Liver Fibrosis F1 (Chronic) (vaccinated)</t>
  </si>
  <si>
    <t>Liver Fibrosis F2 (Chronic) (vaccinated)</t>
  </si>
  <si>
    <t>Liver Fibrosis F0-2 (Chronic) (vaccinated)</t>
  </si>
  <si>
    <t>Liver Fibrosis F3 (Chronic) (vaccinated)</t>
  </si>
  <si>
    <t>Liver Fibrosis F4 (Chronic) (vaccinated)</t>
  </si>
  <si>
    <t>Liver Fibrosis F3-4 (Chronic) (vaccinated)</t>
  </si>
  <si>
    <t>Liver Fibrosis All Stages (Chronic) (vaccinated)</t>
  </si>
  <si>
    <t>Decompensated Cirrhosis (Chronic) (vaccinated)</t>
  </si>
  <si>
    <t>Hepatocellular Carcinoma (Chronic) (vaccinated)</t>
  </si>
  <si>
    <t>Decompensated Cirrhosis and Hepatocellular Carcinoma (Chronic) (vaccinated)</t>
  </si>
  <si>
    <t>Population living with acute HCV (vaccinated)</t>
  </si>
  <si>
    <t>Population living with chronic HCV (vaccinated)</t>
  </si>
  <si>
    <t>Susceptible, antibody positive (aware, unaware, treated) (vaccinated)</t>
  </si>
  <si>
    <t>Susceptible (all) (vaccinated)</t>
  </si>
  <si>
    <t>Total population living with HCV</t>
  </si>
  <si>
    <t>Failed treatment 1 F0</t>
  </si>
  <si>
    <t>Failed treatment 1 F1</t>
  </si>
  <si>
    <t>Failed treatment 1 F2</t>
  </si>
  <si>
    <t>Failed treatment 1 F3</t>
  </si>
  <si>
    <t>Failed treatment 1 F4</t>
  </si>
  <si>
    <t>Failed treatment 1 DC</t>
  </si>
  <si>
    <t>Failed treatment 1 HCC</t>
  </si>
  <si>
    <t>Failed treatment 2 F0</t>
  </si>
  <si>
    <t>Failed treatment 2 F1</t>
  </si>
  <si>
    <t>Failed treatment 2 F2</t>
  </si>
  <si>
    <t>Failed treatment 2 F3</t>
  </si>
  <si>
    <t>Failed treatment 2 F4</t>
  </si>
  <si>
    <t>Failed treatment 2 DC</t>
  </si>
  <si>
    <t>Failed treatment 2 HCC</t>
  </si>
  <si>
    <t>Number undiagnosed F0</t>
  </si>
  <si>
    <t>Number undiagnosed F1</t>
  </si>
  <si>
    <t>Number undiagnosed F2</t>
  </si>
  <si>
    <t>Number undiagnosed F3</t>
  </si>
  <si>
    <t>Number undiagnosed F4</t>
  </si>
  <si>
    <t>Number undiagnosed DC</t>
  </si>
  <si>
    <t>Number undiagnosed HCC</t>
  </si>
  <si>
    <t>Number undiagnosed acute</t>
  </si>
  <si>
    <t>LTFU failed tx 1 F0</t>
  </si>
  <si>
    <t>LTFU failed tx 1 F1</t>
  </si>
  <si>
    <t>LTFU failed tx 1 F2</t>
  </si>
  <si>
    <t>LTFU failed tx 1 F3</t>
  </si>
  <si>
    <t>LTFU failed tx 1 F4</t>
  </si>
  <si>
    <t>LTFU failed tx 1 DC</t>
  </si>
  <si>
    <t>LTFU failed tx 1 HCC</t>
  </si>
  <si>
    <t>LTFU antibody test F0</t>
  </si>
  <si>
    <t>LTFU antibody test F1</t>
  </si>
  <si>
    <t>LTFU antibody test F2</t>
  </si>
  <si>
    <t>LTFU antibody test F3</t>
  </si>
  <si>
    <t>LTFU antibody test F4</t>
  </si>
  <si>
    <t>LTFU antibody test DC</t>
  </si>
  <si>
    <t>LTFU antibody test HCC</t>
  </si>
  <si>
    <t>LTFU PCR test F0</t>
  </si>
  <si>
    <t>LTFU PCR test F1</t>
  </si>
  <si>
    <t>LTFU PCR test F2</t>
  </si>
  <si>
    <t>LTFU PCR test F3</t>
  </si>
  <si>
    <t>LTFU PCR test F4</t>
  </si>
  <si>
    <t>LTFU PCR test DC</t>
  </si>
  <si>
    <t>LTFU PCR test HCC</t>
  </si>
  <si>
    <t>On treatment 1 F0</t>
  </si>
  <si>
    <t>On treatment 1 F1</t>
  </si>
  <si>
    <t>On treatment 1 F2</t>
  </si>
  <si>
    <t>On treatment 1 F3</t>
  </si>
  <si>
    <t>On treatment 1 F4</t>
  </si>
  <si>
    <t>On treatment 1 DC</t>
  </si>
  <si>
    <t>On treatment 1 HCC</t>
  </si>
  <si>
    <t>On treatment 2 F0</t>
  </si>
  <si>
    <t>On treatment 2 F1</t>
  </si>
  <si>
    <t>On treatment 2 F2</t>
  </si>
  <si>
    <t>On treatment 2 F3</t>
  </si>
  <si>
    <t>On treatment 2 F4</t>
  </si>
  <si>
    <t>On treatment 2 DC</t>
  </si>
  <si>
    <t>On treatment 2 HCC</t>
  </si>
  <si>
    <t>Undiagnosed, lost to care f0</t>
  </si>
  <si>
    <t>Undiagnosed, lost to care f1</t>
  </si>
  <si>
    <t>Undiagnosed, lost to care f2</t>
  </si>
  <si>
    <t>Undiagnosed, lost to care f3</t>
  </si>
  <si>
    <t>Undiagnosed, lost to care f4</t>
  </si>
  <si>
    <t>Undiagnosed, lost to care dc</t>
  </si>
  <si>
    <t>Undiagnosed, lost to care hcc</t>
  </si>
  <si>
    <t>Multiplier for progression rates (intermediate step for calibration)</t>
  </si>
  <si>
    <t>Multiplier for death rates (intermediate step for calibration)</t>
  </si>
  <si>
    <t>Testing rate multiplier non-PWID (intermediate calculation/calibration step)</t>
  </si>
  <si>
    <t>Separate test multiplier for PWID and Prisoners (no need to calibrate it)</t>
  </si>
  <si>
    <t>Number of treatments per population group (intermediate calculation step)</t>
  </si>
  <si>
    <t>Prevalence (intermediate calibration step)</t>
  </si>
  <si>
    <t>Vaccine: vaccination uptake</t>
  </si>
  <si>
    <t>Vaccine: duration for waning effectiveness</t>
  </si>
  <si>
    <t>Vaccine: proportion of HCV infections spontaneously clearing</t>
  </si>
  <si>
    <t>Vaccine: duration for spontaneous viral clearance</t>
  </si>
  <si>
    <t>Vaccine: FOI multiplier for PWID</t>
  </si>
  <si>
    <t>Vaccine: FOI multiplier for gPop</t>
  </si>
  <si>
    <t>idu</t>
  </si>
  <si>
    <t>Injecting Drug Use Transmission</t>
  </si>
  <si>
    <t>From population type</t>
  </si>
  <si>
    <t>To population type</t>
  </si>
  <si>
    <t>Y</t>
  </si>
  <si>
    <t>N</t>
  </si>
  <si>
    <t>From population</t>
  </si>
  <si>
    <t>To population</t>
  </si>
  <si>
    <t>Interactions!$B$5</t>
  </si>
  <si>
    <t>Interactions!$C$5</t>
  </si>
  <si>
    <t>Interactions!$D$5</t>
  </si>
  <si>
    <t>Interactions!$E$5</t>
  </si>
  <si>
    <t>Interactions!$F$5</t>
  </si>
  <si>
    <t>Interactions!$G$5</t>
  </si>
  <si>
    <t>Interactions!$H$5</t>
  </si>
  <si>
    <t>Interactions!$I$5</t>
  </si>
  <si>
    <t>Interactions!$J$5</t>
  </si>
  <si>
    <t>Interactions!$K$5</t>
  </si>
  <si>
    <t>Interactions!$L$5</t>
  </si>
  <si>
    <t>Interactions!$M$5</t>
  </si>
  <si>
    <t>Interactions!$B$6</t>
  </si>
  <si>
    <t>Interactions!$C$6</t>
  </si>
  <si>
    <t>Interactions!$D$6</t>
  </si>
  <si>
    <t>Interactions!$E$6</t>
  </si>
  <si>
    <t>Interactions!$F$6</t>
  </si>
  <si>
    <t>Interactions!$G$6</t>
  </si>
  <si>
    <t>Interactions!$H$6</t>
  </si>
  <si>
    <t>Interactions!$I$6</t>
  </si>
  <si>
    <t>Interactions!$J$6</t>
  </si>
  <si>
    <t>Interactions!$K$6</t>
  </si>
  <si>
    <t>Interactions!$L$6</t>
  </si>
  <si>
    <t>Interactions!$M$6</t>
  </si>
  <si>
    <t>Interactions!$B$7</t>
  </si>
  <si>
    <t>Interactions!$C$7</t>
  </si>
  <si>
    <t>Interactions!$D$7</t>
  </si>
  <si>
    <t>Interactions!$E$7</t>
  </si>
  <si>
    <t>Interactions!$F$7</t>
  </si>
  <si>
    <t>Interactions!$G$7</t>
  </si>
  <si>
    <t>Interactions!$H$7</t>
  </si>
  <si>
    <t>Interactions!$I$7</t>
  </si>
  <si>
    <t>Interactions!$J$7</t>
  </si>
  <si>
    <t>Interactions!$K$7</t>
  </si>
  <si>
    <t>Interactions!$L$7</t>
  </si>
  <si>
    <t>Interactions!$M$7</t>
  </si>
  <si>
    <t>Interactions!$B$8</t>
  </si>
  <si>
    <t>Interactions!$C$8</t>
  </si>
  <si>
    <t>Interactions!$D$8</t>
  </si>
  <si>
    <t>Interactions!$E$8</t>
  </si>
  <si>
    <t>Interactions!$F$8</t>
  </si>
  <si>
    <t>Interactions!$G$8</t>
  </si>
  <si>
    <t>Interactions!$H$8</t>
  </si>
  <si>
    <t>Interactions!$I$8</t>
  </si>
  <si>
    <t>Interactions!$J$8</t>
  </si>
  <si>
    <t>Interactions!$K$8</t>
  </si>
  <si>
    <t>Interactions!$L$8</t>
  </si>
  <si>
    <t>Interactions!$M$8</t>
  </si>
  <si>
    <t>Interactions!$B$9</t>
  </si>
  <si>
    <t>Interactions!$C$9</t>
  </si>
  <si>
    <t>Interactions!$D$9</t>
  </si>
  <si>
    <t>Interactions!$E$9</t>
  </si>
  <si>
    <t>Interactions!$F$9</t>
  </si>
  <si>
    <t>Interactions!$G$9</t>
  </si>
  <si>
    <t>Interactions!$H$9</t>
  </si>
  <si>
    <t>Interactions!$I$9</t>
  </si>
  <si>
    <t>Interactions!$J$9</t>
  </si>
  <si>
    <t>Interactions!$K$9</t>
  </si>
  <si>
    <t>Interactions!$L$9</t>
  </si>
  <si>
    <t>Interactions!$M$9</t>
  </si>
  <si>
    <t>Interactions!$B$10</t>
  </si>
  <si>
    <t>Interactions!$C$10</t>
  </si>
  <si>
    <t>Interactions!$D$10</t>
  </si>
  <si>
    <t>Interactions!$E$10</t>
  </si>
  <si>
    <t>Interactions!$F$10</t>
  </si>
  <si>
    <t>Interactions!$G$10</t>
  </si>
  <si>
    <t>Interactions!$H$10</t>
  </si>
  <si>
    <t>Interactions!$I$10</t>
  </si>
  <si>
    <t>Interactions!$J$10</t>
  </si>
  <si>
    <t>Interactions!$K$10</t>
  </si>
  <si>
    <t>Interactions!$L$10</t>
  </si>
  <si>
    <t>Interactions!$M$10</t>
  </si>
  <si>
    <t>Interactions!$B$11</t>
  </si>
  <si>
    <t>Interactions!$C$11</t>
  </si>
  <si>
    <t>Interactions!$D$11</t>
  </si>
  <si>
    <t>Interactions!$E$11</t>
  </si>
  <si>
    <t>Interactions!$F$11</t>
  </si>
  <si>
    <t>Interactions!$G$11</t>
  </si>
  <si>
    <t>Interactions!$H$11</t>
  </si>
  <si>
    <t>Interactions!$I$11</t>
  </si>
  <si>
    <t>Interactions!$J$11</t>
  </si>
  <si>
    <t>Interactions!$K$11</t>
  </si>
  <si>
    <t>Interactions!$L$11</t>
  </si>
  <si>
    <t>Interactions!$M$11</t>
  </si>
  <si>
    <t>Interactions!$B$12</t>
  </si>
  <si>
    <t>Interactions!$C$12</t>
  </si>
  <si>
    <t>Interactions!$D$12</t>
  </si>
  <si>
    <t>Interactions!$E$12</t>
  </si>
  <si>
    <t>Interactions!$F$12</t>
  </si>
  <si>
    <t>Interactions!$G$12</t>
  </si>
  <si>
    <t>Interactions!$H$12</t>
  </si>
  <si>
    <t>Interactions!$I$12</t>
  </si>
  <si>
    <t>Interactions!$J$12</t>
  </si>
  <si>
    <t>Interactions!$K$12</t>
  </si>
  <si>
    <t>Interactions!$L$12</t>
  </si>
  <si>
    <t>Interactions!$M$12</t>
  </si>
  <si>
    <t>Interactions!$B$13</t>
  </si>
  <si>
    <t>Interactions!$C$13</t>
  </si>
  <si>
    <t>Interactions!$D$13</t>
  </si>
  <si>
    <t>Interactions!$E$13</t>
  </si>
  <si>
    <t>Interactions!$F$13</t>
  </si>
  <si>
    <t>Interactions!$G$13</t>
  </si>
  <si>
    <t>Interactions!$H$13</t>
  </si>
  <si>
    <t>Interactions!$I$13</t>
  </si>
  <si>
    <t>Interactions!$J$13</t>
  </si>
  <si>
    <t>Interactions!$K$13</t>
  </si>
  <si>
    <t>Interactions!$L$13</t>
  </si>
  <si>
    <t>Interactions!$M$13</t>
  </si>
  <si>
    <t>Interactions!$B$14</t>
  </si>
  <si>
    <t>Interactions!$C$14</t>
  </si>
  <si>
    <t>Interactions!$D$14</t>
  </si>
  <si>
    <t>Interactions!$E$14</t>
  </si>
  <si>
    <t>Interactions!$F$14</t>
  </si>
  <si>
    <t>Interactions!$G$14</t>
  </si>
  <si>
    <t>Interactions!$H$14</t>
  </si>
  <si>
    <t>Interactions!$I$14</t>
  </si>
  <si>
    <t>Interactions!$J$14</t>
  </si>
  <si>
    <t>Interactions!$K$14</t>
  </si>
  <si>
    <t>Interactions!$L$14</t>
  </si>
  <si>
    <t>Interactions!$M$14</t>
  </si>
  <si>
    <t>Interactions!$B$15</t>
  </si>
  <si>
    <t>Interactions!$C$15</t>
  </si>
  <si>
    <t>Interactions!$D$15</t>
  </si>
  <si>
    <t>Interactions!$E$15</t>
  </si>
  <si>
    <t>Interactions!$F$15</t>
  </si>
  <si>
    <t>Interactions!$G$15</t>
  </si>
  <si>
    <t>Interactions!$H$15</t>
  </si>
  <si>
    <t>Interactions!$I$15</t>
  </si>
  <si>
    <t>Interactions!$J$15</t>
  </si>
  <si>
    <t>Interactions!$K$15</t>
  </si>
  <si>
    <t>Interactions!$L$15</t>
  </si>
  <si>
    <t>Interactions!$M$15</t>
  </si>
  <si>
    <t>Interactions!$B$16</t>
  </si>
  <si>
    <t>Interactions!$C$16</t>
  </si>
  <si>
    <t>Interactions!$D$16</t>
  </si>
  <si>
    <t>Interactions!$E$16</t>
  </si>
  <si>
    <t>Interactions!$F$16</t>
  </si>
  <si>
    <t>Interactions!$G$16</t>
  </si>
  <si>
    <t>Interactions!$H$16</t>
  </si>
  <si>
    <t>Interactions!$I$16</t>
  </si>
  <si>
    <t>Interactions!$J$16</t>
  </si>
  <si>
    <t>Interactions!$K$16</t>
  </si>
  <si>
    <t>Interactions!$L$16</t>
  </si>
  <si>
    <t>Interactions!$M$16</t>
  </si>
  <si>
    <t>age</t>
  </si>
  <si>
    <t>Aging</t>
  </si>
  <si>
    <t>Transfers!$C$5</t>
  </si>
  <si>
    <t>Transfers!$D$5</t>
  </si>
  <si>
    <t>Transfers!$E$5</t>
  </si>
  <si>
    <t>Transfers!$F$5</t>
  </si>
  <si>
    <t>Transfers!$G$5</t>
  </si>
  <si>
    <t>Transfers!$H$5</t>
  </si>
  <si>
    <t>Transfers!$I$5</t>
  </si>
  <si>
    <t>Transfers!$J$5</t>
  </si>
  <si>
    <t>Transfers!$K$5</t>
  </si>
  <si>
    <t>Transfers!$L$5</t>
  </si>
  <si>
    <t>Transfers!$M$5</t>
  </si>
  <si>
    <t>Transfers!$B$6</t>
  </si>
  <si>
    <t>Transfers!$D$6</t>
  </si>
  <si>
    <t>Transfers!$E$6</t>
  </si>
  <si>
    <t>Transfers!$F$6</t>
  </si>
  <si>
    <t>Transfers!$G$6</t>
  </si>
  <si>
    <t>Transfers!$H$6</t>
  </si>
  <si>
    <t>Transfers!$I$6</t>
  </si>
  <si>
    <t>Transfers!$J$6</t>
  </si>
  <si>
    <t>Transfers!$K$6</t>
  </si>
  <si>
    <t>Transfers!$L$6</t>
  </si>
  <si>
    <t>Transfers!$M$6</t>
  </si>
  <si>
    <t>Transfers!$B$7</t>
  </si>
  <si>
    <t>Transfers!$C$7</t>
  </si>
  <si>
    <t>Transfers!$E$7</t>
  </si>
  <si>
    <t>Transfers!$F$7</t>
  </si>
  <si>
    <t>Number (years)</t>
  </si>
  <si>
    <t>Transfers!$G$7</t>
  </si>
  <si>
    <t>Transfers!$H$7</t>
  </si>
  <si>
    <t>Transfers!$I$7</t>
  </si>
  <si>
    <t>Transfers!$J$7</t>
  </si>
  <si>
    <t>Transfers!$K$7</t>
  </si>
  <si>
    <t>Transfers!$L$7</t>
  </si>
  <si>
    <t>Transfers!$M$7</t>
  </si>
  <si>
    <t>Transfers!$B$8</t>
  </si>
  <si>
    <t>Transfers!$C$8</t>
  </si>
  <si>
    <t>Transfers!$D$8</t>
  </si>
  <si>
    <t>Transfers!$F$8</t>
  </si>
  <si>
    <t>Transfers!$G$8</t>
  </si>
  <si>
    <t>Transfers!$H$8</t>
  </si>
  <si>
    <t>Transfers!$I$8</t>
  </si>
  <si>
    <t>Transfers!$J$8</t>
  </si>
  <si>
    <t>Transfers!$K$8</t>
  </si>
  <si>
    <t>Transfers!$L$8</t>
  </si>
  <si>
    <t>Transfers!$M$8</t>
  </si>
  <si>
    <t>Transfers!$B$9</t>
  </si>
  <si>
    <t>Transfers!$C$9</t>
  </si>
  <si>
    <t>Transfers!$D$9</t>
  </si>
  <si>
    <t>Transfers!$E$9</t>
  </si>
  <si>
    <t>Transfers!$G$9</t>
  </si>
  <si>
    <t>Transfers!$H$9</t>
  </si>
  <si>
    <t>Transfers!$I$9</t>
  </si>
  <si>
    <t>Transfers!$J$9</t>
  </si>
  <si>
    <t>Transfers!$K$9</t>
  </si>
  <si>
    <t>Transfers!$L$9</t>
  </si>
  <si>
    <t>Transfers!$M$9</t>
  </si>
  <si>
    <t>Transfers!$B$10</t>
  </si>
  <si>
    <t>Transfers!$C$10</t>
  </si>
  <si>
    <t>Transfers!$D$10</t>
  </si>
  <si>
    <t>Transfers!$E$10</t>
  </si>
  <si>
    <t>Transfers!$F$10</t>
  </si>
  <si>
    <t>Transfers!$H$10</t>
  </si>
  <si>
    <t>Transfers!$I$10</t>
  </si>
  <si>
    <t>Transfers!$J$10</t>
  </si>
  <si>
    <t>Transfers!$K$10</t>
  </si>
  <si>
    <t>Transfers!$L$10</t>
  </si>
  <si>
    <t>Transfers!$M$10</t>
  </si>
  <si>
    <t>Transfers!$B$11</t>
  </si>
  <si>
    <t>Transfers!$C$11</t>
  </si>
  <si>
    <t>Transfers!$D$11</t>
  </si>
  <si>
    <t>Transfers!$E$11</t>
  </si>
  <si>
    <t>Transfers!$F$11</t>
  </si>
  <si>
    <t>Transfers!$G$11</t>
  </si>
  <si>
    <t>Transfers!$I$11</t>
  </si>
  <si>
    <t>Transfers!$J$11</t>
  </si>
  <si>
    <t>Transfers!$K$11</t>
  </si>
  <si>
    <t>Transfers!$L$11</t>
  </si>
  <si>
    <t>Transfers!$M$11</t>
  </si>
  <si>
    <t>Transfers!$B$12</t>
  </si>
  <si>
    <t>Transfers!$C$12</t>
  </si>
  <si>
    <t>Transfers!$D$12</t>
  </si>
  <si>
    <t>Transfers!$E$12</t>
  </si>
  <si>
    <t>Transfers!$F$12</t>
  </si>
  <si>
    <t>Transfers!$G$12</t>
  </si>
  <si>
    <t>Transfers!$H$12</t>
  </si>
  <si>
    <t>Transfers!$J$12</t>
  </si>
  <si>
    <t>Transfers!$K$12</t>
  </si>
  <si>
    <t>Transfers!$L$12</t>
  </si>
  <si>
    <t>Transfers!$M$12</t>
  </si>
  <si>
    <t>Transfers!$B$13</t>
  </si>
  <si>
    <t>Transfers!$C$13</t>
  </si>
  <si>
    <t>Transfers!$D$13</t>
  </si>
  <si>
    <t>Transfers!$E$13</t>
  </si>
  <si>
    <t>Transfers!$F$13</t>
  </si>
  <si>
    <t>Transfers!$G$13</t>
  </si>
  <si>
    <t>Transfers!$H$13</t>
  </si>
  <si>
    <t>Transfers!$I$13</t>
  </si>
  <si>
    <t>Transfers!$K$13</t>
  </si>
  <si>
    <t>Transfers!$L$13</t>
  </si>
  <si>
    <t>Transfers!$M$13</t>
  </si>
  <si>
    <t>Transfers!$B$14</t>
  </si>
  <si>
    <t>Transfers!$C$14</t>
  </si>
  <si>
    <t>Transfers!$D$14</t>
  </si>
  <si>
    <t>Transfers!$E$14</t>
  </si>
  <si>
    <t>Transfers!$F$14</t>
  </si>
  <si>
    <t>Transfers!$G$14</t>
  </si>
  <si>
    <t>Transfers!$H$14</t>
  </si>
  <si>
    <t>Transfers!$I$14</t>
  </si>
  <si>
    <t>Transfers!$J$14</t>
  </si>
  <si>
    <t>Transfers!$L$14</t>
  </si>
  <si>
    <t>Transfers!$M$14</t>
  </si>
  <si>
    <t>Transfers!$B$15</t>
  </si>
  <si>
    <t>Transfers!$C$15</t>
  </si>
  <si>
    <t>Transfers!$D$15</t>
  </si>
  <si>
    <t>Transfers!$E$15</t>
  </si>
  <si>
    <t>Transfers!$F$15</t>
  </si>
  <si>
    <t>Transfers!$G$15</t>
  </si>
  <si>
    <t>Transfers!$H$15</t>
  </si>
  <si>
    <t>Transfers!$I$15</t>
  </si>
  <si>
    <t>Transfers!$J$15</t>
  </si>
  <si>
    <t>Transfers!$K$15</t>
  </si>
  <si>
    <t>Transfers!$M$15</t>
  </si>
  <si>
    <t>Transfers!$B$16</t>
  </si>
  <si>
    <t>Transfers!$C$16</t>
  </si>
  <si>
    <t>Transfers!$D$16</t>
  </si>
  <si>
    <t>Transfers!$E$16</t>
  </si>
  <si>
    <t>Transfers!$F$16</t>
  </si>
  <si>
    <t>Transfers!$G$16</t>
  </si>
  <si>
    <t>Transfers!$H$16</t>
  </si>
  <si>
    <t>Transfers!$I$16</t>
  </si>
  <si>
    <t>Transfers!$J$16</t>
  </si>
  <si>
    <t>Transfers!$K$16</t>
  </si>
  <si>
    <t>Transfers!$L$16</t>
  </si>
  <si>
    <t>idu_status</t>
  </si>
  <si>
    <t>Injecting Drug Use Relapse or Cessation</t>
  </si>
  <si>
    <t>Transfers!$C$168</t>
  </si>
  <si>
    <t>Transfers!$D$168</t>
  </si>
  <si>
    <t>Transfers!$E$168</t>
  </si>
  <si>
    <t>Transfers!$F$168</t>
  </si>
  <si>
    <t>Transfers!$G$168</t>
  </si>
  <si>
    <t>Transfers!$H$168</t>
  </si>
  <si>
    <t>Transfers!$I$168</t>
  </si>
  <si>
    <t>Transfers!$J$168</t>
  </si>
  <si>
    <t>Transfers!$K$168</t>
  </si>
  <si>
    <t>Transfers!$L$168</t>
  </si>
  <si>
    <t>Transfers!$M$168</t>
  </si>
  <si>
    <t>Transfers!$B$169</t>
  </si>
  <si>
    <t>Transfers!$D$169</t>
  </si>
  <si>
    <t>Transfers!$E$169</t>
  </si>
  <si>
    <t>Transfers!$F$169</t>
  </si>
  <si>
    <t>Transfers!$G$169</t>
  </si>
  <si>
    <t>Transfers!$H$169</t>
  </si>
  <si>
    <t>Transfers!$I$169</t>
  </si>
  <si>
    <t>Transfers!$J$169</t>
  </si>
  <si>
    <t>Transfers!$K$169</t>
  </si>
  <si>
    <t>Transfers!$L$169</t>
  </si>
  <si>
    <t>Transfers!$M$169</t>
  </si>
  <si>
    <t>Transfers!$B$170</t>
  </si>
  <si>
    <t>Transfers!$C$170</t>
  </si>
  <si>
    <t>Transfers!$E$170</t>
  </si>
  <si>
    <t>Transfers!$F$170</t>
  </si>
  <si>
    <t>Transfers!$G$170</t>
  </si>
  <si>
    <t>Transfers!$H$170</t>
  </si>
  <si>
    <t>Transfers!$I$170</t>
  </si>
  <si>
    <t>Transfers!$J$170</t>
  </si>
  <si>
    <t>Transfers!$K$170</t>
  </si>
  <si>
    <t>Transfers!$L$170</t>
  </si>
  <si>
    <t>Transfers!$M$170</t>
  </si>
  <si>
    <t>Transfers!$B$171</t>
  </si>
  <si>
    <t>Transfers!$C$171</t>
  </si>
  <si>
    <t>Transfers!$D$171</t>
  </si>
  <si>
    <t>Transfers!$F$171</t>
  </si>
  <si>
    <t>Transfers!$G$171</t>
  </si>
  <si>
    <t>Transfers!$H$171</t>
  </si>
  <si>
    <t>Transfers!$I$171</t>
  </si>
  <si>
    <t>Transfers!$J$171</t>
  </si>
  <si>
    <t>Transfers!$K$171</t>
  </si>
  <si>
    <t>Transfers!$L$171</t>
  </si>
  <si>
    <t>Transfers!$M$171</t>
  </si>
  <si>
    <t>Transfers!$B$172</t>
  </si>
  <si>
    <t>Transfers!$C$172</t>
  </si>
  <si>
    <t>Transfers!$D$172</t>
  </si>
  <si>
    <t>Transfers!$E$172</t>
  </si>
  <si>
    <t>Transfers!$G$172</t>
  </si>
  <si>
    <t>Transfers!$H$172</t>
  </si>
  <si>
    <t>Transfers!$I$172</t>
  </si>
  <si>
    <t>Transfers!$J$172</t>
  </si>
  <si>
    <t>Transfers!$K$172</t>
  </si>
  <si>
    <t>Transfers!$L$172</t>
  </si>
  <si>
    <t>Transfers!$M$172</t>
  </si>
  <si>
    <t>Transfers!$B$173</t>
  </si>
  <si>
    <t>Transfers!$C$173</t>
  </si>
  <si>
    <t>Transfers!$D$173</t>
  </si>
  <si>
    <t>Transfers!$E$173</t>
  </si>
  <si>
    <t>Transfers!$F$173</t>
  </si>
  <si>
    <t>Transfers!$H$173</t>
  </si>
  <si>
    <t>Transfers!$I$173</t>
  </si>
  <si>
    <t>Transfers!$J$173</t>
  </si>
  <si>
    <t>Transfers!$K$173</t>
  </si>
  <si>
    <t>Transfers!$L$173</t>
  </si>
  <si>
    <t>Transfers!$M$173</t>
  </si>
  <si>
    <t>Transfers!$B$174</t>
  </si>
  <si>
    <t>Transfers!$C$174</t>
  </si>
  <si>
    <t>Transfers!$D$174</t>
  </si>
  <si>
    <t>Transfers!$E$174</t>
  </si>
  <si>
    <t>Transfers!$F$174</t>
  </si>
  <si>
    <t>Transfers!$G$174</t>
  </si>
  <si>
    <t>Transfers!$I$174</t>
  </si>
  <si>
    <t>Transfers!$J$174</t>
  </si>
  <si>
    <t>Transfers!$K$174</t>
  </si>
  <si>
    <t>Transfers!$L$174</t>
  </si>
  <si>
    <t>Transfers!$M$174</t>
  </si>
  <si>
    <t>Transfers!$B$175</t>
  </si>
  <si>
    <t>Transfers!$C$175</t>
  </si>
  <si>
    <t>Transfers!$D$175</t>
  </si>
  <si>
    <t>Transfers!$E$175</t>
  </si>
  <si>
    <t>Transfers!$F$175</t>
  </si>
  <si>
    <t>Transfers!$G$175</t>
  </si>
  <si>
    <t>Transfers!$H$175</t>
  </si>
  <si>
    <t>Transfers!$J$175</t>
  </si>
  <si>
    <t>Transfers!$K$175</t>
  </si>
  <si>
    <t>Transfers!$L$175</t>
  </si>
  <si>
    <t>Transfers!$M$175</t>
  </si>
  <si>
    <t>Transfers!$B$176</t>
  </si>
  <si>
    <t>Transfers!$C$176</t>
  </si>
  <si>
    <t>Transfers!$D$176</t>
  </si>
  <si>
    <t>Transfers!$E$176</t>
  </si>
  <si>
    <t>Transfers!$F$176</t>
  </si>
  <si>
    <t>Transfers!$G$176</t>
  </si>
  <si>
    <t>Transfers!$H$176</t>
  </si>
  <si>
    <t>Transfers!$I$176</t>
  </si>
  <si>
    <t>Transfers!$K$176</t>
  </si>
  <si>
    <t>Transfers!$L$176</t>
  </si>
  <si>
    <t>Transfers!$M$176</t>
  </si>
  <si>
    <t>Transfers!$B$177</t>
  </si>
  <si>
    <t>Transfers!$C$177</t>
  </si>
  <si>
    <t>Transfers!$D$177</t>
  </si>
  <si>
    <t>Transfers!$E$177</t>
  </si>
  <si>
    <t>Transfers!$F$177</t>
  </si>
  <si>
    <t>Transfers!$G$177</t>
  </si>
  <si>
    <t>Transfers!$H$177</t>
  </si>
  <si>
    <t>Transfers!$I$177</t>
  </si>
  <si>
    <t>Transfers!$J$177</t>
  </si>
  <si>
    <t>Transfers!$L$177</t>
  </si>
  <si>
    <t>Transfers!$M$177</t>
  </si>
  <si>
    <t>Transfers!$B$178</t>
  </si>
  <si>
    <t>Transfers!$C$178</t>
  </si>
  <si>
    <t>Transfers!$D$178</t>
  </si>
  <si>
    <t>Transfers!$E$178</t>
  </si>
  <si>
    <t>Transfers!$F$178</t>
  </si>
  <si>
    <t>Transfers!$G$178</t>
  </si>
  <si>
    <t>Transfers!$H$178</t>
  </si>
  <si>
    <t>Transfers!$I$178</t>
  </si>
  <si>
    <t>Transfers!$J$178</t>
  </si>
  <si>
    <t>Transfers!$K$178</t>
  </si>
  <si>
    <t>Transfers!$M$178</t>
  </si>
  <si>
    <t>Transfers!$B$179</t>
  </si>
  <si>
    <t>Transfers!$C$179</t>
  </si>
  <si>
    <t>Transfers!$D$179</t>
  </si>
  <si>
    <t>Transfers!$E$179</t>
  </si>
  <si>
    <t>Transfers!$F$179</t>
  </si>
  <si>
    <t>Transfers!$G$179</t>
  </si>
  <si>
    <t>Transfers!$H$179</t>
  </si>
  <si>
    <t>Transfers!$I$179</t>
  </si>
  <si>
    <t>Transfers!$J$179</t>
  </si>
  <si>
    <t>Transfers!$K$179</t>
  </si>
  <si>
    <t>Transfers!$L$179</t>
  </si>
  <si>
    <t>inc</t>
  </si>
  <si>
    <t>Incarceration</t>
  </si>
  <si>
    <t>Transfers!$C$331</t>
  </si>
  <si>
    <t>Transfers!$D$331</t>
  </si>
  <si>
    <t>Transfers!$E$331</t>
  </si>
  <si>
    <t>Transfers!$F$331</t>
  </si>
  <si>
    <t>Transfers!$G$331</t>
  </si>
  <si>
    <t>Transfers!$H$331</t>
  </si>
  <si>
    <t>Transfers!$I$331</t>
  </si>
  <si>
    <t>Transfers!$J$331</t>
  </si>
  <si>
    <t>Transfers!$K$331</t>
  </si>
  <si>
    <t>Transfers!$L$331</t>
  </si>
  <si>
    <t>Transfers!$M$331</t>
  </si>
  <si>
    <t>Transfers!$B$332</t>
  </si>
  <si>
    <t>Transfers!$D$332</t>
  </si>
  <si>
    <t>Transfers!$E$332</t>
  </si>
  <si>
    <t>Transfers!$F$332</t>
  </si>
  <si>
    <t>Transfers!$G$332</t>
  </si>
  <si>
    <t>Transfers!$H$332</t>
  </si>
  <si>
    <t>Transfers!$I$332</t>
  </si>
  <si>
    <t>Transfers!$J$332</t>
  </si>
  <si>
    <t>Transfers!$K$332</t>
  </si>
  <si>
    <t>Transfers!$L$332</t>
  </si>
  <si>
    <t>Transfers!$M$332</t>
  </si>
  <si>
    <t>Transfers!$B$333</t>
  </si>
  <si>
    <t>Transfers!$C$333</t>
  </si>
  <si>
    <t>Transfers!$E$333</t>
  </si>
  <si>
    <t>Transfers!$F$333</t>
  </si>
  <si>
    <t>Transfers!$G$333</t>
  </si>
  <si>
    <t>Transfers!$H$333</t>
  </si>
  <si>
    <t>Transfers!$I$333</t>
  </si>
  <si>
    <t>Transfers!$J$333</t>
  </si>
  <si>
    <t>Transfers!$K$333</t>
  </si>
  <si>
    <t>Transfers!$L$333</t>
  </si>
  <si>
    <t>Transfers!$M$333</t>
  </si>
  <si>
    <t>Transfers!$B$334</t>
  </si>
  <si>
    <t>Transfers!$C$334</t>
  </si>
  <si>
    <t>Transfers!$D$334</t>
  </si>
  <si>
    <t>Transfers!$F$334</t>
  </si>
  <si>
    <t>Transfers!$G$334</t>
  </si>
  <si>
    <t>Transfers!$H$334</t>
  </si>
  <si>
    <t>Transfers!$I$334</t>
  </si>
  <si>
    <t>Transfers!$J$334</t>
  </si>
  <si>
    <t>Transfers!$K$334</t>
  </si>
  <si>
    <t>Transfers!$L$334</t>
  </si>
  <si>
    <t>Transfers!$M$334</t>
  </si>
  <si>
    <t>Transfers!$B$335</t>
  </si>
  <si>
    <t>Transfers!$C$335</t>
  </si>
  <si>
    <t>Transfers!$D$335</t>
  </si>
  <si>
    <t>Transfers!$E$335</t>
  </si>
  <si>
    <t>Transfers!$G$335</t>
  </si>
  <si>
    <t>Transfers!$H$335</t>
  </si>
  <si>
    <t>Transfers!$I$335</t>
  </si>
  <si>
    <t>Transfers!$J$335</t>
  </si>
  <si>
    <t>Transfers!$K$335</t>
  </si>
  <si>
    <t>Transfers!$L$335</t>
  </si>
  <si>
    <t>Transfers!$M$335</t>
  </si>
  <si>
    <t>Transfers!$B$336</t>
  </si>
  <si>
    <t>Transfers!$C$336</t>
  </si>
  <si>
    <t>Transfers!$D$336</t>
  </si>
  <si>
    <t>Transfers!$E$336</t>
  </si>
  <si>
    <t>Transfers!$F$336</t>
  </si>
  <si>
    <t>Transfers!$H$336</t>
  </si>
  <si>
    <t>Transfers!$I$336</t>
  </si>
  <si>
    <t>Transfers!$J$336</t>
  </si>
  <si>
    <t>Transfers!$K$336</t>
  </si>
  <si>
    <t>Transfers!$L$336</t>
  </si>
  <si>
    <t>Transfers!$M$336</t>
  </si>
  <si>
    <t>Transfers!$B$337</t>
  </si>
  <si>
    <t>Transfers!$C$337</t>
  </si>
  <si>
    <t>Transfers!$D$337</t>
  </si>
  <si>
    <t>Transfers!$E$337</t>
  </si>
  <si>
    <t>Transfers!$F$337</t>
  </si>
  <si>
    <t>Transfers!$G$337</t>
  </si>
  <si>
    <t>Transfers!$I$337</t>
  </si>
  <si>
    <t>Transfers!$J$337</t>
  </si>
  <si>
    <t>Transfers!$K$337</t>
  </si>
  <si>
    <t>Transfers!$L$337</t>
  </si>
  <si>
    <t>Transfers!$M$337</t>
  </si>
  <si>
    <t>Transfers!$B$338</t>
  </si>
  <si>
    <t>Transfers!$C$338</t>
  </si>
  <si>
    <t>Transfers!$D$338</t>
  </si>
  <si>
    <t>Transfers!$E$338</t>
  </si>
  <si>
    <t>Transfers!$F$338</t>
  </si>
  <si>
    <t>Transfers!$G$338</t>
  </si>
  <si>
    <t>Transfers!$H$338</t>
  </si>
  <si>
    <t>Transfers!$J$338</t>
  </si>
  <si>
    <t>Transfers!$K$338</t>
  </si>
  <si>
    <t>Transfers!$L$338</t>
  </si>
  <si>
    <t>Transfers!$M$338</t>
  </si>
  <si>
    <t>Transfers!$B$339</t>
  </si>
  <si>
    <t>Transfers!$C$339</t>
  </si>
  <si>
    <t>Transfers!$D$339</t>
  </si>
  <si>
    <t>Transfers!$E$339</t>
  </si>
  <si>
    <t>Transfers!$F$339</t>
  </si>
  <si>
    <t>Transfers!$G$339</t>
  </si>
  <si>
    <t>Transfers!$H$339</t>
  </si>
  <si>
    <t>Transfers!$I$339</t>
  </si>
  <si>
    <t>Transfers!$K$339</t>
  </si>
  <si>
    <t>Transfers!$L$339</t>
  </si>
  <si>
    <t>Transfers!$M$339</t>
  </si>
  <si>
    <t>Transfers!$B$340</t>
  </si>
  <si>
    <t>Transfers!$C$340</t>
  </si>
  <si>
    <t>Transfers!$D$340</t>
  </si>
  <si>
    <t>Transfers!$E$340</t>
  </si>
  <si>
    <t>Transfers!$F$340</t>
  </si>
  <si>
    <t>Transfers!$G$340</t>
  </si>
  <si>
    <t>Transfers!$H$340</t>
  </si>
  <si>
    <t>Transfers!$I$340</t>
  </si>
  <si>
    <t>Transfers!$J$340</t>
  </si>
  <si>
    <t>Transfers!$L$340</t>
  </si>
  <si>
    <t>Transfers!$M$340</t>
  </si>
  <si>
    <t>Transfers!$B$341</t>
  </si>
  <si>
    <t>Transfers!$C$341</t>
  </si>
  <si>
    <t>Transfers!$D$341</t>
  </si>
  <si>
    <t>Transfers!$E$341</t>
  </si>
  <si>
    <t>Transfers!$F$341</t>
  </si>
  <si>
    <t>Transfers!$G$341</t>
  </si>
  <si>
    <t>Transfers!$H$341</t>
  </si>
  <si>
    <t>Transfers!$I$341</t>
  </si>
  <si>
    <t>Transfers!$J$341</t>
  </si>
  <si>
    <t>Transfers!$K$341</t>
  </si>
  <si>
    <t>Transfers!$M$341</t>
  </si>
  <si>
    <t>Transfers!$B$342</t>
  </si>
  <si>
    <t>Transfers!$C$342</t>
  </si>
  <si>
    <t>Transfers!$D$342</t>
  </si>
  <si>
    <t>Transfers!$E$342</t>
  </si>
  <si>
    <t>Transfers!$F$342</t>
  </si>
  <si>
    <t>Transfers!$G$342</t>
  </si>
  <si>
    <t>Transfers!$H$342</t>
  </si>
  <si>
    <t>Transfers!$I$342</t>
  </si>
  <si>
    <t>Transfers!$J$342</t>
  </si>
  <si>
    <t>Transfers!$K$342</t>
  </si>
  <si>
    <t>Transfers!$L$342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</si>
</sst>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98E0FA"/>
        <bgColor indexed="64"/>
      </patternFill>
    </fill>
    <fill>
      <patternFill patternType="solid">
        <fgColor rgb="FFEEEEEE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2" borderId="1" xfId="0" applyFill="1" applyBorder="1" applyProtection="1">
      <protection locked="0"/>
    </xf>
    <xf numFmtId="0" fontId="0" fillId="3" borderId="2" xfId="0" applyFill="1" applyBorder="1"/>
    <xf numFmtId="0" fontId="0" fillId="0" borderId="0" xfId="0" applyAlignment="1">
      <alignment horizontal="center"/>
    </xf>
    <xf numFmtId="0" fontId="0" fillId="2" borderId="1" xfId="0" applyFill="1" applyBorder="1" applyAlignment="1" applyProtection="1">
      <alignment horizontal="center"/>
      <protection locked="0"/>
    </xf>
  </cellXfs>
  <cellStyles count="1">
    <cellStyle name="Normal" xfId="0" builtinId="0"/>
  </cellStyles>
  <dxfs count="5"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C13"/>
  <sheetViews>
    <sheetView tabSelected="1" workbookViewId="0"/>
  </sheetViews>
  <sheetFormatPr defaultRowHeight="15"/>
  <cols>
    <col min="1" max="1" width="20.42578125" customWidth="1"/>
    <col min="2" max="2" width="38" customWidth="1"/>
    <col min="3" max="3" width="18.28515625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2" t="s">
        <v>4</v>
      </c>
      <c r="C2" s="3" t="s">
        <v>5</v>
      </c>
    </row>
    <row r="3" spans="1:3">
      <c r="A3" s="2" t="s">
        <v>6</v>
      </c>
      <c r="B3" s="2" t="s">
        <v>7</v>
      </c>
      <c r="C3" s="3" t="s">
        <v>5</v>
      </c>
    </row>
    <row r="4" spans="1:3">
      <c r="A4" s="2" t="s">
        <v>8</v>
      </c>
      <c r="B4" s="2" t="s">
        <v>9</v>
      </c>
      <c r="C4" s="3" t="s">
        <v>5</v>
      </c>
    </row>
    <row r="5" spans="1:3">
      <c r="A5" s="2" t="s">
        <v>10</v>
      </c>
      <c r="B5" s="2" t="s">
        <v>11</v>
      </c>
      <c r="C5" s="3" t="s">
        <v>5</v>
      </c>
    </row>
    <row r="6" spans="1:3">
      <c r="A6" s="2" t="s">
        <v>12</v>
      </c>
      <c r="B6" s="2" t="s">
        <v>13</v>
      </c>
      <c r="C6" s="3" t="s">
        <v>5</v>
      </c>
    </row>
    <row r="7" spans="1:3">
      <c r="A7" s="2" t="s">
        <v>14</v>
      </c>
      <c r="B7" s="2" t="s">
        <v>15</v>
      </c>
      <c r="C7" s="3" t="s">
        <v>5</v>
      </c>
    </row>
    <row r="8" spans="1:3">
      <c r="A8" s="2" t="s">
        <v>16</v>
      </c>
      <c r="B8" s="2" t="s">
        <v>17</v>
      </c>
      <c r="C8" s="3" t="s">
        <v>5</v>
      </c>
    </row>
    <row r="9" spans="1:3">
      <c r="A9" s="2" t="s">
        <v>18</v>
      </c>
      <c r="B9" s="2" t="s">
        <v>19</v>
      </c>
      <c r="C9" s="3" t="s">
        <v>5</v>
      </c>
    </row>
    <row r="10" spans="1:3">
      <c r="A10" s="2" t="s">
        <v>20</v>
      </c>
      <c r="B10" s="2" t="s">
        <v>21</v>
      </c>
      <c r="C10" s="3" t="s">
        <v>5</v>
      </c>
    </row>
    <row r="11" spans="1:3">
      <c r="A11" s="2" t="s">
        <v>22</v>
      </c>
      <c r="B11" s="2" t="s">
        <v>23</v>
      </c>
      <c r="C11" s="3" t="s">
        <v>5</v>
      </c>
    </row>
    <row r="12" spans="1:3">
      <c r="A12" s="2" t="s">
        <v>24</v>
      </c>
      <c r="B12" s="2" t="s">
        <v>25</v>
      </c>
      <c r="C12" s="3" t="s">
        <v>5</v>
      </c>
    </row>
    <row r="13" spans="1:3">
      <c r="A13" s="2" t="s">
        <v>26</v>
      </c>
      <c r="B13" s="2" t="s">
        <v>27</v>
      </c>
      <c r="C13" s="3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81"/>
  <sheetViews>
    <sheetView workbookViewId="0"/>
  </sheetViews>
  <sheetFormatPr defaultRowHeight="15"/>
  <cols>
    <col min="1" max="1" width="53.42578125" customWidth="1"/>
    <col min="2" max="3" width="12.7109375" customWidth="1"/>
    <col min="4" max="4" width="13.85546875" customWidth="1"/>
    <col min="5" max="5" width="10.5703125" customWidth="1"/>
    <col min="6" max="57" width="9.42578125" customWidth="1"/>
  </cols>
  <sheetData>
    <row r="1" spans="1:55">
      <c r="A1" s="1" t="s">
        <v>28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5">
      <c r="A2" s="1" t="str">
        <f>'Population Definitions'!$A$2</f>
        <v>PWID_males</v>
      </c>
      <c r="C2" t="s">
        <v>32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5">
      <c r="A3" s="1" t="str">
        <f>'Population Definitions'!$A$3</f>
        <v>PWID_females</v>
      </c>
      <c r="C3" t="s">
        <v>32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5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5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5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5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5">
      <c r="A8" s="1" t="str">
        <f>'Population Definitions'!$A$8</f>
        <v>18-64_males</v>
      </c>
      <c r="C8" t="s">
        <v>32</v>
      </c>
      <c r="D8" s="3"/>
      <c r="E8" s="3">
        <v>7592.580197623096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5">
      <c r="A9" s="1" t="str">
        <f>'Population Definitions'!$A$9</f>
        <v>18-64_females</v>
      </c>
      <c r="C9" t="s">
        <v>32</v>
      </c>
      <c r="D9" s="3"/>
      <c r="E9" s="3">
        <v>7558.041553977195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5">
      <c r="A10" s="1" t="str">
        <f>'Population Definitions'!$A$10</f>
        <v>65+_males</v>
      </c>
      <c r="C10" t="s">
        <v>32</v>
      </c>
      <c r="D10" s="3"/>
      <c r="E10" s="3">
        <v>389.980989010932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5">
      <c r="A11" s="1" t="str">
        <f>'Population Definitions'!$A$11</f>
        <v>65+_females</v>
      </c>
      <c r="C11" t="s">
        <v>32</v>
      </c>
      <c r="D11" s="3"/>
      <c r="E11" s="3">
        <v>381.9304244887815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5">
      <c r="A12" s="1" t="str">
        <f>'Population Definitions'!$A$12</f>
        <v>Prisoners_males</v>
      </c>
      <c r="C12" t="s">
        <v>32</v>
      </c>
      <c r="D12" s="3"/>
      <c r="E12" s="3">
        <v>1.346554438195378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5">
      <c r="A13" s="1" t="str">
        <f>'Population Definitions'!$A$13</f>
        <v>Prisoners_females</v>
      </c>
      <c r="C13" t="s">
        <v>32</v>
      </c>
      <c r="D13" s="3"/>
      <c r="E13" s="3">
        <v>0.1202804617995871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5">
      <c r="A15" s="1" t="s">
        <v>33</v>
      </c>
      <c r="B15" s="1" t="s">
        <v>29</v>
      </c>
      <c r="C15" s="1" t="s">
        <v>30</v>
      </c>
      <c r="D15" s="1" t="s">
        <v>31</v>
      </c>
      <c r="E15" s="1">
        <v>2000</v>
      </c>
      <c r="F15" s="1">
        <v>2001</v>
      </c>
      <c r="G15" s="1">
        <v>2002</v>
      </c>
      <c r="H15" s="1">
        <v>2003</v>
      </c>
      <c r="I15" s="1">
        <v>2004</v>
      </c>
      <c r="J15" s="1">
        <v>2005</v>
      </c>
      <c r="K15" s="1">
        <v>2006</v>
      </c>
      <c r="L15" s="1">
        <v>2007</v>
      </c>
      <c r="M15" s="1">
        <v>2008</v>
      </c>
      <c r="N15" s="1">
        <v>2009</v>
      </c>
      <c r="O15" s="1">
        <v>2010</v>
      </c>
      <c r="P15" s="1">
        <v>2011</v>
      </c>
      <c r="Q15" s="1">
        <v>2012</v>
      </c>
      <c r="R15" s="1">
        <v>2013</v>
      </c>
      <c r="S15" s="1">
        <v>2014</v>
      </c>
      <c r="T15" s="1">
        <v>2015</v>
      </c>
      <c r="U15" s="1">
        <v>2016</v>
      </c>
      <c r="V15" s="1">
        <v>2017</v>
      </c>
      <c r="W15" s="1">
        <v>2018</v>
      </c>
      <c r="X15" s="1">
        <v>2019</v>
      </c>
      <c r="Y15" s="1">
        <v>2020</v>
      </c>
      <c r="Z15" s="1">
        <v>2021</v>
      </c>
      <c r="AA15" s="1">
        <v>2022</v>
      </c>
      <c r="AB15" s="1">
        <v>2023</v>
      </c>
      <c r="AC15" s="1">
        <v>2024</v>
      </c>
      <c r="AD15" s="1">
        <v>2025</v>
      </c>
      <c r="AE15" s="1">
        <v>2026</v>
      </c>
      <c r="AF15" s="1">
        <v>2027</v>
      </c>
      <c r="AG15" s="1">
        <v>2028</v>
      </c>
      <c r="AH15" s="1">
        <v>2029</v>
      </c>
      <c r="AI15" s="1">
        <v>2030</v>
      </c>
      <c r="AJ15" s="1">
        <v>2031</v>
      </c>
      <c r="AK15" s="1">
        <v>2032</v>
      </c>
      <c r="AL15" s="1">
        <v>2033</v>
      </c>
      <c r="AM15" s="1">
        <v>2034</v>
      </c>
      <c r="AN15" s="1">
        <v>2035</v>
      </c>
      <c r="AO15" s="1">
        <v>2036</v>
      </c>
      <c r="AP15" s="1">
        <v>2037</v>
      </c>
      <c r="AQ15" s="1">
        <v>2038</v>
      </c>
      <c r="AR15" s="1">
        <v>2039</v>
      </c>
      <c r="AS15" s="1">
        <v>2040</v>
      </c>
      <c r="AT15" s="1">
        <v>2041</v>
      </c>
      <c r="AU15" s="1">
        <v>2042</v>
      </c>
      <c r="AV15" s="1">
        <v>2043</v>
      </c>
      <c r="AW15" s="1">
        <v>2044</v>
      </c>
      <c r="AX15" s="1">
        <v>2045</v>
      </c>
      <c r="AY15" s="1">
        <v>2046</v>
      </c>
      <c r="AZ15" s="1">
        <v>2047</v>
      </c>
      <c r="BA15" s="1">
        <v>2048</v>
      </c>
      <c r="BB15" s="1">
        <v>2049</v>
      </c>
      <c r="BC15" s="1">
        <v>2050</v>
      </c>
    </row>
    <row r="16" spans="1:55">
      <c r="A16" s="1" t="str">
        <f>'Population Definitions'!$A$2</f>
        <v>PWID_males</v>
      </c>
      <c r="C16" t="s">
        <v>34</v>
      </c>
      <c r="D16" s="3"/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>
        <v>0</v>
      </c>
      <c r="P16" s="3"/>
      <c r="Q16" s="3"/>
      <c r="R16" s="3"/>
      <c r="S16" s="3"/>
      <c r="T16" s="3">
        <v>0</v>
      </c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</row>
    <row r="17" spans="1:57">
      <c r="A17" s="1" t="str">
        <f>'Population Definitions'!$A$3</f>
        <v>PWID_females</v>
      </c>
      <c r="C17" t="s">
        <v>34</v>
      </c>
      <c r="D17" s="3"/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>
        <v>0</v>
      </c>
      <c r="P17" s="3"/>
      <c r="Q17" s="3"/>
      <c r="R17" s="3"/>
      <c r="S17" s="3"/>
      <c r="T17" s="3">
        <v>0</v>
      </c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</row>
    <row r="18" spans="1:57">
      <c r="A18" s="1" t="str">
        <f>'Population Definitions'!$A$4</f>
        <v>0-9_males</v>
      </c>
      <c r="C18" t="s">
        <v>34</v>
      </c>
      <c r="D18" s="3"/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</row>
    <row r="19" spans="1:57">
      <c r="A19" s="1" t="str">
        <f>'Population Definitions'!$A$5</f>
        <v>0-9_females</v>
      </c>
      <c r="C19" t="s">
        <v>34</v>
      </c>
      <c r="D19" s="3"/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</row>
    <row r="20" spans="1:57">
      <c r="A20" s="1" t="str">
        <f>'Population Definitions'!$A$6</f>
        <v>10-17_males</v>
      </c>
      <c r="C20" t="s">
        <v>34</v>
      </c>
      <c r="D20" s="3"/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</row>
    <row r="21" spans="1:57">
      <c r="A21" s="1" t="str">
        <f>'Population Definitions'!$A$7</f>
        <v>10-17_females</v>
      </c>
      <c r="C21" t="s">
        <v>34</v>
      </c>
      <c r="D21" s="3"/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</row>
    <row r="22" spans="1:57">
      <c r="A22" s="1" t="str">
        <f>'Population Definitions'!$A$8</f>
        <v>18-64_males</v>
      </c>
      <c r="C22" t="s">
        <v>34</v>
      </c>
      <c r="D22" s="3"/>
      <c r="E22" s="3">
        <v>0.008689222366055391</v>
      </c>
      <c r="F22" s="3"/>
      <c r="G22" s="3"/>
      <c r="H22" s="3"/>
      <c r="I22" s="3"/>
      <c r="J22" s="3"/>
      <c r="K22" s="3"/>
      <c r="L22" s="3"/>
      <c r="M22" s="3"/>
      <c r="N22" s="3"/>
      <c r="O22" s="3">
        <v>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</row>
    <row r="23" spans="1:57">
      <c r="A23" s="1" t="str">
        <f>'Population Definitions'!$A$9</f>
        <v>18-64_females</v>
      </c>
      <c r="C23" t="s">
        <v>34</v>
      </c>
      <c r="D23" s="3"/>
      <c r="E23" s="3">
        <v>0.008689222366055391</v>
      </c>
      <c r="F23" s="3"/>
      <c r="G23" s="3"/>
      <c r="H23" s="3"/>
      <c r="I23" s="3"/>
      <c r="J23" s="3"/>
      <c r="K23" s="3"/>
      <c r="L23" s="3"/>
      <c r="M23" s="3"/>
      <c r="N23" s="3"/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</row>
    <row r="24" spans="1:57">
      <c r="A24" s="1" t="str">
        <f>'Population Definitions'!$A$10</f>
        <v>65+_males</v>
      </c>
      <c r="C24" t="s">
        <v>34</v>
      </c>
      <c r="D24" s="3"/>
      <c r="E24" s="3">
        <v>0.008689222366055391</v>
      </c>
      <c r="F24" s="3"/>
      <c r="G24" s="3"/>
      <c r="H24" s="3"/>
      <c r="I24" s="3"/>
      <c r="J24" s="3"/>
      <c r="K24" s="3"/>
      <c r="L24" s="3"/>
      <c r="M24" s="3"/>
      <c r="N24" s="3"/>
      <c r="O24" s="3">
        <v>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</row>
    <row r="25" spans="1:57">
      <c r="A25" s="1" t="str">
        <f>'Population Definitions'!$A$11</f>
        <v>65+_females</v>
      </c>
      <c r="C25" t="s">
        <v>34</v>
      </c>
      <c r="D25" s="3"/>
      <c r="E25" s="3">
        <v>0.008689222366055391</v>
      </c>
      <c r="F25" s="3"/>
      <c r="G25" s="3"/>
      <c r="H25" s="3"/>
      <c r="I25" s="3"/>
      <c r="J25" s="3"/>
      <c r="K25" s="3"/>
      <c r="L25" s="3"/>
      <c r="M25" s="3"/>
      <c r="N25" s="3"/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</row>
    <row r="26" spans="1:57">
      <c r="A26" s="1" t="str">
        <f>'Population Definitions'!$A$12</f>
        <v>Prisoners_males</v>
      </c>
      <c r="C26" t="s">
        <v>34</v>
      </c>
      <c r="D26" s="3"/>
      <c r="E26" s="3">
        <v>0.001466834899994966</v>
      </c>
      <c r="F26" s="3"/>
      <c r="G26" s="3"/>
      <c r="H26" s="3"/>
      <c r="I26" s="3"/>
      <c r="J26" s="3"/>
      <c r="K26" s="3"/>
      <c r="L26" s="3"/>
      <c r="M26" s="3"/>
      <c r="N26" s="3"/>
      <c r="O26" s="3">
        <v>0.001466834899994966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</row>
    <row r="27" spans="1:57">
      <c r="A27" s="1" t="str">
        <f>'Population Definitions'!$A$13</f>
        <v>Prisoners_females</v>
      </c>
      <c r="C27" t="s">
        <v>34</v>
      </c>
      <c r="D27" s="3"/>
      <c r="E27" s="3">
        <v>0.001466834899994966</v>
      </c>
      <c r="F27" s="3"/>
      <c r="G27" s="3"/>
      <c r="H27" s="3"/>
      <c r="I27" s="3"/>
      <c r="J27" s="3"/>
      <c r="K27" s="3"/>
      <c r="L27" s="3"/>
      <c r="M27" s="3"/>
      <c r="N27" s="3"/>
      <c r="O27" s="3">
        <v>0.001466834899994966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</row>
    <row r="29" spans="1:57">
      <c r="A29" s="1" t="s">
        <v>35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34</v>
      </c>
      <c r="D30" s="3"/>
      <c r="E30" s="3">
        <v>0.945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34</v>
      </c>
      <c r="D31" s="3"/>
      <c r="E31" s="3">
        <v>0.945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34</v>
      </c>
      <c r="D32" s="3"/>
      <c r="E32" s="3">
        <v>0.945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34</v>
      </c>
      <c r="D33" s="3"/>
      <c r="E33" s="3">
        <v>0.945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34</v>
      </c>
      <c r="D34" s="3"/>
      <c r="E34" s="3">
        <v>0.945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34</v>
      </c>
      <c r="D35" s="3"/>
      <c r="E35" s="3">
        <v>0.945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34</v>
      </c>
      <c r="D36" s="3"/>
      <c r="E36" s="3">
        <v>0.945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34</v>
      </c>
      <c r="D37" s="3"/>
      <c r="E37" s="3">
        <v>0.945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34</v>
      </c>
      <c r="D38" s="3"/>
      <c r="E38" s="3">
        <v>0.945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34</v>
      </c>
      <c r="D39" s="3"/>
      <c r="E39" s="3">
        <v>0.945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34</v>
      </c>
      <c r="D40" s="3"/>
      <c r="E40" s="3">
        <v>0.945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34</v>
      </c>
      <c r="D41" s="3"/>
      <c r="E41" s="3">
        <v>0.945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38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34</v>
      </c>
      <c r="D44" s="3"/>
      <c r="E44" s="3">
        <v>0.03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34</v>
      </c>
      <c r="D45" s="3"/>
      <c r="E45" s="3">
        <v>0.03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34</v>
      </c>
      <c r="D46" s="3"/>
      <c r="E46" s="3">
        <v>0.03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34</v>
      </c>
      <c r="D47" s="3"/>
      <c r="E47" s="3">
        <v>0.03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34</v>
      </c>
      <c r="D48" s="3"/>
      <c r="E48" s="3">
        <v>0.03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34</v>
      </c>
      <c r="D49" s="3"/>
      <c r="E49" s="3">
        <v>0.03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34</v>
      </c>
      <c r="D50" s="3"/>
      <c r="E50" s="3">
        <v>0.03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34</v>
      </c>
      <c r="D51" s="3"/>
      <c r="E51" s="3">
        <v>0.03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34</v>
      </c>
      <c r="D52" s="3"/>
      <c r="E52" s="3">
        <v>0.03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34</v>
      </c>
      <c r="D53" s="3"/>
      <c r="E53" s="3">
        <v>0.03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34</v>
      </c>
      <c r="D54" s="3"/>
      <c r="E54" s="3">
        <v>0.03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34</v>
      </c>
      <c r="D55" s="3"/>
      <c r="E55" s="3">
        <v>0.03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39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34</v>
      </c>
      <c r="D58" s="3"/>
      <c r="E58" s="3">
        <v>0.02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34</v>
      </c>
      <c r="D59" s="3"/>
      <c r="E59" s="3">
        <v>0.02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34</v>
      </c>
      <c r="D60" s="3"/>
      <c r="E60" s="3">
        <v>0.02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34</v>
      </c>
      <c r="D61" s="3"/>
      <c r="E61" s="3">
        <v>0.02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34</v>
      </c>
      <c r="D62" s="3"/>
      <c r="E62" s="3">
        <v>0.02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34</v>
      </c>
      <c r="D63" s="3"/>
      <c r="E63" s="3">
        <v>0.02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34</v>
      </c>
      <c r="D64" s="3"/>
      <c r="E64" s="3">
        <v>0.02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34</v>
      </c>
      <c r="D65" s="3"/>
      <c r="E65" s="3">
        <v>0.02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34</v>
      </c>
      <c r="D66" s="3"/>
      <c r="E66" s="3">
        <v>0.02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34</v>
      </c>
      <c r="D67" s="3"/>
      <c r="E67" s="3">
        <v>0.02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34</v>
      </c>
      <c r="D68" s="3"/>
      <c r="E68" s="3">
        <v>0.02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34</v>
      </c>
      <c r="D69" s="3"/>
      <c r="E69" s="3">
        <v>0.02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40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34</v>
      </c>
      <c r="D72" s="3"/>
      <c r="E72" s="3">
        <v>0.0045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34</v>
      </c>
      <c r="D73" s="3"/>
      <c r="E73" s="3">
        <v>0.0045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34</v>
      </c>
      <c r="D74" s="3"/>
      <c r="E74" s="3">
        <v>0.0045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34</v>
      </c>
      <c r="D75" s="3"/>
      <c r="E75" s="3">
        <v>0.0045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34</v>
      </c>
      <c r="D76" s="3"/>
      <c r="E76" s="3">
        <v>0.0045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34</v>
      </c>
      <c r="D77" s="3"/>
      <c r="E77" s="3">
        <v>0.0045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34</v>
      </c>
      <c r="D78" s="3"/>
      <c r="E78" s="3">
        <v>0.0045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34</v>
      </c>
      <c r="D79" s="3"/>
      <c r="E79" s="3">
        <v>0.0045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34</v>
      </c>
      <c r="D80" s="3"/>
      <c r="E80" s="3">
        <v>0.0045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34</v>
      </c>
      <c r="D81" s="3"/>
      <c r="E81" s="3">
        <v>0.0045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34</v>
      </c>
      <c r="D82" s="3"/>
      <c r="E82" s="3">
        <v>0.0045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34</v>
      </c>
      <c r="D83" s="3"/>
      <c r="E83" s="3">
        <v>0.0045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41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34</v>
      </c>
      <c r="D86" s="3"/>
      <c r="E86" s="3">
        <v>0.000500000000000056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34</v>
      </c>
      <c r="D87" s="3"/>
      <c r="E87" s="3">
        <v>0.000500000000000056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34</v>
      </c>
      <c r="D88" s="3"/>
      <c r="E88" s="3">
        <v>0.000500000000000056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34</v>
      </c>
      <c r="D89" s="3"/>
      <c r="E89" s="3">
        <v>0.000500000000000056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34</v>
      </c>
      <c r="D90" s="3"/>
      <c r="E90" s="3">
        <v>0.000500000000000056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34</v>
      </c>
      <c r="D91" s="3"/>
      <c r="E91" s="3">
        <v>0.000500000000000056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34</v>
      </c>
      <c r="D92" s="3"/>
      <c r="E92" s="3">
        <v>0.000500000000000056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34</v>
      </c>
      <c r="D93" s="3"/>
      <c r="E93" s="3">
        <v>0.000500000000000056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34</v>
      </c>
      <c r="D94" s="3"/>
      <c r="E94" s="3">
        <v>0.000500000000000056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34</v>
      </c>
      <c r="D95" s="3"/>
      <c r="E95" s="3">
        <v>0.000500000000000056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34</v>
      </c>
      <c r="D96" s="3"/>
      <c r="E96" s="3">
        <v>0.000500000000000056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34</v>
      </c>
      <c r="D97" s="3"/>
      <c r="E97" s="3">
        <v>0.000500000000000056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42</v>
      </c>
      <c r="B99" s="1" t="s">
        <v>29</v>
      </c>
      <c r="C99" s="1" t="s">
        <v>30</v>
      </c>
      <c r="D99" s="1" t="s">
        <v>31</v>
      </c>
      <c r="E99" s="1">
        <v>2000</v>
      </c>
      <c r="F99" s="1">
        <v>2001</v>
      </c>
      <c r="G99" s="1">
        <v>2002</v>
      </c>
      <c r="H99" s="1">
        <v>2003</v>
      </c>
      <c r="I99" s="1">
        <v>2004</v>
      </c>
      <c r="J99" s="1">
        <v>2005</v>
      </c>
      <c r="K99" s="1">
        <v>2006</v>
      </c>
      <c r="L99" s="1">
        <v>2007</v>
      </c>
      <c r="M99" s="1">
        <v>2008</v>
      </c>
      <c r="N99" s="1">
        <v>2009</v>
      </c>
      <c r="O99" s="1">
        <v>2010</v>
      </c>
      <c r="P99" s="1">
        <v>2011</v>
      </c>
      <c r="Q99" s="1">
        <v>2012</v>
      </c>
      <c r="R99" s="1">
        <v>2013</v>
      </c>
      <c r="S99" s="1">
        <v>2014</v>
      </c>
      <c r="T99" s="1">
        <v>2015</v>
      </c>
      <c r="U99" s="1">
        <v>2016</v>
      </c>
      <c r="V99" s="1">
        <v>2017</v>
      </c>
      <c r="W99" s="1">
        <v>2018</v>
      </c>
      <c r="X99" s="1">
        <v>2019</v>
      </c>
      <c r="Y99" s="1">
        <v>2020</v>
      </c>
      <c r="Z99" s="1">
        <v>2021</v>
      </c>
      <c r="AA99" s="1">
        <v>2022</v>
      </c>
      <c r="AB99" s="1">
        <v>2023</v>
      </c>
      <c r="AC99" s="1">
        <v>2024</v>
      </c>
      <c r="AD99" s="1">
        <v>2025</v>
      </c>
      <c r="AE99" s="1">
        <v>2026</v>
      </c>
      <c r="AF99" s="1">
        <v>2027</v>
      </c>
      <c r="AG99" s="1">
        <v>2028</v>
      </c>
      <c r="AH99" s="1">
        <v>2029</v>
      </c>
      <c r="AI99" s="1">
        <v>2030</v>
      </c>
      <c r="AJ99" s="1">
        <v>2031</v>
      </c>
      <c r="AK99" s="1">
        <v>2032</v>
      </c>
      <c r="AL99" s="1">
        <v>2033</v>
      </c>
      <c r="AM99" s="1">
        <v>2034</v>
      </c>
      <c r="AN99" s="1">
        <v>2035</v>
      </c>
      <c r="AO99" s="1">
        <v>2036</v>
      </c>
      <c r="AP99" s="1">
        <v>2037</v>
      </c>
      <c r="AQ99" s="1">
        <v>2038</v>
      </c>
      <c r="AR99" s="1">
        <v>2039</v>
      </c>
      <c r="AS99" s="1">
        <v>2040</v>
      </c>
      <c r="AT99" s="1">
        <v>2041</v>
      </c>
      <c r="AU99" s="1">
        <v>2042</v>
      </c>
      <c r="AV99" s="1">
        <v>2043</v>
      </c>
      <c r="AW99" s="1">
        <v>2044</v>
      </c>
      <c r="AX99" s="1">
        <v>2045</v>
      </c>
      <c r="AY99" s="1">
        <v>2046</v>
      </c>
      <c r="AZ99" s="1">
        <v>2047</v>
      </c>
      <c r="BA99" s="1">
        <v>2048</v>
      </c>
      <c r="BB99" s="1">
        <v>2049</v>
      </c>
      <c r="BC99" s="1">
        <v>2050</v>
      </c>
    </row>
    <row r="100" spans="1:57">
      <c r="A100" s="1" t="str">
        <f>'Population Definitions'!$A$2</f>
        <v>PWID_males</v>
      </c>
      <c r="C100" t="s">
        <v>34</v>
      </c>
      <c r="D100" s="3"/>
      <c r="E100" s="3">
        <v>0.8901024240140668</v>
      </c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</row>
    <row r="101" spans="1:57">
      <c r="A101" s="1" t="str">
        <f>'Population Definitions'!$A$3</f>
        <v>PWID_females</v>
      </c>
      <c r="C101" t="s">
        <v>34</v>
      </c>
      <c r="D101" s="3"/>
      <c r="E101" s="3">
        <v>0.8901024240140668</v>
      </c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</row>
    <row r="102" spans="1:57">
      <c r="A102" s="1" t="str">
        <f>'Population Definitions'!$A$4</f>
        <v>0-9_males</v>
      </c>
      <c r="C102" t="s">
        <v>34</v>
      </c>
      <c r="D102" s="3"/>
      <c r="E102" s="3">
        <v>0.8901024240140668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</row>
    <row r="103" spans="1:57">
      <c r="A103" s="1" t="str">
        <f>'Population Definitions'!$A$5</f>
        <v>0-9_females</v>
      </c>
      <c r="C103" t="s">
        <v>34</v>
      </c>
      <c r="D103" s="3"/>
      <c r="E103" s="3">
        <v>0.8901024240140668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</row>
    <row r="104" spans="1:57">
      <c r="A104" s="1" t="str">
        <f>'Population Definitions'!$A$6</f>
        <v>10-17_males</v>
      </c>
      <c r="C104" t="s">
        <v>34</v>
      </c>
      <c r="D104" s="3"/>
      <c r="E104" s="3">
        <v>0.8901024240140668</v>
      </c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</row>
    <row r="105" spans="1:57">
      <c r="A105" s="1" t="str">
        <f>'Population Definitions'!$A$7</f>
        <v>10-17_females</v>
      </c>
      <c r="C105" t="s">
        <v>34</v>
      </c>
      <c r="D105" s="3"/>
      <c r="E105" s="3">
        <v>0.8901024240140668</v>
      </c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</row>
    <row r="106" spans="1:57">
      <c r="A106" s="1" t="str">
        <f>'Population Definitions'!$A$8</f>
        <v>18-64_males</v>
      </c>
      <c r="C106" t="s">
        <v>34</v>
      </c>
      <c r="D106" s="3"/>
      <c r="E106" s="3">
        <v>0.8901024240140668</v>
      </c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</row>
    <row r="107" spans="1:57">
      <c r="A107" s="1" t="str">
        <f>'Population Definitions'!$A$9</f>
        <v>18-64_females</v>
      </c>
      <c r="C107" t="s">
        <v>34</v>
      </c>
      <c r="D107" s="3"/>
      <c r="E107" s="3">
        <v>0.8901024240140668</v>
      </c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</row>
    <row r="108" spans="1:57">
      <c r="A108" s="1" t="str">
        <f>'Population Definitions'!$A$10</f>
        <v>65+_males</v>
      </c>
      <c r="C108" t="s">
        <v>34</v>
      </c>
      <c r="D108" s="3"/>
      <c r="E108" s="3">
        <v>0.8901024240140668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</row>
    <row r="109" spans="1:57">
      <c r="A109" s="1" t="str">
        <f>'Population Definitions'!$A$11</f>
        <v>65+_females</v>
      </c>
      <c r="C109" t="s">
        <v>34</v>
      </c>
      <c r="D109" s="3"/>
      <c r="E109" s="3">
        <v>0.8901024240140668</v>
      </c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</row>
    <row r="110" spans="1:57">
      <c r="A110" s="1" t="str">
        <f>'Population Definitions'!$A$12</f>
        <v>Prisoners_males</v>
      </c>
      <c r="C110" t="s">
        <v>34</v>
      </c>
      <c r="D110" s="3"/>
      <c r="E110" s="3">
        <v>0.8901024240140668</v>
      </c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</row>
    <row r="111" spans="1:57">
      <c r="A111" s="1" t="str">
        <f>'Population Definitions'!$A$13</f>
        <v>Prisoners_females</v>
      </c>
      <c r="C111" t="s">
        <v>34</v>
      </c>
      <c r="D111" s="3"/>
      <c r="E111" s="3">
        <v>0.8901024240140668</v>
      </c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</row>
    <row r="113" spans="1:57">
      <c r="A113" s="1" t="s">
        <v>43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34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34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34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34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34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34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34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34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34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34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34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34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44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34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34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34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34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34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34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34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34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34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34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34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34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45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34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34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34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34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34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34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34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34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34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34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34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34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46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34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34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34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34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34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34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34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34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34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34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34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34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47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48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48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48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48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48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48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48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48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48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48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48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48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</sheetData>
  <conditionalFormatting sqref="E114">
    <cfRule type="expression" dxfId="0" priority="121">
      <formula>COUNTIF(G114:BE114,"&lt;&gt;" &amp; "")&gt;0</formula>
    </cfRule>
    <cfRule type="expression" dxfId="1" priority="122">
      <formula>AND(COUNTIF(G114:BE114,"&lt;&gt;" &amp; "")&gt;0,NOT(ISBLANK(E114)))</formula>
    </cfRule>
  </conditionalFormatting>
  <conditionalFormatting sqref="E115">
    <cfRule type="expression" dxfId="0" priority="123">
      <formula>COUNTIF(G115:BE115,"&lt;&gt;" &amp; "")&gt;0</formula>
    </cfRule>
    <cfRule type="expression" dxfId="1" priority="124">
      <formula>AND(COUNTIF(G115:BE115,"&lt;&gt;" &amp; "")&gt;0,NOT(ISBLANK(E115)))</formula>
    </cfRule>
  </conditionalFormatting>
  <conditionalFormatting sqref="E116">
    <cfRule type="expression" dxfId="0" priority="125">
      <formula>COUNTIF(G116:BE116,"&lt;&gt;" &amp; "")&gt;0</formula>
    </cfRule>
    <cfRule type="expression" dxfId="1" priority="126">
      <formula>AND(COUNTIF(G116:BE116,"&lt;&gt;" &amp; "")&gt;0,NOT(ISBLANK(E116)))</formula>
    </cfRule>
  </conditionalFormatting>
  <conditionalFormatting sqref="E117">
    <cfRule type="expression" dxfId="0" priority="127">
      <formula>COUNTIF(G117:BE117,"&lt;&gt;" &amp; "")&gt;0</formula>
    </cfRule>
    <cfRule type="expression" dxfId="1" priority="128">
      <formula>AND(COUNTIF(G117:BE117,"&lt;&gt;" &amp; "")&gt;0,NOT(ISBLANK(E117)))</formula>
    </cfRule>
  </conditionalFormatting>
  <conditionalFormatting sqref="E118">
    <cfRule type="expression" dxfId="0" priority="129">
      <formula>COUNTIF(G118:BE118,"&lt;&gt;" &amp; "")&gt;0</formula>
    </cfRule>
    <cfRule type="expression" dxfId="1" priority="130">
      <formula>AND(COUNTIF(G118:BE118,"&lt;&gt;" &amp; "")&gt;0,NOT(ISBLANK(E118)))</formula>
    </cfRule>
  </conditionalFormatting>
  <conditionalFormatting sqref="E119">
    <cfRule type="expression" dxfId="0" priority="131">
      <formula>COUNTIF(G119:BE119,"&lt;&gt;" &amp; "")&gt;0</formula>
    </cfRule>
    <cfRule type="expression" dxfId="1" priority="132">
      <formula>AND(COUNTIF(G119:BE119,"&lt;&gt;" &amp; "")&gt;0,NOT(ISBLANK(E119)))</formula>
    </cfRule>
  </conditionalFormatting>
  <conditionalFormatting sqref="E120">
    <cfRule type="expression" dxfId="0" priority="133">
      <formula>COUNTIF(G120:BE120,"&lt;&gt;" &amp; "")&gt;0</formula>
    </cfRule>
    <cfRule type="expression" dxfId="1" priority="134">
      <formula>AND(COUNTIF(G120:BE120,"&lt;&gt;" &amp; "")&gt;0,NOT(ISBLANK(E120)))</formula>
    </cfRule>
  </conditionalFormatting>
  <conditionalFormatting sqref="E121">
    <cfRule type="expression" dxfId="0" priority="135">
      <formula>COUNTIF(G121:BE121,"&lt;&gt;" &amp; "")&gt;0</formula>
    </cfRule>
    <cfRule type="expression" dxfId="1" priority="136">
      <formula>AND(COUNTIF(G121:BE121,"&lt;&gt;" &amp; "")&gt;0,NOT(ISBLANK(E121)))</formula>
    </cfRule>
  </conditionalFormatting>
  <conditionalFormatting sqref="E122">
    <cfRule type="expression" dxfId="0" priority="137">
      <formula>COUNTIF(G122:BE122,"&lt;&gt;" &amp; "")&gt;0</formula>
    </cfRule>
    <cfRule type="expression" dxfId="1" priority="138">
      <formula>AND(COUNTIF(G122:BE122,"&lt;&gt;" &amp; "")&gt;0,NOT(ISBLANK(E122)))</formula>
    </cfRule>
  </conditionalFormatting>
  <conditionalFormatting sqref="E123">
    <cfRule type="expression" dxfId="0" priority="139">
      <formula>COUNTIF(G123:BE123,"&lt;&gt;" &amp; "")&gt;0</formula>
    </cfRule>
    <cfRule type="expression" dxfId="1" priority="140">
      <formula>AND(COUNTIF(G123:BE123,"&lt;&gt;" &amp; "")&gt;0,NOT(ISBLANK(E123)))</formula>
    </cfRule>
  </conditionalFormatting>
  <conditionalFormatting sqref="E124">
    <cfRule type="expression" dxfId="0" priority="141">
      <formula>COUNTIF(G124:BE124,"&lt;&gt;" &amp; "")&gt;0</formula>
    </cfRule>
    <cfRule type="expression" dxfId="1" priority="142">
      <formula>AND(COUNTIF(G124:BE124,"&lt;&gt;" &amp; "")&gt;0,NOT(ISBLANK(E124)))</formula>
    </cfRule>
  </conditionalFormatting>
  <conditionalFormatting sqref="E125">
    <cfRule type="expression" dxfId="0" priority="143">
      <formula>COUNTIF(G125:BE125,"&lt;&gt;" &amp; "")&gt;0</formula>
    </cfRule>
    <cfRule type="expression" dxfId="1" priority="144">
      <formula>AND(COUNTIF(G125:BE125,"&lt;&gt;" &amp; "")&gt;0,NOT(ISBLANK(E125)))</formula>
    </cfRule>
  </conditionalFormatting>
  <conditionalFormatting sqref="E128">
    <cfRule type="expression" dxfId="0" priority="145">
      <formula>COUNTIF(G128:BE128,"&lt;&gt;" &amp; "")&gt;0</formula>
    </cfRule>
    <cfRule type="expression" dxfId="1" priority="146">
      <formula>AND(COUNTIF(G128:BE128,"&lt;&gt;" &amp; "")&gt;0,NOT(ISBLANK(E128)))</formula>
    </cfRule>
  </conditionalFormatting>
  <conditionalFormatting sqref="E129">
    <cfRule type="expression" dxfId="0" priority="147">
      <formula>COUNTIF(G129:BE129,"&lt;&gt;" &amp; "")&gt;0</formula>
    </cfRule>
    <cfRule type="expression" dxfId="1" priority="148">
      <formula>AND(COUNTIF(G129:BE129,"&lt;&gt;" &amp; "")&gt;0,NOT(ISBLANK(E129)))</formula>
    </cfRule>
  </conditionalFormatting>
  <conditionalFormatting sqref="E130">
    <cfRule type="expression" dxfId="0" priority="149">
      <formula>COUNTIF(G130:BE130,"&lt;&gt;" &amp; "")&gt;0</formula>
    </cfRule>
    <cfRule type="expression" dxfId="1" priority="150">
      <formula>AND(COUNTIF(G130:BE130,"&lt;&gt;" &amp; "")&gt;0,NOT(ISBLANK(E130)))</formula>
    </cfRule>
  </conditionalFormatting>
  <conditionalFormatting sqref="E131">
    <cfRule type="expression" dxfId="0" priority="151">
      <formula>COUNTIF(G131:BE131,"&lt;&gt;" &amp; "")&gt;0</formula>
    </cfRule>
    <cfRule type="expression" dxfId="1" priority="152">
      <formula>AND(COUNTIF(G131:BE131,"&lt;&gt;" &amp; "")&gt;0,NOT(ISBLANK(E131)))</formula>
    </cfRule>
  </conditionalFormatting>
  <conditionalFormatting sqref="E132">
    <cfRule type="expression" dxfId="0" priority="153">
      <formula>COUNTIF(G132:BE132,"&lt;&gt;" &amp; "")&gt;0</formula>
    </cfRule>
    <cfRule type="expression" dxfId="1" priority="154">
      <formula>AND(COUNTIF(G132:BE132,"&lt;&gt;" &amp; "")&gt;0,NOT(ISBLANK(E132)))</formula>
    </cfRule>
  </conditionalFormatting>
  <conditionalFormatting sqref="E133">
    <cfRule type="expression" dxfId="0" priority="155">
      <formula>COUNTIF(G133:BE133,"&lt;&gt;" &amp; "")&gt;0</formula>
    </cfRule>
    <cfRule type="expression" dxfId="1" priority="156">
      <formula>AND(COUNTIF(G133:BE133,"&lt;&gt;" &amp; "")&gt;0,NOT(ISBLANK(E133)))</formula>
    </cfRule>
  </conditionalFormatting>
  <conditionalFormatting sqref="E134">
    <cfRule type="expression" dxfId="0" priority="157">
      <formula>COUNTIF(G134:BE134,"&lt;&gt;" &amp; "")&gt;0</formula>
    </cfRule>
    <cfRule type="expression" dxfId="1" priority="158">
      <formula>AND(COUNTIF(G134:BE134,"&lt;&gt;" &amp; "")&gt;0,NOT(ISBLANK(E134)))</formula>
    </cfRule>
  </conditionalFormatting>
  <conditionalFormatting sqref="E135">
    <cfRule type="expression" dxfId="0" priority="159">
      <formula>COUNTIF(G135:BE135,"&lt;&gt;" &amp; "")&gt;0</formula>
    </cfRule>
    <cfRule type="expression" dxfId="1" priority="160">
      <formula>AND(COUNTIF(G135:BE135,"&lt;&gt;" &amp; "")&gt;0,NOT(ISBLANK(E135)))</formula>
    </cfRule>
  </conditionalFormatting>
  <conditionalFormatting sqref="E136">
    <cfRule type="expression" dxfId="0" priority="161">
      <formula>COUNTIF(G136:BE136,"&lt;&gt;" &amp; "")&gt;0</formula>
    </cfRule>
    <cfRule type="expression" dxfId="1" priority="162">
      <formula>AND(COUNTIF(G136:BE136,"&lt;&gt;" &amp; "")&gt;0,NOT(ISBLANK(E136)))</formula>
    </cfRule>
  </conditionalFormatting>
  <conditionalFormatting sqref="E137">
    <cfRule type="expression" dxfId="0" priority="163">
      <formula>COUNTIF(G137:BE137,"&lt;&gt;" &amp; "")&gt;0</formula>
    </cfRule>
    <cfRule type="expression" dxfId="1" priority="164">
      <formula>AND(COUNTIF(G137:BE137,"&lt;&gt;" &amp; "")&gt;0,NOT(ISBLANK(E137)))</formula>
    </cfRule>
  </conditionalFormatting>
  <conditionalFormatting sqref="E138">
    <cfRule type="expression" dxfId="0" priority="165">
      <formula>COUNTIF(G138:BE138,"&lt;&gt;" &amp; "")&gt;0</formula>
    </cfRule>
    <cfRule type="expression" dxfId="1" priority="166">
      <formula>AND(COUNTIF(G138:BE138,"&lt;&gt;" &amp; "")&gt;0,NOT(ISBLANK(E138)))</formula>
    </cfRule>
  </conditionalFormatting>
  <conditionalFormatting sqref="E139">
    <cfRule type="expression" dxfId="0" priority="167">
      <formula>COUNTIF(G139:BE139,"&lt;&gt;" &amp; "")&gt;0</formula>
    </cfRule>
    <cfRule type="expression" dxfId="1" priority="168">
      <formula>AND(COUNTIF(G139:BE139,"&lt;&gt;" &amp; "")&gt;0,NOT(ISBLANK(E139)))</formula>
    </cfRule>
  </conditionalFormatting>
  <conditionalFormatting sqref="E142">
    <cfRule type="expression" dxfId="0" priority="169">
      <formula>COUNTIF(G142:BE142,"&lt;&gt;" &amp; "")&gt;0</formula>
    </cfRule>
    <cfRule type="expression" dxfId="1" priority="170">
      <formula>AND(COUNTIF(G142:BE142,"&lt;&gt;" &amp; "")&gt;0,NOT(ISBLANK(E142)))</formula>
    </cfRule>
  </conditionalFormatting>
  <conditionalFormatting sqref="E143">
    <cfRule type="expression" dxfId="0" priority="171">
      <formula>COUNTIF(G143:BE143,"&lt;&gt;" &amp; "")&gt;0</formula>
    </cfRule>
    <cfRule type="expression" dxfId="1" priority="172">
      <formula>AND(COUNTIF(G143:BE143,"&lt;&gt;" &amp; "")&gt;0,NOT(ISBLANK(E143)))</formula>
    </cfRule>
  </conditionalFormatting>
  <conditionalFormatting sqref="E144">
    <cfRule type="expression" dxfId="0" priority="173">
      <formula>COUNTIF(G144:BE144,"&lt;&gt;" &amp; "")&gt;0</formula>
    </cfRule>
    <cfRule type="expression" dxfId="1" priority="174">
      <formula>AND(COUNTIF(G144:BE144,"&lt;&gt;" &amp; "")&gt;0,NOT(ISBLANK(E144)))</formula>
    </cfRule>
  </conditionalFormatting>
  <conditionalFormatting sqref="E145">
    <cfRule type="expression" dxfId="0" priority="175">
      <formula>COUNTIF(G145:BE145,"&lt;&gt;" &amp; "")&gt;0</formula>
    </cfRule>
    <cfRule type="expression" dxfId="1" priority="176">
      <formula>AND(COUNTIF(G145:BE145,"&lt;&gt;" &amp; "")&gt;0,NOT(ISBLANK(E145)))</formula>
    </cfRule>
  </conditionalFormatting>
  <conditionalFormatting sqref="E146">
    <cfRule type="expression" dxfId="0" priority="177">
      <formula>COUNTIF(G146:BE146,"&lt;&gt;" &amp; "")&gt;0</formula>
    </cfRule>
    <cfRule type="expression" dxfId="1" priority="178">
      <formula>AND(COUNTIF(G146:BE146,"&lt;&gt;" &amp; "")&gt;0,NOT(ISBLANK(E146)))</formula>
    </cfRule>
  </conditionalFormatting>
  <conditionalFormatting sqref="E147">
    <cfRule type="expression" dxfId="0" priority="179">
      <formula>COUNTIF(G147:BE147,"&lt;&gt;" &amp; "")&gt;0</formula>
    </cfRule>
    <cfRule type="expression" dxfId="1" priority="180">
      <formula>AND(COUNTIF(G147:BE147,"&lt;&gt;" &amp; "")&gt;0,NOT(ISBLANK(E147)))</formula>
    </cfRule>
  </conditionalFormatting>
  <conditionalFormatting sqref="E148">
    <cfRule type="expression" dxfId="0" priority="181">
      <formula>COUNTIF(G148:BE148,"&lt;&gt;" &amp; "")&gt;0</formula>
    </cfRule>
    <cfRule type="expression" dxfId="1" priority="182">
      <formula>AND(COUNTIF(G148:BE148,"&lt;&gt;" &amp; "")&gt;0,NOT(ISBLANK(E148)))</formula>
    </cfRule>
  </conditionalFormatting>
  <conditionalFormatting sqref="E149">
    <cfRule type="expression" dxfId="0" priority="183">
      <formula>COUNTIF(G149:BE149,"&lt;&gt;" &amp; "")&gt;0</formula>
    </cfRule>
    <cfRule type="expression" dxfId="1" priority="184">
      <formula>AND(COUNTIF(G149:BE149,"&lt;&gt;" &amp; "")&gt;0,NOT(ISBLANK(E149)))</formula>
    </cfRule>
  </conditionalFormatting>
  <conditionalFormatting sqref="E150">
    <cfRule type="expression" dxfId="0" priority="185">
      <formula>COUNTIF(G150:BE150,"&lt;&gt;" &amp; "")&gt;0</formula>
    </cfRule>
    <cfRule type="expression" dxfId="1" priority="186">
      <formula>AND(COUNTIF(G150:BE150,"&lt;&gt;" &amp; "")&gt;0,NOT(ISBLANK(E150)))</formula>
    </cfRule>
  </conditionalFormatting>
  <conditionalFormatting sqref="E151">
    <cfRule type="expression" dxfId="0" priority="187">
      <formula>COUNTIF(G151:BE151,"&lt;&gt;" &amp; "")&gt;0</formula>
    </cfRule>
    <cfRule type="expression" dxfId="1" priority="188">
      <formula>AND(COUNTIF(G151:BE151,"&lt;&gt;" &amp; "")&gt;0,NOT(ISBLANK(E151)))</formula>
    </cfRule>
  </conditionalFormatting>
  <conditionalFormatting sqref="E152">
    <cfRule type="expression" dxfId="0" priority="189">
      <formula>COUNTIF(G152:BE152,"&lt;&gt;" &amp; "")&gt;0</formula>
    </cfRule>
    <cfRule type="expression" dxfId="1" priority="190">
      <formula>AND(COUNTIF(G152:BE152,"&lt;&gt;" &amp; "")&gt;0,NOT(ISBLANK(E152)))</formula>
    </cfRule>
  </conditionalFormatting>
  <conditionalFormatting sqref="E153">
    <cfRule type="expression" dxfId="0" priority="191">
      <formula>COUNTIF(G153:BE153,"&lt;&gt;" &amp; "")&gt;0</formula>
    </cfRule>
    <cfRule type="expression" dxfId="1" priority="192">
      <formula>AND(COUNTIF(G153:BE153,"&lt;&gt;" &amp; "")&gt;0,NOT(ISBLANK(E153)))</formula>
    </cfRule>
  </conditionalFormatting>
  <conditionalFormatting sqref="E156">
    <cfRule type="expression" dxfId="0" priority="193">
      <formula>COUNTIF(G156:BE156,"&lt;&gt;" &amp; "")&gt;0</formula>
    </cfRule>
    <cfRule type="expression" dxfId="1" priority="194">
      <formula>AND(COUNTIF(G156:BE156,"&lt;&gt;" &amp; "")&gt;0,NOT(ISBLANK(E156)))</formula>
    </cfRule>
  </conditionalFormatting>
  <conditionalFormatting sqref="E157">
    <cfRule type="expression" dxfId="0" priority="195">
      <formula>COUNTIF(G157:BE157,"&lt;&gt;" &amp; "")&gt;0</formula>
    </cfRule>
    <cfRule type="expression" dxfId="1" priority="196">
      <formula>AND(COUNTIF(G157:BE157,"&lt;&gt;" &amp; "")&gt;0,NOT(ISBLANK(E157)))</formula>
    </cfRule>
  </conditionalFormatting>
  <conditionalFormatting sqref="E158">
    <cfRule type="expression" dxfId="0" priority="197">
      <formula>COUNTIF(G158:BE158,"&lt;&gt;" &amp; "")&gt;0</formula>
    </cfRule>
    <cfRule type="expression" dxfId="1" priority="198">
      <formula>AND(COUNTIF(G158:BE158,"&lt;&gt;" &amp; "")&gt;0,NOT(ISBLANK(E158)))</formula>
    </cfRule>
  </conditionalFormatting>
  <conditionalFormatting sqref="E159">
    <cfRule type="expression" dxfId="0" priority="199">
      <formula>COUNTIF(G159:BE159,"&lt;&gt;" &amp; "")&gt;0</formula>
    </cfRule>
    <cfRule type="expression" dxfId="1" priority="200">
      <formula>AND(COUNTIF(G159:BE159,"&lt;&gt;" &amp; "")&gt;0,NOT(ISBLANK(E159)))</formula>
    </cfRule>
  </conditionalFormatting>
  <conditionalFormatting sqref="E160">
    <cfRule type="expression" dxfId="0" priority="201">
      <formula>COUNTIF(G160:BE160,"&lt;&gt;" &amp; "")&gt;0</formula>
    </cfRule>
    <cfRule type="expression" dxfId="1" priority="202">
      <formula>AND(COUNTIF(G160:BE160,"&lt;&gt;" &amp; "")&gt;0,NOT(ISBLANK(E160)))</formula>
    </cfRule>
  </conditionalFormatting>
  <conditionalFormatting sqref="E161">
    <cfRule type="expression" dxfId="0" priority="203">
      <formula>COUNTIF(G161:BE161,"&lt;&gt;" &amp; "")&gt;0</formula>
    </cfRule>
    <cfRule type="expression" dxfId="1" priority="204">
      <formula>AND(COUNTIF(G161:BE161,"&lt;&gt;" &amp; "")&gt;0,NOT(ISBLANK(E161)))</formula>
    </cfRule>
  </conditionalFormatting>
  <conditionalFormatting sqref="E162">
    <cfRule type="expression" dxfId="0" priority="205">
      <formula>COUNTIF(G162:BE162,"&lt;&gt;" &amp; "")&gt;0</formula>
    </cfRule>
    <cfRule type="expression" dxfId="1" priority="206">
      <formula>AND(COUNTIF(G162:BE162,"&lt;&gt;" &amp; "")&gt;0,NOT(ISBLANK(E162)))</formula>
    </cfRule>
  </conditionalFormatting>
  <conditionalFormatting sqref="E163">
    <cfRule type="expression" dxfId="0" priority="207">
      <formula>COUNTIF(G163:BE163,"&lt;&gt;" &amp; "")&gt;0</formula>
    </cfRule>
    <cfRule type="expression" dxfId="1" priority="208">
      <formula>AND(COUNTIF(G163:BE163,"&lt;&gt;" &amp; "")&gt;0,NOT(ISBLANK(E163)))</formula>
    </cfRule>
  </conditionalFormatting>
  <conditionalFormatting sqref="E164">
    <cfRule type="expression" dxfId="0" priority="209">
      <formula>COUNTIF(G164:BE164,"&lt;&gt;" &amp; "")&gt;0</formula>
    </cfRule>
    <cfRule type="expression" dxfId="1" priority="210">
      <formula>AND(COUNTIF(G164:BE164,"&lt;&gt;" &amp; "")&gt;0,NOT(ISBLANK(E164)))</formula>
    </cfRule>
  </conditionalFormatting>
  <conditionalFormatting sqref="E165">
    <cfRule type="expression" dxfId="0" priority="211">
      <formula>COUNTIF(G165:BE165,"&lt;&gt;" &amp; "")&gt;0</formula>
    </cfRule>
    <cfRule type="expression" dxfId="1" priority="212">
      <formula>AND(COUNTIF(G165:BE165,"&lt;&gt;" &amp; "")&gt;0,NOT(ISBLANK(E165)))</formula>
    </cfRule>
  </conditionalFormatting>
  <conditionalFormatting sqref="E166">
    <cfRule type="expression" dxfId="0" priority="213">
      <formula>COUNTIF(G166:BE166,"&lt;&gt;" &amp; "")&gt;0</formula>
    </cfRule>
    <cfRule type="expression" dxfId="1" priority="214">
      <formula>AND(COUNTIF(G166:BE166,"&lt;&gt;" &amp; "")&gt;0,NOT(ISBLANK(E166)))</formula>
    </cfRule>
  </conditionalFormatting>
  <conditionalFormatting sqref="E167">
    <cfRule type="expression" dxfId="0" priority="215">
      <formula>COUNTIF(G167:BE167,"&lt;&gt;" &amp; "")&gt;0</formula>
    </cfRule>
    <cfRule type="expression" dxfId="1" priority="216">
      <formula>AND(COUNTIF(G167:BE167,"&lt;&gt;" &amp; "")&gt;0,NOT(ISBLANK(E167)))</formula>
    </cfRule>
  </conditionalFormatting>
  <conditionalFormatting sqref="E170">
    <cfRule type="expression" dxfId="0" priority="217">
      <formula>COUNTIF(G170:BE170,"&lt;&gt;" &amp; "")&gt;0</formula>
    </cfRule>
    <cfRule type="expression" dxfId="1" priority="218">
      <formula>AND(COUNTIF(G170:BE170,"&lt;&gt;" &amp; "")&gt;0,NOT(ISBLANK(E170)))</formula>
    </cfRule>
  </conditionalFormatting>
  <conditionalFormatting sqref="E171">
    <cfRule type="expression" dxfId="0" priority="219">
      <formula>COUNTIF(G171:BE171,"&lt;&gt;" &amp; "")&gt;0</formula>
    </cfRule>
    <cfRule type="expression" dxfId="1" priority="220">
      <formula>AND(COUNTIF(G171:BE171,"&lt;&gt;" &amp; "")&gt;0,NOT(ISBLANK(E171)))</formula>
    </cfRule>
  </conditionalFormatting>
  <conditionalFormatting sqref="E172">
    <cfRule type="expression" dxfId="0" priority="221">
      <formula>COUNTIF(G172:BE172,"&lt;&gt;" &amp; "")&gt;0</formula>
    </cfRule>
    <cfRule type="expression" dxfId="1" priority="222">
      <formula>AND(COUNTIF(G172:BE172,"&lt;&gt;" &amp; "")&gt;0,NOT(ISBLANK(E172)))</formula>
    </cfRule>
  </conditionalFormatting>
  <conditionalFormatting sqref="E173">
    <cfRule type="expression" dxfId="0" priority="223">
      <formula>COUNTIF(G173:BE173,"&lt;&gt;" &amp; "")&gt;0</formula>
    </cfRule>
    <cfRule type="expression" dxfId="1" priority="224">
      <formula>AND(COUNTIF(G173:BE173,"&lt;&gt;" &amp; "")&gt;0,NOT(ISBLANK(E173)))</formula>
    </cfRule>
  </conditionalFormatting>
  <conditionalFormatting sqref="E174">
    <cfRule type="expression" dxfId="0" priority="225">
      <formula>COUNTIF(G174:BE174,"&lt;&gt;" &amp; "")&gt;0</formula>
    </cfRule>
    <cfRule type="expression" dxfId="1" priority="226">
      <formula>AND(COUNTIF(G174:BE174,"&lt;&gt;" &amp; "")&gt;0,NOT(ISBLANK(E174)))</formula>
    </cfRule>
  </conditionalFormatting>
  <conditionalFormatting sqref="E175">
    <cfRule type="expression" dxfId="0" priority="227">
      <formula>COUNTIF(G175:BE175,"&lt;&gt;" &amp; "")&gt;0</formula>
    </cfRule>
    <cfRule type="expression" dxfId="1" priority="228">
      <formula>AND(COUNTIF(G175:BE175,"&lt;&gt;" &amp; "")&gt;0,NOT(ISBLANK(E175)))</formula>
    </cfRule>
  </conditionalFormatting>
  <conditionalFormatting sqref="E176">
    <cfRule type="expression" dxfId="0" priority="229">
      <formula>COUNTIF(G176:BE176,"&lt;&gt;" &amp; "")&gt;0</formula>
    </cfRule>
    <cfRule type="expression" dxfId="1" priority="230">
      <formula>AND(COUNTIF(G176:BE176,"&lt;&gt;" &amp; "")&gt;0,NOT(ISBLANK(E176)))</formula>
    </cfRule>
  </conditionalFormatting>
  <conditionalFormatting sqref="E177">
    <cfRule type="expression" dxfId="0" priority="231">
      <formula>COUNTIF(G177:BE177,"&lt;&gt;" &amp; "")&gt;0</formula>
    </cfRule>
    <cfRule type="expression" dxfId="1" priority="232">
      <formula>AND(COUNTIF(G177:BE177,"&lt;&gt;" &amp; "")&gt;0,NOT(ISBLANK(E177)))</formula>
    </cfRule>
  </conditionalFormatting>
  <conditionalFormatting sqref="E178">
    <cfRule type="expression" dxfId="0" priority="233">
      <formula>COUNTIF(G178:BE178,"&lt;&gt;" &amp; "")&gt;0</formula>
    </cfRule>
    <cfRule type="expression" dxfId="1" priority="234">
      <formula>AND(COUNTIF(G178:BE178,"&lt;&gt;" &amp; "")&gt;0,NOT(ISBLANK(E178)))</formula>
    </cfRule>
  </conditionalFormatting>
  <conditionalFormatting sqref="E179">
    <cfRule type="expression" dxfId="0" priority="235">
      <formula>COUNTIF(G179:BE179,"&lt;&gt;" &amp; "")&gt;0</formula>
    </cfRule>
    <cfRule type="expression" dxfId="1" priority="236">
      <formula>AND(COUNTIF(G179:BE179,"&lt;&gt;" &amp; "")&gt;0,NOT(ISBLANK(E179)))</formula>
    </cfRule>
  </conditionalFormatting>
  <conditionalFormatting sqref="E180">
    <cfRule type="expression" dxfId="0" priority="237">
      <formula>COUNTIF(G180:BE180,"&lt;&gt;" &amp; "")&gt;0</formula>
    </cfRule>
    <cfRule type="expression" dxfId="1" priority="238">
      <formula>AND(COUNTIF(G180:BE180,"&lt;&gt;" &amp; "")&gt;0,NOT(ISBLANK(E180)))</formula>
    </cfRule>
  </conditionalFormatting>
  <conditionalFormatting sqref="E181">
    <cfRule type="expression" dxfId="0" priority="239">
      <formula>COUNTIF(G181:BE181,"&lt;&gt;" &amp; "")&gt;0</formula>
    </cfRule>
    <cfRule type="expression" dxfId="1" priority="240">
      <formula>AND(COUNTIF(G181:BE181,"&lt;&gt;" &amp; "")&gt;0,NOT(ISBLANK(E181)))</formula>
    </cfRule>
  </conditionalFormatting>
  <conditionalFormatting sqref="E30">
    <cfRule type="expression" dxfId="0" priority="1">
      <formula>COUNTIF(G30:BE30,"&lt;&gt;" &amp; "")&gt;0</formula>
    </cfRule>
    <cfRule type="expression" dxfId="1" priority="2">
      <formula>AND(COUNTIF(G30:BE30,"&lt;&gt;" &amp; "")&gt;0,NOT(ISBLANK(E30)))</formula>
    </cfRule>
  </conditionalFormatting>
  <conditionalFormatting sqref="E31">
    <cfRule type="expression" dxfId="0" priority="3">
      <formula>COUNTIF(G31:BE31,"&lt;&gt;" &amp; "")&gt;0</formula>
    </cfRule>
    <cfRule type="expression" dxfId="1" priority="4">
      <formula>AND(COUNTIF(G31:BE31,"&lt;&gt;" &amp; "")&gt;0,NOT(ISBLANK(E31)))</formula>
    </cfRule>
  </conditionalFormatting>
  <conditionalFormatting sqref="E32">
    <cfRule type="expression" dxfId="0" priority="5">
      <formula>COUNTIF(G32:BE32,"&lt;&gt;" &amp; "")&gt;0</formula>
    </cfRule>
    <cfRule type="expression" dxfId="1" priority="6">
      <formula>AND(COUNTIF(G32:BE32,"&lt;&gt;" &amp; "")&gt;0,NOT(ISBLANK(E32)))</formula>
    </cfRule>
  </conditionalFormatting>
  <conditionalFormatting sqref="E33">
    <cfRule type="expression" dxfId="0" priority="7">
      <formula>COUNTIF(G33:BE33,"&lt;&gt;" &amp; "")&gt;0</formula>
    </cfRule>
    <cfRule type="expression" dxfId="1" priority="8">
      <formula>AND(COUNTIF(G33:BE33,"&lt;&gt;" &amp; "")&gt;0,NOT(ISBLANK(E33)))</formula>
    </cfRule>
  </conditionalFormatting>
  <conditionalFormatting sqref="E34">
    <cfRule type="expression" dxfId="0" priority="9">
      <formula>COUNTIF(G34:BE34,"&lt;&gt;" &amp; "")&gt;0</formula>
    </cfRule>
    <cfRule type="expression" dxfId="1" priority="10">
      <formula>AND(COUNTIF(G34:BE34,"&lt;&gt;" &amp; "")&gt;0,NOT(ISBLANK(E34)))</formula>
    </cfRule>
  </conditionalFormatting>
  <conditionalFormatting sqref="E35">
    <cfRule type="expression" dxfId="0" priority="11">
      <formula>COUNTIF(G35:BE35,"&lt;&gt;" &amp; "")&gt;0</formula>
    </cfRule>
    <cfRule type="expression" dxfId="1" priority="12">
      <formula>AND(COUNTIF(G35:BE35,"&lt;&gt;" &amp; "")&gt;0,NOT(ISBLANK(E35)))</formula>
    </cfRule>
  </conditionalFormatting>
  <conditionalFormatting sqref="E36">
    <cfRule type="expression" dxfId="0" priority="13">
      <formula>COUNTIF(G36:BE36,"&lt;&gt;" &amp; "")&gt;0</formula>
    </cfRule>
    <cfRule type="expression" dxfId="1" priority="14">
      <formula>AND(COUNTIF(G36:BE36,"&lt;&gt;" &amp; "")&gt;0,NOT(ISBLANK(E36)))</formula>
    </cfRule>
  </conditionalFormatting>
  <conditionalFormatting sqref="E37">
    <cfRule type="expression" dxfId="0" priority="15">
      <formula>COUNTIF(G37:BE37,"&lt;&gt;" &amp; "")&gt;0</formula>
    </cfRule>
    <cfRule type="expression" dxfId="1" priority="16">
      <formula>AND(COUNTIF(G37:BE37,"&lt;&gt;" &amp; "")&gt;0,NOT(ISBLANK(E37)))</formula>
    </cfRule>
  </conditionalFormatting>
  <conditionalFormatting sqref="E38">
    <cfRule type="expression" dxfId="0" priority="17">
      <formula>COUNTIF(G38:BE38,"&lt;&gt;" &amp; "")&gt;0</formula>
    </cfRule>
    <cfRule type="expression" dxfId="1" priority="18">
      <formula>AND(COUNTIF(G38:BE38,"&lt;&gt;" &amp; "")&gt;0,NOT(ISBLANK(E38)))</formula>
    </cfRule>
  </conditionalFormatting>
  <conditionalFormatting sqref="E39">
    <cfRule type="expression" dxfId="0" priority="19">
      <formula>COUNTIF(G39:BE39,"&lt;&gt;" &amp; "")&gt;0</formula>
    </cfRule>
    <cfRule type="expression" dxfId="1" priority="20">
      <formula>AND(COUNTIF(G39:BE39,"&lt;&gt;" &amp; "")&gt;0,NOT(ISBLANK(E39)))</formula>
    </cfRule>
  </conditionalFormatting>
  <conditionalFormatting sqref="E40">
    <cfRule type="expression" dxfId="0" priority="21">
      <formula>COUNTIF(G40:BE40,"&lt;&gt;" &amp; "")&gt;0</formula>
    </cfRule>
    <cfRule type="expression" dxfId="1" priority="22">
      <formula>AND(COUNTIF(G40:BE40,"&lt;&gt;" &amp; "")&gt;0,NOT(ISBLANK(E40)))</formula>
    </cfRule>
  </conditionalFormatting>
  <conditionalFormatting sqref="E41">
    <cfRule type="expression" dxfId="0" priority="23">
      <formula>COUNTIF(G41:BE41,"&lt;&gt;" &amp; "")&gt;0</formula>
    </cfRule>
    <cfRule type="expression" dxfId="1" priority="24">
      <formula>AND(COUNTIF(G41:BE41,"&lt;&gt;" &amp; "")&gt;0,NOT(ISBLANK(E41)))</formula>
    </cfRule>
  </conditionalFormatting>
  <conditionalFormatting sqref="E44">
    <cfRule type="expression" dxfId="0" priority="25">
      <formula>COUNTIF(G44:BE44,"&lt;&gt;" &amp; "")&gt;0</formula>
    </cfRule>
    <cfRule type="expression" dxfId="1" priority="26">
      <formula>AND(COUNTIF(G44:BE44,"&lt;&gt;" &amp; "")&gt;0,NOT(ISBLANK(E44)))</formula>
    </cfRule>
  </conditionalFormatting>
  <conditionalFormatting sqref="E45">
    <cfRule type="expression" dxfId="0" priority="27">
      <formula>COUNTIF(G45:BE45,"&lt;&gt;" &amp; "")&gt;0</formula>
    </cfRule>
    <cfRule type="expression" dxfId="1" priority="28">
      <formula>AND(COUNTIF(G45:BE45,"&lt;&gt;" &amp; "")&gt;0,NOT(ISBLANK(E45)))</formula>
    </cfRule>
  </conditionalFormatting>
  <conditionalFormatting sqref="E46">
    <cfRule type="expression" dxfId="0" priority="29">
      <formula>COUNTIF(G46:BE46,"&lt;&gt;" &amp; "")&gt;0</formula>
    </cfRule>
    <cfRule type="expression" dxfId="1" priority="30">
      <formula>AND(COUNTIF(G46:BE46,"&lt;&gt;" &amp; "")&gt;0,NOT(ISBLANK(E46)))</formula>
    </cfRule>
  </conditionalFormatting>
  <conditionalFormatting sqref="E47">
    <cfRule type="expression" dxfId="0" priority="31">
      <formula>COUNTIF(G47:BE47,"&lt;&gt;" &amp; "")&gt;0</formula>
    </cfRule>
    <cfRule type="expression" dxfId="1" priority="32">
      <formula>AND(COUNTIF(G47:BE47,"&lt;&gt;" &amp; "")&gt;0,NOT(ISBLANK(E47)))</formula>
    </cfRule>
  </conditionalFormatting>
  <conditionalFormatting sqref="E48">
    <cfRule type="expression" dxfId="0" priority="33">
      <formula>COUNTIF(G48:BE48,"&lt;&gt;" &amp; "")&gt;0</formula>
    </cfRule>
    <cfRule type="expression" dxfId="1" priority="34">
      <formula>AND(COUNTIF(G48:BE48,"&lt;&gt;" &amp; "")&gt;0,NOT(ISBLANK(E48)))</formula>
    </cfRule>
  </conditionalFormatting>
  <conditionalFormatting sqref="E49">
    <cfRule type="expression" dxfId="0" priority="35">
      <formula>COUNTIF(G49:BE49,"&lt;&gt;" &amp; "")&gt;0</formula>
    </cfRule>
    <cfRule type="expression" dxfId="1" priority="36">
      <formula>AND(COUNTIF(G49:BE49,"&lt;&gt;" &amp; "")&gt;0,NOT(ISBLANK(E49)))</formula>
    </cfRule>
  </conditionalFormatting>
  <conditionalFormatting sqref="E50">
    <cfRule type="expression" dxfId="0" priority="37">
      <formula>COUNTIF(G50:BE50,"&lt;&gt;" &amp; "")&gt;0</formula>
    </cfRule>
    <cfRule type="expression" dxfId="1" priority="38">
      <formula>AND(COUNTIF(G50:BE50,"&lt;&gt;" &amp; "")&gt;0,NOT(ISBLANK(E50)))</formula>
    </cfRule>
  </conditionalFormatting>
  <conditionalFormatting sqref="E51">
    <cfRule type="expression" dxfId="0" priority="39">
      <formula>COUNTIF(G51:BE51,"&lt;&gt;" &amp; "")&gt;0</formula>
    </cfRule>
    <cfRule type="expression" dxfId="1" priority="40">
      <formula>AND(COUNTIF(G51:BE51,"&lt;&gt;" &amp; "")&gt;0,NOT(ISBLANK(E51)))</formula>
    </cfRule>
  </conditionalFormatting>
  <conditionalFormatting sqref="E52">
    <cfRule type="expression" dxfId="0" priority="41">
      <formula>COUNTIF(G52:BE52,"&lt;&gt;" &amp; "")&gt;0</formula>
    </cfRule>
    <cfRule type="expression" dxfId="1" priority="42">
      <formula>AND(COUNTIF(G52:BE52,"&lt;&gt;" &amp; "")&gt;0,NOT(ISBLANK(E52)))</formula>
    </cfRule>
  </conditionalFormatting>
  <conditionalFormatting sqref="E53">
    <cfRule type="expression" dxfId="0" priority="43">
      <formula>COUNTIF(G53:BE53,"&lt;&gt;" &amp; "")&gt;0</formula>
    </cfRule>
    <cfRule type="expression" dxfId="1" priority="44">
      <formula>AND(COUNTIF(G53:BE53,"&lt;&gt;" &amp; "")&gt;0,NOT(ISBLANK(E53)))</formula>
    </cfRule>
  </conditionalFormatting>
  <conditionalFormatting sqref="E54">
    <cfRule type="expression" dxfId="0" priority="45">
      <formula>COUNTIF(G54:BE54,"&lt;&gt;" &amp; "")&gt;0</formula>
    </cfRule>
    <cfRule type="expression" dxfId="1" priority="46">
      <formula>AND(COUNTIF(G54:BE54,"&lt;&gt;" &amp; "")&gt;0,NOT(ISBLANK(E54)))</formula>
    </cfRule>
  </conditionalFormatting>
  <conditionalFormatting sqref="E55">
    <cfRule type="expression" dxfId="0" priority="47">
      <formula>COUNTIF(G55:BE55,"&lt;&gt;" &amp; "")&gt;0</formula>
    </cfRule>
    <cfRule type="expression" dxfId="1" priority="48">
      <formula>AND(COUNTIF(G55:BE55,"&lt;&gt;" &amp; "")&gt;0,NOT(ISBLANK(E55)))</formula>
    </cfRule>
  </conditionalFormatting>
  <conditionalFormatting sqref="E58">
    <cfRule type="expression" dxfId="0" priority="49">
      <formula>COUNTIF(G58:BE58,"&lt;&gt;" &amp; "")&gt;0</formula>
    </cfRule>
    <cfRule type="expression" dxfId="1" priority="50">
      <formula>AND(COUNTIF(G58:BE58,"&lt;&gt;" &amp; "")&gt;0,NOT(ISBLANK(E58)))</formula>
    </cfRule>
  </conditionalFormatting>
  <conditionalFormatting sqref="E59">
    <cfRule type="expression" dxfId="0" priority="51">
      <formula>COUNTIF(G59:BE59,"&lt;&gt;" &amp; "")&gt;0</formula>
    </cfRule>
    <cfRule type="expression" dxfId="1" priority="52">
      <formula>AND(COUNTIF(G59:BE59,"&lt;&gt;" &amp; "")&gt;0,NOT(ISBLANK(E59)))</formula>
    </cfRule>
  </conditionalFormatting>
  <conditionalFormatting sqref="E60">
    <cfRule type="expression" dxfId="0" priority="53">
      <formula>COUNTIF(G60:BE60,"&lt;&gt;" &amp; "")&gt;0</formula>
    </cfRule>
    <cfRule type="expression" dxfId="1" priority="54">
      <formula>AND(COUNTIF(G60:BE60,"&lt;&gt;" &amp; "")&gt;0,NOT(ISBLANK(E60)))</formula>
    </cfRule>
  </conditionalFormatting>
  <conditionalFormatting sqref="E61">
    <cfRule type="expression" dxfId="0" priority="55">
      <formula>COUNTIF(G61:BE61,"&lt;&gt;" &amp; "")&gt;0</formula>
    </cfRule>
    <cfRule type="expression" dxfId="1" priority="56">
      <formula>AND(COUNTIF(G61:BE61,"&lt;&gt;" &amp; "")&gt;0,NOT(ISBLANK(E61)))</formula>
    </cfRule>
  </conditionalFormatting>
  <conditionalFormatting sqref="E62">
    <cfRule type="expression" dxfId="0" priority="57">
      <formula>COUNTIF(G62:BE62,"&lt;&gt;" &amp; "")&gt;0</formula>
    </cfRule>
    <cfRule type="expression" dxfId="1" priority="58">
      <formula>AND(COUNTIF(G62:BE62,"&lt;&gt;" &amp; "")&gt;0,NOT(ISBLANK(E62)))</formula>
    </cfRule>
  </conditionalFormatting>
  <conditionalFormatting sqref="E63">
    <cfRule type="expression" dxfId="0" priority="59">
      <formula>COUNTIF(G63:BE63,"&lt;&gt;" &amp; "")&gt;0</formula>
    </cfRule>
    <cfRule type="expression" dxfId="1" priority="60">
      <formula>AND(COUNTIF(G63:BE63,"&lt;&gt;" &amp; "")&gt;0,NOT(ISBLANK(E63)))</formula>
    </cfRule>
  </conditionalFormatting>
  <conditionalFormatting sqref="E64">
    <cfRule type="expression" dxfId="0" priority="61">
      <formula>COUNTIF(G64:BE64,"&lt;&gt;" &amp; "")&gt;0</formula>
    </cfRule>
    <cfRule type="expression" dxfId="1" priority="62">
      <formula>AND(COUNTIF(G64:BE64,"&lt;&gt;" &amp; "")&gt;0,NOT(ISBLANK(E64)))</formula>
    </cfRule>
  </conditionalFormatting>
  <conditionalFormatting sqref="E65">
    <cfRule type="expression" dxfId="0" priority="63">
      <formula>COUNTIF(G65:BE65,"&lt;&gt;" &amp; "")&gt;0</formula>
    </cfRule>
    <cfRule type="expression" dxfId="1" priority="64">
      <formula>AND(COUNTIF(G65:BE65,"&lt;&gt;" &amp; "")&gt;0,NOT(ISBLANK(E65)))</formula>
    </cfRule>
  </conditionalFormatting>
  <conditionalFormatting sqref="E66">
    <cfRule type="expression" dxfId="0" priority="65">
      <formula>COUNTIF(G66:BE66,"&lt;&gt;" &amp; "")&gt;0</formula>
    </cfRule>
    <cfRule type="expression" dxfId="1" priority="66">
      <formula>AND(COUNTIF(G66:BE66,"&lt;&gt;" &amp; "")&gt;0,NOT(ISBLANK(E66)))</formula>
    </cfRule>
  </conditionalFormatting>
  <conditionalFormatting sqref="E67">
    <cfRule type="expression" dxfId="0" priority="67">
      <formula>COUNTIF(G67:BE67,"&lt;&gt;" &amp; "")&gt;0</formula>
    </cfRule>
    <cfRule type="expression" dxfId="1" priority="68">
      <formula>AND(COUNTIF(G67:BE67,"&lt;&gt;" &amp; "")&gt;0,NOT(ISBLANK(E67)))</formula>
    </cfRule>
  </conditionalFormatting>
  <conditionalFormatting sqref="E68">
    <cfRule type="expression" dxfId="0" priority="69">
      <formula>COUNTIF(G68:BE68,"&lt;&gt;" &amp; "")&gt;0</formula>
    </cfRule>
    <cfRule type="expression" dxfId="1" priority="70">
      <formula>AND(COUNTIF(G68:BE68,"&lt;&gt;" &amp; "")&gt;0,NOT(ISBLANK(E68)))</formula>
    </cfRule>
  </conditionalFormatting>
  <conditionalFormatting sqref="E69">
    <cfRule type="expression" dxfId="0" priority="71">
      <formula>COUNTIF(G69:BE69,"&lt;&gt;" &amp; "")&gt;0</formula>
    </cfRule>
    <cfRule type="expression" dxfId="1" priority="72">
      <formula>AND(COUNTIF(G69:BE69,"&lt;&gt;" &amp; "")&gt;0,NOT(ISBLANK(E69)))</formula>
    </cfRule>
  </conditionalFormatting>
  <conditionalFormatting sqref="E72">
    <cfRule type="expression" dxfId="0" priority="73">
      <formula>COUNTIF(G72:BE72,"&lt;&gt;" &amp; "")&gt;0</formula>
    </cfRule>
    <cfRule type="expression" dxfId="1" priority="74">
      <formula>AND(COUNTIF(G72:BE72,"&lt;&gt;" &amp; "")&gt;0,NOT(ISBLANK(E72)))</formula>
    </cfRule>
  </conditionalFormatting>
  <conditionalFormatting sqref="E73">
    <cfRule type="expression" dxfId="0" priority="75">
      <formula>COUNTIF(G73:BE73,"&lt;&gt;" &amp; "")&gt;0</formula>
    </cfRule>
    <cfRule type="expression" dxfId="1" priority="76">
      <formula>AND(COUNTIF(G73:BE73,"&lt;&gt;" &amp; "")&gt;0,NOT(ISBLANK(E73)))</formula>
    </cfRule>
  </conditionalFormatting>
  <conditionalFormatting sqref="E74">
    <cfRule type="expression" dxfId="0" priority="77">
      <formula>COUNTIF(G74:BE74,"&lt;&gt;" &amp; "")&gt;0</formula>
    </cfRule>
    <cfRule type="expression" dxfId="1" priority="78">
      <formula>AND(COUNTIF(G74:BE74,"&lt;&gt;" &amp; "")&gt;0,NOT(ISBLANK(E74)))</formula>
    </cfRule>
  </conditionalFormatting>
  <conditionalFormatting sqref="E75">
    <cfRule type="expression" dxfId="0" priority="79">
      <formula>COUNTIF(G75:BE75,"&lt;&gt;" &amp; "")&gt;0</formula>
    </cfRule>
    <cfRule type="expression" dxfId="1" priority="80">
      <formula>AND(COUNTIF(G75:BE75,"&lt;&gt;" &amp; "")&gt;0,NOT(ISBLANK(E75)))</formula>
    </cfRule>
  </conditionalFormatting>
  <conditionalFormatting sqref="E76">
    <cfRule type="expression" dxfId="0" priority="81">
      <formula>COUNTIF(G76:BE76,"&lt;&gt;" &amp; "")&gt;0</formula>
    </cfRule>
    <cfRule type="expression" dxfId="1" priority="82">
      <formula>AND(COUNTIF(G76:BE76,"&lt;&gt;" &amp; "")&gt;0,NOT(ISBLANK(E76)))</formula>
    </cfRule>
  </conditionalFormatting>
  <conditionalFormatting sqref="E77">
    <cfRule type="expression" dxfId="0" priority="83">
      <formula>COUNTIF(G77:BE77,"&lt;&gt;" &amp; "")&gt;0</formula>
    </cfRule>
    <cfRule type="expression" dxfId="1" priority="84">
      <formula>AND(COUNTIF(G77:BE77,"&lt;&gt;" &amp; "")&gt;0,NOT(ISBLANK(E77)))</formula>
    </cfRule>
  </conditionalFormatting>
  <conditionalFormatting sqref="E78">
    <cfRule type="expression" dxfId="0" priority="85">
      <formula>COUNTIF(G78:BE78,"&lt;&gt;" &amp; "")&gt;0</formula>
    </cfRule>
    <cfRule type="expression" dxfId="1" priority="86">
      <formula>AND(COUNTIF(G78:BE78,"&lt;&gt;" &amp; "")&gt;0,NOT(ISBLANK(E78)))</formula>
    </cfRule>
  </conditionalFormatting>
  <conditionalFormatting sqref="E79">
    <cfRule type="expression" dxfId="0" priority="87">
      <formula>COUNTIF(G79:BE79,"&lt;&gt;" &amp; "")&gt;0</formula>
    </cfRule>
    <cfRule type="expression" dxfId="1" priority="88">
      <formula>AND(COUNTIF(G79:BE79,"&lt;&gt;" &amp; "")&gt;0,NOT(ISBLANK(E79)))</formula>
    </cfRule>
  </conditionalFormatting>
  <conditionalFormatting sqref="E80">
    <cfRule type="expression" dxfId="0" priority="89">
      <formula>COUNTIF(G80:BE80,"&lt;&gt;" &amp; "")&gt;0</formula>
    </cfRule>
    <cfRule type="expression" dxfId="1" priority="90">
      <formula>AND(COUNTIF(G80:BE80,"&lt;&gt;" &amp; "")&gt;0,NOT(ISBLANK(E80)))</formula>
    </cfRule>
  </conditionalFormatting>
  <conditionalFormatting sqref="E81">
    <cfRule type="expression" dxfId="0" priority="91">
      <formula>COUNTIF(G81:BE81,"&lt;&gt;" &amp; "")&gt;0</formula>
    </cfRule>
    <cfRule type="expression" dxfId="1" priority="92">
      <formula>AND(COUNTIF(G81:BE81,"&lt;&gt;" &amp; "")&gt;0,NOT(ISBLANK(E81)))</formula>
    </cfRule>
  </conditionalFormatting>
  <conditionalFormatting sqref="E82">
    <cfRule type="expression" dxfId="0" priority="93">
      <formula>COUNTIF(G82:BE82,"&lt;&gt;" &amp; "")&gt;0</formula>
    </cfRule>
    <cfRule type="expression" dxfId="1" priority="94">
      <formula>AND(COUNTIF(G82:BE82,"&lt;&gt;" &amp; "")&gt;0,NOT(ISBLANK(E82)))</formula>
    </cfRule>
  </conditionalFormatting>
  <conditionalFormatting sqref="E83">
    <cfRule type="expression" dxfId="0" priority="95">
      <formula>COUNTIF(G83:BE83,"&lt;&gt;" &amp; "")&gt;0</formula>
    </cfRule>
    <cfRule type="expression" dxfId="1" priority="96">
      <formula>AND(COUNTIF(G83:BE83,"&lt;&gt;" &amp; "")&gt;0,NOT(ISBLANK(E83)))</formula>
    </cfRule>
  </conditionalFormatting>
  <conditionalFormatting sqref="E86">
    <cfRule type="expression" dxfId="0" priority="97">
      <formula>COUNTIF(G86:BE86,"&lt;&gt;" &amp; "")&gt;0</formula>
    </cfRule>
    <cfRule type="expression" dxfId="1" priority="98">
      <formula>AND(COUNTIF(G86:BE86,"&lt;&gt;" &amp; "")&gt;0,NOT(ISBLANK(E86)))</formula>
    </cfRule>
  </conditionalFormatting>
  <conditionalFormatting sqref="E87">
    <cfRule type="expression" dxfId="0" priority="99">
      <formula>COUNTIF(G87:BE87,"&lt;&gt;" &amp; "")&gt;0</formula>
    </cfRule>
    <cfRule type="expression" dxfId="1" priority="100">
      <formula>AND(COUNTIF(G87:BE87,"&lt;&gt;" &amp; "")&gt;0,NOT(ISBLANK(E87)))</formula>
    </cfRule>
  </conditionalFormatting>
  <conditionalFormatting sqref="E88">
    <cfRule type="expression" dxfId="0" priority="101">
      <formula>COUNTIF(G88:BE88,"&lt;&gt;" &amp; "")&gt;0</formula>
    </cfRule>
    <cfRule type="expression" dxfId="1" priority="102">
      <formula>AND(COUNTIF(G88:BE88,"&lt;&gt;" &amp; "")&gt;0,NOT(ISBLANK(E88)))</formula>
    </cfRule>
  </conditionalFormatting>
  <conditionalFormatting sqref="E89">
    <cfRule type="expression" dxfId="0" priority="103">
      <formula>COUNTIF(G89:BE89,"&lt;&gt;" &amp; "")&gt;0</formula>
    </cfRule>
    <cfRule type="expression" dxfId="1" priority="104">
      <formula>AND(COUNTIF(G89:BE89,"&lt;&gt;" &amp; "")&gt;0,NOT(ISBLANK(E89)))</formula>
    </cfRule>
  </conditionalFormatting>
  <conditionalFormatting sqref="E90">
    <cfRule type="expression" dxfId="0" priority="105">
      <formula>COUNTIF(G90:BE90,"&lt;&gt;" &amp; "")&gt;0</formula>
    </cfRule>
    <cfRule type="expression" dxfId="1" priority="106">
      <formula>AND(COUNTIF(G90:BE90,"&lt;&gt;" &amp; "")&gt;0,NOT(ISBLANK(E90)))</formula>
    </cfRule>
  </conditionalFormatting>
  <conditionalFormatting sqref="E91">
    <cfRule type="expression" dxfId="0" priority="107">
      <formula>COUNTIF(G91:BE91,"&lt;&gt;" &amp; "")&gt;0</formula>
    </cfRule>
    <cfRule type="expression" dxfId="1" priority="108">
      <formula>AND(COUNTIF(G91:BE91,"&lt;&gt;" &amp; "")&gt;0,NOT(ISBLANK(E91)))</formula>
    </cfRule>
  </conditionalFormatting>
  <conditionalFormatting sqref="E92">
    <cfRule type="expression" dxfId="0" priority="109">
      <formula>COUNTIF(G92:BE92,"&lt;&gt;" &amp; "")&gt;0</formula>
    </cfRule>
    <cfRule type="expression" dxfId="1" priority="110">
      <formula>AND(COUNTIF(G92:BE92,"&lt;&gt;" &amp; "")&gt;0,NOT(ISBLANK(E92)))</formula>
    </cfRule>
  </conditionalFormatting>
  <conditionalFormatting sqref="E93">
    <cfRule type="expression" dxfId="0" priority="111">
      <formula>COUNTIF(G93:BE93,"&lt;&gt;" &amp; "")&gt;0</formula>
    </cfRule>
    <cfRule type="expression" dxfId="1" priority="112">
      <formula>AND(COUNTIF(G93:BE93,"&lt;&gt;" &amp; "")&gt;0,NOT(ISBLANK(E93)))</formula>
    </cfRule>
  </conditionalFormatting>
  <conditionalFormatting sqref="E94">
    <cfRule type="expression" dxfId="0" priority="113">
      <formula>COUNTIF(G94:BE94,"&lt;&gt;" &amp; "")&gt;0</formula>
    </cfRule>
    <cfRule type="expression" dxfId="1" priority="114">
      <formula>AND(COUNTIF(G94:BE94,"&lt;&gt;" &amp; "")&gt;0,NOT(ISBLANK(E94)))</formula>
    </cfRule>
  </conditionalFormatting>
  <conditionalFormatting sqref="E95">
    <cfRule type="expression" dxfId="0" priority="115">
      <formula>COUNTIF(G95:BE95,"&lt;&gt;" &amp; "")&gt;0</formula>
    </cfRule>
    <cfRule type="expression" dxfId="1" priority="116">
      <formula>AND(COUNTIF(G95:BE95,"&lt;&gt;" &amp; "")&gt;0,NOT(ISBLANK(E95)))</formula>
    </cfRule>
  </conditionalFormatting>
  <conditionalFormatting sqref="E96">
    <cfRule type="expression" dxfId="0" priority="117">
      <formula>COUNTIF(G96:BE96,"&lt;&gt;" &amp; "")&gt;0</formula>
    </cfRule>
    <cfRule type="expression" dxfId="1" priority="118">
      <formula>AND(COUNTIF(G96:BE96,"&lt;&gt;" &amp; "")&gt;0,NOT(ISBLANK(E96)))</formula>
    </cfRule>
  </conditionalFormatting>
  <conditionalFormatting sqref="E97">
    <cfRule type="expression" dxfId="0" priority="119">
      <formula>COUNTIF(G97:BE97,"&lt;&gt;" &amp; "")&gt;0</formula>
    </cfRule>
    <cfRule type="expression" dxfId="1" priority="120">
      <formula>AND(COUNTIF(G97:BE97,"&lt;&gt;" &amp; "")&gt;0,NOT(ISBLANK(E97)))</formula>
    </cfRule>
  </conditionalFormatting>
  <dataValidations count="15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"Fraction"</formula1>
    </dataValidation>
    <dataValidation type="list" allowBlank="1" showInputMessage="1" showErrorMessage="1" sqref="C17">
      <formula1>"Fraction"</formula1>
    </dataValidation>
    <dataValidation type="list" allowBlank="1" showInputMessage="1" showErrorMessage="1" sqref="C18">
      <formula1>"Fraction"</formula1>
    </dataValidation>
    <dataValidation type="list" allowBlank="1" showInputMessage="1" showErrorMessage="1" sqref="C19">
      <formula1>"Fraction"</formula1>
    </dataValidation>
    <dataValidation type="list" allowBlank="1" showInputMessage="1" showErrorMessage="1" sqref="C20">
      <formula1>"Fraction"</formula1>
    </dataValidation>
    <dataValidation type="list" allowBlank="1" showInputMessage="1" showErrorMessage="1" sqref="C21">
      <formula1>"Fraction"</formula1>
    </dataValidation>
    <dataValidation type="list" allowBlank="1" showInputMessage="1" showErrorMessage="1" sqref="C22">
      <formula1>"Fraction"</formula1>
    </dataValidation>
    <dataValidation type="list" allowBlank="1" showInputMessage="1" showErrorMessage="1" sqref="C23">
      <formula1>"Fraction"</formula1>
    </dataValidation>
    <dataValidation type="list" allowBlank="1" showInputMessage="1" showErrorMessage="1" sqref="C24">
      <formula1>"Fraction"</formula1>
    </dataValidation>
    <dataValidation type="list" allowBlank="1" showInputMessage="1" showErrorMessage="1" sqref="C25">
      <formula1>"Fraction"</formula1>
    </dataValidation>
    <dataValidation type="list" allowBlank="1" showInputMessage="1" showErrorMessage="1" sqref="C26">
      <formula1>"Fraction"</formula1>
    </dataValidation>
    <dataValidation type="list" allowBlank="1" showInputMessage="1" showErrorMessage="1" sqref="C27">
      <formula1>"Fraction"</formula1>
    </dataValidation>
    <dataValidation type="list" allowBlank="1" showInputMessage="1" showErrorMessage="1" sqref="C30">
      <formula1>"Fraction"</formula1>
    </dataValidation>
    <dataValidation type="list" allowBlank="1" showInputMessage="1" showErrorMessage="1" sqref="C31">
      <formula1>"Fraction"</formula1>
    </dataValidation>
    <dataValidation type="list" allowBlank="1" showInputMessage="1" showErrorMessage="1" sqref="C32">
      <formula1>"Fraction"</formula1>
    </dataValidation>
    <dataValidation type="list" allowBlank="1" showInputMessage="1" showErrorMessage="1" sqref="C33">
      <formula1>"Fraction"</formula1>
    </dataValidation>
    <dataValidation type="list" allowBlank="1" showInputMessage="1" showErrorMessage="1" sqref="C34">
      <formula1>"Fraction"</formula1>
    </dataValidation>
    <dataValidation type="list" allowBlank="1" showInputMessage="1" showErrorMessage="1" sqref="C35">
      <formula1>"Fraction"</formula1>
    </dataValidation>
    <dataValidation type="list" allowBlank="1" showInputMessage="1" showErrorMessage="1" sqref="C36">
      <formula1>"Fraction"</formula1>
    </dataValidation>
    <dataValidation type="list" allowBlank="1" showInputMessage="1" showErrorMessage="1" sqref="C37">
      <formula1>"Fraction"</formula1>
    </dataValidation>
    <dataValidation type="list" allowBlank="1" showInputMessage="1" showErrorMessage="1" sqref="C38">
      <formula1>"Fraction"</formula1>
    </dataValidation>
    <dataValidation type="list" allowBlank="1" showInputMessage="1" showErrorMessage="1" sqref="C39">
      <formula1>"Fraction"</formula1>
    </dataValidation>
    <dataValidation type="list" allowBlank="1" showInputMessage="1" showErrorMessage="1" sqref="C40">
      <formula1>"Fraction"</formula1>
    </dataValidation>
    <dataValidation type="list" allowBlank="1" showInputMessage="1" showErrorMessage="1" sqref="C41">
      <formula1>"Fraction"</formula1>
    </dataValidation>
    <dataValidation type="list" allowBlank="1" showInputMessage="1" showErrorMessage="1" sqref="C44">
      <formula1>"Fraction"</formula1>
    </dataValidation>
    <dataValidation type="list" allowBlank="1" showInputMessage="1" showErrorMessage="1" sqref="C45">
      <formula1>"Fraction"</formula1>
    </dataValidation>
    <dataValidation type="list" allowBlank="1" showInputMessage="1" showErrorMessage="1" sqref="C46">
      <formula1>"Fraction"</formula1>
    </dataValidation>
    <dataValidation type="list" allowBlank="1" showInputMessage="1" showErrorMessage="1" sqref="C47">
      <formula1>"Fraction"</formula1>
    </dataValidation>
    <dataValidation type="list" allowBlank="1" showInputMessage="1" showErrorMessage="1" sqref="C48">
      <formula1>"Fraction"</formula1>
    </dataValidation>
    <dataValidation type="list" allowBlank="1" showInputMessage="1" showErrorMessage="1" sqref="C49">
      <formula1>"Fraction"</formula1>
    </dataValidation>
    <dataValidation type="list" allowBlank="1" showInputMessage="1" showErrorMessage="1" sqref="C50">
      <formula1>"Fraction"</formula1>
    </dataValidation>
    <dataValidation type="list" allowBlank="1" showInputMessage="1" showErrorMessage="1" sqref="C51">
      <formula1>"Fraction"</formula1>
    </dataValidation>
    <dataValidation type="list" allowBlank="1" showInputMessage="1" showErrorMessage="1" sqref="C52">
      <formula1>"Fraction"</formula1>
    </dataValidation>
    <dataValidation type="list" allowBlank="1" showInputMessage="1" showErrorMessage="1" sqref="C53">
      <formula1>"Fraction"</formula1>
    </dataValidation>
    <dataValidation type="list" allowBlank="1" showInputMessage="1" showErrorMessage="1" sqref="C54">
      <formula1>"Fraction"</formula1>
    </dataValidation>
    <dataValidation type="list" allowBlank="1" showInputMessage="1" showErrorMessage="1" sqref="C55">
      <formula1>"Fraction"</formula1>
    </dataValidation>
    <dataValidation type="list" allowBlank="1" showInputMessage="1" showErrorMessage="1" sqref="C58">
      <formula1>"Fraction"</formula1>
    </dataValidation>
    <dataValidation type="list" allowBlank="1" showInputMessage="1" showErrorMessage="1" sqref="C59">
      <formula1>"Fraction"</formula1>
    </dataValidation>
    <dataValidation type="list" allowBlank="1" showInputMessage="1" showErrorMessage="1" sqref="C60">
      <formula1>"Fraction"</formula1>
    </dataValidation>
    <dataValidation type="list" allowBlank="1" showInputMessage="1" showErrorMessage="1" sqref="C61">
      <formula1>"Fraction"</formula1>
    </dataValidation>
    <dataValidation type="list" allowBlank="1" showInputMessage="1" showErrorMessage="1" sqref="C62">
      <formula1>"Fraction"</formula1>
    </dataValidation>
    <dataValidation type="list" allowBlank="1" showInputMessage="1" showErrorMessage="1" sqref="C63">
      <formula1>"Fraction"</formula1>
    </dataValidation>
    <dataValidation type="list" allowBlank="1" showInputMessage="1" showErrorMessage="1" sqref="C64">
      <formula1>"Fraction"</formula1>
    </dataValidation>
    <dataValidation type="list" allowBlank="1" showInputMessage="1" showErrorMessage="1" sqref="C65">
      <formula1>"Fraction"</formula1>
    </dataValidation>
    <dataValidation type="list" allowBlank="1" showInputMessage="1" showErrorMessage="1" sqref="C66">
      <formula1>"Fraction"</formula1>
    </dataValidation>
    <dataValidation type="list" allowBlank="1" showInputMessage="1" showErrorMessage="1" sqref="C67">
      <formula1>"Fraction"</formula1>
    </dataValidation>
    <dataValidation type="list" allowBlank="1" showInputMessage="1" showErrorMessage="1" sqref="C68">
      <formula1>"Fraction"</formula1>
    </dataValidation>
    <dataValidation type="list" allowBlank="1" showInputMessage="1" showErrorMessage="1" sqref="C69">
      <formula1>"Fraction"</formula1>
    </dataValidation>
    <dataValidation type="list" allowBlank="1" showInputMessage="1" showErrorMessage="1" sqref="C72">
      <formula1>"Fraction"</formula1>
    </dataValidation>
    <dataValidation type="list" allowBlank="1" showInputMessage="1" showErrorMessage="1" sqref="C73">
      <formula1>"Fraction"</formula1>
    </dataValidation>
    <dataValidation type="list" allowBlank="1" showInputMessage="1" showErrorMessage="1" sqref="C74">
      <formula1>"Fraction"</formula1>
    </dataValidation>
    <dataValidation type="list" allowBlank="1" showInputMessage="1" showErrorMessage="1" sqref="C75">
      <formula1>"Fraction"</formula1>
    </dataValidation>
    <dataValidation type="list" allowBlank="1" showInputMessage="1" showErrorMessage="1" sqref="C76">
      <formula1>"Fraction"</formula1>
    </dataValidation>
    <dataValidation type="list" allowBlank="1" showInputMessage="1" showErrorMessage="1" sqref="C77">
      <formula1>"Fraction"</formula1>
    </dataValidation>
    <dataValidation type="list" allowBlank="1" showInputMessage="1" showErrorMessage="1" sqref="C78">
      <formula1>"Fraction"</formula1>
    </dataValidation>
    <dataValidation type="list" allowBlank="1" showInputMessage="1" showErrorMessage="1" sqref="C79">
      <formula1>"Fraction"</formula1>
    </dataValidation>
    <dataValidation type="list" allowBlank="1" showInputMessage="1" showErrorMessage="1" sqref="C80">
      <formula1>"Fraction"</formula1>
    </dataValidation>
    <dataValidation type="list" allowBlank="1" showInputMessage="1" showErrorMessage="1" sqref="C81">
      <formula1>"Fraction"</formula1>
    </dataValidation>
    <dataValidation type="list" allowBlank="1" showInputMessage="1" showErrorMessage="1" sqref="C82">
      <formula1>"Fraction"</formula1>
    </dataValidation>
    <dataValidation type="list" allowBlank="1" showInputMessage="1" showErrorMessage="1" sqref="C83">
      <formula1>"Fraction"</formula1>
    </dataValidation>
    <dataValidation type="list" allowBlank="1" showInputMessage="1" showErrorMessage="1" sqref="C86">
      <formula1>"Fraction"</formula1>
    </dataValidation>
    <dataValidation type="list" allowBlank="1" showInputMessage="1" showErrorMessage="1" sqref="C87">
      <formula1>"Fraction"</formula1>
    </dataValidation>
    <dataValidation type="list" allowBlank="1" showInputMessage="1" showErrorMessage="1" sqref="C88">
      <formula1>"Fraction"</formula1>
    </dataValidation>
    <dataValidation type="list" allowBlank="1" showInputMessage="1" showErrorMessage="1" sqref="C89">
      <formula1>"Fraction"</formula1>
    </dataValidation>
    <dataValidation type="list" allowBlank="1" showInputMessage="1" showErrorMessage="1" sqref="C90">
      <formula1>"Fraction"</formula1>
    </dataValidation>
    <dataValidation type="list" allowBlank="1" showInputMessage="1" showErrorMessage="1" sqref="C91">
      <formula1>"Fraction"</formula1>
    </dataValidation>
    <dataValidation type="list" allowBlank="1" showInputMessage="1" showErrorMessage="1" sqref="C92">
      <formula1>"Fraction"</formula1>
    </dataValidation>
    <dataValidation type="list" allowBlank="1" showInputMessage="1" showErrorMessage="1" sqref="C93">
      <formula1>"Fraction"</formula1>
    </dataValidation>
    <dataValidation type="list" allowBlank="1" showInputMessage="1" showErrorMessage="1" sqref="C94">
      <formula1>"Fraction"</formula1>
    </dataValidation>
    <dataValidation type="list" allowBlank="1" showInputMessage="1" showErrorMessage="1" sqref="C95">
      <formula1>"Fraction"</formula1>
    </dataValidation>
    <dataValidation type="list" allowBlank="1" showInputMessage="1" showErrorMessage="1" sqref="C96">
      <formula1>"Fraction"</formula1>
    </dataValidation>
    <dataValidation type="list" allowBlank="1" showInputMessage="1" showErrorMessage="1" sqref="C97">
      <formula1>"Fraction"</formula1>
    </dataValidation>
    <dataValidation type="list" allowBlank="1" showInputMessage="1" showErrorMessage="1" sqref="C100">
      <formula1>"Fraction"</formula1>
    </dataValidation>
    <dataValidation type="list" allowBlank="1" showInputMessage="1" showErrorMessage="1" sqref="C101">
      <formula1>"Fraction"</formula1>
    </dataValidation>
    <dataValidation type="list" allowBlank="1" showInputMessage="1" showErrorMessage="1" sqref="C102">
      <formula1>"Fraction"</formula1>
    </dataValidation>
    <dataValidation type="list" allowBlank="1" showInputMessage="1" showErrorMessage="1" sqref="C103">
      <formula1>"Fraction"</formula1>
    </dataValidation>
    <dataValidation type="list" allowBlank="1" showInputMessage="1" showErrorMessage="1" sqref="C104">
      <formula1>"Fraction"</formula1>
    </dataValidation>
    <dataValidation type="list" allowBlank="1" showInputMessage="1" showErrorMessage="1" sqref="C105">
      <formula1>"Fraction"</formula1>
    </dataValidation>
    <dataValidation type="list" allowBlank="1" showInputMessage="1" showErrorMessage="1" sqref="C106">
      <formula1>"Fraction"</formula1>
    </dataValidation>
    <dataValidation type="list" allowBlank="1" showInputMessage="1" showErrorMessage="1" sqref="C107">
      <formula1>"Fraction"</formula1>
    </dataValidation>
    <dataValidation type="list" allowBlank="1" showInputMessage="1" showErrorMessage="1" sqref="C108">
      <formula1>"Fraction"</formula1>
    </dataValidation>
    <dataValidation type="list" allowBlank="1" showInputMessage="1" showErrorMessage="1" sqref="C109">
      <formula1>"Fraction"</formula1>
    </dataValidation>
    <dataValidation type="list" allowBlank="1" showInputMessage="1" showErrorMessage="1" sqref="C110">
      <formula1>"Fraction"</formula1>
    </dataValidation>
    <dataValidation type="list" allowBlank="1" showInputMessage="1" showErrorMessage="1" sqref="C111">
      <formula1>"Fraction"</formula1>
    </dataValidation>
    <dataValidation type="list" allowBlank="1" showInputMessage="1" showErrorMessage="1" sqref="C114">
      <formula1>"Fraction"</formula1>
    </dataValidation>
    <dataValidation type="list" allowBlank="1" showInputMessage="1" showErrorMessage="1" sqref="C115">
      <formula1>"Fraction"</formula1>
    </dataValidation>
    <dataValidation type="list" allowBlank="1" showInputMessage="1" showErrorMessage="1" sqref="C116">
      <formula1>"Fraction"</formula1>
    </dataValidation>
    <dataValidation type="list" allowBlank="1" showInputMessage="1" showErrorMessage="1" sqref="C117">
      <formula1>"Fraction"</formula1>
    </dataValidation>
    <dataValidation type="list" allowBlank="1" showInputMessage="1" showErrorMessage="1" sqref="C118">
      <formula1>"Fraction"</formula1>
    </dataValidation>
    <dataValidation type="list" allowBlank="1" showInputMessage="1" showErrorMessage="1" sqref="C119">
      <formula1>"Fraction"</formula1>
    </dataValidation>
    <dataValidation type="list" allowBlank="1" showInputMessage="1" showErrorMessage="1" sqref="C120">
      <formula1>"Fraction"</formula1>
    </dataValidation>
    <dataValidation type="list" allowBlank="1" showInputMessage="1" showErrorMessage="1" sqref="C121">
      <formula1>"Fraction"</formula1>
    </dataValidation>
    <dataValidation type="list" allowBlank="1" showInputMessage="1" showErrorMessage="1" sqref="C122">
      <formula1>"Fraction"</formula1>
    </dataValidation>
    <dataValidation type="list" allowBlank="1" showInputMessage="1" showErrorMessage="1" sqref="C123">
      <formula1>"Fraction"</formula1>
    </dataValidation>
    <dataValidation type="list" allowBlank="1" showInputMessage="1" showErrorMessage="1" sqref="C124">
      <formula1>"Fraction"</formula1>
    </dataValidation>
    <dataValidation type="list" allowBlank="1" showInputMessage="1" showErrorMessage="1" sqref="C125">
      <formula1>"Fraction"</formula1>
    </dataValidation>
    <dataValidation type="list" allowBlank="1" showInputMessage="1" showErrorMessage="1" sqref="C128">
      <formula1>"Fraction"</formula1>
    </dataValidation>
    <dataValidation type="list" allowBlank="1" showInputMessage="1" showErrorMessage="1" sqref="C129">
      <formula1>"Fraction"</formula1>
    </dataValidation>
    <dataValidation type="list" allowBlank="1" showInputMessage="1" showErrorMessage="1" sqref="C130">
      <formula1>"Fraction"</formula1>
    </dataValidation>
    <dataValidation type="list" allowBlank="1" showInputMessage="1" showErrorMessage="1" sqref="C131">
      <formula1>"Fraction"</formula1>
    </dataValidation>
    <dataValidation type="list" allowBlank="1" showInputMessage="1" showErrorMessage="1" sqref="C132">
      <formula1>"Fraction"</formula1>
    </dataValidation>
    <dataValidation type="list" allowBlank="1" showInputMessage="1" showErrorMessage="1" sqref="C133">
      <formula1>"Fraction"</formula1>
    </dataValidation>
    <dataValidation type="list" allowBlank="1" showInputMessage="1" showErrorMessage="1" sqref="C134">
      <formula1>"Fraction"</formula1>
    </dataValidation>
    <dataValidation type="list" allowBlank="1" showInputMessage="1" showErrorMessage="1" sqref="C135">
      <formula1>"Fraction"</formula1>
    </dataValidation>
    <dataValidation type="list" allowBlank="1" showInputMessage="1" showErrorMessage="1" sqref="C136">
      <formula1>"Fraction"</formula1>
    </dataValidation>
    <dataValidation type="list" allowBlank="1" showInputMessage="1" showErrorMessage="1" sqref="C137">
      <formula1>"Fraction"</formula1>
    </dataValidation>
    <dataValidation type="list" allowBlank="1" showInputMessage="1" showErrorMessage="1" sqref="C138">
      <formula1>"Fraction"</formula1>
    </dataValidation>
    <dataValidation type="list" allowBlank="1" showInputMessage="1" showErrorMessage="1" sqref="C139">
      <formula1>"Fraction"</formula1>
    </dataValidation>
    <dataValidation type="list" allowBlank="1" showInputMessage="1" showErrorMessage="1" sqref="C142">
      <formula1>"Fraction"</formula1>
    </dataValidation>
    <dataValidation type="list" allowBlank="1" showInputMessage="1" showErrorMessage="1" sqref="C143">
      <formula1>"Fraction"</formula1>
    </dataValidation>
    <dataValidation type="list" allowBlank="1" showInputMessage="1" showErrorMessage="1" sqref="C144">
      <formula1>"Fraction"</formula1>
    </dataValidation>
    <dataValidation type="list" allowBlank="1" showInputMessage="1" showErrorMessage="1" sqref="C145">
      <formula1>"Fraction"</formula1>
    </dataValidation>
    <dataValidation type="list" allowBlank="1" showInputMessage="1" showErrorMessage="1" sqref="C146">
      <formula1>"Fraction"</formula1>
    </dataValidation>
    <dataValidation type="list" allowBlank="1" showInputMessage="1" showErrorMessage="1" sqref="C147">
      <formula1>"Fraction"</formula1>
    </dataValidation>
    <dataValidation type="list" allowBlank="1" showInputMessage="1" showErrorMessage="1" sqref="C148">
      <formula1>"Fraction"</formula1>
    </dataValidation>
    <dataValidation type="list" allowBlank="1" showInputMessage="1" showErrorMessage="1" sqref="C149">
      <formula1>"Fraction"</formula1>
    </dataValidation>
    <dataValidation type="list" allowBlank="1" showInputMessage="1" showErrorMessage="1" sqref="C150">
      <formula1>"Fraction"</formula1>
    </dataValidation>
    <dataValidation type="list" allowBlank="1" showInputMessage="1" showErrorMessage="1" sqref="C151">
      <formula1>"Fraction"</formula1>
    </dataValidation>
    <dataValidation type="list" allowBlank="1" showInputMessage="1" showErrorMessage="1" sqref="C152">
      <formula1>"Fraction"</formula1>
    </dataValidation>
    <dataValidation type="list" allowBlank="1" showInputMessage="1" showErrorMessage="1" sqref="C153">
      <formula1>"Fraction"</formula1>
    </dataValidation>
    <dataValidation type="list" allowBlank="1" showInputMessage="1" showErrorMessage="1" sqref="C156">
      <formula1>"Fraction"</formula1>
    </dataValidation>
    <dataValidation type="list" allowBlank="1" showInputMessage="1" showErrorMessage="1" sqref="C157">
      <formula1>"Fraction"</formula1>
    </dataValidation>
    <dataValidation type="list" allowBlank="1" showInputMessage="1" showErrorMessage="1" sqref="C158">
      <formula1>"Fraction"</formula1>
    </dataValidation>
    <dataValidation type="list" allowBlank="1" showInputMessage="1" showErrorMessage="1" sqref="C159">
      <formula1>"Fraction"</formula1>
    </dataValidation>
    <dataValidation type="list" allowBlank="1" showInputMessage="1" showErrorMessage="1" sqref="C160">
      <formula1>"Fraction"</formula1>
    </dataValidation>
    <dataValidation type="list" allowBlank="1" showInputMessage="1" showErrorMessage="1" sqref="C161">
      <formula1>"Fraction"</formula1>
    </dataValidation>
    <dataValidation type="list" allowBlank="1" showInputMessage="1" showErrorMessage="1" sqref="C162">
      <formula1>"Fraction"</formula1>
    </dataValidation>
    <dataValidation type="list" allowBlank="1" showInputMessage="1" showErrorMessage="1" sqref="C163">
      <formula1>"Fraction"</formula1>
    </dataValidation>
    <dataValidation type="list" allowBlank="1" showInputMessage="1" showErrorMessage="1" sqref="C164">
      <formula1>"Fraction"</formula1>
    </dataValidation>
    <dataValidation type="list" allowBlank="1" showInputMessage="1" showErrorMessage="1" sqref="C165">
      <formula1>"Fraction"</formula1>
    </dataValidation>
    <dataValidation type="list" allowBlank="1" showInputMessage="1" showErrorMessage="1" sqref="C166">
      <formula1>"Fraction"</formula1>
    </dataValidation>
    <dataValidation type="list" allowBlank="1" showInputMessage="1" showErrorMessage="1" sqref="C167">
      <formula1>"Fraction"</formula1>
    </dataValidation>
    <dataValidation type="list" allowBlank="1" showInputMessage="1" showErrorMessage="1" sqref="C170">
      <formula1>"Proportion"</formula1>
    </dataValidation>
    <dataValidation type="list" allowBlank="1" showInputMessage="1" showErrorMessage="1" sqref="C171">
      <formula1>"Proportion"</formula1>
    </dataValidation>
    <dataValidation type="list" allowBlank="1" showInputMessage="1" showErrorMessage="1" sqref="C172">
      <formula1>"Proportion"</formula1>
    </dataValidation>
    <dataValidation type="list" allowBlank="1" showInputMessage="1" showErrorMessage="1" sqref="C173">
      <formula1>"Proportion"</formula1>
    </dataValidation>
    <dataValidation type="list" allowBlank="1" showInputMessage="1" showErrorMessage="1" sqref="C174">
      <formula1>"Proportion"</formula1>
    </dataValidation>
    <dataValidation type="list" allowBlank="1" showInputMessage="1" showErrorMessage="1" sqref="C175">
      <formula1>"Proportion"</formula1>
    </dataValidation>
    <dataValidation type="list" allowBlank="1" showInputMessage="1" showErrorMessage="1" sqref="C176">
      <formula1>"Proportion"</formula1>
    </dataValidation>
    <dataValidation type="list" allowBlank="1" showInputMessage="1" showErrorMessage="1" sqref="C177">
      <formula1>"Proportion"</formula1>
    </dataValidation>
    <dataValidation type="list" allowBlank="1" showInputMessage="1" showErrorMessage="1" sqref="C178">
      <formula1>"Proportion"</formula1>
    </dataValidation>
    <dataValidation type="list" allowBlank="1" showInputMessage="1" showErrorMessage="1" sqref="C179">
      <formula1>"Proportion"</formula1>
    </dataValidation>
    <dataValidation type="list" allowBlank="1" showInputMessage="1" showErrorMessage="1" sqref="C180">
      <formula1>"Proportion"</formula1>
    </dataValidation>
    <dataValidation type="list" allowBlank="1" showInputMessage="1" showErrorMessage="1" sqref="C181">
      <formula1>"Proportion"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24.85546875" customWidth="1"/>
    <col min="2" max="2" width="12.7109375" customWidth="1"/>
    <col min="3" max="3" width="20.42578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49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2359.670473200001</v>
      </c>
      <c r="F2" s="3"/>
      <c r="G2" s="3"/>
      <c r="H2" s="3"/>
      <c r="I2" s="3"/>
      <c r="J2" s="3"/>
      <c r="K2" s="3"/>
      <c r="L2" s="3"/>
      <c r="M2" s="3"/>
      <c r="N2" s="3"/>
      <c r="O2" s="3">
        <v>2359.670473200001</v>
      </c>
      <c r="P2" s="3"/>
      <c r="Q2" s="3"/>
      <c r="R2" s="3"/>
      <c r="S2" s="3"/>
      <c r="T2" s="3">
        <v>2359.670473200001</v>
      </c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308.0536320000001</v>
      </c>
      <c r="F3" s="3"/>
      <c r="G3" s="3"/>
      <c r="H3" s="3"/>
      <c r="I3" s="3"/>
      <c r="J3" s="3"/>
      <c r="K3" s="3"/>
      <c r="L3" s="3"/>
      <c r="M3" s="3"/>
      <c r="N3" s="3"/>
      <c r="O3" s="3">
        <v>308.0536320000001</v>
      </c>
      <c r="P3" s="3"/>
      <c r="Q3" s="3"/>
      <c r="R3" s="3"/>
      <c r="S3" s="3"/>
      <c r="T3" s="3">
        <v>308.0536320000001</v>
      </c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623334.5</v>
      </c>
      <c r="F4" s="3">
        <v>636228.5</v>
      </c>
      <c r="G4" s="3">
        <v>649626.5</v>
      </c>
      <c r="H4" s="3">
        <v>663236.0000000001</v>
      </c>
      <c r="I4" s="3">
        <v>677009</v>
      </c>
      <c r="J4" s="3">
        <v>691766.9999999999</v>
      </c>
      <c r="K4" s="3">
        <v>707666.5</v>
      </c>
      <c r="L4" s="3">
        <v>724562.9999999999</v>
      </c>
      <c r="M4" s="3">
        <v>743047</v>
      </c>
      <c r="N4" s="3">
        <v>738756</v>
      </c>
      <c r="O4" s="3">
        <v>734049</v>
      </c>
      <c r="P4" s="3">
        <v>753552.5</v>
      </c>
      <c r="Q4" s="3">
        <v>773634.4999999999</v>
      </c>
      <c r="R4" s="3">
        <v>791674.0000000001</v>
      </c>
      <c r="S4" s="3">
        <v>803076</v>
      </c>
      <c r="T4" s="3">
        <v>813639.5</v>
      </c>
      <c r="U4" s="3">
        <v>828864.5</v>
      </c>
      <c r="V4" s="3">
        <v>844399.4999999999</v>
      </c>
      <c r="W4" s="3">
        <v>862705</v>
      </c>
      <c r="X4" s="3">
        <v>875822.5000000002</v>
      </c>
      <c r="Y4" s="3">
        <v>885900.5000000001</v>
      </c>
      <c r="Z4" s="3">
        <v>896922.5</v>
      </c>
      <c r="AA4" s="3">
        <v>887869.5000000001</v>
      </c>
      <c r="AB4" s="3">
        <v>888475.5</v>
      </c>
      <c r="AC4" s="3">
        <v>916175.5</v>
      </c>
      <c r="AD4" s="3">
        <v>946595</v>
      </c>
      <c r="AE4" s="3">
        <v>978857.4999999999</v>
      </c>
      <c r="AF4" s="3">
        <v>1012401</v>
      </c>
      <c r="AG4" s="3">
        <v>1047220</v>
      </c>
      <c r="AH4" s="3">
        <v>1083189.5</v>
      </c>
      <c r="AI4" s="3">
        <v>1119029.5</v>
      </c>
      <c r="AJ4" s="3">
        <v>1153712.5</v>
      </c>
      <c r="AK4" s="3">
        <v>1187239.5</v>
      </c>
      <c r="AL4" s="3">
        <v>1214035</v>
      </c>
      <c r="AM4" s="3">
        <v>1233377</v>
      </c>
      <c r="AN4" s="3">
        <v>1250504.5</v>
      </c>
      <c r="AO4" s="3">
        <v>1265886</v>
      </c>
      <c r="AP4" s="3">
        <v>1279310</v>
      </c>
      <c r="AQ4" s="3">
        <v>1290684.5</v>
      </c>
      <c r="AR4" s="3">
        <v>1300292</v>
      </c>
      <c r="AS4" s="3">
        <v>1308217</v>
      </c>
      <c r="AT4" s="3">
        <v>1314341.5</v>
      </c>
      <c r="AU4" s="3">
        <v>1319326</v>
      </c>
      <c r="AV4" s="3">
        <v>1324402.5</v>
      </c>
      <c r="AW4" s="3">
        <v>1330331</v>
      </c>
      <c r="AX4" s="3">
        <v>1336983</v>
      </c>
      <c r="AY4" s="3">
        <v>1344297.5</v>
      </c>
      <c r="AZ4" s="3">
        <v>1352204.5</v>
      </c>
      <c r="BA4" s="3">
        <v>1360924.5</v>
      </c>
      <c r="BB4" s="3">
        <v>1370386</v>
      </c>
      <c r="BC4" s="3">
        <v>1380446</v>
      </c>
    </row>
    <row r="5" spans="1:57">
      <c r="A5" s="1" t="str">
        <f>'Population Definitions'!$A$5</f>
        <v>0-9_females</v>
      </c>
      <c r="C5" t="s">
        <v>32</v>
      </c>
      <c r="D5" s="3"/>
      <c r="E5" s="3">
        <v>614742.5</v>
      </c>
      <c r="F5" s="3">
        <v>626915.0000000001</v>
      </c>
      <c r="G5" s="3">
        <v>639539.5000000001</v>
      </c>
      <c r="H5" s="3">
        <v>652849.5</v>
      </c>
      <c r="I5" s="3">
        <v>666302.5000000001</v>
      </c>
      <c r="J5" s="3">
        <v>680669</v>
      </c>
      <c r="K5" s="3">
        <v>696063</v>
      </c>
      <c r="L5" s="3">
        <v>712423.5000000001</v>
      </c>
      <c r="M5" s="3">
        <v>730328</v>
      </c>
      <c r="N5" s="3">
        <v>725617</v>
      </c>
      <c r="O5" s="3">
        <v>720606.4999999999</v>
      </c>
      <c r="P5" s="3">
        <v>739661.9999999998</v>
      </c>
      <c r="Q5" s="3">
        <v>759329</v>
      </c>
      <c r="R5" s="3">
        <v>777167.5000000001</v>
      </c>
      <c r="S5" s="3">
        <v>788574</v>
      </c>
      <c r="T5" s="3">
        <v>799293</v>
      </c>
      <c r="U5" s="3">
        <v>814731</v>
      </c>
      <c r="V5" s="3">
        <v>830293.5</v>
      </c>
      <c r="W5" s="3">
        <v>848234.5</v>
      </c>
      <c r="X5" s="3">
        <v>860614</v>
      </c>
      <c r="Y5" s="3">
        <v>870228</v>
      </c>
      <c r="Z5" s="3">
        <v>881291</v>
      </c>
      <c r="AA5" s="3">
        <v>872368.5</v>
      </c>
      <c r="AB5" s="3">
        <v>872934.5000000002</v>
      </c>
      <c r="AC5" s="3">
        <v>900387</v>
      </c>
      <c r="AD5" s="3">
        <v>930634.5000000001</v>
      </c>
      <c r="AE5" s="3">
        <v>962781.4999999999</v>
      </c>
      <c r="AF5" s="3">
        <v>996091.5</v>
      </c>
      <c r="AG5" s="3">
        <v>1030517.5</v>
      </c>
      <c r="AH5" s="3">
        <v>1065879</v>
      </c>
      <c r="AI5" s="3">
        <v>1100918</v>
      </c>
      <c r="AJ5" s="3">
        <v>1134557.5</v>
      </c>
      <c r="AK5" s="3">
        <v>1166713</v>
      </c>
      <c r="AL5" s="3">
        <v>1192583.5</v>
      </c>
      <c r="AM5" s="3">
        <v>1211590.5</v>
      </c>
      <c r="AN5" s="3">
        <v>1228426.5</v>
      </c>
      <c r="AO5" s="3">
        <v>1243549.5</v>
      </c>
      <c r="AP5" s="3">
        <v>1256736</v>
      </c>
      <c r="AQ5" s="3">
        <v>1267936.5</v>
      </c>
      <c r="AR5" s="3">
        <v>1277436.5</v>
      </c>
      <c r="AS5" s="3">
        <v>1285276</v>
      </c>
      <c r="AT5" s="3">
        <v>1291338.5</v>
      </c>
      <c r="AU5" s="3">
        <v>1296293.5</v>
      </c>
      <c r="AV5" s="3">
        <v>1301329.5</v>
      </c>
      <c r="AW5" s="3">
        <v>1307179</v>
      </c>
      <c r="AX5" s="3">
        <v>1313738</v>
      </c>
      <c r="AY5" s="3">
        <v>1320964</v>
      </c>
      <c r="AZ5" s="3">
        <v>1328793</v>
      </c>
      <c r="BA5" s="3">
        <v>1337410</v>
      </c>
      <c r="BB5" s="3">
        <v>1346724.5</v>
      </c>
      <c r="BC5" s="3">
        <v>1356612</v>
      </c>
    </row>
    <row r="6" spans="1:57">
      <c r="A6" s="1" t="str">
        <f>'Population Definitions'!$A$6</f>
        <v>10-17_males</v>
      </c>
      <c r="C6" t="s">
        <v>32</v>
      </c>
      <c r="D6" s="3"/>
      <c r="E6" s="3">
        <v>381305</v>
      </c>
      <c r="F6" s="3">
        <v>392254.4999999999</v>
      </c>
      <c r="G6" s="3">
        <v>402376.4999999999</v>
      </c>
      <c r="H6" s="3">
        <v>413958.5</v>
      </c>
      <c r="I6" s="3">
        <v>424823</v>
      </c>
      <c r="J6" s="3">
        <v>434885.0000000001</v>
      </c>
      <c r="K6" s="3">
        <v>443376.9999999999</v>
      </c>
      <c r="L6" s="3">
        <v>451433</v>
      </c>
      <c r="M6" s="3">
        <v>460039</v>
      </c>
      <c r="N6" s="3">
        <v>463774.5</v>
      </c>
      <c r="O6" s="3">
        <v>469042.0000000001</v>
      </c>
      <c r="P6" s="3">
        <v>479206.5</v>
      </c>
      <c r="Q6" s="3">
        <v>486934</v>
      </c>
      <c r="R6" s="3">
        <v>494334</v>
      </c>
      <c r="S6" s="3">
        <v>500183.5</v>
      </c>
      <c r="T6" s="3">
        <v>507755</v>
      </c>
      <c r="U6" s="3">
        <v>518787.0000000001</v>
      </c>
      <c r="V6" s="3">
        <v>527128.4999999999</v>
      </c>
      <c r="W6" s="3">
        <v>532929</v>
      </c>
      <c r="X6" s="3">
        <v>537583</v>
      </c>
      <c r="Y6" s="3">
        <v>548173</v>
      </c>
      <c r="Z6" s="3">
        <v>563661</v>
      </c>
      <c r="AA6" s="3">
        <v>573521.5000000001</v>
      </c>
      <c r="AB6" s="3">
        <v>585246.5</v>
      </c>
      <c r="AC6" s="3">
        <v>601159.5000000001</v>
      </c>
      <c r="AD6" s="3">
        <v>615528</v>
      </c>
      <c r="AE6" s="3">
        <v>629355.5</v>
      </c>
      <c r="AF6" s="3">
        <v>642568.5</v>
      </c>
      <c r="AG6" s="3">
        <v>651139.5</v>
      </c>
      <c r="AH6" s="3">
        <v>654789.5</v>
      </c>
      <c r="AI6" s="3">
        <v>659339</v>
      </c>
      <c r="AJ6" s="3">
        <v>667066.9999999999</v>
      </c>
      <c r="AK6" s="3">
        <v>677913.4999999999</v>
      </c>
      <c r="AL6" s="3">
        <v>696980</v>
      </c>
      <c r="AM6" s="3">
        <v>723950.5</v>
      </c>
      <c r="AN6" s="3">
        <v>752533</v>
      </c>
      <c r="AO6" s="3">
        <v>781849.9999999999</v>
      </c>
      <c r="AP6" s="3">
        <v>812385.5</v>
      </c>
      <c r="AQ6" s="3">
        <v>843389</v>
      </c>
      <c r="AR6" s="3">
        <v>873840</v>
      </c>
      <c r="AS6" s="3">
        <v>903638.4999999999</v>
      </c>
      <c r="AT6" s="3">
        <v>927500.9999999999</v>
      </c>
      <c r="AU6" s="3">
        <v>944993</v>
      </c>
      <c r="AV6" s="3">
        <v>960877.9999999999</v>
      </c>
      <c r="AW6" s="3">
        <v>975222</v>
      </c>
      <c r="AX6" s="3">
        <v>987762</v>
      </c>
      <c r="AY6" s="3">
        <v>998302</v>
      </c>
      <c r="AZ6" s="3">
        <v>1007006.5</v>
      </c>
      <c r="BA6" s="3">
        <v>1014103.5</v>
      </c>
      <c r="BB6" s="3">
        <v>1019911.5</v>
      </c>
      <c r="BC6" s="3">
        <v>1024656.5</v>
      </c>
    </row>
    <row r="7" spans="1:57">
      <c r="A7" s="1" t="str">
        <f>'Population Definitions'!$A$7</f>
        <v>10-17_females</v>
      </c>
      <c r="C7" t="s">
        <v>32</v>
      </c>
      <c r="D7" s="3"/>
      <c r="E7" s="3">
        <v>377920.5</v>
      </c>
      <c r="F7" s="3">
        <v>388393.4999999999</v>
      </c>
      <c r="G7" s="3">
        <v>397921.5</v>
      </c>
      <c r="H7" s="3">
        <v>409491.5000000001</v>
      </c>
      <c r="I7" s="3">
        <v>419962.5000000001</v>
      </c>
      <c r="J7" s="3">
        <v>429702.5</v>
      </c>
      <c r="K7" s="3">
        <v>438050.0000000001</v>
      </c>
      <c r="L7" s="3">
        <v>446007.0000000001</v>
      </c>
      <c r="M7" s="3">
        <v>454548.5000000001</v>
      </c>
      <c r="N7" s="3">
        <v>461036.5</v>
      </c>
      <c r="O7" s="3">
        <v>467876.9999999999</v>
      </c>
      <c r="P7" s="3">
        <v>475806</v>
      </c>
      <c r="Q7" s="3">
        <v>481664.5000000001</v>
      </c>
      <c r="R7" s="3">
        <v>487604.0000000001</v>
      </c>
      <c r="S7" s="3">
        <v>492611.0000000001</v>
      </c>
      <c r="T7" s="3">
        <v>499382</v>
      </c>
      <c r="U7" s="3">
        <v>509372.5</v>
      </c>
      <c r="V7" s="3">
        <v>517363.5000000001</v>
      </c>
      <c r="W7" s="3">
        <v>523379.5</v>
      </c>
      <c r="X7" s="3">
        <v>529525.5</v>
      </c>
      <c r="Y7" s="3">
        <v>541060.0000000001</v>
      </c>
      <c r="Z7" s="3">
        <v>556072.5</v>
      </c>
      <c r="AA7" s="3">
        <v>568276</v>
      </c>
      <c r="AB7" s="3">
        <v>581076</v>
      </c>
      <c r="AC7" s="3">
        <v>594786</v>
      </c>
      <c r="AD7" s="3">
        <v>607410</v>
      </c>
      <c r="AE7" s="3">
        <v>619648.0000000001</v>
      </c>
      <c r="AF7" s="3">
        <v>631390.5</v>
      </c>
      <c r="AG7" s="3">
        <v>639114</v>
      </c>
      <c r="AH7" s="3">
        <v>642757.4999999999</v>
      </c>
      <c r="AI7" s="3">
        <v>647622.0000000001</v>
      </c>
      <c r="AJ7" s="3">
        <v>655954</v>
      </c>
      <c r="AK7" s="3">
        <v>667740</v>
      </c>
      <c r="AL7" s="3">
        <v>687392.4999999999</v>
      </c>
      <c r="AM7" s="3">
        <v>714438.5</v>
      </c>
      <c r="AN7" s="3">
        <v>742970</v>
      </c>
      <c r="AO7" s="3">
        <v>772103.4999999999</v>
      </c>
      <c r="AP7" s="3">
        <v>802249</v>
      </c>
      <c r="AQ7" s="3">
        <v>832639.5000000001</v>
      </c>
      <c r="AR7" s="3">
        <v>862209</v>
      </c>
      <c r="AS7" s="3">
        <v>890801.5</v>
      </c>
      <c r="AT7" s="3">
        <v>913878.5</v>
      </c>
      <c r="AU7" s="3">
        <v>931132.9999999999</v>
      </c>
      <c r="AV7" s="3">
        <v>946813.5</v>
      </c>
      <c r="AW7" s="3">
        <v>960976</v>
      </c>
      <c r="AX7" s="3">
        <v>973363.4999999999</v>
      </c>
      <c r="AY7" s="3">
        <v>983799.5000000001</v>
      </c>
      <c r="AZ7" s="3">
        <v>992423</v>
      </c>
      <c r="BA7" s="3">
        <v>999469</v>
      </c>
      <c r="BB7" s="3">
        <v>1005261</v>
      </c>
      <c r="BC7" s="3">
        <v>1010006.5</v>
      </c>
    </row>
    <row r="8" spans="1:57">
      <c r="A8" s="1" t="str">
        <f>'Population Definitions'!$A$8</f>
        <v>18-64_males</v>
      </c>
      <c r="C8" t="s">
        <v>32</v>
      </c>
      <c r="D8" s="3"/>
      <c r="E8" s="3">
        <v>873792.8295268001</v>
      </c>
      <c r="F8" s="3">
        <v>892120.8295268002</v>
      </c>
      <c r="G8" s="3">
        <v>910953.8295268</v>
      </c>
      <c r="H8" s="3">
        <v>933376.3295268</v>
      </c>
      <c r="I8" s="3">
        <v>952933.3295268003</v>
      </c>
      <c r="J8" s="3">
        <v>975386.8295268004</v>
      </c>
      <c r="K8" s="3">
        <v>994737.3295268002</v>
      </c>
      <c r="L8" s="3">
        <v>1011695.3295268</v>
      </c>
      <c r="M8" s="3">
        <v>1031848.829526801</v>
      </c>
      <c r="N8" s="3">
        <v>998621.3295268</v>
      </c>
      <c r="O8" s="3">
        <v>960277.5695268001</v>
      </c>
      <c r="P8" s="3">
        <v>965124.5695267998</v>
      </c>
      <c r="Q8" s="3">
        <v>959660.5695268002</v>
      </c>
      <c r="R8" s="3">
        <v>949025.5695268</v>
      </c>
      <c r="S8" s="3">
        <v>918433.0695267998</v>
      </c>
      <c r="T8" s="3">
        <v>899626.9775267999</v>
      </c>
      <c r="U8" s="3">
        <v>912515.9775267999</v>
      </c>
      <c r="V8" s="3">
        <v>923990.9775267998</v>
      </c>
      <c r="W8" s="3">
        <v>937960.9775267999</v>
      </c>
      <c r="X8" s="3">
        <v>944979.9775267998</v>
      </c>
      <c r="Y8" s="3">
        <v>957061.9775268</v>
      </c>
      <c r="Z8" s="3">
        <v>968457.4775267999</v>
      </c>
      <c r="AA8" s="3">
        <v>943902.4775268</v>
      </c>
      <c r="AB8" s="3">
        <v>944718.4775267998</v>
      </c>
      <c r="AC8" s="3">
        <v>965676.7925643998</v>
      </c>
      <c r="AD8" s="3">
        <v>1011370.7925644</v>
      </c>
      <c r="AE8" s="3">
        <v>1057532.2925644</v>
      </c>
      <c r="AF8" s="3">
        <v>1104941.7925644</v>
      </c>
      <c r="AG8" s="3">
        <v>1158472.7925644</v>
      </c>
      <c r="AH8" s="3">
        <v>1217402.2925644</v>
      </c>
      <c r="AI8" s="3">
        <v>1276356.7925644</v>
      </c>
      <c r="AJ8" s="3">
        <v>1335048.7925644</v>
      </c>
      <c r="AK8" s="3">
        <v>1392977.2925644</v>
      </c>
      <c r="AL8" s="3">
        <v>1450038.7925644</v>
      </c>
      <c r="AM8" s="3">
        <v>1507408.2925644</v>
      </c>
      <c r="AN8" s="3">
        <v>1565255.2925644</v>
      </c>
      <c r="AO8" s="3">
        <v>1623582.7925644</v>
      </c>
      <c r="AP8" s="3">
        <v>1682345.2925644</v>
      </c>
      <c r="AQ8" s="3">
        <v>1742897.7925644</v>
      </c>
      <c r="AR8" s="3">
        <v>1806693.292564399</v>
      </c>
      <c r="AS8" s="3">
        <v>1872768.792564399</v>
      </c>
      <c r="AT8" s="3">
        <v>1945548.2925644</v>
      </c>
      <c r="AU8" s="3">
        <v>2025345.2925644</v>
      </c>
      <c r="AV8" s="3">
        <v>2107266.2925644</v>
      </c>
      <c r="AW8" s="3">
        <v>2191075.7925644</v>
      </c>
      <c r="AX8" s="3">
        <v>2276894.2925644</v>
      </c>
      <c r="AY8" s="3">
        <v>2364511.792564401</v>
      </c>
      <c r="AZ8" s="3">
        <v>2453533.2925644</v>
      </c>
      <c r="BA8" s="3">
        <v>2544086.7925644</v>
      </c>
      <c r="BB8" s="3">
        <v>2635587.792564401</v>
      </c>
      <c r="BC8" s="3">
        <v>2727984.7925644</v>
      </c>
    </row>
    <row r="9" spans="1:57">
      <c r="A9" s="1" t="str">
        <f>'Population Definitions'!$A$9</f>
        <v>18-64_females</v>
      </c>
      <c r="C9" t="s">
        <v>32</v>
      </c>
      <c r="D9" s="3"/>
      <c r="E9" s="3">
        <v>869817.9463680001</v>
      </c>
      <c r="F9" s="3">
        <v>890682.4463679997</v>
      </c>
      <c r="G9" s="3">
        <v>912197.4463679998</v>
      </c>
      <c r="H9" s="3">
        <v>935620.9463680004</v>
      </c>
      <c r="I9" s="3">
        <v>956238.4463679998</v>
      </c>
      <c r="J9" s="3">
        <v>979592.9463680004</v>
      </c>
      <c r="K9" s="3">
        <v>999756.446368</v>
      </c>
      <c r="L9" s="3">
        <v>1017468.946368</v>
      </c>
      <c r="M9" s="3">
        <v>1038221.946368</v>
      </c>
      <c r="N9" s="3">
        <v>1047158.446368</v>
      </c>
      <c r="O9" s="3">
        <v>1053669.206368</v>
      </c>
      <c r="P9" s="3">
        <v>1062478.206368</v>
      </c>
      <c r="Q9" s="3">
        <v>1058898.206368</v>
      </c>
      <c r="R9" s="3">
        <v>1050633.206368</v>
      </c>
      <c r="S9" s="3">
        <v>1028152.206368</v>
      </c>
      <c r="T9" s="3">
        <v>1015742.298368</v>
      </c>
      <c r="U9" s="3">
        <v>1030178.798368</v>
      </c>
      <c r="V9" s="3">
        <v>1046357.798368</v>
      </c>
      <c r="W9" s="3">
        <v>1064537.798368</v>
      </c>
      <c r="X9" s="3">
        <v>1084529.298368</v>
      </c>
      <c r="Y9" s="3">
        <v>1110156.298368</v>
      </c>
      <c r="Z9" s="3">
        <v>1128684.798368001</v>
      </c>
      <c r="AA9" s="3">
        <v>1139383.298368</v>
      </c>
      <c r="AB9" s="3">
        <v>1168580.298368</v>
      </c>
      <c r="AC9" s="3">
        <v>1209695.606045</v>
      </c>
      <c r="AD9" s="3">
        <v>1252420.606045</v>
      </c>
      <c r="AE9" s="3">
        <v>1295205.606045</v>
      </c>
      <c r="AF9" s="3">
        <v>1339030.606045</v>
      </c>
      <c r="AG9" s="3">
        <v>1388317.106045</v>
      </c>
      <c r="AH9" s="3">
        <v>1442264.106045</v>
      </c>
      <c r="AI9" s="3">
        <v>1496086.606045</v>
      </c>
      <c r="AJ9" s="3">
        <v>1549643.606045</v>
      </c>
      <c r="AK9" s="3">
        <v>1602472.106045</v>
      </c>
      <c r="AL9" s="3">
        <v>1654411.606045</v>
      </c>
      <c r="AM9" s="3">
        <v>1706709.606045</v>
      </c>
      <c r="AN9" s="3">
        <v>1759764.606044999</v>
      </c>
      <c r="AO9" s="3">
        <v>1813671.606045</v>
      </c>
      <c r="AP9" s="3">
        <v>1868476.106045</v>
      </c>
      <c r="AQ9" s="3">
        <v>1925564.106045</v>
      </c>
      <c r="AR9" s="3">
        <v>1986443.106045</v>
      </c>
      <c r="AS9" s="3">
        <v>2050196.106045</v>
      </c>
      <c r="AT9" s="3">
        <v>2120438.606045</v>
      </c>
      <c r="AU9" s="3">
        <v>2197218.606045001</v>
      </c>
      <c r="AV9" s="3">
        <v>2276084.106045</v>
      </c>
      <c r="AW9" s="3">
        <v>2356760.106044999</v>
      </c>
      <c r="AX9" s="3">
        <v>2439311.106044998</v>
      </c>
      <c r="AY9" s="3">
        <v>2523534.106045</v>
      </c>
      <c r="AZ9" s="3">
        <v>2609075.106045</v>
      </c>
      <c r="BA9" s="3">
        <v>2696067.606045</v>
      </c>
      <c r="BB9" s="3">
        <v>2783912.106045</v>
      </c>
      <c r="BC9" s="3">
        <v>2872524.106044999</v>
      </c>
    </row>
    <row r="10" spans="1:57">
      <c r="A10" s="1" t="str">
        <f>'Population Definitions'!$A$10</f>
        <v>65+_males</v>
      </c>
      <c r="C10" t="s">
        <v>32</v>
      </c>
      <c r="D10" s="3"/>
      <c r="E10" s="3">
        <v>44881</v>
      </c>
      <c r="F10" s="3">
        <v>45252.50000000001</v>
      </c>
      <c r="G10" s="3">
        <v>45711.49999999998</v>
      </c>
      <c r="H10" s="3">
        <v>46449.00000000001</v>
      </c>
      <c r="I10" s="3">
        <v>47107.00000000001</v>
      </c>
      <c r="J10" s="3">
        <v>47869.50000000001</v>
      </c>
      <c r="K10" s="3">
        <v>48525.50000000001</v>
      </c>
      <c r="L10" s="3">
        <v>49209.99999999999</v>
      </c>
      <c r="M10" s="3">
        <v>50146.00000000001</v>
      </c>
      <c r="N10" s="3">
        <v>46102.50000000001</v>
      </c>
      <c r="O10" s="3">
        <v>41934</v>
      </c>
      <c r="P10" s="3">
        <v>42628</v>
      </c>
      <c r="Q10" s="3">
        <v>43187</v>
      </c>
      <c r="R10" s="3">
        <v>43553.00000000001</v>
      </c>
      <c r="S10" s="3">
        <v>43217.99999999999</v>
      </c>
      <c r="T10" s="3">
        <v>43884.50000000001</v>
      </c>
      <c r="U10" s="3">
        <v>46116.50000000001</v>
      </c>
      <c r="V10" s="3">
        <v>47946.00000000001</v>
      </c>
      <c r="W10" s="3">
        <v>49773.50000000001</v>
      </c>
      <c r="X10" s="3">
        <v>50356.50000000001</v>
      </c>
      <c r="Y10" s="3">
        <v>50634.00000000001</v>
      </c>
      <c r="Z10" s="3">
        <v>51144.5</v>
      </c>
      <c r="AA10" s="3">
        <v>47908.5</v>
      </c>
      <c r="AB10" s="3">
        <v>46126</v>
      </c>
      <c r="AC10" s="3">
        <v>48348</v>
      </c>
      <c r="AD10" s="3">
        <v>50384</v>
      </c>
      <c r="AE10" s="3">
        <v>52228.99999999999</v>
      </c>
      <c r="AF10" s="3">
        <v>53911.50000000001</v>
      </c>
      <c r="AG10" s="3">
        <v>55487.49999999999</v>
      </c>
      <c r="AH10" s="3">
        <v>56933.00000000002</v>
      </c>
      <c r="AI10" s="3">
        <v>58227.00000000001</v>
      </c>
      <c r="AJ10" s="3">
        <v>59434.50000000001</v>
      </c>
      <c r="AK10" s="3">
        <v>60604.50000000002</v>
      </c>
      <c r="AL10" s="3">
        <v>61779.99999999999</v>
      </c>
      <c r="AM10" s="3">
        <v>62958.49999999999</v>
      </c>
      <c r="AN10" s="3">
        <v>64037.99999999997</v>
      </c>
      <c r="AO10" s="3">
        <v>64970.5</v>
      </c>
      <c r="AP10" s="3">
        <v>65767.5</v>
      </c>
      <c r="AQ10" s="3">
        <v>66434.00000000003</v>
      </c>
      <c r="AR10" s="3">
        <v>66898.99999999997</v>
      </c>
      <c r="AS10" s="3">
        <v>67014.50000000001</v>
      </c>
      <c r="AT10" s="3">
        <v>67003.00000000001</v>
      </c>
      <c r="AU10" s="3">
        <v>67194.5</v>
      </c>
      <c r="AV10" s="3">
        <v>67635.00000000003</v>
      </c>
      <c r="AW10" s="3">
        <v>68337.00000000001</v>
      </c>
      <c r="AX10" s="3">
        <v>69268.00000000001</v>
      </c>
      <c r="AY10" s="3">
        <v>70400</v>
      </c>
      <c r="AZ10" s="3">
        <v>71704.99999999999</v>
      </c>
      <c r="BA10" s="3">
        <v>73192.5</v>
      </c>
      <c r="BB10" s="3">
        <v>74904.5</v>
      </c>
      <c r="BC10" s="3">
        <v>76890.99999999996</v>
      </c>
    </row>
    <row r="11" spans="1:57">
      <c r="A11" s="1" t="str">
        <f>'Population Definitions'!$A$11</f>
        <v>65+_females</v>
      </c>
      <c r="C11" t="s">
        <v>32</v>
      </c>
      <c r="D11" s="3"/>
      <c r="E11" s="3">
        <v>43954.49999999998</v>
      </c>
      <c r="F11" s="3">
        <v>43971.99999999997</v>
      </c>
      <c r="G11" s="3">
        <v>44082.99999999999</v>
      </c>
      <c r="H11" s="3">
        <v>44436.49999999999</v>
      </c>
      <c r="I11" s="3">
        <v>44782.50000000001</v>
      </c>
      <c r="J11" s="3">
        <v>45270.00000000002</v>
      </c>
      <c r="K11" s="3">
        <v>45735.5</v>
      </c>
      <c r="L11" s="3">
        <v>46302.00000000001</v>
      </c>
      <c r="M11" s="3">
        <v>47136.5</v>
      </c>
      <c r="N11" s="3">
        <v>44312.50000000001</v>
      </c>
      <c r="O11" s="3">
        <v>41552.5</v>
      </c>
      <c r="P11" s="3">
        <v>42576</v>
      </c>
      <c r="Q11" s="3">
        <v>43552.5</v>
      </c>
      <c r="R11" s="3">
        <v>44440.00000000001</v>
      </c>
      <c r="S11" s="3">
        <v>44946.5</v>
      </c>
      <c r="T11" s="3">
        <v>46565.49999999999</v>
      </c>
      <c r="U11" s="3">
        <v>49665.5</v>
      </c>
      <c r="V11" s="3">
        <v>52599.00000000001</v>
      </c>
      <c r="W11" s="3">
        <v>55704.99999999998</v>
      </c>
      <c r="X11" s="3">
        <v>57861</v>
      </c>
      <c r="Y11" s="3">
        <v>59983.00000000001</v>
      </c>
      <c r="Z11" s="3">
        <v>62434.50000000001</v>
      </c>
      <c r="AA11" s="3">
        <v>61377.99999999999</v>
      </c>
      <c r="AB11" s="3">
        <v>61831.50000000001</v>
      </c>
      <c r="AC11" s="3">
        <v>66319.00000000003</v>
      </c>
      <c r="AD11" s="3">
        <v>70796.99999999997</v>
      </c>
      <c r="AE11" s="3">
        <v>75232.50000000001</v>
      </c>
      <c r="AF11" s="3">
        <v>79645</v>
      </c>
      <c r="AG11" s="3">
        <v>84053.99999999999</v>
      </c>
      <c r="AH11" s="3">
        <v>88374.99999999999</v>
      </c>
      <c r="AI11" s="3">
        <v>92524.50000000001</v>
      </c>
      <c r="AJ11" s="3">
        <v>96497.5</v>
      </c>
      <c r="AK11" s="3">
        <v>100336.5</v>
      </c>
      <c r="AL11" s="3">
        <v>104079.5</v>
      </c>
      <c r="AM11" s="3">
        <v>107672</v>
      </c>
      <c r="AN11" s="3">
        <v>110953</v>
      </c>
      <c r="AO11" s="3">
        <v>113805</v>
      </c>
      <c r="AP11" s="3">
        <v>116219.5</v>
      </c>
      <c r="AQ11" s="3">
        <v>118175</v>
      </c>
      <c r="AR11" s="3">
        <v>119600.5</v>
      </c>
      <c r="AS11" s="3">
        <v>120400.5</v>
      </c>
      <c r="AT11" s="3">
        <v>120882</v>
      </c>
      <c r="AU11" s="3">
        <v>121516.5</v>
      </c>
      <c r="AV11" s="3">
        <v>122444.5</v>
      </c>
      <c r="AW11" s="3">
        <v>123739</v>
      </c>
      <c r="AX11" s="3">
        <v>125431</v>
      </c>
      <c r="AY11" s="3">
        <v>127493</v>
      </c>
      <c r="AZ11" s="3">
        <v>129881.5</v>
      </c>
      <c r="BA11" s="3">
        <v>132621</v>
      </c>
      <c r="BB11" s="3">
        <v>135796</v>
      </c>
      <c r="BC11" s="3">
        <v>139489.5</v>
      </c>
    </row>
    <row r="12" spans="1:57">
      <c r="A12" s="1" t="str">
        <f>'Population Definitions'!$A$12</f>
        <v>Prisoners_males</v>
      </c>
      <c r="C12" t="s">
        <v>32</v>
      </c>
      <c r="D12" s="3"/>
      <c r="E12" s="3">
        <v>918</v>
      </c>
      <c r="F12" s="3"/>
      <c r="G12" s="3"/>
      <c r="H12" s="3"/>
      <c r="I12" s="3"/>
      <c r="J12" s="3">
        <v>918</v>
      </c>
      <c r="K12" s="3"/>
      <c r="L12" s="3"/>
      <c r="M12" s="3"/>
      <c r="N12" s="3"/>
      <c r="O12" s="3">
        <v>1211.76</v>
      </c>
      <c r="P12" s="3"/>
      <c r="Q12" s="3"/>
      <c r="R12" s="3"/>
      <c r="S12" s="3"/>
      <c r="T12" s="3">
        <v>701.352</v>
      </c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81.99999999999996</v>
      </c>
      <c r="F13" s="3"/>
      <c r="G13" s="3"/>
      <c r="H13" s="3"/>
      <c r="I13" s="3"/>
      <c r="J13" s="3">
        <v>81.99999999999996</v>
      </c>
      <c r="K13" s="3"/>
      <c r="L13" s="3"/>
      <c r="M13" s="3"/>
      <c r="N13" s="3"/>
      <c r="O13" s="3">
        <v>108.24</v>
      </c>
      <c r="P13" s="3"/>
      <c r="Q13" s="3"/>
      <c r="R13" s="3"/>
      <c r="S13" s="3"/>
      <c r="T13" s="3">
        <v>62.64799999999997</v>
      </c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50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51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51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51</v>
      </c>
      <c r="D18" s="3"/>
      <c r="E18" s="3"/>
      <c r="F18" s="4" t="s">
        <v>37</v>
      </c>
      <c r="G18" s="3">
        <v>81960.51327433628</v>
      </c>
      <c r="H18" s="3">
        <v>83586.24188790561</v>
      </c>
      <c r="I18" s="3">
        <v>84325.90265486726</v>
      </c>
      <c r="J18" s="3">
        <v>86987.15634218289</v>
      </c>
      <c r="K18" s="3">
        <v>88578.8249754179</v>
      </c>
      <c r="L18" s="3">
        <v>91124.24815724816</v>
      </c>
      <c r="M18" s="3">
        <v>93894.21533923305</v>
      </c>
      <c r="N18" s="3">
        <v>95719.72861356933</v>
      </c>
      <c r="O18" s="3">
        <v>98445.53808353808</v>
      </c>
      <c r="P18" s="3">
        <v>100532.8304668305</v>
      </c>
      <c r="Q18" s="3">
        <v>102741.6781326781</v>
      </c>
      <c r="R18" s="3">
        <v>105208.3857493858</v>
      </c>
      <c r="S18" s="3">
        <v>105873.6339066339</v>
      </c>
      <c r="T18" s="3">
        <v>105391.7463126844</v>
      </c>
      <c r="U18" s="3">
        <v>104930.1573254671</v>
      </c>
      <c r="V18" s="3">
        <v>101941.2975897688</v>
      </c>
      <c r="W18" s="3">
        <v>103924.4746679783</v>
      </c>
      <c r="X18" s="3">
        <v>106488.9921259843</v>
      </c>
      <c r="Y18" s="3">
        <v>108619.0157480315</v>
      </c>
      <c r="Z18" s="3">
        <v>110767.3228346457</v>
      </c>
      <c r="AA18" s="3">
        <v>113539.2992125984</v>
      </c>
      <c r="AB18" s="3">
        <v>117420.4724409449</v>
      </c>
      <c r="AC18" s="3">
        <v>117667.4904082636</v>
      </c>
      <c r="AD18" s="3">
        <v>121309.7716535433</v>
      </c>
      <c r="AE18" s="3">
        <v>125059.405511811</v>
      </c>
      <c r="AF18" s="3">
        <v>127013.1968503937</v>
      </c>
      <c r="AG18" s="3">
        <v>129397.6653543307</v>
      </c>
      <c r="AH18" s="3">
        <v>132056.3216920806</v>
      </c>
      <c r="AI18" s="3">
        <v>134659.4003935071</v>
      </c>
      <c r="AJ18" s="3">
        <v>136975.9016232169</v>
      </c>
      <c r="AK18" s="3">
        <v>138986.0088539105</v>
      </c>
      <c r="AL18" s="3">
        <v>140567.2661091982</v>
      </c>
      <c r="AM18" s="3">
        <v>142143.9503197245</v>
      </c>
      <c r="AN18" s="3">
        <v>142519.4481062469</v>
      </c>
      <c r="AO18" s="3">
        <v>142889.8647319233</v>
      </c>
      <c r="AP18" s="3">
        <v>143405.0944417118</v>
      </c>
      <c r="AQ18" s="3">
        <v>143647.9739301525</v>
      </c>
      <c r="AR18" s="3">
        <v>144219.604525332</v>
      </c>
      <c r="AS18" s="3">
        <v>144309.5410723069</v>
      </c>
      <c r="AT18" s="3">
        <v>144903.5669291339</v>
      </c>
      <c r="AU18" s="3">
        <v>145083.9099852435</v>
      </c>
      <c r="AV18" s="3">
        <v>144979.7461878996</v>
      </c>
      <c r="AW18" s="3">
        <v>145778.6338582677</v>
      </c>
      <c r="AX18" s="3">
        <v>146935.4849975406</v>
      </c>
      <c r="AY18" s="3">
        <v>148081.7948844073</v>
      </c>
      <c r="AZ18" s="3">
        <v>149140.2006886375</v>
      </c>
      <c r="BA18" s="3">
        <v>150222.9960649287</v>
      </c>
      <c r="BB18" s="3">
        <v>151355.0787014264</v>
      </c>
      <c r="BC18" s="3">
        <v>152548.1352680767</v>
      </c>
      <c r="BD18" s="3">
        <v>153691.9045745204</v>
      </c>
      <c r="BE18" s="3">
        <v>154468.81406788</v>
      </c>
    </row>
    <row r="19" spans="1:57">
      <c r="A19" s="1" t="str">
        <f>'Population Definitions'!$A$5</f>
        <v>0-9_females</v>
      </c>
      <c r="C19" t="s">
        <v>51</v>
      </c>
      <c r="D19" s="3"/>
      <c r="E19" s="3"/>
      <c r="F19" s="4" t="s">
        <v>37</v>
      </c>
      <c r="G19" s="3">
        <v>79265.48672566371</v>
      </c>
      <c r="H19" s="3">
        <v>80837.75811209439</v>
      </c>
      <c r="I19" s="3">
        <v>81553.09734513274</v>
      </c>
      <c r="J19" s="3">
        <v>84126.84365781711</v>
      </c>
      <c r="K19" s="3">
        <v>85666.1750245821</v>
      </c>
      <c r="L19" s="3">
        <v>88042.75184275184</v>
      </c>
      <c r="M19" s="3">
        <v>90806.78466076696</v>
      </c>
      <c r="N19" s="3">
        <v>92572.27138643067</v>
      </c>
      <c r="O19" s="3">
        <v>95116.46191646192</v>
      </c>
      <c r="P19" s="3">
        <v>97133.16953316954</v>
      </c>
      <c r="Q19" s="3">
        <v>99267.32186732187</v>
      </c>
      <c r="R19" s="3">
        <v>101650.6142506142</v>
      </c>
      <c r="S19" s="3">
        <v>102293.3660933661</v>
      </c>
      <c r="T19" s="3">
        <v>101926.2536873156</v>
      </c>
      <c r="U19" s="3">
        <v>101479.8426745329</v>
      </c>
      <c r="V19" s="3">
        <v>98684.70241023118</v>
      </c>
      <c r="W19" s="3">
        <v>100604.5253320216</v>
      </c>
      <c r="X19" s="3">
        <v>103187.0078740157</v>
      </c>
      <c r="Y19" s="3">
        <v>105250.9842519685</v>
      </c>
      <c r="Z19" s="3">
        <v>107332.6771653543</v>
      </c>
      <c r="AA19" s="3">
        <v>110018.7007874016</v>
      </c>
      <c r="AB19" s="3">
        <v>113779.5275590551</v>
      </c>
      <c r="AC19" s="3">
        <v>113908.5095917364</v>
      </c>
      <c r="AD19" s="3">
        <v>117548.2283464567</v>
      </c>
      <c r="AE19" s="3">
        <v>121181.594488189</v>
      </c>
      <c r="AF19" s="3">
        <v>123074.8031496063</v>
      </c>
      <c r="AG19" s="3">
        <v>125385.3346456693</v>
      </c>
      <c r="AH19" s="3">
        <v>127837.6783079193</v>
      </c>
      <c r="AI19" s="3">
        <v>130357.5996064929</v>
      </c>
      <c r="AJ19" s="3">
        <v>132600.0983767831</v>
      </c>
      <c r="AK19" s="3">
        <v>134545.9911460895</v>
      </c>
      <c r="AL19" s="3">
        <v>136076.7338908018</v>
      </c>
      <c r="AM19" s="3">
        <v>137603.0496802754</v>
      </c>
      <c r="AN19" s="3">
        <v>137966.5518937531</v>
      </c>
      <c r="AO19" s="3">
        <v>138325.1352680767</v>
      </c>
      <c r="AP19" s="3">
        <v>138823.9055582882</v>
      </c>
      <c r="AQ19" s="3">
        <v>139059.0260698475</v>
      </c>
      <c r="AR19" s="3">
        <v>139612.395474668</v>
      </c>
      <c r="AS19" s="3">
        <v>139699.458927693</v>
      </c>
      <c r="AT19" s="3">
        <v>140410.4330708662</v>
      </c>
      <c r="AU19" s="3">
        <v>140449.0900147565</v>
      </c>
      <c r="AV19" s="3">
        <v>140348.2538121003</v>
      </c>
      <c r="AW19" s="3">
        <v>141258.3661417323</v>
      </c>
      <c r="AX19" s="3">
        <v>142241.5150024594</v>
      </c>
      <c r="AY19" s="3">
        <v>143351.2051155927</v>
      </c>
      <c r="AZ19" s="3">
        <v>144375.7993113625</v>
      </c>
      <c r="BA19" s="3">
        <v>145424.0039350713</v>
      </c>
      <c r="BB19" s="3">
        <v>146519.9212985735</v>
      </c>
      <c r="BC19" s="3">
        <v>147674.8647319233</v>
      </c>
      <c r="BD19" s="3">
        <v>148782.0954254796</v>
      </c>
      <c r="BE19" s="3">
        <v>149534.18593212</v>
      </c>
    </row>
    <row r="20" spans="1:57">
      <c r="A20" s="1" t="str">
        <f>'Population Definitions'!$A$6</f>
        <v>10-17_males</v>
      </c>
      <c r="C20" t="s">
        <v>51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51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51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51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51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51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51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51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52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/>
      <c r="F32" s="4" t="s">
        <v>37</v>
      </c>
      <c r="G32" s="3">
        <v>0.001515216510017714</v>
      </c>
      <c r="H32" s="3">
        <v>0.0008908090601006534</v>
      </c>
      <c r="I32" s="3">
        <v>0.001587215646425961</v>
      </c>
      <c r="J32" s="3">
        <v>0.0002643759654437518</v>
      </c>
      <c r="K32" s="3">
        <v>0.001088870346748757</v>
      </c>
      <c r="L32" s="3">
        <v>0.0004116297001041048</v>
      </c>
      <c r="M32" s="3">
        <v>-0.0006969601347997991</v>
      </c>
      <c r="N32" s="3">
        <v>0.0002701923592990619</v>
      </c>
      <c r="O32" s="3">
        <v>-0.03161783586171273</v>
      </c>
      <c r="P32" s="3">
        <v>0.03106258295454734</v>
      </c>
      <c r="Q32" s="3">
        <v>-0.001246753462886101</v>
      </c>
      <c r="R32" s="3">
        <v>-0.004859496517344013</v>
      </c>
      <c r="S32" s="3">
        <v>-0.007067463907870902</v>
      </c>
      <c r="T32" s="3">
        <v>-0.0119092534460958</v>
      </c>
      <c r="U32" s="3">
        <v>-0.003277594306724402</v>
      </c>
      <c r="V32" s="3">
        <v>-0.002099575536547702</v>
      </c>
      <c r="W32" s="3">
        <v>-0.003385926973562737</v>
      </c>
      <c r="X32" s="3">
        <v>0.0009290719310182494</v>
      </c>
      <c r="Y32" s="3">
        <v>-0.01098465379015002</v>
      </c>
      <c r="Z32" s="3">
        <v>0.009916024269020459</v>
      </c>
      <c r="AA32" s="3">
        <v>-0.004511002322042375</v>
      </c>
      <c r="AB32" s="3">
        <v>-0.02169136401522398</v>
      </c>
      <c r="AC32" s="3">
        <v>0.02786052408798386</v>
      </c>
      <c r="AD32" s="3">
        <v>0.0008944853813715024</v>
      </c>
      <c r="AE32" s="3">
        <v>-0.0003317110224087564</v>
      </c>
      <c r="AF32" s="3">
        <v>-7.785467955574622E-05</v>
      </c>
      <c r="AG32" s="3">
        <v>-3.233723325996399E-06</v>
      </c>
      <c r="AH32" s="3">
        <v>4.413103890593941E-05</v>
      </c>
      <c r="AI32" s="3">
        <v>-0.0001593747192637421</v>
      </c>
      <c r="AJ32" s="3">
        <v>-0.0004485841334475015</v>
      </c>
      <c r="AK32" s="3">
        <v>-0.0005764002235065653</v>
      </c>
      <c r="AL32" s="3">
        <v>-0.00055582834475536</v>
      </c>
      <c r="AM32" s="3">
        <v>-0.001014917646965314</v>
      </c>
      <c r="AN32" s="3">
        <v>-0.0008796683013646937</v>
      </c>
      <c r="AO32" s="3">
        <v>-0.000845536062309534</v>
      </c>
      <c r="AP32" s="3">
        <v>-0.001041255302728987</v>
      </c>
      <c r="AQ32" s="3">
        <v>-0.0009688660196514151</v>
      </c>
      <c r="AR32" s="3">
        <v>-0.001138976890145424</v>
      </c>
      <c r="AS32" s="3">
        <v>-0.0008309862497820933</v>
      </c>
      <c r="AT32" s="3">
        <v>-0.0010421250989268</v>
      </c>
      <c r="AU32" s="3">
        <v>-0.001269598228156134</v>
      </c>
      <c r="AV32" s="3">
        <v>-0.0009561793399200895</v>
      </c>
      <c r="AW32" s="3">
        <v>-0.0007861088603329882</v>
      </c>
      <c r="AX32" s="3">
        <v>-0.0007214460842079541</v>
      </c>
      <c r="AY32" s="3">
        <v>-0.0006786242554728955</v>
      </c>
      <c r="AZ32" s="3">
        <v>-0.0006579744758441303</v>
      </c>
      <c r="BA32" s="3">
        <v>-0.0006758147396155879</v>
      </c>
      <c r="BB32" s="3">
        <v>-0.0006120218513004309</v>
      </c>
      <c r="BC32" s="3">
        <v>-0.0006151224906868353</v>
      </c>
      <c r="BD32" s="3">
        <v>-0.0006975440310395891</v>
      </c>
      <c r="BE32" s="3">
        <v>-0.0006047422846529026</v>
      </c>
    </row>
    <row r="33" spans="1:57">
      <c r="A33" s="1" t="str">
        <f>'Population Definitions'!$A$5</f>
        <v>0-9_females</v>
      </c>
      <c r="C33" t="s">
        <v>53</v>
      </c>
      <c r="D33" s="3"/>
      <c r="E33" s="3"/>
      <c r="F33" s="4" t="s">
        <v>37</v>
      </c>
      <c r="G33" s="3">
        <v>0.0009801067509345594</v>
      </c>
      <c r="H33" s="3">
        <v>0.0003273839163292825</v>
      </c>
      <c r="I33" s="3">
        <v>0.001654944932826233</v>
      </c>
      <c r="J33" s="3">
        <v>0.000212386380295958</v>
      </c>
      <c r="K33" s="3">
        <v>0.0009947808621727128</v>
      </c>
      <c r="L33" s="3">
        <v>0.0004278851501217468</v>
      </c>
      <c r="M33" s="3">
        <v>-0.0007984689040602697</v>
      </c>
      <c r="N33" s="3">
        <v>0.0001870076065279407</v>
      </c>
      <c r="O33" s="3">
        <v>-0.03202323054362138</v>
      </c>
      <c r="P33" s="3">
        <v>0.03139029331841776</v>
      </c>
      <c r="Q33" s="3">
        <v>-0.001252170036381895</v>
      </c>
      <c r="R33" s="3">
        <v>-0.004913209345098405</v>
      </c>
      <c r="S33" s="3">
        <v>-0.007088977364707419</v>
      </c>
      <c r="T33" s="3">
        <v>-0.01205242587642398</v>
      </c>
      <c r="U33" s="3">
        <v>-0.003267090564148644</v>
      </c>
      <c r="V33" s="3">
        <v>-0.002139018370273607</v>
      </c>
      <c r="W33" s="3">
        <v>-0.003404222169061679</v>
      </c>
      <c r="X33" s="3">
        <v>0.0008779932951230997</v>
      </c>
      <c r="Y33" s="3">
        <v>-0.01116670478737717</v>
      </c>
      <c r="Z33" s="3">
        <v>0.009943857332841043</v>
      </c>
      <c r="AA33" s="3">
        <v>-0.004653608924789306</v>
      </c>
      <c r="AB33" s="3">
        <v>-0.02207503260450308</v>
      </c>
      <c r="AC33" s="3">
        <v>0.02818991103904357</v>
      </c>
      <c r="AD33" s="3">
        <v>0.000838289302969702</v>
      </c>
      <c r="AE33" s="3">
        <v>-0.0004093734007587101</v>
      </c>
      <c r="AF33" s="3">
        <v>-0.0001582824939400099</v>
      </c>
      <c r="AG33" s="3">
        <v>-9.019143561580861E-05</v>
      </c>
      <c r="AH33" s="3">
        <v>6.607996562624001E-05</v>
      </c>
      <c r="AI33" s="3">
        <v>-0.0001461397855863296</v>
      </c>
      <c r="AJ33" s="3">
        <v>-0.0004311918864926304</v>
      </c>
      <c r="AK33" s="3">
        <v>-0.0005508958397350311</v>
      </c>
      <c r="AL33" s="3">
        <v>-0.0005334536952087977</v>
      </c>
      <c r="AM33" s="3">
        <v>-0.0009930031466827362</v>
      </c>
      <c r="AN33" s="3">
        <v>-0.0008620376634031684</v>
      </c>
      <c r="AO33" s="3">
        <v>-0.000836202717070573</v>
      </c>
      <c r="AP33" s="3">
        <v>-0.001034173032158237</v>
      </c>
      <c r="AQ33" s="3">
        <v>-0.0009778670409560943</v>
      </c>
      <c r="AR33" s="3">
        <v>-0.001141365787777233</v>
      </c>
      <c r="AS33" s="3">
        <v>-0.0008150715179294218</v>
      </c>
      <c r="AT33" s="3">
        <v>-0.00112916224866455</v>
      </c>
      <c r="AU33" s="3">
        <v>-0.001251941228776488</v>
      </c>
      <c r="AV33" s="3">
        <v>-0.0009317880726858231</v>
      </c>
      <c r="AW33" s="3">
        <v>-0.0008739271945223981</v>
      </c>
      <c r="AX33" s="3">
        <v>-0.0007185074974935421</v>
      </c>
      <c r="AY33" s="3">
        <v>-0.0006794823934537102</v>
      </c>
      <c r="AZ33" s="3">
        <v>-0.0006487589697205115</v>
      </c>
      <c r="BA33" s="3">
        <v>-0.0006665616436720467</v>
      </c>
      <c r="BB33" s="3">
        <v>-0.0006053774354421763</v>
      </c>
      <c r="BC33" s="3">
        <v>-0.0006178843674889352</v>
      </c>
      <c r="BD33" s="3">
        <v>-0.0007088275482325731</v>
      </c>
      <c r="BE33" s="3">
        <v>-0.0006174837994354403</v>
      </c>
    </row>
    <row r="34" spans="1:57">
      <c r="A34" s="1" t="str">
        <f>'Population Definitions'!$A$6</f>
        <v>10-17_males</v>
      </c>
      <c r="C34" t="s">
        <v>53</v>
      </c>
      <c r="D34" s="3"/>
      <c r="E34" s="3"/>
      <c r="F34" s="4" t="s">
        <v>37</v>
      </c>
      <c r="G34" s="3">
        <v>-0.004192182111433258</v>
      </c>
      <c r="H34" s="3">
        <v>-0.004384908267463889</v>
      </c>
      <c r="I34" s="3">
        <v>0.0001590550143959158</v>
      </c>
      <c r="J34" s="3">
        <v>-0.001503773929029123</v>
      </c>
      <c r="K34" s="3">
        <v>-0.001252286246271935</v>
      </c>
      <c r="L34" s="3">
        <v>-0.002256918495694486</v>
      </c>
      <c r="M34" s="3">
        <v>-0.002874528899785035</v>
      </c>
      <c r="N34" s="3">
        <v>-0.002338109974237709</v>
      </c>
      <c r="O34" s="3">
        <v>-0.01517371353298309</v>
      </c>
      <c r="P34" s="3">
        <v>0.01115197148614257</v>
      </c>
      <c r="Q34" s="3">
        <v>-0.004543303158352618</v>
      </c>
      <c r="R34" s="3">
        <v>-0.007372604503486525</v>
      </c>
      <c r="S34" s="3">
        <v>-0.008670579585734486</v>
      </c>
      <c r="T34" s="3">
        <v>-0.01208292369126949</v>
      </c>
      <c r="U34" s="3">
        <v>-0.00655559409696652</v>
      </c>
      <c r="V34" s="3">
        <v>-0.004285531407863893</v>
      </c>
      <c r="W34" s="3">
        <v>-0.004726409875344046</v>
      </c>
      <c r="X34" s="3">
        <v>-0.002651156217127176</v>
      </c>
      <c r="Y34" s="3">
        <v>-0.007060039892743558</v>
      </c>
      <c r="Z34" s="3">
        <v>0.002381957762801418</v>
      </c>
      <c r="AA34" s="3">
        <v>-0.00527661887761697</v>
      </c>
      <c r="AB34" s="3">
        <v>-0.01123902487488053</v>
      </c>
      <c r="AC34" s="3">
        <v>0.01060727453112038</v>
      </c>
      <c r="AD34" s="3">
        <v>-0.0009483183581618173</v>
      </c>
      <c r="AE34" s="3">
        <v>-0.0009606435563273744</v>
      </c>
      <c r="AF34" s="3">
        <v>-0.0009463420023132467</v>
      </c>
      <c r="AG34" s="3">
        <v>-0.0009589174957556637</v>
      </c>
      <c r="AH34" s="3">
        <v>-0.0008598305083427045</v>
      </c>
      <c r="AI34" s="3">
        <v>-0.0008892103765782154</v>
      </c>
      <c r="AJ34" s="3">
        <v>-0.001007957519172144</v>
      </c>
      <c r="AK34" s="3">
        <v>-0.0009797691324192645</v>
      </c>
      <c r="AL34" s="3">
        <v>-0.0009834094626177924</v>
      </c>
      <c r="AM34" s="3">
        <v>-0.0009898017962467712</v>
      </c>
      <c r="AN34" s="3">
        <v>-0.0009089213463801348</v>
      </c>
      <c r="AO34" s="3">
        <v>-0.0009171897802406392</v>
      </c>
      <c r="AP34" s="3">
        <v>-0.00096208405478585</v>
      </c>
      <c r="AQ34" s="3">
        <v>-0.0009835646223698815</v>
      </c>
      <c r="AR34" s="3">
        <v>-0.0009441330501345147</v>
      </c>
      <c r="AS34" s="3">
        <v>-0.0008513272048840581</v>
      </c>
      <c r="AT34" s="3">
        <v>-0.0008605694406299395</v>
      </c>
      <c r="AU34" s="3">
        <v>-0.0008880763712481516</v>
      </c>
      <c r="AV34" s="3">
        <v>-0.0008792443350464626</v>
      </c>
      <c r="AW34" s="3">
        <v>-0.0008402178640478925</v>
      </c>
      <c r="AX34" s="3">
        <v>-0.0007675271990824585</v>
      </c>
      <c r="AY34" s="3">
        <v>-0.0007167598762129882</v>
      </c>
      <c r="AZ34" s="3">
        <v>-0.0007015860095851733</v>
      </c>
      <c r="BA34" s="3">
        <v>-0.0007082025278924687</v>
      </c>
      <c r="BB34" s="3">
        <v>-0.000678247856394167</v>
      </c>
      <c r="BC34" s="3">
        <v>-0.0006730082284500592</v>
      </c>
      <c r="BD34" s="3">
        <v>-0.0006456442544279614</v>
      </c>
      <c r="BE34" s="3">
        <v>-0.0006163040980074395</v>
      </c>
    </row>
    <row r="35" spans="1:57">
      <c r="A35" s="1" t="str">
        <f>'Population Definitions'!$A$7</f>
        <v>10-17_females</v>
      </c>
      <c r="C35" t="s">
        <v>53</v>
      </c>
      <c r="D35" s="3"/>
      <c r="E35" s="3"/>
      <c r="F35" s="4" t="s">
        <v>37</v>
      </c>
      <c r="G35" s="3">
        <v>-0.005778993200951213</v>
      </c>
      <c r="H35" s="3">
        <v>-0.0059926337593188</v>
      </c>
      <c r="I35" s="3">
        <v>0.0004008328275804068</v>
      </c>
      <c r="J35" s="3">
        <v>-0.001667922288985085</v>
      </c>
      <c r="K35" s="3">
        <v>-0.001384647438759426</v>
      </c>
      <c r="L35" s="3">
        <v>-0.002494749274206897</v>
      </c>
      <c r="M35" s="3">
        <v>-0.003207396415934191</v>
      </c>
      <c r="N35" s="3">
        <v>-0.002557134753490486</v>
      </c>
      <c r="O35" s="3">
        <v>-0.009098039043138615</v>
      </c>
      <c r="P35" s="3">
        <v>0.002332787100370528</v>
      </c>
      <c r="Q35" s="3">
        <v>-0.005335804068163148</v>
      </c>
      <c r="R35" s="3">
        <v>-0.008237601039078892</v>
      </c>
      <c r="S35" s="3">
        <v>-0.009466132546616903</v>
      </c>
      <c r="T35" s="3">
        <v>-0.01258910919516638</v>
      </c>
      <c r="U35" s="3">
        <v>-0.008849782079571964</v>
      </c>
      <c r="V35" s="3">
        <v>-0.004719833714471028</v>
      </c>
      <c r="W35" s="3">
        <v>-0.004802968358126716</v>
      </c>
      <c r="X35" s="3">
        <v>-0.003880250539514384</v>
      </c>
      <c r="Y35" s="3">
        <v>-0.005482637359697918</v>
      </c>
      <c r="Z35" s="3">
        <v>-0.0006345303483966288</v>
      </c>
      <c r="AA35" s="3">
        <v>-0.00497819095848905</v>
      </c>
      <c r="AB35" s="3">
        <v>-0.008103259916647714</v>
      </c>
      <c r="AC35" s="3">
        <v>0.003512377788257985</v>
      </c>
      <c r="AD35" s="3">
        <v>-0.001005892516641624</v>
      </c>
      <c r="AE35" s="3">
        <v>-0.0009768219157815035</v>
      </c>
      <c r="AF35" s="3">
        <v>-0.0009655751469351628</v>
      </c>
      <c r="AG35" s="3">
        <v>-0.0009779745920267988</v>
      </c>
      <c r="AH35" s="3">
        <v>-0.0008845555959425759</v>
      </c>
      <c r="AI35" s="3">
        <v>-0.000921588323835897</v>
      </c>
      <c r="AJ35" s="3">
        <v>-0.001043161690061878</v>
      </c>
      <c r="AK35" s="3">
        <v>-0.001016024779887057</v>
      </c>
      <c r="AL35" s="3">
        <v>-0.001017601844031774</v>
      </c>
      <c r="AM35" s="3">
        <v>-0.001019109234133124</v>
      </c>
      <c r="AN35" s="3">
        <v>-0.0009317820604675998</v>
      </c>
      <c r="AO35" s="3">
        <v>-0.0009356998538012643</v>
      </c>
      <c r="AP35" s="3">
        <v>-0.0009758132899040644</v>
      </c>
      <c r="AQ35" s="3">
        <v>-0.0009998659506140492</v>
      </c>
      <c r="AR35" s="3">
        <v>-0.000961048253098283</v>
      </c>
      <c r="AS35" s="3">
        <v>-0.0008653204658199966</v>
      </c>
      <c r="AT35" s="3">
        <v>-0.0008744979465534522</v>
      </c>
      <c r="AU35" s="3">
        <v>-0.0009042418541056024</v>
      </c>
      <c r="AV35" s="3">
        <v>-0.0009011044684826207</v>
      </c>
      <c r="AW35" s="3">
        <v>-0.000862927208035786</v>
      </c>
      <c r="AX35" s="3">
        <v>-0.0007910744829894271</v>
      </c>
      <c r="AY35" s="3">
        <v>-0.0007393524916336498</v>
      </c>
      <c r="AZ35" s="3">
        <v>-0.0007222378895448356</v>
      </c>
      <c r="BA35" s="3">
        <v>-0.0007323646738994091</v>
      </c>
      <c r="BB35" s="3">
        <v>-0.0007023214899290817</v>
      </c>
      <c r="BC35" s="3">
        <v>-0.0006973703036313447</v>
      </c>
      <c r="BD35" s="3">
        <v>-0.0006729595597561556</v>
      </c>
      <c r="BE35" s="3">
        <v>-0.0006400948904785995</v>
      </c>
    </row>
    <row r="36" spans="1:57">
      <c r="A36" s="1" t="str">
        <f>'Population Definitions'!$A$8</f>
        <v>18-64_males</v>
      </c>
      <c r="C36" t="s">
        <v>53</v>
      </c>
      <c r="D36" s="3"/>
      <c r="E36" s="3"/>
      <c r="F36" s="4" t="s">
        <v>37</v>
      </c>
      <c r="G36" s="3">
        <v>-0.005477324798861504</v>
      </c>
      <c r="H36" s="3">
        <v>-0.005785133658365717</v>
      </c>
      <c r="I36" s="3">
        <v>-0.002736177871797203</v>
      </c>
      <c r="J36" s="3">
        <v>-0.007531596512692649</v>
      </c>
      <c r="K36" s="3">
        <v>-0.006401306824539631</v>
      </c>
      <c r="L36" s="3">
        <v>-0.01148708265192023</v>
      </c>
      <c r="M36" s="3">
        <v>-0.01446872041001438</v>
      </c>
      <c r="N36" s="3">
        <v>-0.01183282708012855</v>
      </c>
      <c r="O36" s="3">
        <v>-0.06387142054618487</v>
      </c>
      <c r="P36" s="3">
        <v>0.03695731805301735</v>
      </c>
      <c r="Q36" s="3">
        <v>-0.02570215874063275</v>
      </c>
      <c r="R36" s="3">
        <v>-0.0411842311726277</v>
      </c>
      <c r="S36" s="3">
        <v>-0.04892383143417185</v>
      </c>
      <c r="T36" s="3">
        <v>-0.06790174648880913</v>
      </c>
      <c r="U36" s="3">
        <v>-0.04420423110733199</v>
      </c>
      <c r="V36" s="3">
        <v>-0.02689855188060555</v>
      </c>
      <c r="W36" s="3">
        <v>-0.02881570856410783</v>
      </c>
      <c r="X36" s="3">
        <v>-0.0203365075529742</v>
      </c>
      <c r="Y36" s="3">
        <v>-0.03673718574060996</v>
      </c>
      <c r="Z36" s="3">
        <v>0.002540501940317292</v>
      </c>
      <c r="AA36" s="3">
        <v>-0.03122204134261973</v>
      </c>
      <c r="AB36" s="3">
        <v>-0.05401080885232754</v>
      </c>
      <c r="AC36" s="3">
        <v>0.03631132562131473</v>
      </c>
      <c r="AD36" s="3">
        <v>-0.006132755561815803</v>
      </c>
      <c r="AE36" s="3">
        <v>-0.005496437997780818</v>
      </c>
      <c r="AF36" s="3">
        <v>-0.005296862249789256</v>
      </c>
      <c r="AG36" s="3">
        <v>-0.005236435147114756</v>
      </c>
      <c r="AH36" s="3">
        <v>-0.004698889305232504</v>
      </c>
      <c r="AI36" s="3">
        <v>-0.00480940024892877</v>
      </c>
      <c r="AJ36" s="3">
        <v>-0.005208180517032289</v>
      </c>
      <c r="AK36" s="3">
        <v>-0.004823636046875082</v>
      </c>
      <c r="AL36" s="3">
        <v>-0.004634814647806173</v>
      </c>
      <c r="AM36" s="3">
        <v>-0.004441103862094027</v>
      </c>
      <c r="AN36" s="3">
        <v>-0.003931558178325107</v>
      </c>
      <c r="AO36" s="3">
        <v>-0.00395271088431241</v>
      </c>
      <c r="AP36" s="3">
        <v>-0.004158663699483225</v>
      </c>
      <c r="AQ36" s="3">
        <v>-0.004260431406175716</v>
      </c>
      <c r="AR36" s="3">
        <v>-0.004098136426075265</v>
      </c>
      <c r="AS36" s="3">
        <v>-0.003696524441932973</v>
      </c>
      <c r="AT36" s="3">
        <v>-0.003762350368502956</v>
      </c>
      <c r="AU36" s="3">
        <v>-0.003960258422393126</v>
      </c>
      <c r="AV36" s="3">
        <v>-0.003940875709029503</v>
      </c>
      <c r="AW36" s="3">
        <v>-0.00369819403274221</v>
      </c>
      <c r="AX36" s="3">
        <v>-0.003309013652902811</v>
      </c>
      <c r="AY36" s="3">
        <v>-0.003016668786000722</v>
      </c>
      <c r="AZ36" s="3">
        <v>-0.002880186707467866</v>
      </c>
      <c r="BA36" s="3">
        <v>-0.002857036511015464</v>
      </c>
      <c r="BB36" s="3">
        <v>-0.002666789778219792</v>
      </c>
      <c r="BC36" s="3">
        <v>-0.002570711587437985</v>
      </c>
      <c r="BD36" s="3">
        <v>-0.00240140636092876</v>
      </c>
      <c r="BE36" s="3">
        <v>-0.002215032598353463</v>
      </c>
    </row>
    <row r="37" spans="1:57">
      <c r="A37" s="1" t="str">
        <f>'Population Definitions'!$A$9</f>
        <v>18-64_females</v>
      </c>
      <c r="C37" t="s">
        <v>53</v>
      </c>
      <c r="D37" s="3"/>
      <c r="E37" s="3"/>
      <c r="F37" s="4" t="s">
        <v>37</v>
      </c>
      <c r="G37" s="3">
        <v>-0.004269668860778527</v>
      </c>
      <c r="H37" s="3">
        <v>-0.00445362189945257</v>
      </c>
      <c r="I37" s="3">
        <v>-0.003313106962345344</v>
      </c>
      <c r="J37" s="3">
        <v>-0.00759873548494678</v>
      </c>
      <c r="K37" s="3">
        <v>-0.006422033213519616</v>
      </c>
      <c r="L37" s="3">
        <v>-0.01137825860244534</v>
      </c>
      <c r="M37" s="3">
        <v>-0.01445588221325618</v>
      </c>
      <c r="N37" s="3">
        <v>-0.01188278533667217</v>
      </c>
      <c r="O37" s="3">
        <v>-0.02356462278502444</v>
      </c>
      <c r="P37" s="3">
        <v>-0.001961723013301853</v>
      </c>
      <c r="Q37" s="3">
        <v>-0.02450085880130262</v>
      </c>
      <c r="R37" s="3">
        <v>-0.03771070411974115</v>
      </c>
      <c r="S37" s="3">
        <v>-0.04305614621531158</v>
      </c>
      <c r="T37" s="3">
        <v>-0.05681844670493618</v>
      </c>
      <c r="U37" s="3">
        <v>-0.04480207200589977</v>
      </c>
      <c r="V37" s="3">
        <v>-0.02318492136209225</v>
      </c>
      <c r="W37" s="3">
        <v>-0.022721373403218</v>
      </c>
      <c r="X37" s="3">
        <v>-0.02064241109323062</v>
      </c>
      <c r="Y37" s="3">
        <v>-0.02115064345903877</v>
      </c>
      <c r="Z37" s="3">
        <v>-0.007922850032261158</v>
      </c>
      <c r="AA37" s="3">
        <v>-0.02227365926267358</v>
      </c>
      <c r="AB37" s="3">
        <v>-0.02545136177982421</v>
      </c>
      <c r="AC37" s="3">
        <v>0.004205293422966615</v>
      </c>
      <c r="AD37" s="3">
        <v>-0.004917229208067592</v>
      </c>
      <c r="AE37" s="3">
        <v>-0.004436379217748896</v>
      </c>
      <c r="AF37" s="3">
        <v>-0.004312336792108087</v>
      </c>
      <c r="AG37" s="3">
        <v>-0.004305008191661867</v>
      </c>
      <c r="AH37" s="3">
        <v>-0.003890134834385239</v>
      </c>
      <c r="AI37" s="3">
        <v>-0.004013362525785171</v>
      </c>
      <c r="AJ37" s="3">
        <v>-0.004399142819939855</v>
      </c>
      <c r="AK37" s="3">
        <v>-0.004109502602951834</v>
      </c>
      <c r="AL37" s="3">
        <v>-0.003981153744866163</v>
      </c>
      <c r="AM37" s="3">
        <v>-0.00384909838579774</v>
      </c>
      <c r="AN37" s="3">
        <v>-0.003427636618584912</v>
      </c>
      <c r="AO37" s="3">
        <v>-0.00347665841553023</v>
      </c>
      <c r="AP37" s="3">
        <v>-0.003688175440418584</v>
      </c>
      <c r="AQ37" s="3">
        <v>-0.003804239891605209</v>
      </c>
      <c r="AR37" s="3">
        <v>-0.003680717170334149</v>
      </c>
      <c r="AS37" s="3">
        <v>-0.003333239928930034</v>
      </c>
      <c r="AT37" s="3">
        <v>-0.003412755541671785</v>
      </c>
      <c r="AU37" s="3">
        <v>-0.00360645814081321</v>
      </c>
      <c r="AV37" s="3">
        <v>-0.003599470965421661</v>
      </c>
      <c r="AW37" s="3">
        <v>-0.003390322311432401</v>
      </c>
      <c r="AX37" s="3">
        <v>-0.003039571061773447</v>
      </c>
      <c r="AY37" s="3">
        <v>-0.002776152313107104</v>
      </c>
      <c r="AZ37" s="3">
        <v>-0.002655836017847346</v>
      </c>
      <c r="BA37" s="3">
        <v>-0.002642100785957134</v>
      </c>
      <c r="BB37" s="3">
        <v>-0.002471448298581072</v>
      </c>
      <c r="BC37" s="3">
        <v>-0.002386188502219227</v>
      </c>
      <c r="BD37" s="3">
        <v>-0.002232851257174834</v>
      </c>
      <c r="BE37" s="3">
        <v>-0.002060496913081973</v>
      </c>
    </row>
    <row r="38" spans="1:57">
      <c r="A38" s="1" t="str">
        <f>'Population Definitions'!$A$10</f>
        <v>65+_males</v>
      </c>
      <c r="C38" t="s">
        <v>53</v>
      </c>
      <c r="D38" s="3"/>
      <c r="E38" s="3"/>
      <c r="F38" s="4" t="s">
        <v>37</v>
      </c>
      <c r="G38" s="3">
        <v>-0.008232882511530381</v>
      </c>
      <c r="H38" s="3">
        <v>-0.007601789956356656</v>
      </c>
      <c r="I38" s="3">
        <v>-0.004747164280322685</v>
      </c>
      <c r="J38" s="3">
        <v>-0.007944196861073581</v>
      </c>
      <c r="K38" s="3">
        <v>-0.007281295773451851</v>
      </c>
      <c r="L38" s="3">
        <v>-0.01074797104628219</v>
      </c>
      <c r="M38" s="3">
        <v>-0.01241615233227947</v>
      </c>
      <c r="N38" s="3">
        <v>-0.01092257671204985</v>
      </c>
      <c r="O38" s="3">
        <v>-0.1136481474095641</v>
      </c>
      <c r="P38" s="3">
        <v>0.09327043002006359</v>
      </c>
      <c r="Q38" s="3">
        <v>-0.01973339056612774</v>
      </c>
      <c r="R38" s="3">
        <v>-0.03084826874354895</v>
      </c>
      <c r="S38" s="3">
        <v>-0.037082918470836</v>
      </c>
      <c r="T38" s="3">
        <v>-0.05649438615020819</v>
      </c>
      <c r="U38" s="3">
        <v>-0.02067425609699605</v>
      </c>
      <c r="V38" s="3">
        <v>-0.02221741161457921</v>
      </c>
      <c r="W38" s="3">
        <v>-0.02736547656478716</v>
      </c>
      <c r="X38" s="3">
        <v>-0.01085596295832809</v>
      </c>
      <c r="Y38" s="3">
        <v>-0.0501270756527067</v>
      </c>
      <c r="Z38" s="3">
        <v>0.01395053270183606</v>
      </c>
      <c r="AA38" s="3">
        <v>-0.03129320219615302</v>
      </c>
      <c r="AB38" s="3">
        <v>-0.07531601638494846</v>
      </c>
      <c r="AC38" s="3">
        <v>0.07715749814751037</v>
      </c>
      <c r="AD38" s="3">
        <v>-0.009268091748688265</v>
      </c>
      <c r="AE38" s="3">
        <v>-0.009597087780259755</v>
      </c>
      <c r="AF38" s="3">
        <v>-0.009100111146395837</v>
      </c>
      <c r="AG38" s="3">
        <v>-0.008950965938463193</v>
      </c>
      <c r="AH38" s="3">
        <v>-0.008152249520047051</v>
      </c>
      <c r="AI38" s="3">
        <v>-0.008100923631448022</v>
      </c>
      <c r="AJ38" s="3">
        <v>-0.00851878523878969</v>
      </c>
      <c r="AK38" s="3">
        <v>-0.008166314596321236</v>
      </c>
      <c r="AL38" s="3">
        <v>-0.007958340694377588</v>
      </c>
      <c r="AM38" s="3">
        <v>-0.007730449059063835</v>
      </c>
      <c r="AN38" s="3">
        <v>-0.007235351246358089</v>
      </c>
      <c r="AO38" s="3">
        <v>-0.007258749811384041</v>
      </c>
      <c r="AP38" s="3">
        <v>-0.00742527874074719</v>
      </c>
      <c r="AQ38" s="3">
        <v>-0.007434143188062337</v>
      </c>
      <c r="AR38" s="3">
        <v>-0.007268027521191561</v>
      </c>
      <c r="AS38" s="3">
        <v>-0.006713429870247985</v>
      </c>
      <c r="AT38" s="3">
        <v>-0.006659292366103639</v>
      </c>
      <c r="AU38" s="3">
        <v>-0.00700594647427044</v>
      </c>
      <c r="AV38" s="3">
        <v>-0.007201170096861571</v>
      </c>
      <c r="AW38" s="3">
        <v>-0.007128559629135878</v>
      </c>
      <c r="AX38" s="3">
        <v>-0.006793819767871953</v>
      </c>
      <c r="AY38" s="3">
        <v>-0.006548429108682047</v>
      </c>
      <c r="AZ38" s="3">
        <v>-0.006539816365421304</v>
      </c>
      <c r="BA38" s="3">
        <v>-0.006633522727273113</v>
      </c>
      <c r="BB38" s="3">
        <v>-0.006450038351579072</v>
      </c>
      <c r="BC38" s="3">
        <v>-0.006496567271236762</v>
      </c>
      <c r="BD38" s="3">
        <v>-0.006314707394082164</v>
      </c>
      <c r="BE38" s="3">
        <v>-0.006197084184104425</v>
      </c>
    </row>
    <row r="39" spans="1:57">
      <c r="A39" s="1" t="str">
        <f>'Population Definitions'!$A$11</f>
        <v>65+_females</v>
      </c>
      <c r="C39" t="s">
        <v>53</v>
      </c>
      <c r="D39" s="3"/>
      <c r="E39" s="3"/>
      <c r="F39" s="4" t="s">
        <v>37</v>
      </c>
      <c r="G39" s="3">
        <v>-0.006188217361135101</v>
      </c>
      <c r="H39" s="3">
        <v>-0.005651323569543934</v>
      </c>
      <c r="I39" s="3">
        <v>-0.003504752398883896</v>
      </c>
      <c r="J39" s="3">
        <v>-0.00597481799871686</v>
      </c>
      <c r="K39" s="3">
        <v>-0.005504382292189656</v>
      </c>
      <c r="L39" s="3">
        <v>-0.008327810912304475</v>
      </c>
      <c r="M39" s="3">
        <v>-0.009937575843709939</v>
      </c>
      <c r="N39" s="3">
        <v>-0.00884411040559821</v>
      </c>
      <c r="O39" s="3">
        <v>-0.09087437548396655</v>
      </c>
      <c r="P39" s="3">
        <v>0.07487729196050753</v>
      </c>
      <c r="Q39" s="3">
        <v>-0.01558269658865293</v>
      </c>
      <c r="R39" s="3">
        <v>-0.02439167606163094</v>
      </c>
      <c r="S39" s="3">
        <v>-0.02878135583491178</v>
      </c>
      <c r="T39" s="3">
        <v>-0.04383438343834384</v>
      </c>
      <c r="U39" s="3">
        <v>-0.01603016920116141</v>
      </c>
      <c r="V39" s="3">
        <v>-0.01710493820532357</v>
      </c>
      <c r="W39" s="3">
        <v>-0.02069847278291784</v>
      </c>
      <c r="X39" s="3">
        <v>-0.008374683929352675</v>
      </c>
      <c r="Y39" s="3">
        <v>-0.03852436944618939</v>
      </c>
      <c r="Z39" s="3">
        <v>0.01198562071170577</v>
      </c>
      <c r="AA39" s="3">
        <v>-0.02516546354800519</v>
      </c>
      <c r="AB39" s="3">
        <v>-0.05866948562093113</v>
      </c>
      <c r="AC39" s="3">
        <v>0.05788719085014206</v>
      </c>
      <c r="AD39" s="3">
        <v>-0.007520438611386995</v>
      </c>
      <c r="AE39" s="3">
        <v>-0.008021833863599682</v>
      </c>
      <c r="AF39" s="3">
        <v>-0.007556817379266836</v>
      </c>
      <c r="AG39" s="3">
        <v>-0.007310670255541494</v>
      </c>
      <c r="AH39" s="3">
        <v>-0.006742419486471293</v>
      </c>
      <c r="AI39" s="3">
        <v>-0.006591001023151809</v>
      </c>
      <c r="AJ39" s="3">
        <v>-0.006698727015558364</v>
      </c>
      <c r="AK39" s="3">
        <v>-0.006284821857994427</v>
      </c>
      <c r="AL39" s="3">
        <v>-0.006036425814140221</v>
      </c>
      <c r="AM39" s="3">
        <v>-0.005775565223024482</v>
      </c>
      <c r="AN39" s="3">
        <v>-0.005366090344400283</v>
      </c>
      <c r="AO39" s="3">
        <v>-0.005238130618916644</v>
      </c>
      <c r="AP39" s="3">
        <v>-0.005200400169441226</v>
      </c>
      <c r="AQ39" s="3">
        <v>-0.005109617327885466</v>
      </c>
      <c r="AR39" s="3">
        <v>-0.004839979521508747</v>
      </c>
      <c r="AS39" s="3">
        <v>-0.004451026020732173</v>
      </c>
      <c r="AT39" s="3">
        <v>-0.00436034966409006</v>
      </c>
      <c r="AU39" s="3">
        <v>-0.00451410085506285</v>
      </c>
      <c r="AV39" s="3">
        <v>-0.004529210304263422</v>
      </c>
      <c r="AW39" s="3">
        <v>-0.004489102302979931</v>
      </c>
      <c r="AX39" s="3">
        <v>-0.004320324718545577</v>
      </c>
      <c r="AY39" s="3">
        <v>-0.004202393748131459</v>
      </c>
      <c r="AZ39" s="3">
        <v>-0.004169623139415266</v>
      </c>
      <c r="BA39" s="3">
        <v>-0.004215917736660231</v>
      </c>
      <c r="BB39" s="3">
        <v>-0.004092191728614333</v>
      </c>
      <c r="BC39" s="3">
        <v>-0.004113224904049918</v>
      </c>
      <c r="BD39" s="3">
        <v>-0.004050192936463393</v>
      </c>
      <c r="BE39" s="3">
        <v>-0.00394294911086526</v>
      </c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54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/>
      <c r="F44" s="4" t="s">
        <v>37</v>
      </c>
      <c r="G44" s="3">
        <v>0.01430373830549223</v>
      </c>
      <c r="H44" s="3">
        <v>0.01446385966420446</v>
      </c>
      <c r="I44" s="3">
        <v>0.01457891451495429</v>
      </c>
      <c r="J44" s="3">
        <v>0.01412169255835742</v>
      </c>
      <c r="K44" s="3">
        <v>0.01389322554840223</v>
      </c>
      <c r="L44" s="3">
        <v>0.01359667698269475</v>
      </c>
      <c r="M44" s="3">
        <v>0.01349416915817023</v>
      </c>
      <c r="N44" s="3">
        <v>0.01300456845894101</v>
      </c>
      <c r="O44" s="3">
        <v>0.01264893457559176</v>
      </c>
      <c r="P44" s="3">
        <v>0.1205976175786501</v>
      </c>
      <c r="Q44" s="3">
        <v>0.01706191119491443</v>
      </c>
      <c r="R44" s="3">
        <v>0.01348393994881406</v>
      </c>
      <c r="S44" s="3">
        <v>0.01246485984228098</v>
      </c>
      <c r="T44" s="3">
        <v>0.01545182364683075</v>
      </c>
      <c r="U44" s="3">
        <v>0.02921085308778024</v>
      </c>
      <c r="V44" s="3">
        <v>0.01272103174168492</v>
      </c>
      <c r="W44" s="3">
        <v>0.01403006055579095</v>
      </c>
      <c r="X44" s="3">
        <v>0.02171612744066651</v>
      </c>
      <c r="Y44" s="3">
        <v>0.01298836004708748</v>
      </c>
      <c r="Z44" s="3">
        <v>0.04679685688816775</v>
      </c>
      <c r="AA44" s="3">
        <v>0.01465479871800044</v>
      </c>
      <c r="AB44" s="3">
        <v>0.02965373237265386</v>
      </c>
      <c r="AC44" s="3">
        <v>0.09563246376589557</v>
      </c>
      <c r="AD44" s="3">
        <v>0.008178785197132925</v>
      </c>
      <c r="AE44" s="3">
        <v>0.008576216971234906</v>
      </c>
      <c r="AF44" s="3">
        <v>0.008377867247028586</v>
      </c>
      <c r="AG44" s="3">
        <v>0.008195477590649499</v>
      </c>
      <c r="AH44" s="3">
        <v>0.008027085115558922</v>
      </c>
      <c r="AI44" s="3">
        <v>0.007845073096639451</v>
      </c>
      <c r="AJ44" s="3">
        <v>0.007671997971068433</v>
      </c>
      <c r="AK44" s="3">
        <v>0.007513666968799479</v>
      </c>
      <c r="AL44" s="3">
        <v>0.007378542666219171</v>
      </c>
      <c r="AM44" s="3">
        <v>0.007263418498224298</v>
      </c>
      <c r="AN44" s="3">
        <v>0.007158137963120352</v>
      </c>
      <c r="AO44" s="3">
        <v>0.00707426709269591</v>
      </c>
      <c r="AP44" s="3">
        <v>0.00699560105097347</v>
      </c>
      <c r="AQ44" s="3">
        <v>0.006927708105454843</v>
      </c>
      <c r="AR44" s="3">
        <v>0.006869725371902877</v>
      </c>
      <c r="AS44" s="3">
        <v>0.006817745125741735</v>
      </c>
      <c r="AT44" s="3">
        <v>0.006774139793612108</v>
      </c>
      <c r="AU44" s="3">
        <v>0.006745390974169874</v>
      </c>
      <c r="AV44" s="3">
        <v>0.006708412973553489</v>
      </c>
      <c r="AW44" s="3">
        <v>0.006664887868719838</v>
      </c>
      <c r="AX44" s="3">
        <v>0.006620370468002129</v>
      </c>
      <c r="AY44" s="3">
        <v>0.006589775431780448</v>
      </c>
      <c r="AZ44" s="3">
        <v>0.006565236804136668</v>
      </c>
      <c r="BA44" s="3">
        <v>0.006544230011618013</v>
      </c>
      <c r="BB44" s="3">
        <v>0.006531901180399216</v>
      </c>
      <c r="BC44" s="3">
        <v>0.006520041903162926</v>
      </c>
      <c r="BD44" s="3">
        <v>0.006512683166866371</v>
      </c>
      <c r="BE44" s="3">
        <v>0.006502971225813525</v>
      </c>
    </row>
    <row r="45" spans="1:57">
      <c r="A45" s="1" t="str">
        <f>'Population Definitions'!$A$3</f>
        <v>PWID_females</v>
      </c>
      <c r="C45" t="s">
        <v>53</v>
      </c>
      <c r="D45" s="3"/>
      <c r="E45" s="3"/>
      <c r="F45" s="4" t="s">
        <v>37</v>
      </c>
      <c r="G45" s="3">
        <v>0.01289945620318304</v>
      </c>
      <c r="H45" s="3">
        <v>0.0131182156128183</v>
      </c>
      <c r="I45" s="3">
        <v>0.01323312352467299</v>
      </c>
      <c r="J45" s="3">
        <v>0.01331552311221183</v>
      </c>
      <c r="K45" s="3">
        <v>0.01321478618735366</v>
      </c>
      <c r="L45" s="3">
        <v>0.01295729045535578</v>
      </c>
      <c r="M45" s="3">
        <v>0.01270647390438239</v>
      </c>
      <c r="N45" s="3">
        <v>0.01230120336258566</v>
      </c>
      <c r="O45" s="3">
        <v>0.01214177662425634</v>
      </c>
      <c r="P45" s="3">
        <v>0.03628685859107332</v>
      </c>
      <c r="Q45" s="3">
        <v>0.01214612518896883</v>
      </c>
      <c r="R45" s="3">
        <v>0.01101656832683168</v>
      </c>
      <c r="S45" s="3">
        <v>0.01064249980444965</v>
      </c>
      <c r="T45" s="3">
        <v>0.01070503720869362</v>
      </c>
      <c r="U45" s="3">
        <v>0.01368663336759314</v>
      </c>
      <c r="V45" s="3">
        <v>0.009593918940166457</v>
      </c>
      <c r="W45" s="3">
        <v>0.009565009258254757</v>
      </c>
      <c r="X45" s="3">
        <v>0.01099302744921799</v>
      </c>
      <c r="Y45" s="3">
        <v>0.008840905522587967</v>
      </c>
      <c r="Z45" s="3">
        <v>0.01660108295792606</v>
      </c>
      <c r="AA45" s="3">
        <v>0.009228377860104589</v>
      </c>
      <c r="AB45" s="3">
        <v>0.0132262326959724</v>
      </c>
      <c r="AC45" s="3">
        <v>0.02685951715797048</v>
      </c>
      <c r="AD45" s="3">
        <v>0.006929372795563022</v>
      </c>
      <c r="AE45" s="3">
        <v>0.007399056583133506</v>
      </c>
      <c r="AF45" s="3">
        <v>0.007255411952768847</v>
      </c>
      <c r="AG45" s="3">
        <v>0.007108565250467418</v>
      </c>
      <c r="AH45" s="3">
        <v>0.006968674903707041</v>
      </c>
      <c r="AI45" s="3">
        <v>0.006819406600822964</v>
      </c>
      <c r="AJ45" s="3">
        <v>0.006662954251408085</v>
      </c>
      <c r="AK45" s="3">
        <v>0.006516978699295185</v>
      </c>
      <c r="AL45" s="3">
        <v>0.006388670328172004</v>
      </c>
      <c r="AM45" s="3">
        <v>0.006268656344216876</v>
      </c>
      <c r="AN45" s="3">
        <v>0.006158392923947356</v>
      </c>
      <c r="AO45" s="3">
        <v>0.006060004700718484</v>
      </c>
      <c r="AP45" s="3">
        <v>0.005970006889779709</v>
      </c>
      <c r="AQ45" s="3">
        <v>0.005890773609576625</v>
      </c>
      <c r="AR45" s="3">
        <v>0.005818132037372943</v>
      </c>
      <c r="AS45" s="3">
        <v>0.005757862575138654</v>
      </c>
      <c r="AT45" s="3">
        <v>0.005699243907015301</v>
      </c>
      <c r="AU45" s="3">
        <v>0.0056552110018053</v>
      </c>
      <c r="AV45" s="3">
        <v>0.005607031362476104</v>
      </c>
      <c r="AW45" s="3">
        <v>0.005551769328009414</v>
      </c>
      <c r="AX45" s="3">
        <v>0.005495639315356705</v>
      </c>
      <c r="AY45" s="3">
        <v>0.005450112369079424</v>
      </c>
      <c r="AZ45" s="3">
        <v>0.005406720852686219</v>
      </c>
      <c r="BA45" s="3">
        <v>0.005362615115438197</v>
      </c>
      <c r="BB45" s="3">
        <v>0.005327480306364592</v>
      </c>
      <c r="BC45" s="3">
        <v>0.005291726094326173</v>
      </c>
      <c r="BD45" s="3">
        <v>0.005256956501135184</v>
      </c>
      <c r="BE45" s="3">
        <v>0.005220134276759322</v>
      </c>
    </row>
    <row r="46" spans="1:57">
      <c r="A46" s="1" t="str">
        <f>'Population Definitions'!$A$4</f>
        <v>0-9_males</v>
      </c>
      <c r="C46" t="s">
        <v>53</v>
      </c>
      <c r="D46" s="3"/>
      <c r="E46" s="3"/>
      <c r="F46" s="4" t="s">
        <v>37</v>
      </c>
      <c r="G46" s="3">
        <v>0.02436091697154577</v>
      </c>
      <c r="H46" s="3">
        <v>0.02391122057562652</v>
      </c>
      <c r="I46" s="3">
        <v>0.02328876669901859</v>
      </c>
      <c r="J46" s="3">
        <v>0.02278525291148249</v>
      </c>
      <c r="K46" s="3">
        <v>0.0222463807718952</v>
      </c>
      <c r="L46" s="3">
        <v>0.02170239401416952</v>
      </c>
      <c r="M46" s="3">
        <v>0.02124023109755796</v>
      </c>
      <c r="N46" s="3">
        <v>0.02066624986371096</v>
      </c>
      <c r="O46" s="3">
        <v>0.02008755839132653</v>
      </c>
      <c r="P46" s="3">
        <v>0.08433230999139094</v>
      </c>
      <c r="Q46" s="3">
        <v>0.02226826819463006</v>
      </c>
      <c r="R46" s="3">
        <v>0.02025738087260012</v>
      </c>
      <c r="S46" s="3">
        <v>0.01923518147135372</v>
      </c>
      <c r="T46" s="3">
        <v>0.02002086717512511</v>
      </c>
      <c r="U46" s="3">
        <v>0.02760759878268059</v>
      </c>
      <c r="V46" s="3">
        <v>0.01780641180768633</v>
      </c>
      <c r="W46" s="3">
        <v>0.01819115187102355</v>
      </c>
      <c r="X46" s="3">
        <v>0.02214946834999311</v>
      </c>
      <c r="Y46" s="3">
        <v>0.01705913377110368</v>
      </c>
      <c r="Z46" s="3">
        <v>0.0369778122850235</v>
      </c>
      <c r="AA46" s="3">
        <v>0.01761258741811298</v>
      </c>
      <c r="AB46" s="3">
        <v>0.02575473354721283</v>
      </c>
      <c r="AC46" s="3">
        <v>0.06621355953774738</v>
      </c>
      <c r="AD46" s="3">
        <v>0.01394748645291851</v>
      </c>
      <c r="AE46" s="3">
        <v>0.01396675636927641</v>
      </c>
      <c r="AF46" s="3">
        <v>0.01371441852112044</v>
      </c>
      <c r="AG46" s="3">
        <v>0.01339827298661961</v>
      </c>
      <c r="AH46" s="3">
        <v>0.01307683417934198</v>
      </c>
      <c r="AI46" s="3">
        <v>0.01274612784324211</v>
      </c>
      <c r="AJ46" s="3">
        <v>0.01239764602592621</v>
      </c>
      <c r="AK46" s="3">
        <v>0.01203274801960091</v>
      </c>
      <c r="AL46" s="3">
        <v>0.01168402006565761</v>
      </c>
      <c r="AM46" s="3">
        <v>0.01134901593149487</v>
      </c>
      <c r="AN46" s="3">
        <v>0.01104004415029221</v>
      </c>
      <c r="AO46" s="3">
        <v>0.01078907746779776</v>
      </c>
      <c r="AP46" s="3">
        <v>0.01054774293095307</v>
      </c>
      <c r="AQ46" s="3">
        <v>0.01031925465642246</v>
      </c>
      <c r="AR46" s="3">
        <v>0.01011639086695172</v>
      </c>
      <c r="AS46" s="3">
        <v>0.009924191388367955</v>
      </c>
      <c r="AT46" s="3">
        <v>0.009751655781932059</v>
      </c>
      <c r="AU46" s="3">
        <v>0.009589387693326108</v>
      </c>
      <c r="AV46" s="3">
        <v>0.00942373043839824</v>
      </c>
      <c r="AW46" s="3">
        <v>0.009297929397283158</v>
      </c>
      <c r="AX46" s="3">
        <v>0.009177723539482898</v>
      </c>
      <c r="AY46" s="3">
        <v>0.009080446896298741</v>
      </c>
      <c r="AZ46" s="3">
        <v>0.008973936093428263</v>
      </c>
      <c r="BA46" s="3">
        <v>0.008861133789209606</v>
      </c>
      <c r="BB46" s="3">
        <v>0.00875459296282478</v>
      </c>
      <c r="BC46" s="3">
        <v>0.008649267464874062</v>
      </c>
      <c r="BD46" s="3">
        <v>0.008526794640342211</v>
      </c>
      <c r="BE46" s="3">
        <v>0.008387868848183848</v>
      </c>
    </row>
    <row r="47" spans="1:57">
      <c r="A47" s="1" t="str">
        <f>'Population Definitions'!$A$5</f>
        <v>0-9_females</v>
      </c>
      <c r="C47" t="s">
        <v>53</v>
      </c>
      <c r="D47" s="3"/>
      <c r="E47" s="3"/>
      <c r="F47" s="4" t="s">
        <v>37</v>
      </c>
      <c r="G47" s="3">
        <v>0.02179123779468639</v>
      </c>
      <c r="H47" s="3">
        <v>0.02140481564486413</v>
      </c>
      <c r="I47" s="3">
        <v>0.02083530415244093</v>
      </c>
      <c r="J47" s="3">
        <v>0.02035691227457477</v>
      </c>
      <c r="K47" s="3">
        <v>0.01984684133708038</v>
      </c>
      <c r="L47" s="3">
        <v>0.01932363601104208</v>
      </c>
      <c r="M47" s="3">
        <v>0.01887903824797468</v>
      </c>
      <c r="N47" s="3">
        <v>0.01834582941185966</v>
      </c>
      <c r="O47" s="3">
        <v>0.01774545135884151</v>
      </c>
      <c r="P47" s="3">
        <v>0.08283433271271207</v>
      </c>
      <c r="Q47" s="3">
        <v>0.02005671611344056</v>
      </c>
      <c r="R47" s="3">
        <v>0.0179730741879399</v>
      </c>
      <c r="S47" s="3">
        <v>0.01697419695546989</v>
      </c>
      <c r="T47" s="3">
        <v>0.01782112607642496</v>
      </c>
      <c r="U47" s="3">
        <v>0.02552709067253042</v>
      </c>
      <c r="V47" s="3">
        <v>0.01574641589504725</v>
      </c>
      <c r="W47" s="3">
        <v>0.01613538701731001</v>
      </c>
      <c r="X47" s="3">
        <v>0.02014347938409731</v>
      </c>
      <c r="Y47" s="3">
        <v>0.01501000018273249</v>
      </c>
      <c r="Z47" s="3">
        <v>0.03517140088355523</v>
      </c>
      <c r="AA47" s="3">
        <v>0.01560165841595536</v>
      </c>
      <c r="AB47" s="3">
        <v>0.02380258053242346</v>
      </c>
      <c r="AC47" s="3">
        <v>0.06480862158594676</v>
      </c>
      <c r="AD47" s="3">
        <v>0.01192529336393509</v>
      </c>
      <c r="AE47" s="3">
        <v>0.01189488519936427</v>
      </c>
      <c r="AF47" s="3">
        <v>0.01164689252332683</v>
      </c>
      <c r="AG47" s="3">
        <v>0.01134006002400337</v>
      </c>
      <c r="AH47" s="3">
        <v>0.01103312296109343</v>
      </c>
      <c r="AI47" s="3">
        <v>0.01072082715722926</v>
      </c>
      <c r="AJ47" s="3">
        <v>0.01039705257350975</v>
      </c>
      <c r="AK47" s="3">
        <v>0.01006160313483838</v>
      </c>
      <c r="AL47" s="3">
        <v>0.009745649735689905</v>
      </c>
      <c r="AM47" s="3">
        <v>0.009438482300274361</v>
      </c>
      <c r="AN47" s="3">
        <v>0.009154076003902452</v>
      </c>
      <c r="AO47" s="3">
        <v>0.008913077479560957</v>
      </c>
      <c r="AP47" s="3">
        <v>0.008681024058012425</v>
      </c>
      <c r="AQ47" s="3">
        <v>0.008462067653921296</v>
      </c>
      <c r="AR47" s="3">
        <v>0.008263469813867034</v>
      </c>
      <c r="AS47" s="3">
        <v>0.008077691587867374</v>
      </c>
      <c r="AT47" s="3">
        <v>0.00791193926273439</v>
      </c>
      <c r="AU47" s="3">
        <v>0.007750864405777436</v>
      </c>
      <c r="AV47" s="3">
        <v>0.007584378534365699</v>
      </c>
      <c r="AW47" s="3">
        <v>0.007450473214592222</v>
      </c>
      <c r="AX47" s="3">
        <v>0.007324048213769071</v>
      </c>
      <c r="AY47" s="3">
        <v>0.007217068205655082</v>
      </c>
      <c r="AZ47" s="3">
        <v>0.007101872671719931</v>
      </c>
      <c r="BA47" s="3">
        <v>0.006976723059826006</v>
      </c>
      <c r="BB47" s="3">
        <v>0.006863371495786027</v>
      </c>
      <c r="BC47" s="3">
        <v>0.006747369916480362</v>
      </c>
      <c r="BD47" s="3">
        <v>0.006621250300265571</v>
      </c>
      <c r="BE47" s="3">
        <v>0.006482325086317973</v>
      </c>
    </row>
    <row r="48" spans="1:57">
      <c r="A48" s="1" t="str">
        <f>'Population Definitions'!$A$6</f>
        <v>10-17_males</v>
      </c>
      <c r="C48" t="s">
        <v>53</v>
      </c>
      <c r="D48" s="3"/>
      <c r="E48" s="3"/>
      <c r="F48" s="4" t="s">
        <v>37</v>
      </c>
      <c r="G48" s="3">
        <v>0.003522114842448958</v>
      </c>
      <c r="H48" s="3">
        <v>0.003490081057068817</v>
      </c>
      <c r="I48" s="3">
        <v>0.003427138513307811</v>
      </c>
      <c r="J48" s="3">
        <v>0.003309510494409464</v>
      </c>
      <c r="K48" s="3">
        <v>0.003231934240848542</v>
      </c>
      <c r="L48" s="3">
        <v>0.003138760821826459</v>
      </c>
      <c r="M48" s="3">
        <v>0.003074133299652441</v>
      </c>
      <c r="N48" s="3">
        <v>0.002963894974448036</v>
      </c>
      <c r="O48" s="3">
        <v>0.00286497449129313</v>
      </c>
      <c r="P48" s="3">
        <v>0.03016120981209618</v>
      </c>
      <c r="Q48" s="3">
        <v>0.003980453775994473</v>
      </c>
      <c r="R48" s="3">
        <v>0.003096786041090845</v>
      </c>
      <c r="S48" s="3">
        <v>0.00281968398181273</v>
      </c>
      <c r="T48" s="3">
        <v>0.003455153802894399</v>
      </c>
      <c r="U48" s="3">
        <v>0.006801503848087751</v>
      </c>
      <c r="V48" s="3">
        <v>0.002926608305186556</v>
      </c>
      <c r="W48" s="3">
        <v>0.003265309269507524</v>
      </c>
      <c r="X48" s="3">
        <v>0.005141061429992878</v>
      </c>
      <c r="Y48" s="3">
        <v>0.003036051706700142</v>
      </c>
      <c r="Z48" s="3">
        <v>0.01167819666916551</v>
      </c>
      <c r="AA48" s="3">
        <v>0.003427749998631819</v>
      </c>
      <c r="AB48" s="3">
        <v>0.006869377161095055</v>
      </c>
      <c r="AC48" s="3">
        <v>0.02390668876406551</v>
      </c>
      <c r="AD48" s="3">
        <v>0.001958149258474848</v>
      </c>
      <c r="AE48" s="3">
        <v>0.001924614016745971</v>
      </c>
      <c r="AF48" s="3">
        <v>0.001904056354869315</v>
      </c>
      <c r="AG48" s="3">
        <v>0.001886056449812546</v>
      </c>
      <c r="AH48" s="3">
        <v>0.001873730193745881</v>
      </c>
      <c r="AI48" s="3">
        <v>0.001853673444784106</v>
      </c>
      <c r="AJ48" s="3">
        <v>0.001828068409771385</v>
      </c>
      <c r="AK48" s="3">
        <v>0.00179725452309055</v>
      </c>
      <c r="AL48" s="3">
        <v>0.001767438653088821</v>
      </c>
      <c r="AM48" s="3">
        <v>0.00174063505152206</v>
      </c>
      <c r="AN48" s="3">
        <v>0.001711670349220925</v>
      </c>
      <c r="AO48" s="3">
        <v>0.001681054160470916</v>
      </c>
      <c r="AP48" s="3">
        <v>0.001653083652145487</v>
      </c>
      <c r="AQ48" s="3">
        <v>0.001628189550425274</v>
      </c>
      <c r="AR48" s="3">
        <v>0.001606380222197467</v>
      </c>
      <c r="AS48" s="3">
        <v>0.001587642238634841</v>
      </c>
      <c r="AT48" s="3">
        <v>0.001573514602215509</v>
      </c>
      <c r="AU48" s="3">
        <v>0.001561465121284673</v>
      </c>
      <c r="AV48" s="3">
        <v>0.00154501181130802</v>
      </c>
      <c r="AW48" s="3">
        <v>0.001528053646958231</v>
      </c>
      <c r="AX48" s="3">
        <v>0.001507995812163459</v>
      </c>
      <c r="AY48" s="3">
        <v>0.001490942575126484</v>
      </c>
      <c r="AZ48" s="3">
        <v>0.001474039292866095</v>
      </c>
      <c r="BA48" s="3">
        <v>0.001459478193973367</v>
      </c>
      <c r="BB48" s="3">
        <v>0.001443883430742503</v>
      </c>
      <c r="BC48" s="3">
        <v>0.001424903868293522</v>
      </c>
      <c r="BD48" s="3">
        <v>0.001407965298949958</v>
      </c>
      <c r="BE48" s="3">
        <v>0.001385830275804623</v>
      </c>
    </row>
    <row r="49" spans="1:57">
      <c r="A49" s="1" t="str">
        <f>'Population Definitions'!$A$7</f>
        <v>10-17_females</v>
      </c>
      <c r="C49" t="s">
        <v>53</v>
      </c>
      <c r="D49" s="3"/>
      <c r="E49" s="3"/>
      <c r="F49" s="4" t="s">
        <v>37</v>
      </c>
      <c r="G49" s="3">
        <v>0.003373725426379358</v>
      </c>
      <c r="H49" s="3">
        <v>0.003421787439800101</v>
      </c>
      <c r="I49" s="3">
        <v>0.003307184959847608</v>
      </c>
      <c r="J49" s="3">
        <v>0.003255256824622732</v>
      </c>
      <c r="K49" s="3">
        <v>0.003181236419918444</v>
      </c>
      <c r="L49" s="3">
        <v>0.003088183103426208</v>
      </c>
      <c r="M49" s="3">
        <v>0.002999657573336376</v>
      </c>
      <c r="N49" s="3">
        <v>0.002896815520832632</v>
      </c>
      <c r="O49" s="3">
        <v>0.002714781810961866</v>
      </c>
      <c r="P49" s="3">
        <v>0.01488819214964542</v>
      </c>
      <c r="Q49" s="3">
        <v>0.00316536183655106</v>
      </c>
      <c r="R49" s="3">
        <v>0.002711189014009911</v>
      </c>
      <c r="S49" s="3">
        <v>0.002499665223407579</v>
      </c>
      <c r="T49" s="3">
        <v>0.0027460808360883</v>
      </c>
      <c r="U49" s="3">
        <v>0.004204128612637557</v>
      </c>
      <c r="V49" s="3">
        <v>0.00245703689760544</v>
      </c>
      <c r="W49" s="3">
        <v>0.002554122965020687</v>
      </c>
      <c r="X49" s="3">
        <v>0.00330715251462463</v>
      </c>
      <c r="Y49" s="3">
        <v>0.002359664449983234</v>
      </c>
      <c r="Z49" s="3">
        <v>0.00615645516599295</v>
      </c>
      <c r="AA49" s="3">
        <v>0.002463682401212434</v>
      </c>
      <c r="AB49" s="3">
        <v>0.003963511952128545</v>
      </c>
      <c r="AC49" s="3">
        <v>0.01167214522520747</v>
      </c>
      <c r="AD49" s="3">
        <v>0.001708898663858084</v>
      </c>
      <c r="AE49" s="3">
        <v>0.001676233132588864</v>
      </c>
      <c r="AF49" s="3">
        <v>0.001654566108559293</v>
      </c>
      <c r="AG49" s="3">
        <v>0.00163318529229498</v>
      </c>
      <c r="AH49" s="3">
        <v>0.001617065825348972</v>
      </c>
      <c r="AI49" s="3">
        <v>0.001591265408049268</v>
      </c>
      <c r="AJ49" s="3">
        <v>0.001565131484268951</v>
      </c>
      <c r="AK49" s="3">
        <v>0.001534845944084667</v>
      </c>
      <c r="AL49" s="3">
        <v>0.001504678681736829</v>
      </c>
      <c r="AM49" s="3">
        <v>0.001475125048671639</v>
      </c>
      <c r="AN49" s="3">
        <v>0.001446044290561797</v>
      </c>
      <c r="AO49" s="3">
        <v>0.001419296412497367</v>
      </c>
      <c r="AP49" s="3">
        <v>0.001393057593173345</v>
      </c>
      <c r="AQ49" s="3">
        <v>0.001365101958480955</v>
      </c>
      <c r="AR49" s="3">
        <v>0.001342475964444954</v>
      </c>
      <c r="AS49" s="3">
        <v>0.001323501947721673</v>
      </c>
      <c r="AT49" s="3">
        <v>0.001304788050229121</v>
      </c>
      <c r="AU49" s="3">
        <v>0.001289849646638449</v>
      </c>
      <c r="AV49" s="3">
        <v>0.001269315341153118</v>
      </c>
      <c r="AW49" s="3">
        <v>0.001249015983753127</v>
      </c>
      <c r="AX49" s="3">
        <v>0.001227274431553838</v>
      </c>
      <c r="AY49" s="3">
        <v>0.001208146717503871</v>
      </c>
      <c r="AZ49" s="3">
        <v>0.001189689155182006</v>
      </c>
      <c r="BA49" s="3">
        <v>0.001170970304416703</v>
      </c>
      <c r="BB49" s="3">
        <v>0.00115273426754519</v>
      </c>
      <c r="BC49" s="3">
        <v>0.001132601411349427</v>
      </c>
      <c r="BD49" s="3">
        <v>0.001111154217660886</v>
      </c>
      <c r="BE49" s="3">
        <v>0.001090091994457461</v>
      </c>
    </row>
    <row r="50" spans="1:57">
      <c r="A50" s="1" t="str">
        <f>'Population Definitions'!$A$8</f>
        <v>18-64_males</v>
      </c>
      <c r="C50" t="s">
        <v>53</v>
      </c>
      <c r="D50" s="3"/>
      <c r="E50" s="3"/>
      <c r="F50" s="4" t="s">
        <v>37</v>
      </c>
      <c r="G50" s="3">
        <v>0.01430373830549223</v>
      </c>
      <c r="H50" s="3">
        <v>0.01446385966420446</v>
      </c>
      <c r="I50" s="3">
        <v>0.01457891451495429</v>
      </c>
      <c r="J50" s="3">
        <v>0.01412169255835742</v>
      </c>
      <c r="K50" s="3">
        <v>0.01389322554840223</v>
      </c>
      <c r="L50" s="3">
        <v>0.01359667698269475</v>
      </c>
      <c r="M50" s="3">
        <v>0.01349416915817023</v>
      </c>
      <c r="N50" s="3">
        <v>0.01300456845894101</v>
      </c>
      <c r="O50" s="3">
        <v>0.01264893457559176</v>
      </c>
      <c r="P50" s="3">
        <v>0.1205976175786501</v>
      </c>
      <c r="Q50" s="3">
        <v>0.01706191119491443</v>
      </c>
      <c r="R50" s="3">
        <v>0.01348393994881406</v>
      </c>
      <c r="S50" s="3">
        <v>0.01246485984228098</v>
      </c>
      <c r="T50" s="3">
        <v>0.01545182364683075</v>
      </c>
      <c r="U50" s="3">
        <v>0.02921085308778024</v>
      </c>
      <c r="V50" s="3">
        <v>0.01272103174168492</v>
      </c>
      <c r="W50" s="3">
        <v>0.01403006055579095</v>
      </c>
      <c r="X50" s="3">
        <v>0.02171612744066651</v>
      </c>
      <c r="Y50" s="3">
        <v>0.01298836004708748</v>
      </c>
      <c r="Z50" s="3">
        <v>0.04679685688816775</v>
      </c>
      <c r="AA50" s="3">
        <v>0.01465479871800044</v>
      </c>
      <c r="AB50" s="3">
        <v>0.02965373237265386</v>
      </c>
      <c r="AC50" s="3">
        <v>0.09563246376589557</v>
      </c>
      <c r="AD50" s="3">
        <v>0.008178785197132925</v>
      </c>
      <c r="AE50" s="3">
        <v>0.008576216971234906</v>
      </c>
      <c r="AF50" s="3">
        <v>0.008377867247028586</v>
      </c>
      <c r="AG50" s="3">
        <v>0.008195477590649499</v>
      </c>
      <c r="AH50" s="3">
        <v>0.008027085115558922</v>
      </c>
      <c r="AI50" s="3">
        <v>0.007845073096639451</v>
      </c>
      <c r="AJ50" s="3">
        <v>0.007671997971068433</v>
      </c>
      <c r="AK50" s="3">
        <v>0.007513666968799479</v>
      </c>
      <c r="AL50" s="3">
        <v>0.007378542666219171</v>
      </c>
      <c r="AM50" s="3">
        <v>0.007263418498224298</v>
      </c>
      <c r="AN50" s="3">
        <v>0.007158137963120352</v>
      </c>
      <c r="AO50" s="3">
        <v>0.00707426709269591</v>
      </c>
      <c r="AP50" s="3">
        <v>0.00699560105097347</v>
      </c>
      <c r="AQ50" s="3">
        <v>0.006927708105454843</v>
      </c>
      <c r="AR50" s="3">
        <v>0.006869725371902877</v>
      </c>
      <c r="AS50" s="3">
        <v>0.006817745125741735</v>
      </c>
      <c r="AT50" s="3">
        <v>0.006774139793612108</v>
      </c>
      <c r="AU50" s="3">
        <v>0.006745390974169874</v>
      </c>
      <c r="AV50" s="3">
        <v>0.006708412973553489</v>
      </c>
      <c r="AW50" s="3">
        <v>0.006664887868719838</v>
      </c>
      <c r="AX50" s="3">
        <v>0.006620370468002129</v>
      </c>
      <c r="AY50" s="3">
        <v>0.006589775431780448</v>
      </c>
      <c r="AZ50" s="3">
        <v>0.006565236804136668</v>
      </c>
      <c r="BA50" s="3">
        <v>0.006544230011618013</v>
      </c>
      <c r="BB50" s="3">
        <v>0.006531901180399216</v>
      </c>
      <c r="BC50" s="3">
        <v>0.006520041903162926</v>
      </c>
      <c r="BD50" s="3">
        <v>0.006512683166866371</v>
      </c>
      <c r="BE50" s="3">
        <v>0.006502971225813525</v>
      </c>
    </row>
    <row r="51" spans="1:57">
      <c r="A51" s="1" t="str">
        <f>'Population Definitions'!$A$9</f>
        <v>18-64_females</v>
      </c>
      <c r="C51" t="s">
        <v>53</v>
      </c>
      <c r="D51" s="3"/>
      <c r="E51" s="3"/>
      <c r="F51" s="4" t="s">
        <v>37</v>
      </c>
      <c r="G51" s="3">
        <v>0.01289945620318304</v>
      </c>
      <c r="H51" s="3">
        <v>0.0131182156128183</v>
      </c>
      <c r="I51" s="3">
        <v>0.01323312352467299</v>
      </c>
      <c r="J51" s="3">
        <v>0.01331552311221183</v>
      </c>
      <c r="K51" s="3">
        <v>0.01321478618735366</v>
      </c>
      <c r="L51" s="3">
        <v>0.01295729045535578</v>
      </c>
      <c r="M51" s="3">
        <v>0.01270647390438239</v>
      </c>
      <c r="N51" s="3">
        <v>0.01230120336258566</v>
      </c>
      <c r="O51" s="3">
        <v>0.01214177662425634</v>
      </c>
      <c r="P51" s="3">
        <v>0.03628685859107332</v>
      </c>
      <c r="Q51" s="3">
        <v>0.01214612518896883</v>
      </c>
      <c r="R51" s="3">
        <v>0.01101656832683168</v>
      </c>
      <c r="S51" s="3">
        <v>0.01064249980444965</v>
      </c>
      <c r="T51" s="3">
        <v>0.01070503720869362</v>
      </c>
      <c r="U51" s="3">
        <v>0.01368663336759314</v>
      </c>
      <c r="V51" s="3">
        <v>0.009593918940166457</v>
      </c>
      <c r="W51" s="3">
        <v>0.009565009258254757</v>
      </c>
      <c r="X51" s="3">
        <v>0.01099302744921799</v>
      </c>
      <c r="Y51" s="3">
        <v>0.008840905522587967</v>
      </c>
      <c r="Z51" s="3">
        <v>0.01660108295792606</v>
      </c>
      <c r="AA51" s="3">
        <v>0.009228377860104589</v>
      </c>
      <c r="AB51" s="3">
        <v>0.0132262326959724</v>
      </c>
      <c r="AC51" s="3">
        <v>0.02685951715797048</v>
      </c>
      <c r="AD51" s="3">
        <v>0.006929372795563022</v>
      </c>
      <c r="AE51" s="3">
        <v>0.007399056583133506</v>
      </c>
      <c r="AF51" s="3">
        <v>0.007255411952768847</v>
      </c>
      <c r="AG51" s="3">
        <v>0.007108565250467418</v>
      </c>
      <c r="AH51" s="3">
        <v>0.006968674903707041</v>
      </c>
      <c r="AI51" s="3">
        <v>0.006819406600822964</v>
      </c>
      <c r="AJ51" s="3">
        <v>0.006662954251408085</v>
      </c>
      <c r="AK51" s="3">
        <v>0.006516978699295185</v>
      </c>
      <c r="AL51" s="3">
        <v>0.006388670328172004</v>
      </c>
      <c r="AM51" s="3">
        <v>0.006268656344216876</v>
      </c>
      <c r="AN51" s="3">
        <v>0.006158392923947356</v>
      </c>
      <c r="AO51" s="3">
        <v>0.006060004700718484</v>
      </c>
      <c r="AP51" s="3">
        <v>0.005970006889779709</v>
      </c>
      <c r="AQ51" s="3">
        <v>0.005890773609576625</v>
      </c>
      <c r="AR51" s="3">
        <v>0.005818132037372943</v>
      </c>
      <c r="AS51" s="3">
        <v>0.005757862575138654</v>
      </c>
      <c r="AT51" s="3">
        <v>0.005699243907015301</v>
      </c>
      <c r="AU51" s="3">
        <v>0.0056552110018053</v>
      </c>
      <c r="AV51" s="3">
        <v>0.005607031362476104</v>
      </c>
      <c r="AW51" s="3">
        <v>0.005551769328009414</v>
      </c>
      <c r="AX51" s="3">
        <v>0.005495639315356705</v>
      </c>
      <c r="AY51" s="3">
        <v>0.005450112369079424</v>
      </c>
      <c r="AZ51" s="3">
        <v>0.005406720852686219</v>
      </c>
      <c r="BA51" s="3">
        <v>0.005362615115438197</v>
      </c>
      <c r="BB51" s="3">
        <v>0.005327480306364592</v>
      </c>
      <c r="BC51" s="3">
        <v>0.005291726094326173</v>
      </c>
      <c r="BD51" s="3">
        <v>0.005256956501135184</v>
      </c>
      <c r="BE51" s="3">
        <v>0.005220134276759322</v>
      </c>
    </row>
    <row r="52" spans="1:57">
      <c r="A52" s="1" t="str">
        <f>'Population Definitions'!$A$10</f>
        <v>65+_males</v>
      </c>
      <c r="C52" t="s">
        <v>53</v>
      </c>
      <c r="D52" s="3"/>
      <c r="E52" s="3"/>
      <c r="F52" s="4" t="s">
        <v>37</v>
      </c>
      <c r="G52" s="3">
        <v>0.0891913491773417</v>
      </c>
      <c r="H52" s="3">
        <v>0.08950405661075639</v>
      </c>
      <c r="I52" s="3">
        <v>0.0875168214656129</v>
      </c>
      <c r="J52" s="3">
        <v>0.08699234993513706</v>
      </c>
      <c r="K52" s="3">
        <v>0.08599259957031992</v>
      </c>
      <c r="L52" s="3">
        <v>0.08510663978766514</v>
      </c>
      <c r="M52" s="3">
        <v>0.08476255214915177</v>
      </c>
      <c r="N52" s="3">
        <v>0.08346287730203554</v>
      </c>
      <c r="O52" s="3">
        <v>0.08240389707172741</v>
      </c>
      <c r="P52" s="3">
        <v>0.3038531460280262</v>
      </c>
      <c r="Q52" s="3">
        <v>0.08858203988871476</v>
      </c>
      <c r="R52" s="3">
        <v>0.08144950800510771</v>
      </c>
      <c r="S52" s="3">
        <v>0.07897218587724776</v>
      </c>
      <c r="T52" s="3">
        <v>0.08334873037986582</v>
      </c>
      <c r="U52" s="3">
        <v>0.1102194301175501</v>
      </c>
      <c r="V52" s="3">
        <v>0.07637132394217537</v>
      </c>
      <c r="W52" s="3">
        <v>0.07824888100088787</v>
      </c>
      <c r="X52" s="3">
        <v>0.09262184298241961</v>
      </c>
      <c r="Y52" s="3">
        <v>0.07576790559309471</v>
      </c>
      <c r="Z52" s="3">
        <v>0.1424872140322316</v>
      </c>
      <c r="AA52" s="3">
        <v>0.08891282999223213</v>
      </c>
      <c r="AB52" s="3">
        <v>0.1151865511158005</v>
      </c>
      <c r="AC52" s="3">
        <v>0.2406540834618481</v>
      </c>
      <c r="AD52" s="3">
        <v>0.06658965043297189</v>
      </c>
      <c r="AE52" s="3">
        <v>0.06782079920575826</v>
      </c>
      <c r="AF52" s="3">
        <v>0.06855350905049222</v>
      </c>
      <c r="AG52" s="3">
        <v>0.06913783530222674</v>
      </c>
      <c r="AH52" s="3">
        <v>0.06991087244836444</v>
      </c>
      <c r="AI52" s="3">
        <v>0.07061049785987833</v>
      </c>
      <c r="AJ52" s="3">
        <v>0.07127676391547957</v>
      </c>
      <c r="AK52" s="3">
        <v>0.0718566987823518</v>
      </c>
      <c r="AL52" s="3">
        <v>0.07248315372384725</v>
      </c>
      <c r="AM52" s="3">
        <v>0.0731133826696037</v>
      </c>
      <c r="AN52" s="3">
        <v>0.07347037876335384</v>
      </c>
      <c r="AO52" s="3">
        <v>0.07385817641779903</v>
      </c>
      <c r="AP52" s="3">
        <v>0.07425278740747684</v>
      </c>
      <c r="AQ52" s="3">
        <v>0.07468004709829844</v>
      </c>
      <c r="AR52" s="3">
        <v>0.07496103698635342</v>
      </c>
      <c r="AS52" s="3">
        <v>0.07527771924014809</v>
      </c>
      <c r="AT52" s="3">
        <v>0.07571114665391115</v>
      </c>
      <c r="AU52" s="3">
        <v>0.0761924658096382</v>
      </c>
      <c r="AV52" s="3">
        <v>0.07669805829589717</v>
      </c>
      <c r="AW52" s="3">
        <v>0.07694082104934186</v>
      </c>
      <c r="AX52" s="3">
        <v>0.07698676720632806</v>
      </c>
      <c r="AY52" s="3">
        <v>0.07686904605118747</v>
      </c>
      <c r="AZ52" s="3">
        <v>0.07649997112663852</v>
      </c>
      <c r="BA52" s="3">
        <v>0.07605113636363636</v>
      </c>
      <c r="BB52" s="3">
        <v>0.07555958440833974</v>
      </c>
      <c r="BC52" s="3">
        <v>0.07493937220343612</v>
      </c>
      <c r="BD52" s="3">
        <v>0.07428125146019264</v>
      </c>
      <c r="BE52" s="3">
        <v>0.0734936468507368</v>
      </c>
    </row>
    <row r="53" spans="1:57">
      <c r="A53" s="1" t="str">
        <f>'Population Definitions'!$A$11</f>
        <v>65+_females</v>
      </c>
      <c r="C53" t="s">
        <v>53</v>
      </c>
      <c r="D53" s="3"/>
      <c r="E53" s="3"/>
      <c r="F53" s="4" t="s">
        <v>37</v>
      </c>
      <c r="G53" s="3">
        <v>0.0856229303605496</v>
      </c>
      <c r="H53" s="3">
        <v>0.08578144620351194</v>
      </c>
      <c r="I53" s="3">
        <v>0.08407769694942627</v>
      </c>
      <c r="J53" s="3">
        <v>0.08366455905492766</v>
      </c>
      <c r="K53" s="3">
        <v>0.0824885815918438</v>
      </c>
      <c r="L53" s="3">
        <v>0.08112027654229136</v>
      </c>
      <c r="M53" s="3">
        <v>0.08001479742451124</v>
      </c>
      <c r="N53" s="3">
        <v>0.07839000772155114</v>
      </c>
      <c r="O53" s="3">
        <v>0.07693937021286483</v>
      </c>
      <c r="P53" s="3">
        <v>0.2510412986305892</v>
      </c>
      <c r="Q53" s="3">
        <v>0.07897945867740624</v>
      </c>
      <c r="R53" s="3">
        <v>0.072507076929341</v>
      </c>
      <c r="S53" s="3">
        <v>0.06992361229320954</v>
      </c>
      <c r="T53" s="3">
        <v>0.07195182604635392</v>
      </c>
      <c r="U53" s="3">
        <v>0.09178383198308487</v>
      </c>
      <c r="V53" s="3">
        <v>0.06542992771820169</v>
      </c>
      <c r="W53" s="3">
        <v>0.06606797971450183</v>
      </c>
      <c r="X53" s="3">
        <v>0.07574137576522821</v>
      </c>
      <c r="Y53" s="3">
        <v>0.06269755770163619</v>
      </c>
      <c r="Z53" s="3">
        <v>0.1126071274067953</v>
      </c>
      <c r="AA53" s="3">
        <v>0.06835754614602911</v>
      </c>
      <c r="AB53" s="3">
        <v>0.09072468596557781</v>
      </c>
      <c r="AC53" s="3">
        <v>0.1841058261693828</v>
      </c>
      <c r="AD53" s="3">
        <v>0.05312526875870639</v>
      </c>
      <c r="AE53" s="3">
        <v>0.05402674949863536</v>
      </c>
      <c r="AF53" s="3">
        <v>0.05439496023842821</v>
      </c>
      <c r="AG53" s="3">
        <v>0.05479015053334663</v>
      </c>
      <c r="AH53" s="3">
        <v>0.05518237177475045</v>
      </c>
      <c r="AI53" s="3">
        <v>0.0555595212601423</v>
      </c>
      <c r="AJ53" s="3">
        <v>0.05593210749646392</v>
      </c>
      <c r="AK53" s="3">
        <v>0.05634183378456518</v>
      </c>
      <c r="AL53" s="3">
        <v>0.0568201248737014</v>
      </c>
      <c r="AM53" s="3">
        <v>0.05733706079044019</v>
      </c>
      <c r="AN53" s="3">
        <v>0.05775392848735821</v>
      </c>
      <c r="AO53" s="3">
        <v>0.05825098447135746</v>
      </c>
      <c r="AP53" s="3">
        <v>0.05881769758366155</v>
      </c>
      <c r="AQ53" s="3">
        <v>0.05942621150213083</v>
      </c>
      <c r="AR53" s="3">
        <v>0.06010179014709234</v>
      </c>
      <c r="AS53" s="3">
        <v>0.06077427543896764</v>
      </c>
      <c r="AT53" s="3">
        <v>0.06154656544077993</v>
      </c>
      <c r="AU53" s="3">
        <v>0.06240837870274626</v>
      </c>
      <c r="AV53" s="3">
        <v>0.06336758160851079</v>
      </c>
      <c r="AW53" s="3">
        <v>0.06405714450300987</v>
      </c>
      <c r="AX53" s="3">
        <v>0.06462519753847662</v>
      </c>
      <c r="AY53" s="3">
        <v>0.06504012477876824</v>
      </c>
      <c r="AZ53" s="3">
        <v>0.06523905573582288</v>
      </c>
      <c r="BA53" s="3">
        <v>0.06528201548320299</v>
      </c>
      <c r="BB53" s="3">
        <v>0.06519789192456198</v>
      </c>
      <c r="BC53" s="3">
        <v>0.06493692552461527</v>
      </c>
      <c r="BD53" s="3">
        <v>0.06455271142007127</v>
      </c>
      <c r="BE53" s="3">
        <v>0.06404066255883059</v>
      </c>
    </row>
    <row r="54" spans="1:57">
      <c r="A54" s="1" t="str">
        <f>'Population Definitions'!$A$12</f>
        <v>Prisoners_males</v>
      </c>
      <c r="C54" t="s">
        <v>53</v>
      </c>
      <c r="D54" s="3"/>
      <c r="E54" s="3"/>
      <c r="F54" s="4" t="s">
        <v>37</v>
      </c>
      <c r="G54" s="3">
        <v>0.01430373830549223</v>
      </c>
      <c r="H54" s="3">
        <v>0.01446385966420446</v>
      </c>
      <c r="I54" s="3">
        <v>0.01457891451495429</v>
      </c>
      <c r="J54" s="3">
        <v>0.01412169255835742</v>
      </c>
      <c r="K54" s="3">
        <v>0.01389322554840223</v>
      </c>
      <c r="L54" s="3">
        <v>0.01359667698269475</v>
      </c>
      <c r="M54" s="3">
        <v>0.01349416915817023</v>
      </c>
      <c r="N54" s="3">
        <v>0.01300456845894101</v>
      </c>
      <c r="O54" s="3">
        <v>0.01264893457559176</v>
      </c>
      <c r="P54" s="3">
        <v>0.1205976175786501</v>
      </c>
      <c r="Q54" s="3">
        <v>0.01706191119491443</v>
      </c>
      <c r="R54" s="3">
        <v>0.01348393994881406</v>
      </c>
      <c r="S54" s="3">
        <v>0.01246485984228098</v>
      </c>
      <c r="T54" s="3">
        <v>0.01545182364683075</v>
      </c>
      <c r="U54" s="3">
        <v>0.02921085308778024</v>
      </c>
      <c r="V54" s="3">
        <v>0.01272103174168492</v>
      </c>
      <c r="W54" s="3">
        <v>0.01403006055579095</v>
      </c>
      <c r="X54" s="3">
        <v>0.02171612744066651</v>
      </c>
      <c r="Y54" s="3">
        <v>0.01298836004708748</v>
      </c>
      <c r="Z54" s="3">
        <v>0.04679685688816775</v>
      </c>
      <c r="AA54" s="3">
        <v>0.01465479871800044</v>
      </c>
      <c r="AB54" s="3">
        <v>0.02965373237265386</v>
      </c>
      <c r="AC54" s="3">
        <v>0.09563246376589557</v>
      </c>
      <c r="AD54" s="3">
        <v>0.008178785197132925</v>
      </c>
      <c r="AE54" s="3">
        <v>0.003867076888806366</v>
      </c>
      <c r="AF54" s="3">
        <v>0.003844760252240999</v>
      </c>
      <c r="AG54" s="3">
        <v>0.003718375995070263</v>
      </c>
      <c r="AH54" s="3">
        <v>0.003721062296936647</v>
      </c>
      <c r="AI54" s="3">
        <v>0.003651342955973992</v>
      </c>
      <c r="AJ54" s="3">
        <v>0.003566395535612097</v>
      </c>
      <c r="AK54" s="3">
        <v>0.003491291725613305</v>
      </c>
      <c r="AL54" s="3">
        <v>0.003418040303897175</v>
      </c>
      <c r="AM54" s="3">
        <v>0.003355447746726711</v>
      </c>
      <c r="AN54" s="3">
        <v>0.003281255053227587</v>
      </c>
      <c r="AO54" s="3">
        <v>0.003184730973717335</v>
      </c>
      <c r="AP54" s="3">
        <v>0.00308359132820527</v>
      </c>
      <c r="AQ54" s="3">
        <v>0.002985411790786149</v>
      </c>
      <c r="AR54" s="3">
        <v>0.002899096452416772</v>
      </c>
      <c r="AS54" s="3">
        <v>0.002819966313100504</v>
      </c>
      <c r="AT54" s="3">
        <v>0.002758715142512894</v>
      </c>
      <c r="AU54" s="3">
        <v>0.002715661540717893</v>
      </c>
      <c r="AV54" s="3">
        <v>0.002689619038419274</v>
      </c>
      <c r="AW54" s="3">
        <v>0.002676271561881391</v>
      </c>
      <c r="AX54" s="3">
        <v>0.002677172471086882</v>
      </c>
      <c r="AY54" s="3">
        <v>0.002675737496469317</v>
      </c>
      <c r="AZ54" s="3">
        <v>0.002671486477858295</v>
      </c>
      <c r="BA54" s="3">
        <v>0.002663432115288164</v>
      </c>
      <c r="BB54" s="3">
        <v>0.002646375818492312</v>
      </c>
      <c r="BC54" s="3">
        <v>0.002636720886517964</v>
      </c>
      <c r="BD54" s="3">
        <v>0.002636367518459664</v>
      </c>
      <c r="BE54" s="3">
        <v>0.002629319920875624</v>
      </c>
    </row>
    <row r="55" spans="1:57">
      <c r="A55" s="1" t="str">
        <f>'Population Definitions'!$A$13</f>
        <v>Prisoners_females</v>
      </c>
      <c r="C55" t="s">
        <v>53</v>
      </c>
      <c r="D55" s="3"/>
      <c r="E55" s="3"/>
      <c r="F55" s="4" t="s">
        <v>37</v>
      </c>
      <c r="G55" s="3">
        <v>0.01289945620318304</v>
      </c>
      <c r="H55" s="3">
        <v>0.0131182156128183</v>
      </c>
      <c r="I55" s="3">
        <v>0.01323312352467299</v>
      </c>
      <c r="J55" s="3">
        <v>0.01331552311221183</v>
      </c>
      <c r="K55" s="3">
        <v>0.01321478618735366</v>
      </c>
      <c r="L55" s="3">
        <v>0.01295729045535578</v>
      </c>
      <c r="M55" s="3">
        <v>0.01270647390438239</v>
      </c>
      <c r="N55" s="3">
        <v>0.01230120336258566</v>
      </c>
      <c r="O55" s="3">
        <v>0.01214177662425634</v>
      </c>
      <c r="P55" s="3">
        <v>0.03628685859107332</v>
      </c>
      <c r="Q55" s="3">
        <v>0.01214612518896883</v>
      </c>
      <c r="R55" s="3">
        <v>0.01101656832683168</v>
      </c>
      <c r="S55" s="3">
        <v>0.01064249980444965</v>
      </c>
      <c r="T55" s="3">
        <v>0.01070503720869362</v>
      </c>
      <c r="U55" s="3">
        <v>0.01368663336759314</v>
      </c>
      <c r="V55" s="3">
        <v>0.009593918940166457</v>
      </c>
      <c r="W55" s="3">
        <v>0.009565009258254757</v>
      </c>
      <c r="X55" s="3">
        <v>0.01099302744921799</v>
      </c>
      <c r="Y55" s="3">
        <v>0.008840905522587967</v>
      </c>
      <c r="Z55" s="3">
        <v>0.01660108295792606</v>
      </c>
      <c r="AA55" s="3">
        <v>0.009228377860104589</v>
      </c>
      <c r="AB55" s="3">
        <v>0.0132262326959724</v>
      </c>
      <c r="AC55" s="3">
        <v>0.02685951715797048</v>
      </c>
      <c r="AD55" s="3">
        <v>0.006929372795563022</v>
      </c>
      <c r="AE55" s="3">
        <v>0.00194495193976913</v>
      </c>
      <c r="AF55" s="3">
        <v>0.001947493555374755</v>
      </c>
      <c r="AG55" s="3">
        <v>0.001902536896130798</v>
      </c>
      <c r="AH55" s="3">
        <v>0.001915041283852953</v>
      </c>
      <c r="AI55" s="3">
        <v>0.001889033978264471</v>
      </c>
      <c r="AJ55" s="3">
        <v>0.001854197080252816</v>
      </c>
      <c r="AK55" s="3">
        <v>0.001824640599300638</v>
      </c>
      <c r="AL55" s="3">
        <v>0.001796319200863493</v>
      </c>
      <c r="AM55" s="3">
        <v>0.001774119647542594</v>
      </c>
      <c r="AN55" s="3">
        <v>0.001744025411096245</v>
      </c>
      <c r="AO55" s="3">
        <v>0.001701343466021907</v>
      </c>
      <c r="AP55" s="3">
        <v>0.001656120392269981</v>
      </c>
      <c r="AQ55" s="3">
        <v>0.001610443330288481</v>
      </c>
      <c r="AR55" s="3">
        <v>0.001571553185657494</v>
      </c>
      <c r="AS55" s="3">
        <v>0.001534615779879582</v>
      </c>
      <c r="AT55" s="3">
        <v>0.001505746072966278</v>
      </c>
      <c r="AU55" s="3">
        <v>0.001487542272124163</v>
      </c>
      <c r="AV55" s="3">
        <v>0.0014767004230323</v>
      </c>
      <c r="AW55" s="3">
        <v>0.001473040101424582</v>
      </c>
      <c r="AX55" s="3">
        <v>0.001477416634323252</v>
      </c>
      <c r="AY55" s="3">
        <v>0.001479797186103017</v>
      </c>
      <c r="AZ55" s="3">
        <v>0.001480070162730092</v>
      </c>
      <c r="BA55" s="3">
        <v>0.001478231980895502</v>
      </c>
      <c r="BB55" s="3">
        <v>0.001471066665230852</v>
      </c>
      <c r="BC55" s="3">
        <v>0.001467757849550138</v>
      </c>
      <c r="BD55" s="3">
        <v>0.001468766749694105</v>
      </c>
      <c r="BE55" s="3">
        <v>0.001465214150101812</v>
      </c>
    </row>
  </sheetData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dataValidations count="48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 (per year)"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7"/>
  <sheetViews>
    <sheetView workbookViewId="0"/>
  </sheetViews>
  <sheetFormatPr defaultRowHeight="15"/>
  <cols>
    <col min="1" max="1" width="45.7109375" customWidth="1"/>
    <col min="2" max="2" width="12.710937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0.1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0.1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0.1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0.1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57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2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"Probability (per year)"</formula1>
    </dataValidation>
    <dataValidation type="list" allowBlank="1" showInputMessage="1" showErrorMessage="1" sqref="C17">
      <formula1>"Probability (per year)"</formula1>
    </dataValidation>
    <dataValidation type="list" allowBlank="1" showInputMessage="1" showErrorMessage="1" sqref="C18">
      <formula1>"Probability (per year)"</formula1>
    </dataValidation>
    <dataValidation type="list" allowBlank="1" showInputMessage="1" showErrorMessage="1" sqref="C19">
      <formula1>"Probability (per year)"</formula1>
    </dataValidation>
    <dataValidation type="list" allowBlank="1" showInputMessage="1" showErrorMessage="1" sqref="C20">
      <formula1>"Probability (per year)"</formula1>
    </dataValidation>
    <dataValidation type="list" allowBlank="1" showInputMessage="1" showErrorMessage="1" sqref="C21">
      <formula1>"Probability (per year)"</formula1>
    </dataValidation>
    <dataValidation type="list" allowBlank="1" showInputMessage="1" showErrorMessage="1" sqref="C22">
      <formula1>"Probability (per year)"</formula1>
    </dataValidation>
    <dataValidation type="list" allowBlank="1" showInputMessage="1" showErrorMessage="1" sqref="C23">
      <formula1>"Probability (per year)"</formula1>
    </dataValidation>
    <dataValidation type="list" allowBlank="1" showInputMessage="1" showErrorMessage="1" sqref="C24">
      <formula1>"Probability (per year)"</formula1>
    </dataValidation>
    <dataValidation type="list" allowBlank="1" showInputMessage="1" showErrorMessage="1" sqref="C25">
      <formula1>"Probability (per year)"</formula1>
    </dataValidation>
    <dataValidation type="list" allowBlank="1" showInputMessage="1" showErrorMessage="1" sqref="C26">
      <formula1>"Probability (per year)"</formula1>
    </dataValidation>
    <dataValidation type="list" allowBlank="1" showInputMessage="1" showErrorMessage="1" sqref="C27">
      <formula1>"Probability (per year)"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1"/>
  <sheetViews>
    <sheetView workbookViewId="0"/>
  </sheetViews>
  <sheetFormatPr defaultRowHeight="15"/>
  <cols>
    <col min="1" max="1" width="67.7109375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48</v>
      </c>
      <c r="D2" s="3">
        <v>0.02806122448979592</v>
      </c>
      <c r="E2" s="3">
        <v>0.1988950276243094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48</v>
      </c>
      <c r="D3" s="3">
        <v>0.03316326530612245</v>
      </c>
      <c r="E3" s="3">
        <v>0.4210526315789473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48</v>
      </c>
      <c r="D4" s="3">
        <v>0.02806122448979592</v>
      </c>
      <c r="E4" s="3">
        <v>0.1988950276243094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48</v>
      </c>
      <c r="D5" s="3">
        <v>0.03316326530612245</v>
      </c>
      <c r="E5" s="3">
        <v>0.4210526315789473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48</v>
      </c>
      <c r="D6" s="3">
        <v>0.02806122448979592</v>
      </c>
      <c r="E6" s="3">
        <v>0.1988950276243094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48</v>
      </c>
      <c r="D7" s="3">
        <v>0.03316326530612245</v>
      </c>
      <c r="E7" s="3">
        <v>0.4210526315789473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48</v>
      </c>
      <c r="D8" s="3">
        <v>0.02806122448979592</v>
      </c>
      <c r="E8" s="3">
        <v>0.1988950276243094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48</v>
      </c>
      <c r="D9" s="3">
        <v>0.03316326530612245</v>
      </c>
      <c r="E9" s="3">
        <v>0.4210526315789473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48</v>
      </c>
      <c r="D10" s="3">
        <v>0.02806122448979592</v>
      </c>
      <c r="E10" s="3">
        <v>0.1988950276243094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48</v>
      </c>
      <c r="D11" s="3">
        <v>0.03316326530612245</v>
      </c>
      <c r="E11" s="3">
        <v>0.4210526315789473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48</v>
      </c>
      <c r="D12" s="3">
        <v>0.02806122448979592</v>
      </c>
      <c r="E12" s="3">
        <v>0.1988950276243094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48</v>
      </c>
      <c r="D13" s="3">
        <v>0.03316326530612245</v>
      </c>
      <c r="E13" s="3">
        <v>0.4210526315789473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60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63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>
        <v>0.09438775510204081</v>
      </c>
      <c r="E30" s="3">
        <v>0.39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>
        <v>0.09438775510204081</v>
      </c>
      <c r="E31" s="3">
        <v>0.39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>
        <v>0.09438775510204081</v>
      </c>
      <c r="E32" s="3">
        <v>0.39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>
        <v>0.09438775510204081</v>
      </c>
      <c r="E33" s="3">
        <v>0.39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>
        <v>0.09438775510204081</v>
      </c>
      <c r="E34" s="3">
        <v>0.39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>
        <v>0.09438775510204081</v>
      </c>
      <c r="E35" s="3">
        <v>0.39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>
        <v>0.09438775510204081</v>
      </c>
      <c r="E36" s="3">
        <v>0.39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>
        <v>0.09438775510204081</v>
      </c>
      <c r="E37" s="3">
        <v>0.39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>
        <v>0.09438775510204081</v>
      </c>
      <c r="E38" s="3">
        <v>0.39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>
        <v>0.09438775510204081</v>
      </c>
      <c r="E39" s="3">
        <v>0.39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>
        <v>0.09438775510204081</v>
      </c>
      <c r="E40" s="3">
        <v>0.39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>
        <v>0.09438775510204081</v>
      </c>
      <c r="E41" s="3">
        <v>0.39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64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>
        <v>0.03061224489795919</v>
      </c>
      <c r="E44" s="3">
        <v>0.13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>
        <v>0.03061224489795919</v>
      </c>
      <c r="E45" s="3">
        <v>0.13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>
        <v>0.03061224489795919</v>
      </c>
      <c r="E46" s="3">
        <v>0.13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>
        <v>0.03061224489795919</v>
      </c>
      <c r="E47" s="3">
        <v>0.13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>
        <v>0.03061224489795919</v>
      </c>
      <c r="E48" s="3">
        <v>0.13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>
        <v>0.03061224489795919</v>
      </c>
      <c r="E49" s="3">
        <v>0.13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>
        <v>0.03061224489795919</v>
      </c>
      <c r="E50" s="3">
        <v>0.13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>
        <v>0.03061224489795919</v>
      </c>
      <c r="E51" s="3">
        <v>0.13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>
        <v>0.03061224489795919</v>
      </c>
      <c r="E52" s="3">
        <v>0.13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>
        <v>0.03061224489795919</v>
      </c>
      <c r="E53" s="3">
        <v>0.13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>
        <v>0.03061224489795919</v>
      </c>
      <c r="E54" s="3">
        <v>0.13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>
        <v>0.03061224489795919</v>
      </c>
      <c r="E55" s="3">
        <v>0.13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65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53</v>
      </c>
      <c r="D58" s="3">
        <v>0.01530612244897959</v>
      </c>
      <c r="E58" s="3">
        <v>0.05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53</v>
      </c>
      <c r="D59" s="3">
        <v>0.01530612244897959</v>
      </c>
      <c r="E59" s="3">
        <v>0.05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53</v>
      </c>
      <c r="D60" s="3">
        <v>0.01530612244897959</v>
      </c>
      <c r="E60" s="3">
        <v>0.05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53</v>
      </c>
      <c r="D61" s="3">
        <v>0.01530612244897959</v>
      </c>
      <c r="E61" s="3">
        <v>0.05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53</v>
      </c>
      <c r="D62" s="3">
        <v>0.01530612244897959</v>
      </c>
      <c r="E62" s="3">
        <v>0.05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53</v>
      </c>
      <c r="D63" s="3">
        <v>0.01530612244897959</v>
      </c>
      <c r="E63" s="3">
        <v>0.05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53</v>
      </c>
      <c r="D64" s="3">
        <v>0.01530612244897959</v>
      </c>
      <c r="E64" s="3">
        <v>0.05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53</v>
      </c>
      <c r="D65" s="3">
        <v>0.01530612244897959</v>
      </c>
      <c r="E65" s="3">
        <v>0.05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53</v>
      </c>
      <c r="D66" s="3">
        <v>0.01530612244897959</v>
      </c>
      <c r="E66" s="3">
        <v>0.05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53</v>
      </c>
      <c r="D67" s="3">
        <v>0.01530612244897959</v>
      </c>
      <c r="E67" s="3">
        <v>0.05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53</v>
      </c>
      <c r="D68" s="3">
        <v>0.01530612244897959</v>
      </c>
      <c r="E68" s="3">
        <v>0.05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53</v>
      </c>
      <c r="D69" s="3">
        <v>0.01530612244897959</v>
      </c>
      <c r="E69" s="3">
        <v>0.05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66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53</v>
      </c>
      <c r="D72" s="3">
        <v>0.05102040816326531</v>
      </c>
      <c r="E72" s="3">
        <v>0.12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53</v>
      </c>
      <c r="D73" s="3">
        <v>0.05102040816326531</v>
      </c>
      <c r="E73" s="3">
        <v>0.12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53</v>
      </c>
      <c r="D74" s="3">
        <v>0.05102040816326531</v>
      </c>
      <c r="E74" s="3">
        <v>0.12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53</v>
      </c>
      <c r="D75" s="3">
        <v>0.05102040816326531</v>
      </c>
      <c r="E75" s="3">
        <v>0.12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53</v>
      </c>
      <c r="D76" s="3">
        <v>0.05102040816326531</v>
      </c>
      <c r="E76" s="3">
        <v>0.12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53</v>
      </c>
      <c r="D77" s="3">
        <v>0.05102040816326531</v>
      </c>
      <c r="E77" s="3">
        <v>0.12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53</v>
      </c>
      <c r="D78" s="3">
        <v>0.05102040816326531</v>
      </c>
      <c r="E78" s="3">
        <v>0.12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53</v>
      </c>
      <c r="D79" s="3">
        <v>0.05102040816326531</v>
      </c>
      <c r="E79" s="3">
        <v>0.12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53</v>
      </c>
      <c r="D80" s="3">
        <v>0.05102040816326531</v>
      </c>
      <c r="E80" s="3">
        <v>0.12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53</v>
      </c>
      <c r="D81" s="3">
        <v>0.05102040816326531</v>
      </c>
      <c r="E81" s="3">
        <v>0.12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53</v>
      </c>
      <c r="D82" s="3">
        <v>0.05102040816326531</v>
      </c>
      <c r="E82" s="3">
        <v>0.12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53</v>
      </c>
      <c r="D83" s="3">
        <v>0.05102040816326531</v>
      </c>
      <c r="E83" s="3">
        <v>0.12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67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53</v>
      </c>
      <c r="D86" s="3">
        <v>0.003571428571428571</v>
      </c>
      <c r="E86" s="3">
        <v>0.055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53</v>
      </c>
      <c r="D87" s="3">
        <v>0.003571428571428571</v>
      </c>
      <c r="E87" s="3">
        <v>0.055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53</v>
      </c>
      <c r="D88" s="3">
        <v>0.003571428571428571</v>
      </c>
      <c r="E88" s="3">
        <v>0.055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53</v>
      </c>
      <c r="D89" s="3">
        <v>0.003571428571428571</v>
      </c>
      <c r="E89" s="3">
        <v>0.055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53</v>
      </c>
      <c r="D90" s="3">
        <v>0.003571428571428571</v>
      </c>
      <c r="E90" s="3">
        <v>0.055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53</v>
      </c>
      <c r="D91" s="3">
        <v>0.003571428571428571</v>
      </c>
      <c r="E91" s="3">
        <v>0.055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53</v>
      </c>
      <c r="D92" s="3">
        <v>0.003571428571428571</v>
      </c>
      <c r="E92" s="3">
        <v>0.055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53</v>
      </c>
      <c r="D93" s="3">
        <v>0.003571428571428571</v>
      </c>
      <c r="E93" s="3">
        <v>0.055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53</v>
      </c>
      <c r="D94" s="3">
        <v>0.003571428571428571</v>
      </c>
      <c r="E94" s="3">
        <v>0.055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53</v>
      </c>
      <c r="D95" s="3">
        <v>0.003571428571428571</v>
      </c>
      <c r="E95" s="3">
        <v>0.055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53</v>
      </c>
      <c r="D96" s="3">
        <v>0.003571428571428571</v>
      </c>
      <c r="E96" s="3">
        <v>0.055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53</v>
      </c>
      <c r="D97" s="3">
        <v>0.003571428571428571</v>
      </c>
      <c r="E97" s="3">
        <v>0.055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68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C100" t="s">
        <v>53</v>
      </c>
      <c r="D100" s="3"/>
      <c r="E100" s="3">
        <v>0.015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C101" t="s">
        <v>53</v>
      </c>
      <c r="D101" s="3"/>
      <c r="E101" s="3">
        <v>0.015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C102" t="s">
        <v>53</v>
      </c>
      <c r="D102" s="3"/>
      <c r="E102" s="3">
        <v>0.015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C103" t="s">
        <v>53</v>
      </c>
      <c r="D103" s="3"/>
      <c r="E103" s="3">
        <v>0.015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C104" t="s">
        <v>53</v>
      </c>
      <c r="D104" s="3"/>
      <c r="E104" s="3">
        <v>0.015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C105" t="s">
        <v>53</v>
      </c>
      <c r="D105" s="3"/>
      <c r="E105" s="3">
        <v>0.015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C106" t="s">
        <v>53</v>
      </c>
      <c r="D106" s="3"/>
      <c r="E106" s="3">
        <v>0.015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C107" t="s">
        <v>53</v>
      </c>
      <c r="D107" s="3"/>
      <c r="E107" s="3">
        <v>0.015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C108" t="s">
        <v>53</v>
      </c>
      <c r="D108" s="3"/>
      <c r="E108" s="3">
        <v>0.015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C109" t="s">
        <v>53</v>
      </c>
      <c r="D109" s="3"/>
      <c r="E109" s="3">
        <v>0.015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C110" t="s">
        <v>53</v>
      </c>
      <c r="D110" s="3"/>
      <c r="E110" s="3">
        <v>0.015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C111" t="s">
        <v>53</v>
      </c>
      <c r="D111" s="3"/>
      <c r="E111" s="3">
        <v>0.015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69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53</v>
      </c>
      <c r="D114" s="3"/>
      <c r="E114" s="3">
        <v>0.02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53</v>
      </c>
      <c r="D115" s="3"/>
      <c r="E115" s="3">
        <v>0.02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53</v>
      </c>
      <c r="D116" s="3"/>
      <c r="E116" s="3">
        <v>0.02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53</v>
      </c>
      <c r="D117" s="3"/>
      <c r="E117" s="3">
        <v>0.02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53</v>
      </c>
      <c r="D118" s="3"/>
      <c r="E118" s="3">
        <v>0.02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53</v>
      </c>
      <c r="D119" s="3"/>
      <c r="E119" s="3">
        <v>0.02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53</v>
      </c>
      <c r="D120" s="3"/>
      <c r="E120" s="3">
        <v>0.02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53</v>
      </c>
      <c r="D121" s="3"/>
      <c r="E121" s="3">
        <v>0.02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53</v>
      </c>
      <c r="D122" s="3"/>
      <c r="E122" s="3">
        <v>0.02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53</v>
      </c>
      <c r="D123" s="3"/>
      <c r="E123" s="3">
        <v>0.02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53</v>
      </c>
      <c r="D124" s="3"/>
      <c r="E124" s="3">
        <v>0.02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53</v>
      </c>
      <c r="D125" s="3"/>
      <c r="E125" s="3">
        <v>0.02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70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53</v>
      </c>
      <c r="D128" s="3">
        <v>0.02551020408163265</v>
      </c>
      <c r="E128" s="3">
        <v>0.183258146374831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53</v>
      </c>
      <c r="D129" s="3">
        <v>0.02551020408163265</v>
      </c>
      <c r="E129" s="3">
        <v>0.183258146374831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53</v>
      </c>
      <c r="D130" s="3">
        <v>0.02551020408163265</v>
      </c>
      <c r="E130" s="3">
        <v>0.183258146374831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53</v>
      </c>
      <c r="D131" s="3">
        <v>0.02551020408163265</v>
      </c>
      <c r="E131" s="3">
        <v>0.183258146374831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53</v>
      </c>
      <c r="D132" s="3">
        <v>0.02551020408163265</v>
      </c>
      <c r="E132" s="3">
        <v>0.183258146374831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53</v>
      </c>
      <c r="D133" s="3">
        <v>0.02551020408163265</v>
      </c>
      <c r="E133" s="3">
        <v>0.183258146374831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53</v>
      </c>
      <c r="D134" s="3">
        <v>0.02551020408163265</v>
      </c>
      <c r="E134" s="3">
        <v>0.183258146374831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53</v>
      </c>
      <c r="D135" s="3">
        <v>0.02551020408163265</v>
      </c>
      <c r="E135" s="3">
        <v>0.183258146374831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53</v>
      </c>
      <c r="D136" s="3">
        <v>0.02551020408163265</v>
      </c>
      <c r="E136" s="3">
        <v>0.183258146374831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53</v>
      </c>
      <c r="D137" s="3">
        <v>0.02551020408163265</v>
      </c>
      <c r="E137" s="3">
        <v>0.183258146374831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53</v>
      </c>
      <c r="D138" s="3">
        <v>0.02551020408163265</v>
      </c>
      <c r="E138" s="3">
        <v>0.183258146374831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53</v>
      </c>
      <c r="D139" s="3">
        <v>0.02551020408163265</v>
      </c>
      <c r="E139" s="3">
        <v>0.183258146374831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71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53</v>
      </c>
      <c r="D142" s="3"/>
      <c r="E142" s="3">
        <v>0.04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53</v>
      </c>
      <c r="D143" s="3"/>
      <c r="E143" s="3">
        <v>0.04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53</v>
      </c>
      <c r="D144" s="3"/>
      <c r="E144" s="3">
        <v>0.04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53</v>
      </c>
      <c r="D145" s="3"/>
      <c r="E145" s="3">
        <v>0.04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53</v>
      </c>
      <c r="D146" s="3"/>
      <c r="E146" s="3">
        <v>0.04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53</v>
      </c>
      <c r="D147" s="3"/>
      <c r="E147" s="3">
        <v>0.04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53</v>
      </c>
      <c r="D148" s="3"/>
      <c r="E148" s="3">
        <v>0.04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53</v>
      </c>
      <c r="D149" s="3"/>
      <c r="E149" s="3">
        <v>0.04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53</v>
      </c>
      <c r="D150" s="3"/>
      <c r="E150" s="3">
        <v>0.04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53</v>
      </c>
      <c r="D151" s="3"/>
      <c r="E151" s="3">
        <v>0.04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53</v>
      </c>
      <c r="D152" s="3"/>
      <c r="E152" s="3">
        <v>0.04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53</v>
      </c>
      <c r="D153" s="3"/>
      <c r="E153" s="3">
        <v>0.04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72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53</v>
      </c>
      <c r="D156" s="3"/>
      <c r="E156" s="3">
        <v>0.026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53</v>
      </c>
      <c r="D157" s="3"/>
      <c r="E157" s="3">
        <v>0.026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53</v>
      </c>
      <c r="D158" s="3"/>
      <c r="E158" s="3">
        <v>0.026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53</v>
      </c>
      <c r="D159" s="3"/>
      <c r="E159" s="3">
        <v>0.026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53</v>
      </c>
      <c r="D160" s="3"/>
      <c r="E160" s="3">
        <v>0.026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53</v>
      </c>
      <c r="D161" s="3"/>
      <c r="E161" s="3">
        <v>0.026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53</v>
      </c>
      <c r="D162" s="3"/>
      <c r="E162" s="3">
        <v>0.026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53</v>
      </c>
      <c r="D163" s="3"/>
      <c r="E163" s="3">
        <v>0.026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53</v>
      </c>
      <c r="D164" s="3"/>
      <c r="E164" s="3">
        <v>0.026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53</v>
      </c>
      <c r="D165" s="3"/>
      <c r="E165" s="3">
        <v>0.026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53</v>
      </c>
      <c r="D166" s="3"/>
      <c r="E166" s="3">
        <v>0.026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53</v>
      </c>
      <c r="D167" s="3"/>
      <c r="E167" s="3">
        <v>0.026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73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53</v>
      </c>
      <c r="D170" s="3"/>
      <c r="E170" s="3">
        <v>0.06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53</v>
      </c>
      <c r="D171" s="3"/>
      <c r="E171" s="3">
        <v>0.06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53</v>
      </c>
      <c r="D172" s="3"/>
      <c r="E172" s="3">
        <v>0.06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53</v>
      </c>
      <c r="D173" s="3"/>
      <c r="E173" s="3">
        <v>0.06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53</v>
      </c>
      <c r="D174" s="3"/>
      <c r="E174" s="3">
        <v>0.06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53</v>
      </c>
      <c r="D175" s="3"/>
      <c r="E175" s="3">
        <v>0.06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53</v>
      </c>
      <c r="D176" s="3"/>
      <c r="E176" s="3">
        <v>0.06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53</v>
      </c>
      <c r="D177" s="3"/>
      <c r="E177" s="3">
        <v>0.06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53</v>
      </c>
      <c r="D178" s="3"/>
      <c r="E178" s="3">
        <v>0.06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53</v>
      </c>
      <c r="D179" s="3"/>
      <c r="E179" s="3">
        <v>0.06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53</v>
      </c>
      <c r="D180" s="3"/>
      <c r="E180" s="3">
        <v>0.06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53</v>
      </c>
      <c r="D181" s="3"/>
      <c r="E181" s="3">
        <v>0.06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74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C184" t="s">
        <v>53</v>
      </c>
      <c r="D184" s="3"/>
      <c r="E184" s="3">
        <v>0.07000000000000001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C185" t="s">
        <v>53</v>
      </c>
      <c r="D185" s="3"/>
      <c r="E185" s="3">
        <v>0.07000000000000001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C186" t="s">
        <v>53</v>
      </c>
      <c r="D186" s="3"/>
      <c r="E186" s="3">
        <v>0.07000000000000001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C187" t="s">
        <v>53</v>
      </c>
      <c r="D187" s="3"/>
      <c r="E187" s="3">
        <v>0.07000000000000001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C188" t="s">
        <v>53</v>
      </c>
      <c r="D188" s="3"/>
      <c r="E188" s="3">
        <v>0.07000000000000001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C189" t="s">
        <v>53</v>
      </c>
      <c r="D189" s="3"/>
      <c r="E189" s="3">
        <v>0.07000000000000001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C190" t="s">
        <v>53</v>
      </c>
      <c r="D190" s="3"/>
      <c r="E190" s="3">
        <v>0.07000000000000001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C191" t="s">
        <v>53</v>
      </c>
      <c r="D191" s="3"/>
      <c r="E191" s="3">
        <v>0.07000000000000001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C192" t="s">
        <v>53</v>
      </c>
      <c r="D192" s="3"/>
      <c r="E192" s="3">
        <v>0.07000000000000001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C193" t="s">
        <v>53</v>
      </c>
      <c r="D193" s="3"/>
      <c r="E193" s="3">
        <v>0.07000000000000001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C194" t="s">
        <v>53</v>
      </c>
      <c r="D194" s="3"/>
      <c r="E194" s="3">
        <v>0.07000000000000001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C195" t="s">
        <v>53</v>
      </c>
      <c r="D195" s="3"/>
      <c r="E195" s="3">
        <v>0.07000000000000001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75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C198" t="s">
        <v>53</v>
      </c>
      <c r="D198" s="3"/>
      <c r="E198" s="3">
        <v>0.05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C199" t="s">
        <v>53</v>
      </c>
      <c r="D199" s="3"/>
      <c r="E199" s="3">
        <v>0.05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C200" t="s">
        <v>53</v>
      </c>
      <c r="D200" s="3"/>
      <c r="E200" s="3">
        <v>0.05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C201" t="s">
        <v>53</v>
      </c>
      <c r="D201" s="3"/>
      <c r="E201" s="3">
        <v>0.05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C202" t="s">
        <v>53</v>
      </c>
      <c r="D202" s="3"/>
      <c r="E202" s="3">
        <v>0.05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C203" t="s">
        <v>53</v>
      </c>
      <c r="D203" s="3"/>
      <c r="E203" s="3">
        <v>0.05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C204" t="s">
        <v>53</v>
      </c>
      <c r="D204" s="3"/>
      <c r="E204" s="3">
        <v>0.05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C205" t="s">
        <v>53</v>
      </c>
      <c r="D205" s="3"/>
      <c r="E205" s="3">
        <v>0.05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C206" t="s">
        <v>53</v>
      </c>
      <c r="D206" s="3"/>
      <c r="E206" s="3">
        <v>0.05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C207" t="s">
        <v>53</v>
      </c>
      <c r="D207" s="3"/>
      <c r="E207" s="3">
        <v>0.05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C208" t="s">
        <v>53</v>
      </c>
      <c r="D208" s="3"/>
      <c r="E208" s="3">
        <v>0.05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C209" t="s">
        <v>53</v>
      </c>
      <c r="D209" s="3"/>
      <c r="E209" s="3">
        <v>0.05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76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53</v>
      </c>
      <c r="D212" s="3"/>
      <c r="E212" s="3">
        <v>0.03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53</v>
      </c>
      <c r="D213" s="3"/>
      <c r="E213" s="3">
        <v>0.03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53</v>
      </c>
      <c r="D214" s="3"/>
      <c r="E214" s="3">
        <v>0.03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53</v>
      </c>
      <c r="D215" s="3"/>
      <c r="E215" s="3">
        <v>0.03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53</v>
      </c>
      <c r="D216" s="3"/>
      <c r="E216" s="3">
        <v>0.03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53</v>
      </c>
      <c r="D217" s="3"/>
      <c r="E217" s="3">
        <v>0.03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53</v>
      </c>
      <c r="D218" s="3"/>
      <c r="E218" s="3">
        <v>0.03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53</v>
      </c>
      <c r="D219" s="3"/>
      <c r="E219" s="3">
        <v>0.03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53</v>
      </c>
      <c r="D220" s="3"/>
      <c r="E220" s="3">
        <v>0.03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53</v>
      </c>
      <c r="D221" s="3"/>
      <c r="E221" s="3">
        <v>0.03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53</v>
      </c>
      <c r="D222" s="3"/>
      <c r="E222" s="3">
        <v>0.03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53</v>
      </c>
      <c r="D223" s="3"/>
      <c r="E223" s="3">
        <v>0.03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77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C226" t="s">
        <v>56</v>
      </c>
      <c r="D226" s="3"/>
      <c r="E226" s="3">
        <v>0.5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C227" t="s">
        <v>56</v>
      </c>
      <c r="D227" s="3"/>
      <c r="E227" s="3">
        <v>0.5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C228" t="s">
        <v>56</v>
      </c>
      <c r="D228" s="3"/>
      <c r="E228" s="3">
        <v>0.5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C229" t="s">
        <v>56</v>
      </c>
      <c r="D229" s="3"/>
      <c r="E229" s="3">
        <v>0.5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C230" t="s">
        <v>56</v>
      </c>
      <c r="D230" s="3"/>
      <c r="E230" s="3">
        <v>0.5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C231" t="s">
        <v>56</v>
      </c>
      <c r="D231" s="3"/>
      <c r="E231" s="3">
        <v>0.5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C232" t="s">
        <v>56</v>
      </c>
      <c r="D232" s="3"/>
      <c r="E232" s="3">
        <v>0.5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C233" t="s">
        <v>56</v>
      </c>
      <c r="D233" s="3"/>
      <c r="E233" s="3">
        <v>0.5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C234" t="s">
        <v>56</v>
      </c>
      <c r="D234" s="3"/>
      <c r="E234" s="3">
        <v>0.5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C235" t="s">
        <v>56</v>
      </c>
      <c r="D235" s="3"/>
      <c r="E235" s="3">
        <v>0.5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C236" t="s">
        <v>56</v>
      </c>
      <c r="D236" s="3"/>
      <c r="E236" s="3">
        <v>0.5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C237" t="s">
        <v>56</v>
      </c>
      <c r="D237" s="3"/>
      <c r="E237" s="3">
        <v>0.5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78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C240" t="s">
        <v>56</v>
      </c>
      <c r="D240" s="3"/>
      <c r="E240" s="3">
        <v>0.5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C241" t="s">
        <v>56</v>
      </c>
      <c r="D241" s="3"/>
      <c r="E241" s="3">
        <v>0.5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C242" t="s">
        <v>56</v>
      </c>
      <c r="D242" s="3"/>
      <c r="E242" s="3">
        <v>0.5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C243" t="s">
        <v>56</v>
      </c>
      <c r="D243" s="3"/>
      <c r="E243" s="3">
        <v>0.5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C244" t="s">
        <v>56</v>
      </c>
      <c r="D244" s="3"/>
      <c r="E244" s="3">
        <v>0.5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C245" t="s">
        <v>56</v>
      </c>
      <c r="D245" s="3"/>
      <c r="E245" s="3">
        <v>0.5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C246" t="s">
        <v>56</v>
      </c>
      <c r="D246" s="3"/>
      <c r="E246" s="3">
        <v>0.5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C247" t="s">
        <v>56</v>
      </c>
      <c r="D247" s="3"/>
      <c r="E247" s="3">
        <v>0.5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C248" t="s">
        <v>56</v>
      </c>
      <c r="D248" s="3"/>
      <c r="E248" s="3">
        <v>0.5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C249" t="s">
        <v>56</v>
      </c>
      <c r="D249" s="3"/>
      <c r="E249" s="3">
        <v>0.5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C250" t="s">
        <v>56</v>
      </c>
      <c r="D250" s="3"/>
      <c r="E250" s="3">
        <v>0.5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C251" t="s">
        <v>56</v>
      </c>
      <c r="D251" s="3"/>
      <c r="E251" s="3">
        <v>0.5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14">
    <cfRule type="expression" dxfId="0" priority="193">
      <formula>COUNTIF(G114:BE114,"&lt;&gt;" &amp; "")&gt;0</formula>
    </cfRule>
    <cfRule type="expression" dxfId="1" priority="194">
      <formula>AND(COUNTIF(G114:BE114,"&lt;&gt;" &amp; "")&gt;0,NOT(ISBLANK(E114)))</formula>
    </cfRule>
  </conditionalFormatting>
  <conditionalFormatting sqref="E115">
    <cfRule type="expression" dxfId="0" priority="195">
      <formula>COUNTIF(G115:BE115,"&lt;&gt;" &amp; "")&gt;0</formula>
    </cfRule>
    <cfRule type="expression" dxfId="1" priority="196">
      <formula>AND(COUNTIF(G115:BE115,"&lt;&gt;" &amp; "")&gt;0,NOT(ISBLANK(E115)))</formula>
    </cfRule>
  </conditionalFormatting>
  <conditionalFormatting sqref="E116">
    <cfRule type="expression" dxfId="0" priority="197">
      <formula>COUNTIF(G116:BE116,"&lt;&gt;" &amp; "")&gt;0</formula>
    </cfRule>
    <cfRule type="expression" dxfId="1" priority="198">
      <formula>AND(COUNTIF(G116:BE116,"&lt;&gt;" &amp; "")&gt;0,NOT(ISBLANK(E116)))</formula>
    </cfRule>
  </conditionalFormatting>
  <conditionalFormatting sqref="E117">
    <cfRule type="expression" dxfId="0" priority="199">
      <formula>COUNTIF(G117:BE117,"&lt;&gt;" &amp; "")&gt;0</formula>
    </cfRule>
    <cfRule type="expression" dxfId="1" priority="200">
      <formula>AND(COUNTIF(G117:BE117,"&lt;&gt;" &amp; "")&gt;0,NOT(ISBLANK(E117)))</formula>
    </cfRule>
  </conditionalFormatting>
  <conditionalFormatting sqref="E118">
    <cfRule type="expression" dxfId="0" priority="201">
      <formula>COUNTIF(G118:BE118,"&lt;&gt;" &amp; "")&gt;0</formula>
    </cfRule>
    <cfRule type="expression" dxfId="1" priority="202">
      <formula>AND(COUNTIF(G118:BE118,"&lt;&gt;" &amp; "")&gt;0,NOT(ISBLANK(E118)))</formula>
    </cfRule>
  </conditionalFormatting>
  <conditionalFormatting sqref="E119">
    <cfRule type="expression" dxfId="0" priority="203">
      <formula>COUNTIF(G119:BE119,"&lt;&gt;" &amp; "")&gt;0</formula>
    </cfRule>
    <cfRule type="expression" dxfId="1" priority="204">
      <formula>AND(COUNTIF(G119:BE119,"&lt;&gt;" &amp; "")&gt;0,NOT(ISBLANK(E119)))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20">
    <cfRule type="expression" dxfId="0" priority="205">
      <formula>COUNTIF(G120:BE120,"&lt;&gt;" &amp; "")&gt;0</formula>
    </cfRule>
    <cfRule type="expression" dxfId="1" priority="206">
      <formula>AND(COUNTIF(G120:BE120,"&lt;&gt;" &amp; "")&gt;0,NOT(ISBLANK(E120)))</formula>
    </cfRule>
  </conditionalFormatting>
  <conditionalFormatting sqref="E121">
    <cfRule type="expression" dxfId="0" priority="207">
      <formula>COUNTIF(G121:BE121,"&lt;&gt;" &amp; "")&gt;0</formula>
    </cfRule>
    <cfRule type="expression" dxfId="1" priority="208">
      <formula>AND(COUNTIF(G121:BE121,"&lt;&gt;" &amp; "")&gt;0,NOT(ISBLANK(E121)))</formula>
    </cfRule>
  </conditionalFormatting>
  <conditionalFormatting sqref="E122">
    <cfRule type="expression" dxfId="0" priority="209">
      <formula>COUNTIF(G122:BE122,"&lt;&gt;" &amp; "")&gt;0</formula>
    </cfRule>
    <cfRule type="expression" dxfId="1" priority="210">
      <formula>AND(COUNTIF(G122:BE122,"&lt;&gt;" &amp; "")&gt;0,NOT(ISBLANK(E122)))</formula>
    </cfRule>
  </conditionalFormatting>
  <conditionalFormatting sqref="E123">
    <cfRule type="expression" dxfId="0" priority="211">
      <formula>COUNTIF(G123:BE123,"&lt;&gt;" &amp; "")&gt;0</formula>
    </cfRule>
    <cfRule type="expression" dxfId="1" priority="212">
      <formula>AND(COUNTIF(G123:BE123,"&lt;&gt;" &amp; "")&gt;0,NOT(ISBLANK(E123)))</formula>
    </cfRule>
  </conditionalFormatting>
  <conditionalFormatting sqref="E124">
    <cfRule type="expression" dxfId="0" priority="213">
      <formula>COUNTIF(G124:BE124,"&lt;&gt;" &amp; "")&gt;0</formula>
    </cfRule>
    <cfRule type="expression" dxfId="1" priority="214">
      <formula>AND(COUNTIF(G124:BE124,"&lt;&gt;" &amp; "")&gt;0,NOT(ISBLANK(E124)))</formula>
    </cfRule>
  </conditionalFormatting>
  <conditionalFormatting sqref="E125">
    <cfRule type="expression" dxfId="0" priority="215">
      <formula>COUNTIF(G125:BE125,"&lt;&gt;" &amp; "")&gt;0</formula>
    </cfRule>
    <cfRule type="expression" dxfId="1" priority="216">
      <formula>AND(COUNTIF(G125:BE125,"&lt;&gt;" &amp; "")&gt;0,NOT(ISBLANK(E125)))</formula>
    </cfRule>
  </conditionalFormatting>
  <conditionalFormatting sqref="E128">
    <cfRule type="expression" dxfId="0" priority="217">
      <formula>COUNTIF(G128:BE128,"&lt;&gt;" &amp; "")&gt;0</formula>
    </cfRule>
    <cfRule type="expression" dxfId="1" priority="218">
      <formula>AND(COUNTIF(G128:BE128,"&lt;&gt;" &amp; "")&gt;0,NOT(ISBLANK(E128)))</formula>
    </cfRule>
  </conditionalFormatting>
  <conditionalFormatting sqref="E129">
    <cfRule type="expression" dxfId="0" priority="219">
      <formula>COUNTIF(G129:BE129,"&lt;&gt;" &amp; "")&gt;0</formula>
    </cfRule>
    <cfRule type="expression" dxfId="1" priority="220">
      <formula>AND(COUNTIF(G129:BE129,"&lt;&gt;" &amp; "")&gt;0,NOT(ISBLANK(E129)))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30">
    <cfRule type="expression" dxfId="0" priority="221">
      <formula>COUNTIF(G130:BE130,"&lt;&gt;" &amp; "")&gt;0</formula>
    </cfRule>
    <cfRule type="expression" dxfId="1" priority="222">
      <formula>AND(COUNTIF(G130:BE130,"&lt;&gt;" &amp; "")&gt;0,NOT(ISBLANK(E130)))</formula>
    </cfRule>
  </conditionalFormatting>
  <conditionalFormatting sqref="E131">
    <cfRule type="expression" dxfId="0" priority="223">
      <formula>COUNTIF(G131:BE131,"&lt;&gt;" &amp; "")&gt;0</formula>
    </cfRule>
    <cfRule type="expression" dxfId="1" priority="224">
      <formula>AND(COUNTIF(G131:BE131,"&lt;&gt;" &amp; "")&gt;0,NOT(ISBLANK(E131)))</formula>
    </cfRule>
  </conditionalFormatting>
  <conditionalFormatting sqref="E132">
    <cfRule type="expression" dxfId="0" priority="225">
      <formula>COUNTIF(G132:BE132,"&lt;&gt;" &amp; "")&gt;0</formula>
    </cfRule>
    <cfRule type="expression" dxfId="1" priority="226">
      <formula>AND(COUNTIF(G132:BE132,"&lt;&gt;" &amp; "")&gt;0,NOT(ISBLANK(E132)))</formula>
    </cfRule>
  </conditionalFormatting>
  <conditionalFormatting sqref="E133">
    <cfRule type="expression" dxfId="0" priority="227">
      <formula>COUNTIF(G133:BE133,"&lt;&gt;" &amp; "")&gt;0</formula>
    </cfRule>
    <cfRule type="expression" dxfId="1" priority="228">
      <formula>AND(COUNTIF(G133:BE133,"&lt;&gt;" &amp; "")&gt;0,NOT(ISBLANK(E133)))</formula>
    </cfRule>
  </conditionalFormatting>
  <conditionalFormatting sqref="E134">
    <cfRule type="expression" dxfId="0" priority="229">
      <formula>COUNTIF(G134:BE134,"&lt;&gt;" &amp; "")&gt;0</formula>
    </cfRule>
    <cfRule type="expression" dxfId="1" priority="230">
      <formula>AND(COUNTIF(G134:BE134,"&lt;&gt;" &amp; "")&gt;0,NOT(ISBLANK(E134)))</formula>
    </cfRule>
  </conditionalFormatting>
  <conditionalFormatting sqref="E135">
    <cfRule type="expression" dxfId="0" priority="231">
      <formula>COUNTIF(G135:BE135,"&lt;&gt;" &amp; "")&gt;0</formula>
    </cfRule>
    <cfRule type="expression" dxfId="1" priority="232">
      <formula>AND(COUNTIF(G135:BE135,"&lt;&gt;" &amp; "")&gt;0,NOT(ISBLANK(E135)))</formula>
    </cfRule>
  </conditionalFormatting>
  <conditionalFormatting sqref="E136">
    <cfRule type="expression" dxfId="0" priority="233">
      <formula>COUNTIF(G136:BE136,"&lt;&gt;" &amp; "")&gt;0</formula>
    </cfRule>
    <cfRule type="expression" dxfId="1" priority="234">
      <formula>AND(COUNTIF(G136:BE136,"&lt;&gt;" &amp; "")&gt;0,NOT(ISBLANK(E136)))</formula>
    </cfRule>
  </conditionalFormatting>
  <conditionalFormatting sqref="E137">
    <cfRule type="expression" dxfId="0" priority="235">
      <formula>COUNTIF(G137:BE137,"&lt;&gt;" &amp; "")&gt;0</formula>
    </cfRule>
    <cfRule type="expression" dxfId="1" priority="236">
      <formula>AND(COUNTIF(G137:BE137,"&lt;&gt;" &amp; "")&gt;0,NOT(ISBLANK(E137)))</formula>
    </cfRule>
  </conditionalFormatting>
  <conditionalFormatting sqref="E138">
    <cfRule type="expression" dxfId="0" priority="237">
      <formula>COUNTIF(G138:BE138,"&lt;&gt;" &amp; "")&gt;0</formula>
    </cfRule>
    <cfRule type="expression" dxfId="1" priority="238">
      <formula>AND(COUNTIF(G138:BE138,"&lt;&gt;" &amp; "")&gt;0,NOT(ISBLANK(E138)))</formula>
    </cfRule>
  </conditionalFormatting>
  <conditionalFormatting sqref="E139">
    <cfRule type="expression" dxfId="0" priority="239">
      <formula>COUNTIF(G139:BE139,"&lt;&gt;" &amp; "")&gt;0</formula>
    </cfRule>
    <cfRule type="expression" dxfId="1" priority="240">
      <formula>AND(COUNTIF(G139:BE139,"&lt;&gt;" &amp; "")&gt;0,NOT(ISBLANK(E139)))</formula>
    </cfRule>
  </conditionalFormatting>
  <conditionalFormatting sqref="E142">
    <cfRule type="expression" dxfId="0" priority="241">
      <formula>COUNTIF(G142:BE142,"&lt;&gt;" &amp; "")&gt;0</formula>
    </cfRule>
    <cfRule type="expression" dxfId="1" priority="242">
      <formula>AND(COUNTIF(G142:BE142,"&lt;&gt;" &amp; "")&gt;0,NOT(ISBLANK(E142)))</formula>
    </cfRule>
  </conditionalFormatting>
  <conditionalFormatting sqref="E143">
    <cfRule type="expression" dxfId="0" priority="243">
      <formula>COUNTIF(G143:BE143,"&lt;&gt;" &amp; "")&gt;0</formula>
    </cfRule>
    <cfRule type="expression" dxfId="1" priority="244">
      <formula>AND(COUNTIF(G143:BE143,"&lt;&gt;" &amp; "")&gt;0,NOT(ISBLANK(E143)))</formula>
    </cfRule>
  </conditionalFormatting>
  <conditionalFormatting sqref="E144">
    <cfRule type="expression" dxfId="0" priority="245">
      <formula>COUNTIF(G144:BE144,"&lt;&gt;" &amp; "")&gt;0</formula>
    </cfRule>
    <cfRule type="expression" dxfId="1" priority="246">
      <formula>AND(COUNTIF(G144:BE144,"&lt;&gt;" &amp; "")&gt;0,NOT(ISBLANK(E144)))</formula>
    </cfRule>
  </conditionalFormatting>
  <conditionalFormatting sqref="E145">
    <cfRule type="expression" dxfId="0" priority="247">
      <formula>COUNTIF(G145:BE145,"&lt;&gt;" &amp; "")&gt;0</formula>
    </cfRule>
    <cfRule type="expression" dxfId="1" priority="248">
      <formula>AND(COUNTIF(G145:BE145,"&lt;&gt;" &amp; "")&gt;0,NOT(ISBLANK(E145)))</formula>
    </cfRule>
  </conditionalFormatting>
  <conditionalFormatting sqref="E146">
    <cfRule type="expression" dxfId="0" priority="249">
      <formula>COUNTIF(G146:BE146,"&lt;&gt;" &amp; "")&gt;0</formula>
    </cfRule>
    <cfRule type="expression" dxfId="1" priority="250">
      <formula>AND(COUNTIF(G146:BE146,"&lt;&gt;" &amp; "")&gt;0,NOT(ISBLANK(E146)))</formula>
    </cfRule>
  </conditionalFormatting>
  <conditionalFormatting sqref="E147">
    <cfRule type="expression" dxfId="0" priority="251">
      <formula>COUNTIF(G147:BE147,"&lt;&gt;" &amp; "")&gt;0</formula>
    </cfRule>
    <cfRule type="expression" dxfId="1" priority="252">
      <formula>AND(COUNTIF(G147:BE147,"&lt;&gt;" &amp; "")&gt;0,NOT(ISBLANK(E147)))</formula>
    </cfRule>
  </conditionalFormatting>
  <conditionalFormatting sqref="E148">
    <cfRule type="expression" dxfId="0" priority="253">
      <formula>COUNTIF(G148:BE148,"&lt;&gt;" &amp; "")&gt;0</formula>
    </cfRule>
    <cfRule type="expression" dxfId="1" priority="254">
      <formula>AND(COUNTIF(G148:BE148,"&lt;&gt;" &amp; "")&gt;0,NOT(ISBLANK(E148)))</formula>
    </cfRule>
  </conditionalFormatting>
  <conditionalFormatting sqref="E149">
    <cfRule type="expression" dxfId="0" priority="255">
      <formula>COUNTIF(G149:BE149,"&lt;&gt;" &amp; "")&gt;0</formula>
    </cfRule>
    <cfRule type="expression" dxfId="1" priority="256">
      <formula>AND(COUNTIF(G149:BE149,"&lt;&gt;" &amp; "")&gt;0,NOT(ISBLANK(E149)))</formula>
    </cfRule>
  </conditionalFormatting>
  <conditionalFormatting sqref="E150">
    <cfRule type="expression" dxfId="0" priority="257">
      <formula>COUNTIF(G150:BE150,"&lt;&gt;" &amp; "")&gt;0</formula>
    </cfRule>
    <cfRule type="expression" dxfId="1" priority="258">
      <formula>AND(COUNTIF(G150:BE150,"&lt;&gt;" &amp; "")&gt;0,NOT(ISBLANK(E150)))</formula>
    </cfRule>
  </conditionalFormatting>
  <conditionalFormatting sqref="E151">
    <cfRule type="expression" dxfId="0" priority="259">
      <formula>COUNTIF(G151:BE151,"&lt;&gt;" &amp; "")&gt;0</formula>
    </cfRule>
    <cfRule type="expression" dxfId="1" priority="260">
      <formula>AND(COUNTIF(G151:BE151,"&lt;&gt;" &amp; "")&gt;0,NOT(ISBLANK(E151)))</formula>
    </cfRule>
  </conditionalFormatting>
  <conditionalFormatting sqref="E152">
    <cfRule type="expression" dxfId="0" priority="261">
      <formula>COUNTIF(G152:BE152,"&lt;&gt;" &amp; "")&gt;0</formula>
    </cfRule>
    <cfRule type="expression" dxfId="1" priority="262">
      <formula>AND(COUNTIF(G152:BE152,"&lt;&gt;" &amp; "")&gt;0,NOT(ISBLANK(E152)))</formula>
    </cfRule>
  </conditionalFormatting>
  <conditionalFormatting sqref="E153">
    <cfRule type="expression" dxfId="0" priority="263">
      <formula>COUNTIF(G153:BE153,"&lt;&gt;" &amp; "")&gt;0</formula>
    </cfRule>
    <cfRule type="expression" dxfId="1" priority="264">
      <formula>AND(COUNTIF(G153:BE153,"&lt;&gt;" &amp; "")&gt;0,NOT(ISBLANK(E153)))</formula>
    </cfRule>
  </conditionalFormatting>
  <conditionalFormatting sqref="E156">
    <cfRule type="expression" dxfId="0" priority="265">
      <formula>COUNTIF(G156:BE156,"&lt;&gt;" &amp; "")&gt;0</formula>
    </cfRule>
    <cfRule type="expression" dxfId="1" priority="266">
      <formula>AND(COUNTIF(G156:BE156,"&lt;&gt;" &amp; "")&gt;0,NOT(ISBLANK(E156)))</formula>
    </cfRule>
  </conditionalFormatting>
  <conditionalFormatting sqref="E157">
    <cfRule type="expression" dxfId="0" priority="267">
      <formula>COUNTIF(G157:BE157,"&lt;&gt;" &amp; "")&gt;0</formula>
    </cfRule>
    <cfRule type="expression" dxfId="1" priority="268">
      <formula>AND(COUNTIF(G157:BE157,"&lt;&gt;" &amp; "")&gt;0,NOT(ISBLANK(E157)))</formula>
    </cfRule>
  </conditionalFormatting>
  <conditionalFormatting sqref="E158">
    <cfRule type="expression" dxfId="0" priority="269">
      <formula>COUNTIF(G158:BE158,"&lt;&gt;" &amp; "")&gt;0</formula>
    </cfRule>
    <cfRule type="expression" dxfId="1" priority="270">
      <formula>AND(COUNTIF(G158:BE158,"&lt;&gt;" &amp; "")&gt;0,NOT(ISBLANK(E158)))</formula>
    </cfRule>
  </conditionalFormatting>
  <conditionalFormatting sqref="E159">
    <cfRule type="expression" dxfId="0" priority="271">
      <formula>COUNTIF(G159:BE159,"&lt;&gt;" &amp; "")&gt;0</formula>
    </cfRule>
    <cfRule type="expression" dxfId="1" priority="272">
      <formula>AND(COUNTIF(G159:BE159,"&lt;&gt;" &amp; "")&gt;0,NOT(ISBLANK(E159)))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60">
    <cfRule type="expression" dxfId="0" priority="273">
      <formula>COUNTIF(G160:BE160,"&lt;&gt;" &amp; "")&gt;0</formula>
    </cfRule>
    <cfRule type="expression" dxfId="1" priority="274">
      <formula>AND(COUNTIF(G160:BE160,"&lt;&gt;" &amp; "")&gt;0,NOT(ISBLANK(E160)))</formula>
    </cfRule>
  </conditionalFormatting>
  <conditionalFormatting sqref="E161">
    <cfRule type="expression" dxfId="0" priority="275">
      <formula>COUNTIF(G161:BE161,"&lt;&gt;" &amp; "")&gt;0</formula>
    </cfRule>
    <cfRule type="expression" dxfId="1" priority="276">
      <formula>AND(COUNTIF(G161:BE161,"&lt;&gt;" &amp; "")&gt;0,NOT(ISBLANK(E161)))</formula>
    </cfRule>
  </conditionalFormatting>
  <conditionalFormatting sqref="E162">
    <cfRule type="expression" dxfId="0" priority="277">
      <formula>COUNTIF(G162:BE162,"&lt;&gt;" &amp; "")&gt;0</formula>
    </cfRule>
    <cfRule type="expression" dxfId="1" priority="278">
      <formula>AND(COUNTIF(G162:BE162,"&lt;&gt;" &amp; "")&gt;0,NOT(ISBLANK(E162)))</formula>
    </cfRule>
  </conditionalFormatting>
  <conditionalFormatting sqref="E163">
    <cfRule type="expression" dxfId="0" priority="279">
      <formula>COUNTIF(G163:BE163,"&lt;&gt;" &amp; "")&gt;0</formula>
    </cfRule>
    <cfRule type="expression" dxfId="1" priority="280">
      <formula>AND(COUNTIF(G163:BE163,"&lt;&gt;" &amp; "")&gt;0,NOT(ISBLANK(E163)))</formula>
    </cfRule>
  </conditionalFormatting>
  <conditionalFormatting sqref="E164">
    <cfRule type="expression" dxfId="0" priority="281">
      <formula>COUNTIF(G164:BE164,"&lt;&gt;" &amp; "")&gt;0</formula>
    </cfRule>
    <cfRule type="expression" dxfId="1" priority="282">
      <formula>AND(COUNTIF(G164:BE164,"&lt;&gt;" &amp; "")&gt;0,NOT(ISBLANK(E164)))</formula>
    </cfRule>
  </conditionalFormatting>
  <conditionalFormatting sqref="E165">
    <cfRule type="expression" dxfId="0" priority="283">
      <formula>COUNTIF(G165:BE165,"&lt;&gt;" &amp; "")&gt;0</formula>
    </cfRule>
    <cfRule type="expression" dxfId="1" priority="284">
      <formula>AND(COUNTIF(G165:BE165,"&lt;&gt;" &amp; "")&gt;0,NOT(ISBLANK(E165)))</formula>
    </cfRule>
  </conditionalFormatting>
  <conditionalFormatting sqref="E166">
    <cfRule type="expression" dxfId="0" priority="285">
      <formula>COUNTIF(G166:BE166,"&lt;&gt;" &amp; "")&gt;0</formula>
    </cfRule>
    <cfRule type="expression" dxfId="1" priority="286">
      <formula>AND(COUNTIF(G166:BE166,"&lt;&gt;" &amp; "")&gt;0,NOT(ISBLANK(E166)))</formula>
    </cfRule>
  </conditionalFormatting>
  <conditionalFormatting sqref="E167">
    <cfRule type="expression" dxfId="0" priority="287">
      <formula>COUNTIF(G167:BE167,"&lt;&gt;" &amp; "")&gt;0</formula>
    </cfRule>
    <cfRule type="expression" dxfId="1" priority="288">
      <formula>AND(COUNTIF(G167:BE167,"&lt;&gt;" &amp; "")&gt;0,NOT(ISBLANK(E167)))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70">
    <cfRule type="expression" dxfId="0" priority="289">
      <formula>COUNTIF(G170:BE170,"&lt;&gt;" &amp; "")&gt;0</formula>
    </cfRule>
    <cfRule type="expression" dxfId="1" priority="290">
      <formula>AND(COUNTIF(G170:BE170,"&lt;&gt;" &amp; "")&gt;0,NOT(ISBLANK(E170)))</formula>
    </cfRule>
  </conditionalFormatting>
  <conditionalFormatting sqref="E171">
    <cfRule type="expression" dxfId="0" priority="291">
      <formula>COUNTIF(G171:BE171,"&lt;&gt;" &amp; "")&gt;0</formula>
    </cfRule>
    <cfRule type="expression" dxfId="1" priority="292">
      <formula>AND(COUNTIF(G171:BE171,"&lt;&gt;" &amp; "")&gt;0,NOT(ISBLANK(E171)))</formula>
    </cfRule>
  </conditionalFormatting>
  <conditionalFormatting sqref="E172">
    <cfRule type="expression" dxfId="0" priority="293">
      <formula>COUNTIF(G172:BE172,"&lt;&gt;" &amp; "")&gt;0</formula>
    </cfRule>
    <cfRule type="expression" dxfId="1" priority="294">
      <formula>AND(COUNTIF(G172:BE172,"&lt;&gt;" &amp; "")&gt;0,NOT(ISBLANK(E172)))</formula>
    </cfRule>
  </conditionalFormatting>
  <conditionalFormatting sqref="E173">
    <cfRule type="expression" dxfId="0" priority="295">
      <formula>COUNTIF(G173:BE173,"&lt;&gt;" &amp; "")&gt;0</formula>
    </cfRule>
    <cfRule type="expression" dxfId="1" priority="296">
      <formula>AND(COUNTIF(G173:BE173,"&lt;&gt;" &amp; "")&gt;0,NOT(ISBLANK(E173)))</formula>
    </cfRule>
  </conditionalFormatting>
  <conditionalFormatting sqref="E174">
    <cfRule type="expression" dxfId="0" priority="297">
      <formula>COUNTIF(G174:BE174,"&lt;&gt;" &amp; "")&gt;0</formula>
    </cfRule>
    <cfRule type="expression" dxfId="1" priority="298">
      <formula>AND(COUNTIF(G174:BE174,"&lt;&gt;" &amp; "")&gt;0,NOT(ISBLANK(E174)))</formula>
    </cfRule>
  </conditionalFormatting>
  <conditionalFormatting sqref="E175">
    <cfRule type="expression" dxfId="0" priority="299">
      <formula>COUNTIF(G175:BE175,"&lt;&gt;" &amp; "")&gt;0</formula>
    </cfRule>
    <cfRule type="expression" dxfId="1" priority="300">
      <formula>AND(COUNTIF(G175:BE175,"&lt;&gt;" &amp; "")&gt;0,NOT(ISBLANK(E175)))</formula>
    </cfRule>
  </conditionalFormatting>
  <conditionalFormatting sqref="E176">
    <cfRule type="expression" dxfId="0" priority="301">
      <formula>COUNTIF(G176:BE176,"&lt;&gt;" &amp; "")&gt;0</formula>
    </cfRule>
    <cfRule type="expression" dxfId="1" priority="302">
      <formula>AND(COUNTIF(G176:BE176,"&lt;&gt;" &amp; "")&gt;0,NOT(ISBLANK(E176)))</formula>
    </cfRule>
  </conditionalFormatting>
  <conditionalFormatting sqref="E177">
    <cfRule type="expression" dxfId="0" priority="303">
      <formula>COUNTIF(G177:BE177,"&lt;&gt;" &amp; "")&gt;0</formula>
    </cfRule>
    <cfRule type="expression" dxfId="1" priority="304">
      <formula>AND(COUNTIF(G177:BE177,"&lt;&gt;" &amp; "")&gt;0,NOT(ISBLANK(E177)))</formula>
    </cfRule>
  </conditionalFormatting>
  <conditionalFormatting sqref="E178">
    <cfRule type="expression" dxfId="0" priority="305">
      <formula>COUNTIF(G178:BE178,"&lt;&gt;" &amp; "")&gt;0</formula>
    </cfRule>
    <cfRule type="expression" dxfId="1" priority="306">
      <formula>AND(COUNTIF(G178:BE178,"&lt;&gt;" &amp; "")&gt;0,NOT(ISBLANK(E178)))</formula>
    </cfRule>
  </conditionalFormatting>
  <conditionalFormatting sqref="E179">
    <cfRule type="expression" dxfId="0" priority="307">
      <formula>COUNTIF(G179:BE179,"&lt;&gt;" &amp; "")&gt;0</formula>
    </cfRule>
    <cfRule type="expression" dxfId="1" priority="308">
      <formula>AND(COUNTIF(G179:BE179,"&lt;&gt;" &amp; "")&gt;0,NOT(ISBLANK(E179)))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80">
    <cfRule type="expression" dxfId="0" priority="309">
      <formula>COUNTIF(G180:BE180,"&lt;&gt;" &amp; "")&gt;0</formula>
    </cfRule>
    <cfRule type="expression" dxfId="1" priority="310">
      <formula>AND(COUNTIF(G180:BE180,"&lt;&gt;" &amp; "")&gt;0,NOT(ISBLANK(E180)))</formula>
    </cfRule>
  </conditionalFormatting>
  <conditionalFormatting sqref="E181">
    <cfRule type="expression" dxfId="0" priority="311">
      <formula>COUNTIF(G181:BE181,"&lt;&gt;" &amp; "")&gt;0</formula>
    </cfRule>
    <cfRule type="expression" dxfId="1" priority="312">
      <formula>AND(COUNTIF(G181:BE181,"&lt;&gt;" &amp; "")&gt;0,NOT(ISBLANK(E181)))</formula>
    </cfRule>
  </conditionalFormatting>
  <conditionalFormatting sqref="E184">
    <cfRule type="expression" dxfId="0" priority="313">
      <formula>COUNTIF(G184:BE184,"&lt;&gt;" &amp; "")&gt;0</formula>
    </cfRule>
    <cfRule type="expression" dxfId="1" priority="314">
      <formula>AND(COUNTIF(G184:BE184,"&lt;&gt;" &amp; "")&gt;0,NOT(ISBLANK(E184)))</formula>
    </cfRule>
  </conditionalFormatting>
  <conditionalFormatting sqref="E185">
    <cfRule type="expression" dxfId="0" priority="315">
      <formula>COUNTIF(G185:BE185,"&lt;&gt;" &amp; "")&gt;0</formula>
    </cfRule>
    <cfRule type="expression" dxfId="1" priority="316">
      <formula>AND(COUNTIF(G185:BE185,"&lt;&gt;" &amp; "")&gt;0,NOT(ISBLANK(E185)))</formula>
    </cfRule>
  </conditionalFormatting>
  <conditionalFormatting sqref="E186">
    <cfRule type="expression" dxfId="0" priority="317">
      <formula>COUNTIF(G186:BE186,"&lt;&gt;" &amp; "")&gt;0</formula>
    </cfRule>
    <cfRule type="expression" dxfId="1" priority="318">
      <formula>AND(COUNTIF(G186:BE186,"&lt;&gt;" &amp; "")&gt;0,NOT(ISBLANK(E186)))</formula>
    </cfRule>
  </conditionalFormatting>
  <conditionalFormatting sqref="E187">
    <cfRule type="expression" dxfId="0" priority="319">
      <formula>COUNTIF(G187:BE187,"&lt;&gt;" &amp; "")&gt;0</formula>
    </cfRule>
    <cfRule type="expression" dxfId="1" priority="320">
      <formula>AND(COUNTIF(G187:BE187,"&lt;&gt;" &amp; "")&gt;0,NOT(ISBLANK(E187)))</formula>
    </cfRule>
  </conditionalFormatting>
  <conditionalFormatting sqref="E188">
    <cfRule type="expression" dxfId="0" priority="321">
      <formula>COUNTIF(G188:BE188,"&lt;&gt;" &amp; "")&gt;0</formula>
    </cfRule>
    <cfRule type="expression" dxfId="1" priority="322">
      <formula>AND(COUNTIF(G188:BE188,"&lt;&gt;" &amp; "")&gt;0,NOT(ISBLANK(E188)))</formula>
    </cfRule>
  </conditionalFormatting>
  <conditionalFormatting sqref="E189">
    <cfRule type="expression" dxfId="0" priority="323">
      <formula>COUNTIF(G189:BE189,"&lt;&gt;" &amp; "")&gt;0</formula>
    </cfRule>
    <cfRule type="expression" dxfId="1" priority="324">
      <formula>AND(COUNTIF(G189:BE189,"&lt;&gt;" &amp; "")&gt;0,NOT(ISBLANK(E189)))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190">
    <cfRule type="expression" dxfId="0" priority="325">
      <formula>COUNTIF(G190:BE190,"&lt;&gt;" &amp; "")&gt;0</formula>
    </cfRule>
    <cfRule type="expression" dxfId="1" priority="326">
      <formula>AND(COUNTIF(G190:BE190,"&lt;&gt;" &amp; "")&gt;0,NOT(ISBLANK(E190)))</formula>
    </cfRule>
  </conditionalFormatting>
  <conditionalFormatting sqref="E191">
    <cfRule type="expression" dxfId="0" priority="327">
      <formula>COUNTIF(G191:BE191,"&lt;&gt;" &amp; "")&gt;0</formula>
    </cfRule>
    <cfRule type="expression" dxfId="1" priority="328">
      <formula>AND(COUNTIF(G191:BE191,"&lt;&gt;" &amp; "")&gt;0,NOT(ISBLANK(E191)))</formula>
    </cfRule>
  </conditionalFormatting>
  <conditionalFormatting sqref="E192">
    <cfRule type="expression" dxfId="0" priority="329">
      <formula>COUNTIF(G192:BE192,"&lt;&gt;" &amp; "")&gt;0</formula>
    </cfRule>
    <cfRule type="expression" dxfId="1" priority="330">
      <formula>AND(COUNTIF(G192:BE192,"&lt;&gt;" &amp; "")&gt;0,NOT(ISBLANK(E192)))</formula>
    </cfRule>
  </conditionalFormatting>
  <conditionalFormatting sqref="E193">
    <cfRule type="expression" dxfId="0" priority="331">
      <formula>COUNTIF(G193:BE193,"&lt;&gt;" &amp; "")&gt;0</formula>
    </cfRule>
    <cfRule type="expression" dxfId="1" priority="332">
      <formula>AND(COUNTIF(G193:BE193,"&lt;&gt;" &amp; "")&gt;0,NOT(ISBLANK(E193)))</formula>
    </cfRule>
  </conditionalFormatting>
  <conditionalFormatting sqref="E194">
    <cfRule type="expression" dxfId="0" priority="333">
      <formula>COUNTIF(G194:BE194,"&lt;&gt;" &amp; "")&gt;0</formula>
    </cfRule>
    <cfRule type="expression" dxfId="1" priority="334">
      <formula>AND(COUNTIF(G194:BE194,"&lt;&gt;" &amp; "")&gt;0,NOT(ISBLANK(E194)))</formula>
    </cfRule>
  </conditionalFormatting>
  <conditionalFormatting sqref="E195">
    <cfRule type="expression" dxfId="0" priority="335">
      <formula>COUNTIF(G195:BE195,"&lt;&gt;" &amp; "")&gt;0</formula>
    </cfRule>
    <cfRule type="expression" dxfId="1" priority="336">
      <formula>AND(COUNTIF(G195:BE195,"&lt;&gt;" &amp; "")&gt;0,NOT(ISBLANK(E195)))</formula>
    </cfRule>
  </conditionalFormatting>
  <conditionalFormatting sqref="E198">
    <cfRule type="expression" dxfId="0" priority="337">
      <formula>COUNTIF(G198:BE198,"&lt;&gt;" &amp; "")&gt;0</formula>
    </cfRule>
    <cfRule type="expression" dxfId="1" priority="338">
      <formula>AND(COUNTIF(G198:BE198,"&lt;&gt;" &amp; "")&gt;0,NOT(ISBLANK(E198)))</formula>
    </cfRule>
  </conditionalFormatting>
  <conditionalFormatting sqref="E199">
    <cfRule type="expression" dxfId="0" priority="339">
      <formula>COUNTIF(G199:BE199,"&lt;&gt;" &amp; "")&gt;0</formula>
    </cfRule>
    <cfRule type="expression" dxfId="1" priority="340">
      <formula>AND(COUNTIF(G199:BE199,"&lt;&gt;" &amp; "")&gt;0,NOT(ISBLANK(E199)))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00">
    <cfRule type="expression" dxfId="0" priority="341">
      <formula>COUNTIF(G200:BE200,"&lt;&gt;" &amp; "")&gt;0</formula>
    </cfRule>
    <cfRule type="expression" dxfId="1" priority="342">
      <formula>AND(COUNTIF(G200:BE200,"&lt;&gt;" &amp; "")&gt;0,NOT(ISBLANK(E200)))</formula>
    </cfRule>
  </conditionalFormatting>
  <conditionalFormatting sqref="E201">
    <cfRule type="expression" dxfId="0" priority="343">
      <formula>COUNTIF(G201:BE201,"&lt;&gt;" &amp; "")&gt;0</formula>
    </cfRule>
    <cfRule type="expression" dxfId="1" priority="344">
      <formula>AND(COUNTIF(G201:BE201,"&lt;&gt;" &amp; "")&gt;0,NOT(ISBLANK(E201)))</formula>
    </cfRule>
  </conditionalFormatting>
  <conditionalFormatting sqref="E202">
    <cfRule type="expression" dxfId="0" priority="345">
      <formula>COUNTIF(G202:BE202,"&lt;&gt;" &amp; "")&gt;0</formula>
    </cfRule>
    <cfRule type="expression" dxfId="1" priority="346">
      <formula>AND(COUNTIF(G202:BE202,"&lt;&gt;" &amp; "")&gt;0,NOT(ISBLANK(E202)))</formula>
    </cfRule>
  </conditionalFormatting>
  <conditionalFormatting sqref="E203">
    <cfRule type="expression" dxfId="0" priority="347">
      <formula>COUNTIF(G203:BE203,"&lt;&gt;" &amp; "")&gt;0</formula>
    </cfRule>
    <cfRule type="expression" dxfId="1" priority="348">
      <formula>AND(COUNTIF(G203:BE203,"&lt;&gt;" &amp; "")&gt;0,NOT(ISBLANK(E203)))</formula>
    </cfRule>
  </conditionalFormatting>
  <conditionalFormatting sqref="E204">
    <cfRule type="expression" dxfId="0" priority="349">
      <formula>COUNTIF(G204:BE204,"&lt;&gt;" &amp; "")&gt;0</formula>
    </cfRule>
    <cfRule type="expression" dxfId="1" priority="350">
      <formula>AND(COUNTIF(G204:BE204,"&lt;&gt;" &amp; "")&gt;0,NOT(ISBLANK(E204)))</formula>
    </cfRule>
  </conditionalFormatting>
  <conditionalFormatting sqref="E205">
    <cfRule type="expression" dxfId="0" priority="351">
      <formula>COUNTIF(G205:BE205,"&lt;&gt;" &amp; "")&gt;0</formula>
    </cfRule>
    <cfRule type="expression" dxfId="1" priority="352">
      <formula>AND(COUNTIF(G205:BE205,"&lt;&gt;" &amp; "")&gt;0,NOT(ISBLANK(E205)))</formula>
    </cfRule>
  </conditionalFormatting>
  <conditionalFormatting sqref="E206">
    <cfRule type="expression" dxfId="0" priority="353">
      <formula>COUNTIF(G206:BE206,"&lt;&gt;" &amp; "")&gt;0</formula>
    </cfRule>
    <cfRule type="expression" dxfId="1" priority="354">
      <formula>AND(COUNTIF(G206:BE206,"&lt;&gt;" &amp; "")&gt;0,NOT(ISBLANK(E206)))</formula>
    </cfRule>
  </conditionalFormatting>
  <conditionalFormatting sqref="E207">
    <cfRule type="expression" dxfId="0" priority="355">
      <formula>COUNTIF(G207:BE207,"&lt;&gt;" &amp; "")&gt;0</formula>
    </cfRule>
    <cfRule type="expression" dxfId="1" priority="356">
      <formula>AND(COUNTIF(G207:BE207,"&lt;&gt;" &amp; "")&gt;0,NOT(ISBLANK(E207)))</formula>
    </cfRule>
  </conditionalFormatting>
  <conditionalFormatting sqref="E208">
    <cfRule type="expression" dxfId="0" priority="357">
      <formula>COUNTIF(G208:BE208,"&lt;&gt;" &amp; "")&gt;0</formula>
    </cfRule>
    <cfRule type="expression" dxfId="1" priority="358">
      <formula>AND(COUNTIF(G208:BE208,"&lt;&gt;" &amp; "")&gt;0,NOT(ISBLANK(E208)))</formula>
    </cfRule>
  </conditionalFormatting>
  <conditionalFormatting sqref="E209">
    <cfRule type="expression" dxfId="0" priority="359">
      <formula>COUNTIF(G209:BE209,"&lt;&gt;" &amp; "")&gt;0</formula>
    </cfRule>
    <cfRule type="expression" dxfId="1" priority="360">
      <formula>AND(COUNTIF(G209:BE209,"&lt;&gt;" &amp; "")&gt;0,NOT(ISBLANK(E209)))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12">
    <cfRule type="expression" dxfId="0" priority="361">
      <formula>COUNTIF(G212:BE212,"&lt;&gt;" &amp; "")&gt;0</formula>
    </cfRule>
    <cfRule type="expression" dxfId="1" priority="362">
      <formula>AND(COUNTIF(G212:BE212,"&lt;&gt;" &amp; "")&gt;0,NOT(ISBLANK(E212)))</formula>
    </cfRule>
  </conditionalFormatting>
  <conditionalFormatting sqref="E213">
    <cfRule type="expression" dxfId="0" priority="363">
      <formula>COUNTIF(G213:BE213,"&lt;&gt;" &amp; "")&gt;0</formula>
    </cfRule>
    <cfRule type="expression" dxfId="1" priority="364">
      <formula>AND(COUNTIF(G213:BE213,"&lt;&gt;" &amp; "")&gt;0,NOT(ISBLANK(E213)))</formula>
    </cfRule>
  </conditionalFormatting>
  <conditionalFormatting sqref="E214">
    <cfRule type="expression" dxfId="0" priority="365">
      <formula>COUNTIF(G214:BE214,"&lt;&gt;" &amp; "")&gt;0</formula>
    </cfRule>
    <cfRule type="expression" dxfId="1" priority="366">
      <formula>AND(COUNTIF(G214:BE214,"&lt;&gt;" &amp; "")&gt;0,NOT(ISBLANK(E214)))</formula>
    </cfRule>
  </conditionalFormatting>
  <conditionalFormatting sqref="E215">
    <cfRule type="expression" dxfId="0" priority="367">
      <formula>COUNTIF(G215:BE215,"&lt;&gt;" &amp; "")&gt;0</formula>
    </cfRule>
    <cfRule type="expression" dxfId="1" priority="368">
      <formula>AND(COUNTIF(G215:BE215,"&lt;&gt;" &amp; "")&gt;0,NOT(ISBLANK(E215)))</formula>
    </cfRule>
  </conditionalFormatting>
  <conditionalFormatting sqref="E216">
    <cfRule type="expression" dxfId="0" priority="369">
      <formula>COUNTIF(G216:BE216,"&lt;&gt;" &amp; "")&gt;0</formula>
    </cfRule>
    <cfRule type="expression" dxfId="1" priority="370">
      <formula>AND(COUNTIF(G216:BE216,"&lt;&gt;" &amp; "")&gt;0,NOT(ISBLANK(E216)))</formula>
    </cfRule>
  </conditionalFormatting>
  <conditionalFormatting sqref="E217">
    <cfRule type="expression" dxfId="0" priority="371">
      <formula>COUNTIF(G217:BE217,"&lt;&gt;" &amp; "")&gt;0</formula>
    </cfRule>
    <cfRule type="expression" dxfId="1" priority="372">
      <formula>AND(COUNTIF(G217:BE217,"&lt;&gt;" &amp; "")&gt;0,NOT(ISBLANK(E217)))</formula>
    </cfRule>
  </conditionalFormatting>
  <conditionalFormatting sqref="E218">
    <cfRule type="expression" dxfId="0" priority="373">
      <formula>COUNTIF(G218:BE218,"&lt;&gt;" &amp; "")&gt;0</formula>
    </cfRule>
    <cfRule type="expression" dxfId="1" priority="374">
      <formula>AND(COUNTIF(G218:BE218,"&lt;&gt;" &amp; "")&gt;0,NOT(ISBLANK(E218)))</formula>
    </cfRule>
  </conditionalFormatting>
  <conditionalFormatting sqref="E219">
    <cfRule type="expression" dxfId="0" priority="375">
      <formula>COUNTIF(G219:BE219,"&lt;&gt;" &amp; "")&gt;0</formula>
    </cfRule>
    <cfRule type="expression" dxfId="1" priority="376">
      <formula>AND(COUNTIF(G219:BE219,"&lt;&gt;" &amp; "")&gt;0,NOT(ISBLANK(E219)))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20">
    <cfRule type="expression" dxfId="0" priority="377">
      <formula>COUNTIF(G220:BE220,"&lt;&gt;" &amp; "")&gt;0</formula>
    </cfRule>
    <cfRule type="expression" dxfId="1" priority="378">
      <formula>AND(COUNTIF(G220:BE220,"&lt;&gt;" &amp; "")&gt;0,NOT(ISBLANK(E220)))</formula>
    </cfRule>
  </conditionalFormatting>
  <conditionalFormatting sqref="E221">
    <cfRule type="expression" dxfId="0" priority="379">
      <formula>COUNTIF(G221:BE221,"&lt;&gt;" &amp; "")&gt;0</formula>
    </cfRule>
    <cfRule type="expression" dxfId="1" priority="380">
      <formula>AND(COUNTIF(G221:BE221,"&lt;&gt;" &amp; "")&gt;0,NOT(ISBLANK(E221)))</formula>
    </cfRule>
  </conditionalFormatting>
  <conditionalFormatting sqref="E222">
    <cfRule type="expression" dxfId="0" priority="381">
      <formula>COUNTIF(G222:BE222,"&lt;&gt;" &amp; "")&gt;0</formula>
    </cfRule>
    <cfRule type="expression" dxfId="1" priority="382">
      <formula>AND(COUNTIF(G222:BE222,"&lt;&gt;" &amp; "")&gt;0,NOT(ISBLANK(E222)))</formula>
    </cfRule>
  </conditionalFormatting>
  <conditionalFormatting sqref="E223">
    <cfRule type="expression" dxfId="0" priority="383">
      <formula>COUNTIF(G223:BE223,"&lt;&gt;" &amp; "")&gt;0</formula>
    </cfRule>
    <cfRule type="expression" dxfId="1" priority="384">
      <formula>AND(COUNTIF(G223:BE223,"&lt;&gt;" &amp; "")&gt;0,NOT(ISBLANK(E223)))</formula>
    </cfRule>
  </conditionalFormatting>
  <conditionalFormatting sqref="E226">
    <cfRule type="expression" dxfId="0" priority="385">
      <formula>COUNTIF(G226:BE226,"&lt;&gt;" &amp; "")&gt;0</formula>
    </cfRule>
    <cfRule type="expression" dxfId="1" priority="386">
      <formula>AND(COUNTIF(G226:BE226,"&lt;&gt;" &amp; "")&gt;0,NOT(ISBLANK(E226)))</formula>
    </cfRule>
  </conditionalFormatting>
  <conditionalFormatting sqref="E227">
    <cfRule type="expression" dxfId="0" priority="387">
      <formula>COUNTIF(G227:BE227,"&lt;&gt;" &amp; "")&gt;0</formula>
    </cfRule>
    <cfRule type="expression" dxfId="1" priority="388">
      <formula>AND(COUNTIF(G227:BE227,"&lt;&gt;" &amp; "")&gt;0,NOT(ISBLANK(E227)))</formula>
    </cfRule>
  </conditionalFormatting>
  <conditionalFormatting sqref="E228">
    <cfRule type="expression" dxfId="0" priority="389">
      <formula>COUNTIF(G228:BE228,"&lt;&gt;" &amp; "")&gt;0</formula>
    </cfRule>
    <cfRule type="expression" dxfId="1" priority="390">
      <formula>AND(COUNTIF(G228:BE228,"&lt;&gt;" &amp; "")&gt;0,NOT(ISBLANK(E228)))</formula>
    </cfRule>
  </conditionalFormatting>
  <conditionalFormatting sqref="E229">
    <cfRule type="expression" dxfId="0" priority="391">
      <formula>COUNTIF(G229:BE229,"&lt;&gt;" &amp; "")&gt;0</formula>
    </cfRule>
    <cfRule type="expression" dxfId="1" priority="392">
      <formula>AND(COUNTIF(G229:BE229,"&lt;&gt;" &amp; "")&gt;0,NOT(ISBLANK(E229)))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30">
    <cfRule type="expression" dxfId="0" priority="393">
      <formula>COUNTIF(G230:BE230,"&lt;&gt;" &amp; "")&gt;0</formula>
    </cfRule>
    <cfRule type="expression" dxfId="1" priority="394">
      <formula>AND(COUNTIF(G230:BE230,"&lt;&gt;" &amp; "")&gt;0,NOT(ISBLANK(E230)))</formula>
    </cfRule>
  </conditionalFormatting>
  <conditionalFormatting sqref="E231">
    <cfRule type="expression" dxfId="0" priority="395">
      <formula>COUNTIF(G231:BE231,"&lt;&gt;" &amp; "")&gt;0</formula>
    </cfRule>
    <cfRule type="expression" dxfId="1" priority="396">
      <formula>AND(COUNTIF(G231:BE231,"&lt;&gt;" &amp; "")&gt;0,NOT(ISBLANK(E231)))</formula>
    </cfRule>
  </conditionalFormatting>
  <conditionalFormatting sqref="E232">
    <cfRule type="expression" dxfId="0" priority="397">
      <formula>COUNTIF(G232:BE232,"&lt;&gt;" &amp; "")&gt;0</formula>
    </cfRule>
    <cfRule type="expression" dxfId="1" priority="398">
      <formula>AND(COUNTIF(G232:BE232,"&lt;&gt;" &amp; "")&gt;0,NOT(ISBLANK(E232)))</formula>
    </cfRule>
  </conditionalFormatting>
  <conditionalFormatting sqref="E233">
    <cfRule type="expression" dxfId="0" priority="399">
      <formula>COUNTIF(G233:BE233,"&lt;&gt;" &amp; "")&gt;0</formula>
    </cfRule>
    <cfRule type="expression" dxfId="1" priority="400">
      <formula>AND(COUNTIF(G233:BE233,"&lt;&gt;" &amp; "")&gt;0,NOT(ISBLANK(E233)))</formula>
    </cfRule>
  </conditionalFormatting>
  <conditionalFormatting sqref="E234">
    <cfRule type="expression" dxfId="0" priority="401">
      <formula>COUNTIF(G234:BE234,"&lt;&gt;" &amp; "")&gt;0</formula>
    </cfRule>
    <cfRule type="expression" dxfId="1" priority="402">
      <formula>AND(COUNTIF(G234:BE234,"&lt;&gt;" &amp; "")&gt;0,NOT(ISBLANK(E234)))</formula>
    </cfRule>
  </conditionalFormatting>
  <conditionalFormatting sqref="E235">
    <cfRule type="expression" dxfId="0" priority="403">
      <formula>COUNTIF(G235:BE235,"&lt;&gt;" &amp; "")&gt;0</formula>
    </cfRule>
    <cfRule type="expression" dxfId="1" priority="404">
      <formula>AND(COUNTIF(G235:BE235,"&lt;&gt;" &amp; "")&gt;0,NOT(ISBLANK(E235)))</formula>
    </cfRule>
  </conditionalFormatting>
  <conditionalFormatting sqref="E236">
    <cfRule type="expression" dxfId="0" priority="405">
      <formula>COUNTIF(G236:BE236,"&lt;&gt;" &amp; "")&gt;0</formula>
    </cfRule>
    <cfRule type="expression" dxfId="1" priority="406">
      <formula>AND(COUNTIF(G236:BE236,"&lt;&gt;" &amp; "")&gt;0,NOT(ISBLANK(E236)))</formula>
    </cfRule>
  </conditionalFormatting>
  <conditionalFormatting sqref="E237">
    <cfRule type="expression" dxfId="0" priority="407">
      <formula>COUNTIF(G237:BE237,"&lt;&gt;" &amp; "")&gt;0</formula>
    </cfRule>
    <cfRule type="expression" dxfId="1" priority="408">
      <formula>AND(COUNTIF(G237:BE237,"&lt;&gt;" &amp; "")&gt;0,NOT(ISBLANK(E237)))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40">
    <cfRule type="expression" dxfId="0" priority="409">
      <formula>COUNTIF(G240:BE240,"&lt;&gt;" &amp; "")&gt;0</formula>
    </cfRule>
    <cfRule type="expression" dxfId="1" priority="410">
      <formula>AND(COUNTIF(G240:BE240,"&lt;&gt;" &amp; "")&gt;0,NOT(ISBLANK(E240)))</formula>
    </cfRule>
  </conditionalFormatting>
  <conditionalFormatting sqref="E241">
    <cfRule type="expression" dxfId="0" priority="411">
      <formula>COUNTIF(G241:BE241,"&lt;&gt;" &amp; "")&gt;0</formula>
    </cfRule>
    <cfRule type="expression" dxfId="1" priority="412">
      <formula>AND(COUNTIF(G241:BE241,"&lt;&gt;" &amp; "")&gt;0,NOT(ISBLANK(E241)))</formula>
    </cfRule>
  </conditionalFormatting>
  <conditionalFormatting sqref="E242">
    <cfRule type="expression" dxfId="0" priority="413">
      <formula>COUNTIF(G242:BE242,"&lt;&gt;" &amp; "")&gt;0</formula>
    </cfRule>
    <cfRule type="expression" dxfId="1" priority="414">
      <formula>AND(COUNTIF(G242:BE242,"&lt;&gt;" &amp; "")&gt;0,NOT(ISBLANK(E242)))</formula>
    </cfRule>
  </conditionalFormatting>
  <conditionalFormatting sqref="E243">
    <cfRule type="expression" dxfId="0" priority="415">
      <formula>COUNTIF(G243:BE243,"&lt;&gt;" &amp; "")&gt;0</formula>
    </cfRule>
    <cfRule type="expression" dxfId="1" priority="416">
      <formula>AND(COUNTIF(G243:BE243,"&lt;&gt;" &amp; "")&gt;0,NOT(ISBLANK(E243)))</formula>
    </cfRule>
  </conditionalFormatting>
  <conditionalFormatting sqref="E244">
    <cfRule type="expression" dxfId="0" priority="417">
      <formula>COUNTIF(G244:BE244,"&lt;&gt;" &amp; "")&gt;0</formula>
    </cfRule>
    <cfRule type="expression" dxfId="1" priority="418">
      <formula>AND(COUNTIF(G244:BE244,"&lt;&gt;" &amp; "")&gt;0,NOT(ISBLANK(E244)))</formula>
    </cfRule>
  </conditionalFormatting>
  <conditionalFormatting sqref="E245">
    <cfRule type="expression" dxfId="0" priority="419">
      <formula>COUNTIF(G245:BE245,"&lt;&gt;" &amp; "")&gt;0</formula>
    </cfRule>
    <cfRule type="expression" dxfId="1" priority="420">
      <formula>AND(COUNTIF(G245:BE245,"&lt;&gt;" &amp; "")&gt;0,NOT(ISBLANK(E245)))</formula>
    </cfRule>
  </conditionalFormatting>
  <conditionalFormatting sqref="E246">
    <cfRule type="expression" dxfId="0" priority="421">
      <formula>COUNTIF(G246:BE246,"&lt;&gt;" &amp; "")&gt;0</formula>
    </cfRule>
    <cfRule type="expression" dxfId="1" priority="422">
      <formula>AND(COUNTIF(G246:BE246,"&lt;&gt;" &amp; "")&gt;0,NOT(ISBLANK(E246)))</formula>
    </cfRule>
  </conditionalFormatting>
  <conditionalFormatting sqref="E247">
    <cfRule type="expression" dxfId="0" priority="423">
      <formula>COUNTIF(G247:BE247,"&lt;&gt;" &amp; "")&gt;0</formula>
    </cfRule>
    <cfRule type="expression" dxfId="1" priority="424">
      <formula>AND(COUNTIF(G247:BE247,"&lt;&gt;" &amp; "")&gt;0,NOT(ISBLANK(E247)))</formula>
    </cfRule>
  </conditionalFormatting>
  <conditionalFormatting sqref="E248">
    <cfRule type="expression" dxfId="0" priority="425">
      <formula>COUNTIF(G248:BE248,"&lt;&gt;" &amp; "")&gt;0</formula>
    </cfRule>
    <cfRule type="expression" dxfId="1" priority="426">
      <formula>AND(COUNTIF(G248:BE248,"&lt;&gt;" &amp; "")&gt;0,NOT(ISBLANK(E248)))</formula>
    </cfRule>
  </conditionalFormatting>
  <conditionalFormatting sqref="E249">
    <cfRule type="expression" dxfId="0" priority="427">
      <formula>COUNTIF(G249:BE249,"&lt;&gt;" &amp; "")&gt;0</formula>
    </cfRule>
    <cfRule type="expression" dxfId="1" priority="428">
      <formula>AND(COUNTIF(G249:BE249,"&lt;&gt;" &amp; "")&gt;0,NOT(ISBLANK(E249)))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50">
    <cfRule type="expression" dxfId="0" priority="429">
      <formula>COUNTIF(G250:BE250,"&lt;&gt;" &amp; "")&gt;0</formula>
    </cfRule>
    <cfRule type="expression" dxfId="1" priority="430">
      <formula>AND(COUNTIF(G250:BE250,"&lt;&gt;" &amp; "")&gt;0,NOT(ISBLANK(E250)))</formula>
    </cfRule>
  </conditionalFormatting>
  <conditionalFormatting sqref="E251">
    <cfRule type="expression" dxfId="0" priority="431">
      <formula>COUNTIF(G251:BE251,"&lt;&gt;" &amp; "")&gt;0</formula>
    </cfRule>
    <cfRule type="expression" dxfId="1" priority="432">
      <formula>AND(COUNTIF(G251:BE251,"&lt;&gt;" &amp; "")&gt;0,NOT(ISBLANK(E251)))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216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  <dataValidation type="list" allowBlank="1" showInputMessage="1" showErrorMessage="1" sqref="C114">
      <formula1>"Rate (per year)"</formula1>
    </dataValidation>
    <dataValidation type="list" allowBlank="1" showInputMessage="1" showErrorMessage="1" sqref="C115">
      <formula1>"Rate (per year)"</formula1>
    </dataValidation>
    <dataValidation type="list" allowBlank="1" showInputMessage="1" showErrorMessage="1" sqref="C116">
      <formula1>"Rate (per year)"</formula1>
    </dataValidation>
    <dataValidation type="list" allowBlank="1" showInputMessage="1" showErrorMessage="1" sqref="C117">
      <formula1>"Rate (per year)"</formula1>
    </dataValidation>
    <dataValidation type="list" allowBlank="1" showInputMessage="1" showErrorMessage="1" sqref="C118">
      <formula1>"Rate (per year)"</formula1>
    </dataValidation>
    <dataValidation type="list" allowBlank="1" showInputMessage="1" showErrorMessage="1" sqref="C119">
      <formula1>"Rate (per year)"</formula1>
    </dataValidation>
    <dataValidation type="list" allowBlank="1" showInputMessage="1" showErrorMessage="1" sqref="C120">
      <formula1>"Rate (per year)"</formula1>
    </dataValidation>
    <dataValidation type="list" allowBlank="1" showInputMessage="1" showErrorMessage="1" sqref="C121">
      <formula1>"Rate (per year)"</formula1>
    </dataValidation>
    <dataValidation type="list" allowBlank="1" showInputMessage="1" showErrorMessage="1" sqref="C122">
      <formula1>"Rate (per year)"</formula1>
    </dataValidation>
    <dataValidation type="list" allowBlank="1" showInputMessage="1" showErrorMessage="1" sqref="C123">
      <formula1>"Rate (per year)"</formula1>
    </dataValidation>
    <dataValidation type="list" allowBlank="1" showInputMessage="1" showErrorMessage="1" sqref="C124">
      <formula1>"Rate (per year)"</formula1>
    </dataValidation>
    <dataValidation type="list" allowBlank="1" showInputMessage="1" showErrorMessage="1" sqref="C125">
      <formula1>"Rate (per year)"</formula1>
    </dataValidation>
    <dataValidation type="list" allowBlank="1" showInputMessage="1" showErrorMessage="1" sqref="C128">
      <formula1>"Rate (per year)"</formula1>
    </dataValidation>
    <dataValidation type="list" allowBlank="1" showInputMessage="1" showErrorMessage="1" sqref="C129">
      <formula1>"Rate (per year)"</formula1>
    </dataValidation>
    <dataValidation type="list" allowBlank="1" showInputMessage="1" showErrorMessage="1" sqref="C130">
      <formula1>"Rate (per year)"</formula1>
    </dataValidation>
    <dataValidation type="list" allowBlank="1" showInputMessage="1" showErrorMessage="1" sqref="C131">
      <formula1>"Rate (per year)"</formula1>
    </dataValidation>
    <dataValidation type="list" allowBlank="1" showInputMessage="1" showErrorMessage="1" sqref="C132">
      <formula1>"Rate (per year)"</formula1>
    </dataValidation>
    <dataValidation type="list" allowBlank="1" showInputMessage="1" showErrorMessage="1" sqref="C133">
      <formula1>"Rate (per year)"</formula1>
    </dataValidation>
    <dataValidation type="list" allowBlank="1" showInputMessage="1" showErrorMessage="1" sqref="C134">
      <formula1>"Rate (per year)"</formula1>
    </dataValidation>
    <dataValidation type="list" allowBlank="1" showInputMessage="1" showErrorMessage="1" sqref="C135">
      <formula1>"Rate (per year)"</formula1>
    </dataValidation>
    <dataValidation type="list" allowBlank="1" showInputMessage="1" showErrorMessage="1" sqref="C136">
      <formula1>"Rate (per year)"</formula1>
    </dataValidation>
    <dataValidation type="list" allowBlank="1" showInputMessage="1" showErrorMessage="1" sqref="C137">
      <formula1>"Rate (per year)"</formula1>
    </dataValidation>
    <dataValidation type="list" allowBlank="1" showInputMessage="1" showErrorMessage="1" sqref="C138">
      <formula1>"Rate (per year)"</formula1>
    </dataValidation>
    <dataValidation type="list" allowBlank="1" showInputMessage="1" showErrorMessage="1" sqref="C139">
      <formula1>"Rate (per year)"</formula1>
    </dataValidation>
    <dataValidation type="list" allowBlank="1" showInputMessage="1" showErrorMessage="1" sqref="C142">
      <formula1>"Rate (per year)"</formula1>
    </dataValidation>
    <dataValidation type="list" allowBlank="1" showInputMessage="1" showErrorMessage="1" sqref="C143">
      <formula1>"Rate (per year)"</formula1>
    </dataValidation>
    <dataValidation type="list" allowBlank="1" showInputMessage="1" showErrorMessage="1" sqref="C144">
      <formula1>"Rate (per year)"</formula1>
    </dataValidation>
    <dataValidation type="list" allowBlank="1" showInputMessage="1" showErrorMessage="1" sqref="C145">
      <formula1>"Rate (per year)"</formula1>
    </dataValidation>
    <dataValidation type="list" allowBlank="1" showInputMessage="1" showErrorMessage="1" sqref="C146">
      <formula1>"Rate (per year)"</formula1>
    </dataValidation>
    <dataValidation type="list" allowBlank="1" showInputMessage="1" showErrorMessage="1" sqref="C147">
      <formula1>"Rate (per year)"</formula1>
    </dataValidation>
    <dataValidation type="list" allowBlank="1" showInputMessage="1" showErrorMessage="1" sqref="C148">
      <formula1>"Rate (per year)"</formula1>
    </dataValidation>
    <dataValidation type="list" allowBlank="1" showInputMessage="1" showErrorMessage="1" sqref="C149">
      <formula1>"Rate (per year)"</formula1>
    </dataValidation>
    <dataValidation type="list" allowBlank="1" showInputMessage="1" showErrorMessage="1" sqref="C150">
      <formula1>"Rate (per year)"</formula1>
    </dataValidation>
    <dataValidation type="list" allowBlank="1" showInputMessage="1" showErrorMessage="1" sqref="C151">
      <formula1>"Rate (per year)"</formula1>
    </dataValidation>
    <dataValidation type="list" allowBlank="1" showInputMessage="1" showErrorMessage="1" sqref="C152">
      <formula1>"Rate (per year)"</formula1>
    </dataValidation>
    <dataValidation type="list" allowBlank="1" showInputMessage="1" showErrorMessage="1" sqref="C153">
      <formula1>"Rate (per year)"</formula1>
    </dataValidation>
    <dataValidation type="list" allowBlank="1" showInputMessage="1" showErrorMessage="1" sqref="C156">
      <formula1>"Rate (per year)"</formula1>
    </dataValidation>
    <dataValidation type="list" allowBlank="1" showInputMessage="1" showErrorMessage="1" sqref="C157">
      <formula1>"Rate (per year)"</formula1>
    </dataValidation>
    <dataValidation type="list" allowBlank="1" showInputMessage="1" showErrorMessage="1" sqref="C158">
      <formula1>"Rate (per year)"</formula1>
    </dataValidation>
    <dataValidation type="list" allowBlank="1" showInputMessage="1" showErrorMessage="1" sqref="C159">
      <formula1>"Rate (per year)"</formula1>
    </dataValidation>
    <dataValidation type="list" allowBlank="1" showInputMessage="1" showErrorMessage="1" sqref="C160">
      <formula1>"Rate (per year)"</formula1>
    </dataValidation>
    <dataValidation type="list" allowBlank="1" showInputMessage="1" showErrorMessage="1" sqref="C161">
      <formula1>"Rate (per year)"</formula1>
    </dataValidation>
    <dataValidation type="list" allowBlank="1" showInputMessage="1" showErrorMessage="1" sqref="C162">
      <formula1>"Rate (per year)"</formula1>
    </dataValidation>
    <dataValidation type="list" allowBlank="1" showInputMessage="1" showErrorMessage="1" sqref="C163">
      <formula1>"Rate (per year)"</formula1>
    </dataValidation>
    <dataValidation type="list" allowBlank="1" showInputMessage="1" showErrorMessage="1" sqref="C164">
      <formula1>"Rate (per year)"</formula1>
    </dataValidation>
    <dataValidation type="list" allowBlank="1" showInputMessage="1" showErrorMessage="1" sqref="C165">
      <formula1>"Rate (per year)"</formula1>
    </dataValidation>
    <dataValidation type="list" allowBlank="1" showInputMessage="1" showErrorMessage="1" sqref="C166">
      <formula1>"Rate (per year)"</formula1>
    </dataValidation>
    <dataValidation type="list" allowBlank="1" showInputMessage="1" showErrorMessage="1" sqref="C167">
      <formula1>"Rate (per year)"</formula1>
    </dataValidation>
    <dataValidation type="list" allowBlank="1" showInputMessage="1" showErrorMessage="1" sqref="C170">
      <formula1>"Rate (per year)"</formula1>
    </dataValidation>
    <dataValidation type="list" allowBlank="1" showInputMessage="1" showErrorMessage="1" sqref="C171">
      <formula1>"Rate (per year)"</formula1>
    </dataValidation>
    <dataValidation type="list" allowBlank="1" showInputMessage="1" showErrorMessage="1" sqref="C172">
      <formula1>"Rate (per year)"</formula1>
    </dataValidation>
    <dataValidation type="list" allowBlank="1" showInputMessage="1" showErrorMessage="1" sqref="C173">
      <formula1>"Rate (per year)"</formula1>
    </dataValidation>
    <dataValidation type="list" allowBlank="1" showInputMessage="1" showErrorMessage="1" sqref="C174">
      <formula1>"Rate (per year)"</formula1>
    </dataValidation>
    <dataValidation type="list" allowBlank="1" showInputMessage="1" showErrorMessage="1" sqref="C175">
      <formula1>"Rate (per year)"</formula1>
    </dataValidation>
    <dataValidation type="list" allowBlank="1" showInputMessage="1" showErrorMessage="1" sqref="C176">
      <formula1>"Rate (per year)"</formula1>
    </dataValidation>
    <dataValidation type="list" allowBlank="1" showInputMessage="1" showErrorMessage="1" sqref="C177">
      <formula1>"Rate (per year)"</formula1>
    </dataValidation>
    <dataValidation type="list" allowBlank="1" showInputMessage="1" showErrorMessage="1" sqref="C178">
      <formula1>"Rate (per year)"</formula1>
    </dataValidation>
    <dataValidation type="list" allowBlank="1" showInputMessage="1" showErrorMessage="1" sqref="C179">
      <formula1>"Rate (per year)"</formula1>
    </dataValidation>
    <dataValidation type="list" allowBlank="1" showInputMessage="1" showErrorMessage="1" sqref="C180">
      <formula1>"Rate (per year)"</formula1>
    </dataValidation>
    <dataValidation type="list" allowBlank="1" showInputMessage="1" showErrorMessage="1" sqref="C181">
      <formula1>"Rate (per year)"</formula1>
    </dataValidation>
    <dataValidation type="list" allowBlank="1" showInputMessage="1" showErrorMessage="1" sqref="C184">
      <formula1>"Rate (per year)"</formula1>
    </dataValidation>
    <dataValidation type="list" allowBlank="1" showInputMessage="1" showErrorMessage="1" sqref="C185">
      <formula1>"Rate (per year)"</formula1>
    </dataValidation>
    <dataValidation type="list" allowBlank="1" showInputMessage="1" showErrorMessage="1" sqref="C186">
      <formula1>"Rate (per year)"</formula1>
    </dataValidation>
    <dataValidation type="list" allowBlank="1" showInputMessage="1" showErrorMessage="1" sqref="C187">
      <formula1>"Rate (per year)"</formula1>
    </dataValidation>
    <dataValidation type="list" allowBlank="1" showInputMessage="1" showErrorMessage="1" sqref="C188">
      <formula1>"Rate (per year)"</formula1>
    </dataValidation>
    <dataValidation type="list" allowBlank="1" showInputMessage="1" showErrorMessage="1" sqref="C189">
      <formula1>"Rate (per year)"</formula1>
    </dataValidation>
    <dataValidation type="list" allowBlank="1" showInputMessage="1" showErrorMessage="1" sqref="C190">
      <formula1>"Rate (per year)"</formula1>
    </dataValidation>
    <dataValidation type="list" allowBlank="1" showInputMessage="1" showErrorMessage="1" sqref="C191">
      <formula1>"Rate (per year)"</formula1>
    </dataValidation>
    <dataValidation type="list" allowBlank="1" showInputMessage="1" showErrorMessage="1" sqref="C192">
      <formula1>"Rate (per year)"</formula1>
    </dataValidation>
    <dataValidation type="list" allowBlank="1" showInputMessage="1" showErrorMessage="1" sqref="C193">
      <formula1>"Rate (per year)"</formula1>
    </dataValidation>
    <dataValidation type="list" allowBlank="1" showInputMessage="1" showErrorMessage="1" sqref="C194">
      <formula1>"Rate (per year)"</formula1>
    </dataValidation>
    <dataValidation type="list" allowBlank="1" showInputMessage="1" showErrorMessage="1" sqref="C195">
      <formula1>"Rate (per year)"</formula1>
    </dataValidation>
    <dataValidation type="list" allowBlank="1" showInputMessage="1" showErrorMessage="1" sqref="C198">
      <formula1>"Rate (per year)"</formula1>
    </dataValidation>
    <dataValidation type="list" allowBlank="1" showInputMessage="1" showErrorMessage="1" sqref="C199">
      <formula1>"Rate (per year)"</formula1>
    </dataValidation>
    <dataValidation type="list" allowBlank="1" showInputMessage="1" showErrorMessage="1" sqref="C200">
      <formula1>"Rate (per year)"</formula1>
    </dataValidation>
    <dataValidation type="list" allowBlank="1" showInputMessage="1" showErrorMessage="1" sqref="C201">
      <formula1>"Rate (per year)"</formula1>
    </dataValidation>
    <dataValidation type="list" allowBlank="1" showInputMessage="1" showErrorMessage="1" sqref="C202">
      <formula1>"Rate (per year)"</formula1>
    </dataValidation>
    <dataValidation type="list" allowBlank="1" showInputMessage="1" showErrorMessage="1" sqref="C203">
      <formula1>"Rate (per year)"</formula1>
    </dataValidation>
    <dataValidation type="list" allowBlank="1" showInputMessage="1" showErrorMessage="1" sqref="C204">
      <formula1>"Rate (per year)"</formula1>
    </dataValidation>
    <dataValidation type="list" allowBlank="1" showInputMessage="1" showErrorMessage="1" sqref="C205">
      <formula1>"Rate (per year)"</formula1>
    </dataValidation>
    <dataValidation type="list" allowBlank="1" showInputMessage="1" showErrorMessage="1" sqref="C206">
      <formula1>"Rate (per year)"</formula1>
    </dataValidation>
    <dataValidation type="list" allowBlank="1" showInputMessage="1" showErrorMessage="1" sqref="C207">
      <formula1>"Rate (per year)"</formula1>
    </dataValidation>
    <dataValidation type="list" allowBlank="1" showInputMessage="1" showErrorMessage="1" sqref="C208">
      <formula1>"Rate (per year)"</formula1>
    </dataValidation>
    <dataValidation type="list" allowBlank="1" showInputMessage="1" showErrorMessage="1" sqref="C209">
      <formula1>"Rate (per year)"</formula1>
    </dataValidation>
    <dataValidation type="list" allowBlank="1" showInputMessage="1" showErrorMessage="1" sqref="C212">
      <formula1>"Rate (per year)"</formula1>
    </dataValidation>
    <dataValidation type="list" allowBlank="1" showInputMessage="1" showErrorMessage="1" sqref="C213">
      <formula1>"Rate (per year)"</formula1>
    </dataValidation>
    <dataValidation type="list" allowBlank="1" showInputMessage="1" showErrorMessage="1" sqref="C214">
      <formula1>"Rate (per year)"</formula1>
    </dataValidation>
    <dataValidation type="list" allowBlank="1" showInputMessage="1" showErrorMessage="1" sqref="C215">
      <formula1>"Rate (per year)"</formula1>
    </dataValidation>
    <dataValidation type="list" allowBlank="1" showInputMessage="1" showErrorMessage="1" sqref="C216">
      <formula1>"Rate (per year)"</formula1>
    </dataValidation>
    <dataValidation type="list" allowBlank="1" showInputMessage="1" showErrorMessage="1" sqref="C217">
      <formula1>"Rate (per year)"</formula1>
    </dataValidation>
    <dataValidation type="list" allowBlank="1" showInputMessage="1" showErrorMessage="1" sqref="C218">
      <formula1>"Rate (per year)"</formula1>
    </dataValidation>
    <dataValidation type="list" allowBlank="1" showInputMessage="1" showErrorMessage="1" sqref="C219">
      <formula1>"Rate (per year)"</formula1>
    </dataValidation>
    <dataValidation type="list" allowBlank="1" showInputMessage="1" showErrorMessage="1" sqref="C220">
      <formula1>"Rate (per year)"</formula1>
    </dataValidation>
    <dataValidation type="list" allowBlank="1" showInputMessage="1" showErrorMessage="1" sqref="C221">
      <formula1>"Rate (per year)"</formula1>
    </dataValidation>
    <dataValidation type="list" allowBlank="1" showInputMessage="1" showErrorMessage="1" sqref="C222">
      <formula1>"Rate (per year)"</formula1>
    </dataValidation>
    <dataValidation type="list" allowBlank="1" showInputMessage="1" showErrorMessage="1" sqref="C223">
      <formula1>"Rate (per year)"</formula1>
    </dataValidation>
    <dataValidation type="list" allowBlank="1" showInputMessage="1" showErrorMessage="1" sqref="C226">
      <formula1>"N.A."</formula1>
    </dataValidation>
    <dataValidation type="list" allowBlank="1" showInputMessage="1" showErrorMessage="1" sqref="C227">
      <formula1>"N.A."</formula1>
    </dataValidation>
    <dataValidation type="list" allowBlank="1" showInputMessage="1" showErrorMessage="1" sqref="C228">
      <formula1>"N.A."</formula1>
    </dataValidation>
    <dataValidation type="list" allowBlank="1" showInputMessage="1" showErrorMessage="1" sqref="C229">
      <formula1>"N.A."</formula1>
    </dataValidation>
    <dataValidation type="list" allowBlank="1" showInputMessage="1" showErrorMessage="1" sqref="C230">
      <formula1>"N.A."</formula1>
    </dataValidation>
    <dataValidation type="list" allowBlank="1" showInputMessage="1" showErrorMessage="1" sqref="C231">
      <formula1>"N.A."</formula1>
    </dataValidation>
    <dataValidation type="list" allowBlank="1" showInputMessage="1" showErrorMessage="1" sqref="C232">
      <formula1>"N.A."</formula1>
    </dataValidation>
    <dataValidation type="list" allowBlank="1" showInputMessage="1" showErrorMessage="1" sqref="C233">
      <formula1>"N.A."</formula1>
    </dataValidation>
    <dataValidation type="list" allowBlank="1" showInputMessage="1" showErrorMessage="1" sqref="C234">
      <formula1>"N.A."</formula1>
    </dataValidation>
    <dataValidation type="list" allowBlank="1" showInputMessage="1" showErrorMessage="1" sqref="C235">
      <formula1>"N.A."</formula1>
    </dataValidation>
    <dataValidation type="list" allowBlank="1" showInputMessage="1" showErrorMessage="1" sqref="C236">
      <formula1>"N.A."</formula1>
    </dataValidation>
    <dataValidation type="list" allowBlank="1" showInputMessage="1" showErrorMessage="1" sqref="C237">
      <formula1>"N.A."</formula1>
    </dataValidation>
    <dataValidation type="list" allowBlank="1" showInputMessage="1" showErrorMessage="1" sqref="C240">
      <formula1>"N.A."</formula1>
    </dataValidation>
    <dataValidation type="list" allowBlank="1" showInputMessage="1" showErrorMessage="1" sqref="C241">
      <formula1>"N.A."</formula1>
    </dataValidation>
    <dataValidation type="list" allowBlank="1" showInputMessage="1" showErrorMessage="1" sqref="C242">
      <formula1>"N.A."</formula1>
    </dataValidation>
    <dataValidation type="list" allowBlank="1" showInputMessage="1" showErrorMessage="1" sqref="C243">
      <formula1>"N.A."</formula1>
    </dataValidation>
    <dataValidation type="list" allowBlank="1" showInputMessage="1" showErrorMessage="1" sqref="C244">
      <formula1>"N.A."</formula1>
    </dataValidation>
    <dataValidation type="list" allowBlank="1" showInputMessage="1" showErrorMessage="1" sqref="C245">
      <formula1>"N.A."</formula1>
    </dataValidation>
    <dataValidation type="list" allowBlank="1" showInputMessage="1" showErrorMessage="1" sqref="C246">
      <formula1>"N.A."</formula1>
    </dataValidation>
    <dataValidation type="list" allowBlank="1" showInputMessage="1" showErrorMessage="1" sqref="C247">
      <formula1>"N.A."</formula1>
    </dataValidation>
    <dataValidation type="list" allowBlank="1" showInputMessage="1" showErrorMessage="1" sqref="C248">
      <formula1>"N.A."</formula1>
    </dataValidation>
    <dataValidation type="list" allowBlank="1" showInputMessage="1" showErrorMessage="1" sqref="C249">
      <formula1>"N.A."</formula1>
    </dataValidation>
    <dataValidation type="list" allowBlank="1" showInputMessage="1" showErrorMessage="1" sqref="C250">
      <formula1>"N.A."</formula1>
    </dataValidation>
    <dataValidation type="list" allowBlank="1" showInputMessage="1" showErrorMessage="1" sqref="C251">
      <formula1>"N.A."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80.85546875" customWidth="1"/>
    <col min="2" max="2" width="12.710937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79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>
        <v>0.02576530612244899</v>
      </c>
      <c r="E2" s="3"/>
      <c r="F2" s="4" t="s">
        <v>37</v>
      </c>
      <c r="G2" s="3">
        <v>0.02675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>
        <v>0.05349999999999999</v>
      </c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>
        <v>0.02576530612244899</v>
      </c>
      <c r="E3" s="3"/>
      <c r="F3" s="4" t="s">
        <v>37</v>
      </c>
      <c r="G3" s="3">
        <v>0.02675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>
        <v>0.05349999999999999</v>
      </c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0.05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0.05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0.05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0.05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>
        <v>0.02576530612244899</v>
      </c>
      <c r="E16" s="3"/>
      <c r="F16" s="4" t="s">
        <v>37</v>
      </c>
      <c r="G16" s="3">
        <v>0.02675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>
        <v>0.05349999999999999</v>
      </c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>
        <v>0.02576530612244899</v>
      </c>
      <c r="E17" s="3"/>
      <c r="F17" s="4" t="s">
        <v>37</v>
      </c>
      <c r="G17" s="3">
        <v>0.02675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>
        <v>0.05349999999999999</v>
      </c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0.05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0.05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0.05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0.05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/>
      <c r="E36" s="3">
        <v>0.3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/>
      <c r="E37" s="3">
        <v>0.3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/>
      <c r="E38" s="3">
        <v>0.3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/>
      <c r="E39" s="3">
        <v>0.3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>
        <v>0.8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>
        <v>0.8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/>
      <c r="E50" s="3">
        <v>0.3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/>
      <c r="E51" s="3">
        <v>0.3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/>
      <c r="E52" s="3">
        <v>0.3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/>
      <c r="E53" s="3">
        <v>0.3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5.5703125" customWidth="1"/>
    <col min="2" max="2" width="30.28515625" customWidth="1"/>
    <col min="3" max="3" width="12.71093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83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48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48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48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48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48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48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48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48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48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48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48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48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84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48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48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48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48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48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48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48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48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48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48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48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48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86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48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48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48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48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48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48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48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48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48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48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48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48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87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48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48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48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48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48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48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48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48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48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48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48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48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88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48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48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48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48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48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48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48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48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48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48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48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48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"Proportion"</formula1>
    </dataValidation>
    <dataValidation type="list" allowBlank="1" showInputMessage="1" showErrorMessage="1" sqref="C17">
      <formula1>"Proportion"</formula1>
    </dataValidation>
    <dataValidation type="list" allowBlank="1" showInputMessage="1" showErrorMessage="1" sqref="C18">
      <formula1>"Proportion"</formula1>
    </dataValidation>
    <dataValidation type="list" allowBlank="1" showInputMessage="1" showErrorMessage="1" sqref="C19">
      <formula1>"Proportion"</formula1>
    </dataValidation>
    <dataValidation type="list" allowBlank="1" showInputMessage="1" showErrorMessage="1" sqref="C20">
      <formula1>"Proportion"</formula1>
    </dataValidation>
    <dataValidation type="list" allowBlank="1" showInputMessage="1" showErrorMessage="1" sqref="C21">
      <formula1>"Proportion"</formula1>
    </dataValidation>
    <dataValidation type="list" allowBlank="1" showInputMessage="1" showErrorMessage="1" sqref="C22">
      <formula1>"Proportion"</formula1>
    </dataValidation>
    <dataValidation type="list" allowBlank="1" showInputMessage="1" showErrorMessage="1" sqref="C23">
      <formula1>"Proportion"</formula1>
    </dataValidation>
    <dataValidation type="list" allowBlank="1" showInputMessage="1" showErrorMessage="1" sqref="C24">
      <formula1>"Proportion"</formula1>
    </dataValidation>
    <dataValidation type="list" allowBlank="1" showInputMessage="1" showErrorMessage="1" sqref="C25">
      <formula1>"Proportion"</formula1>
    </dataValidation>
    <dataValidation type="list" allowBlank="1" showInputMessage="1" showErrorMessage="1" sqref="C26">
      <formula1>"Proportion"</formula1>
    </dataValidation>
    <dataValidation type="list" allowBlank="1" showInputMessage="1" showErrorMessage="1" sqref="C27">
      <formula1>"Proportion"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"Proportion"</formula1>
    </dataValidation>
    <dataValidation type="list" allowBlank="1" showInputMessage="1" showErrorMessage="1" sqref="C45">
      <formula1>"Proportion"</formula1>
    </dataValidation>
    <dataValidation type="list" allowBlank="1" showInputMessage="1" showErrorMessage="1" sqref="C46">
      <formula1>"Proportion"</formula1>
    </dataValidation>
    <dataValidation type="list" allowBlank="1" showInputMessage="1" showErrorMessage="1" sqref="C47">
      <formula1>"Proportion"</formula1>
    </dataValidation>
    <dataValidation type="list" allowBlank="1" showInputMessage="1" showErrorMessage="1" sqref="C48">
      <formula1>"Proportion"</formula1>
    </dataValidation>
    <dataValidation type="list" allowBlank="1" showInputMessage="1" showErrorMessage="1" sqref="C49">
      <formula1>"Proportion"</formula1>
    </dataValidation>
    <dataValidation type="list" allowBlank="1" showInputMessage="1" showErrorMessage="1" sqref="C50">
      <formula1>"Proportion"</formula1>
    </dataValidation>
    <dataValidation type="list" allowBlank="1" showInputMessage="1" showErrorMessage="1" sqref="C51">
      <formula1>"Proportion"</formula1>
    </dataValidation>
    <dataValidation type="list" allowBlank="1" showInputMessage="1" showErrorMessage="1" sqref="C52">
      <formula1>"Proportion"</formula1>
    </dataValidation>
    <dataValidation type="list" allowBlank="1" showInputMessage="1" showErrorMessage="1" sqref="C53">
      <formula1>"Proportion"</formula1>
    </dataValidation>
    <dataValidation type="list" allowBlank="1" showInputMessage="1" showErrorMessage="1" sqref="C54">
      <formula1>"Proportion"</formula1>
    </dataValidation>
    <dataValidation type="list" allowBlank="1" showInputMessage="1" showErrorMessage="1" sqref="C55">
      <formula1>"Proportion"</formula1>
    </dataValidation>
    <dataValidation type="list" allowBlank="1" showInputMessage="1" showErrorMessage="1" sqref="C58">
      <formula1>"Proportion"</formula1>
    </dataValidation>
    <dataValidation type="list" allowBlank="1" showInputMessage="1" showErrorMessage="1" sqref="C59">
      <formula1>"Proportion"</formula1>
    </dataValidation>
    <dataValidation type="list" allowBlank="1" showInputMessage="1" showErrorMessage="1" sqref="C60">
      <formula1>"Proportion"</formula1>
    </dataValidation>
    <dataValidation type="list" allowBlank="1" showInputMessage="1" showErrorMessage="1" sqref="C61">
      <formula1>"Proportion"</formula1>
    </dataValidation>
    <dataValidation type="list" allowBlank="1" showInputMessage="1" showErrorMessage="1" sqref="C62">
      <formula1>"Proportion"</formula1>
    </dataValidation>
    <dataValidation type="list" allowBlank="1" showInputMessage="1" showErrorMessage="1" sqref="C63">
      <formula1>"Proportion"</formula1>
    </dataValidation>
    <dataValidation type="list" allowBlank="1" showInputMessage="1" showErrorMessage="1" sqref="C64">
      <formula1>"Proportion"</formula1>
    </dataValidation>
    <dataValidation type="list" allowBlank="1" showInputMessage="1" showErrorMessage="1" sqref="C65">
      <formula1>"Proportion"</formula1>
    </dataValidation>
    <dataValidation type="list" allowBlank="1" showInputMessage="1" showErrorMessage="1" sqref="C66">
      <formula1>"Proportion"</formula1>
    </dataValidation>
    <dataValidation type="list" allowBlank="1" showInputMessage="1" showErrorMessage="1" sqref="C67">
      <formula1>"Proportion"</formula1>
    </dataValidation>
    <dataValidation type="list" allowBlank="1" showInputMessage="1" showErrorMessage="1" sqref="C68">
      <formula1>"Proportion"</formula1>
    </dataValidation>
    <dataValidation type="list" allowBlank="1" showInputMessage="1" showErrorMessage="1" sqref="C69">
      <formula1>"Proportion"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1"/>
  <sheetViews>
    <sheetView workbookViewId="0"/>
  </sheetViews>
  <sheetFormatPr defaultRowHeight="15"/>
  <cols>
    <col min="1" max="1" width="78.7109375" customWidth="1"/>
    <col min="2" max="2" width="30.2851562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53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53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53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53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53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53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53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53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53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53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53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53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53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53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53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53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92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53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53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53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53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53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53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93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53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53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53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53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53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53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53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53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53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53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53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53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94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53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53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53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53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53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53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53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53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53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53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53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53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95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53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53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53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53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53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53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53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53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53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53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53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53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96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53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53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53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53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53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53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53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53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53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53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53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53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96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808080"/>
  </sheetPr>
  <dimension ref="A1:BE97"/>
  <sheetViews>
    <sheetView workbookViewId="0"/>
  </sheetViews>
  <sheetFormatPr defaultRowHeight="15"/>
  <cols>
    <col min="1" max="1" width="93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97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/>
      <c r="F4" s="4" t="s">
        <v>37</v>
      </c>
      <c r="G4" s="3"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>
        <v>0</v>
      </c>
      <c r="V4" s="3">
        <v>0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/>
      <c r="F5" s="4" t="s">
        <v>37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>
        <v>0</v>
      </c>
      <c r="V5" s="3">
        <v>0</v>
      </c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/>
      <c r="F6" s="4" t="s">
        <v>37</v>
      </c>
      <c r="G6" s="3">
        <v>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>
        <v>0</v>
      </c>
      <c r="V6" s="3">
        <v>0</v>
      </c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/>
      <c r="F7" s="4" t="s">
        <v>37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>
        <v>0</v>
      </c>
      <c r="V7" s="3">
        <v>0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/>
      <c r="F8" s="4" t="s">
        <v>37</v>
      </c>
      <c r="G8" s="3">
        <v>0.4768449918675619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>
        <v>0.4768449918675619</v>
      </c>
      <c r="V8" s="3">
        <v>0</v>
      </c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/>
      <c r="F9" s="4" t="s">
        <v>37</v>
      </c>
      <c r="G9" s="3">
        <v>0.4746758242302412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>
        <v>0.4746758242302412</v>
      </c>
      <c r="V9" s="3">
        <v>0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/>
      <c r="F10" s="4" t="s">
        <v>37</v>
      </c>
      <c r="G10" s="3">
        <v>0.02449239608843877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>
        <v>0.02449239608843877</v>
      </c>
      <c r="V10" s="3">
        <v>0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/>
      <c r="F11" s="4" t="s">
        <v>37</v>
      </c>
      <c r="G11" s="3">
        <v>0.0239867878137582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>
        <v>0.0239867878137582</v>
      </c>
      <c r="V11" s="3">
        <v>0</v>
      </c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98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56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56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56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>
        <v>0</v>
      </c>
      <c r="V18" s="3">
        <v>0</v>
      </c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56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>
        <v>0</v>
      </c>
      <c r="V19" s="3">
        <v>0</v>
      </c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56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>
        <v>0</v>
      </c>
      <c r="V20" s="3">
        <v>0</v>
      </c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56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>
        <v>0</v>
      </c>
      <c r="V21" s="3">
        <v>0</v>
      </c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56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>
        <v>0</v>
      </c>
      <c r="V22" s="3">
        <v>0.4768449918675619</v>
      </c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56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>
        <v>0</v>
      </c>
      <c r="V23" s="3">
        <v>0.4746758242302412</v>
      </c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56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>
        <v>0</v>
      </c>
      <c r="V24" s="3">
        <v>0.02449239608843877</v>
      </c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56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>
        <v>0</v>
      </c>
      <c r="V25" s="3">
        <v>0.0239867878137582</v>
      </c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56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56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99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/>
      <c r="F30" s="4" t="s">
        <v>37</v>
      </c>
      <c r="G30" s="3">
        <v>0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>
        <v>0</v>
      </c>
      <c r="V30" s="3">
        <v>0</v>
      </c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/>
      <c r="F31" s="4" t="s">
        <v>37</v>
      </c>
      <c r="G31" s="3">
        <v>0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>
        <v>0</v>
      </c>
      <c r="V31" s="3">
        <v>0</v>
      </c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100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>
        <v>0</v>
      </c>
      <c r="V44" s="3">
        <v>0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/>
      <c r="F45" s="4" t="s">
        <v>37</v>
      </c>
      <c r="G45" s="3">
        <v>0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>
        <v>0</v>
      </c>
      <c r="V45" s="3">
        <v>0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101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62</v>
      </c>
      <c r="D58" s="3"/>
      <c r="E58" s="3"/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>
        <v>0.46</v>
      </c>
      <c r="W58" s="3">
        <v>0.23</v>
      </c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62</v>
      </c>
      <c r="D59" s="3"/>
      <c r="E59" s="3"/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0.46</v>
      </c>
      <c r="W59" s="3">
        <v>0.23</v>
      </c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62</v>
      </c>
      <c r="D60" s="3"/>
      <c r="E60" s="3"/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>
        <v>0.46</v>
      </c>
      <c r="W60" s="3">
        <v>0.23</v>
      </c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62</v>
      </c>
      <c r="D61" s="3"/>
      <c r="E61" s="3"/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>
        <v>0.46</v>
      </c>
      <c r="W61" s="3">
        <v>0.23</v>
      </c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62</v>
      </c>
      <c r="D62" s="3"/>
      <c r="E62" s="3"/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>
        <v>0.46</v>
      </c>
      <c r="W62" s="3">
        <v>0.23</v>
      </c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62</v>
      </c>
      <c r="D63" s="3"/>
      <c r="E63" s="3"/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>
        <v>0.46</v>
      </c>
      <c r="W63" s="3">
        <v>0.23</v>
      </c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62</v>
      </c>
      <c r="D64" s="3"/>
      <c r="E64" s="3"/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>
        <v>0.46</v>
      </c>
      <c r="W64" s="3">
        <v>0.23</v>
      </c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62</v>
      </c>
      <c r="D65" s="3"/>
      <c r="E65" s="3"/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>
        <v>0.46</v>
      </c>
      <c r="W65" s="3">
        <v>0.23</v>
      </c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62</v>
      </c>
      <c r="D66" s="3"/>
      <c r="E66" s="3"/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>
        <v>0.46</v>
      </c>
      <c r="W66" s="3">
        <v>0.23</v>
      </c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62</v>
      </c>
      <c r="D67" s="3"/>
      <c r="E67" s="3"/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>
        <v>0.46</v>
      </c>
      <c r="W67" s="3">
        <v>0.23</v>
      </c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62</v>
      </c>
      <c r="D68" s="3"/>
      <c r="E68" s="3"/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>
        <v>0.46</v>
      </c>
      <c r="W68" s="3">
        <v>0.23</v>
      </c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62</v>
      </c>
      <c r="D69" s="3"/>
      <c r="E69" s="3"/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>
        <v>0.46</v>
      </c>
      <c r="W69" s="3">
        <v>0.23</v>
      </c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102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48</v>
      </c>
      <c r="D72" s="3"/>
      <c r="E72" s="3"/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>
        <v>0.5</v>
      </c>
      <c r="W72" s="3">
        <v>0.95</v>
      </c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48</v>
      </c>
      <c r="D73" s="3"/>
      <c r="E73" s="3"/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>
        <v>0.5</v>
      </c>
      <c r="W73" s="3">
        <v>0.95</v>
      </c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48</v>
      </c>
      <c r="D74" s="3"/>
      <c r="E74" s="3"/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>
        <v>0.5</v>
      </c>
      <c r="W74" s="3">
        <v>0.95</v>
      </c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48</v>
      </c>
      <c r="D75" s="3"/>
      <c r="E75" s="3"/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>
        <v>0.5</v>
      </c>
      <c r="W75" s="3">
        <v>0.95</v>
      </c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48</v>
      </c>
      <c r="D76" s="3"/>
      <c r="E76" s="3"/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>
        <v>0.5</v>
      </c>
      <c r="W76" s="3">
        <v>0.95</v>
      </c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48</v>
      </c>
      <c r="D77" s="3"/>
      <c r="E77" s="3"/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>
        <v>0.5</v>
      </c>
      <c r="W77" s="3">
        <v>0.95</v>
      </c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48</v>
      </c>
      <c r="D78" s="3"/>
      <c r="E78" s="3"/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>
        <v>0.5</v>
      </c>
      <c r="W78" s="3">
        <v>0.95</v>
      </c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48</v>
      </c>
      <c r="D79" s="3"/>
      <c r="E79" s="3"/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>
        <v>0.5</v>
      </c>
      <c r="W79" s="3">
        <v>0.95</v>
      </c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48</v>
      </c>
      <c r="D80" s="3"/>
      <c r="E80" s="3"/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>
        <v>0.5</v>
      </c>
      <c r="W80" s="3">
        <v>0.95</v>
      </c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48</v>
      </c>
      <c r="D81" s="3"/>
      <c r="E81" s="3"/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>
        <v>0.5</v>
      </c>
      <c r="W81" s="3">
        <v>0.95</v>
      </c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48</v>
      </c>
      <c r="D82" s="3"/>
      <c r="E82" s="3"/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>
        <v>0.5</v>
      </c>
      <c r="W82" s="3">
        <v>0.95</v>
      </c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48</v>
      </c>
      <c r="D83" s="3"/>
      <c r="E83" s="3"/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>
        <v>0.5</v>
      </c>
      <c r="W83" s="3">
        <v>0.95</v>
      </c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103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48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48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48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48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48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48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48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48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48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48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48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48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8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"Duration (years)"</formula1>
    </dataValidation>
    <dataValidation type="list" allowBlank="1" showInputMessage="1" showErrorMessage="1" sqref="C59">
      <formula1>"Duration (years)"</formula1>
    </dataValidation>
    <dataValidation type="list" allowBlank="1" showInputMessage="1" showErrorMessage="1" sqref="C60">
      <formula1>"Duration (years)"</formula1>
    </dataValidation>
    <dataValidation type="list" allowBlank="1" showInputMessage="1" showErrorMessage="1" sqref="C61">
      <formula1>"Duration (years)"</formula1>
    </dataValidation>
    <dataValidation type="list" allowBlank="1" showInputMessage="1" showErrorMessage="1" sqref="C62">
      <formula1>"Duration (years)"</formula1>
    </dataValidation>
    <dataValidation type="list" allowBlank="1" showInputMessage="1" showErrorMessage="1" sqref="C63">
      <formula1>"Duration (years)"</formula1>
    </dataValidation>
    <dataValidation type="list" allowBlank="1" showInputMessage="1" showErrorMessage="1" sqref="C64">
      <formula1>"Duration (years)"</formula1>
    </dataValidation>
    <dataValidation type="list" allowBlank="1" showInputMessage="1" showErrorMessage="1" sqref="C65">
      <formula1>"Duration (years)"</formula1>
    </dataValidation>
    <dataValidation type="list" allowBlank="1" showInputMessage="1" showErrorMessage="1" sqref="C66">
      <formula1>"Duration (years)"</formula1>
    </dataValidation>
    <dataValidation type="list" allowBlank="1" showInputMessage="1" showErrorMessage="1" sqref="C67">
      <formula1>"Duration (years)"</formula1>
    </dataValidation>
    <dataValidation type="list" allowBlank="1" showInputMessage="1" showErrorMessage="1" sqref="C68">
      <formula1>"Duration (years)"</formula1>
    </dataValidation>
    <dataValidation type="list" allowBlank="1" showInputMessage="1" showErrorMessage="1" sqref="C69">
      <formula1>"Duration (years)"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  <dataValidation type="list" allowBlank="1" showInputMessage="1" showErrorMessage="1" sqref="C86">
      <formula1>"Proportion"</formula1>
    </dataValidation>
    <dataValidation type="list" allowBlank="1" showInputMessage="1" showErrorMessage="1" sqref="C87">
      <formula1>"Proportion"</formula1>
    </dataValidation>
    <dataValidation type="list" allowBlank="1" showInputMessage="1" showErrorMessage="1" sqref="C88">
      <formula1>"Proportion"</formula1>
    </dataValidation>
    <dataValidation type="list" allowBlank="1" showInputMessage="1" showErrorMessage="1" sqref="C89">
      <formula1>"Proportion"</formula1>
    </dataValidation>
    <dataValidation type="list" allowBlank="1" showInputMessage="1" showErrorMessage="1" sqref="C90">
      <formula1>"Proportion"</formula1>
    </dataValidation>
    <dataValidation type="list" allowBlank="1" showInputMessage="1" showErrorMessage="1" sqref="C91">
      <formula1>"Proportion"</formula1>
    </dataValidation>
    <dataValidation type="list" allowBlank="1" showInputMessage="1" showErrorMessage="1" sqref="C92">
      <formula1>"Proportion"</formula1>
    </dataValidation>
    <dataValidation type="list" allowBlank="1" showInputMessage="1" showErrorMessage="1" sqref="C93">
      <formula1>"Proportion"</formula1>
    </dataValidation>
    <dataValidation type="list" allowBlank="1" showInputMessage="1" showErrorMessage="1" sqref="C94">
      <formula1>"Proportion"</formula1>
    </dataValidation>
    <dataValidation type="list" allowBlank="1" showInputMessage="1" showErrorMessage="1" sqref="C95">
      <formula1>"Proportion"</formula1>
    </dataValidation>
    <dataValidation type="list" allowBlank="1" showInputMessage="1" showErrorMessage="1" sqref="C96">
      <formula1>"Proportion"</formula1>
    </dataValidation>
    <dataValidation type="list" allowBlank="1" showInputMessage="1" showErrorMessage="1" sqref="C97">
      <formula1>"Proportion"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49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104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/>
      <c r="E2" s="3">
        <v>0.45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/>
      <c r="E3" s="3">
        <v>0.45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0.45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0.45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0.45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0.45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0.45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0.45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0.45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0.45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0.45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0.45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105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/>
      <c r="E16" s="3">
        <v>0.328548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/>
      <c r="E17" s="3">
        <v>0.328548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0.328548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0.328548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0.328548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0.328548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0.328548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0.328548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0.328548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0.328548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0.328548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0.328548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106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62</v>
      </c>
      <c r="D30" s="3"/>
      <c r="E30" s="3">
        <v>1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62</v>
      </c>
      <c r="D31" s="3"/>
      <c r="E31" s="3">
        <v>1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62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62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62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62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62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62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62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62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62</v>
      </c>
      <c r="D40" s="3"/>
      <c r="E40" s="3">
        <v>1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62</v>
      </c>
      <c r="D41" s="3"/>
      <c r="E41" s="3">
        <v>1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107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"Duration (years)"</formula1>
    </dataValidation>
    <dataValidation type="list" allowBlank="1" showInputMessage="1" showErrorMessage="1" sqref="C31">
      <formula1>"Duration (years)"</formula1>
    </dataValidation>
    <dataValidation type="list" allowBlank="1" showInputMessage="1" showErrorMessage="1" sqref="C32">
      <formula1>"Duration (years)"</formula1>
    </dataValidation>
    <dataValidation type="list" allowBlank="1" showInputMessage="1" showErrorMessage="1" sqref="C33">
      <formula1>"Duration (years)"</formula1>
    </dataValidation>
    <dataValidation type="list" allowBlank="1" showInputMessage="1" showErrorMessage="1" sqref="C34">
      <formula1>"Duration (years)"</formula1>
    </dataValidation>
    <dataValidation type="list" allowBlank="1" showInputMessage="1" showErrorMessage="1" sqref="C35">
      <formula1>"Duration (years)"</formula1>
    </dataValidation>
    <dataValidation type="list" allowBlank="1" showInputMessage="1" showErrorMessage="1" sqref="C36">
      <formula1>"Duration (years)"</formula1>
    </dataValidation>
    <dataValidation type="list" allowBlank="1" showInputMessage="1" showErrorMessage="1" sqref="C37">
      <formula1>"Duration (years)"</formula1>
    </dataValidation>
    <dataValidation type="list" allowBlank="1" showInputMessage="1" showErrorMessage="1" sqref="C38">
      <formula1>"Duration (years)"</formula1>
    </dataValidation>
    <dataValidation type="list" allowBlank="1" showInputMessage="1" showErrorMessage="1" sqref="C39">
      <formula1>"Duration (years)"</formula1>
    </dataValidation>
    <dataValidation type="list" allowBlank="1" showInputMessage="1" showErrorMessage="1" sqref="C40">
      <formula1>"Duration (years)"</formula1>
    </dataValidation>
    <dataValidation type="list" allowBlank="1" showInputMessage="1" showErrorMessage="1" sqref="C41">
      <formula1>"Duration (years)"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4"/>
  <sheetViews>
    <sheetView workbookViewId="0"/>
  </sheetViews>
  <sheetFormatPr defaultRowHeight="15"/>
  <cols>
    <col min="1" max="1" width="104" customWidth="1"/>
    <col min="2" max="2" width="12.7109375" customWidth="1"/>
    <col min="3" max="3" width="10.5703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108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34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34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34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34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34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34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34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34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34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34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34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34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4" spans="1:57">
      <c r="A14" s="1" t="s">
        <v>109</v>
      </c>
      <c r="C14" t="s">
        <v>34</v>
      </c>
      <c r="D14" s="3"/>
      <c r="E14" s="3">
        <v>0.0366325253286444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>
        <v>0.1098975759859332</v>
      </c>
      <c r="U14" s="3">
        <v>0.1139451084550686</v>
      </c>
      <c r="V14" s="3">
        <v>0.1179738537083094</v>
      </c>
      <c r="W14" s="3">
        <v>0.1218923644841655</v>
      </c>
      <c r="X14" s="3">
        <v>0.1258355181634383</v>
      </c>
      <c r="Y14" s="3">
        <v>0.1291877758913413</v>
      </c>
      <c r="Z14" s="3">
        <v>0.1332568763289663</v>
      </c>
      <c r="AA14" s="3">
        <v>0.1369761152089919</v>
      </c>
      <c r="AB14" s="3">
        <v>0.1398768865394928</v>
      </c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</row>
    <row r="16" spans="1:57">
      <c r="A16" s="1" t="s">
        <v>110</v>
      </c>
      <c r="B16" s="1" t="s">
        <v>29</v>
      </c>
      <c r="C16" s="1" t="s">
        <v>30</v>
      </c>
      <c r="D16" s="1" t="s">
        <v>31</v>
      </c>
      <c r="E16" s="1" t="s">
        <v>36</v>
      </c>
      <c r="F16" s="1"/>
      <c r="G16" s="1">
        <v>2000</v>
      </c>
      <c r="H16" s="1">
        <v>2001</v>
      </c>
      <c r="I16" s="1">
        <v>2002</v>
      </c>
      <c r="J16" s="1">
        <v>2003</v>
      </c>
      <c r="K16" s="1">
        <v>2004</v>
      </c>
      <c r="L16" s="1">
        <v>2005</v>
      </c>
      <c r="M16" s="1">
        <v>2006</v>
      </c>
      <c r="N16" s="1">
        <v>2007</v>
      </c>
      <c r="O16" s="1">
        <v>2008</v>
      </c>
      <c r="P16" s="1">
        <v>2009</v>
      </c>
      <c r="Q16" s="1">
        <v>2010</v>
      </c>
      <c r="R16" s="1">
        <v>2011</v>
      </c>
      <c r="S16" s="1">
        <v>2012</v>
      </c>
      <c r="T16" s="1">
        <v>2013</v>
      </c>
      <c r="U16" s="1">
        <v>2014</v>
      </c>
      <c r="V16" s="1">
        <v>2015</v>
      </c>
      <c r="W16" s="1">
        <v>2016</v>
      </c>
      <c r="X16" s="1">
        <v>2017</v>
      </c>
      <c r="Y16" s="1">
        <v>2018</v>
      </c>
      <c r="Z16" s="1">
        <v>2019</v>
      </c>
      <c r="AA16" s="1">
        <v>2020</v>
      </c>
      <c r="AB16" s="1">
        <v>2021</v>
      </c>
      <c r="AC16" s="1">
        <v>2022</v>
      </c>
      <c r="AD16" s="1">
        <v>2023</v>
      </c>
      <c r="AE16" s="1">
        <v>2024</v>
      </c>
      <c r="AF16" s="1">
        <v>2025</v>
      </c>
      <c r="AG16" s="1">
        <v>2026</v>
      </c>
      <c r="AH16" s="1">
        <v>2027</v>
      </c>
      <c r="AI16" s="1">
        <v>2028</v>
      </c>
      <c r="AJ16" s="1">
        <v>2029</v>
      </c>
      <c r="AK16" s="1">
        <v>2030</v>
      </c>
      <c r="AL16" s="1">
        <v>2031</v>
      </c>
      <c r="AM16" s="1">
        <v>2032</v>
      </c>
      <c r="AN16" s="1">
        <v>2033</v>
      </c>
      <c r="AO16" s="1">
        <v>2034</v>
      </c>
      <c r="AP16" s="1">
        <v>2035</v>
      </c>
      <c r="AQ16" s="1">
        <v>2036</v>
      </c>
      <c r="AR16" s="1">
        <v>2037</v>
      </c>
      <c r="AS16" s="1">
        <v>2038</v>
      </c>
      <c r="AT16" s="1">
        <v>2039</v>
      </c>
      <c r="AU16" s="1">
        <v>2040</v>
      </c>
      <c r="AV16" s="1">
        <v>2041</v>
      </c>
      <c r="AW16" s="1">
        <v>2042</v>
      </c>
      <c r="AX16" s="1">
        <v>2043</v>
      </c>
      <c r="AY16" s="1">
        <v>2044</v>
      </c>
      <c r="AZ16" s="1">
        <v>2045</v>
      </c>
      <c r="BA16" s="1">
        <v>2046</v>
      </c>
      <c r="BB16" s="1">
        <v>2047</v>
      </c>
      <c r="BC16" s="1">
        <v>2048</v>
      </c>
      <c r="BD16" s="1">
        <v>2049</v>
      </c>
      <c r="BE16" s="1">
        <v>2050</v>
      </c>
    </row>
    <row r="17" spans="1:57">
      <c r="A17" s="1" t="str">
        <f>'Population Definitions'!$A$2</f>
        <v>PWID_males</v>
      </c>
      <c r="C17" t="s">
        <v>32</v>
      </c>
      <c r="D17" s="3"/>
      <c r="E17" s="3"/>
      <c r="F17" s="4" t="s">
        <v>37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Definitions'!$A$3</f>
        <v>PWID_females</v>
      </c>
      <c r="C18" t="s">
        <v>32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Definitions'!$A$4</f>
        <v>0-9_males</v>
      </c>
      <c r="C19" t="s">
        <v>32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Definitions'!$A$5</f>
        <v>0-9_females</v>
      </c>
      <c r="C20" t="s">
        <v>32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Definitions'!$A$6</f>
        <v>10-17_males</v>
      </c>
      <c r="C21" t="s">
        <v>32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Definitions'!$A$7</f>
        <v>10-17_females</v>
      </c>
      <c r="C22" t="s">
        <v>32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Definitions'!$A$8</f>
        <v>18-64_males</v>
      </c>
      <c r="C23" t="s">
        <v>32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Definitions'!$A$9</f>
        <v>18-64_females</v>
      </c>
      <c r="C24" t="s">
        <v>32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Definitions'!$A$10</f>
        <v>65+_males</v>
      </c>
      <c r="C25" t="s">
        <v>32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Definitions'!$A$11</f>
        <v>65+_females</v>
      </c>
      <c r="C26" t="s">
        <v>32</v>
      </c>
      <c r="D26" s="3"/>
      <c r="E26" s="3"/>
      <c r="F26" s="4" t="s">
        <v>37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Definitions'!$A$12</f>
        <v>Prisoners_males</v>
      </c>
      <c r="C27" t="s">
        <v>32</v>
      </c>
      <c r="D27" s="3"/>
      <c r="E27" s="3"/>
      <c r="F27" s="4" t="s">
        <v>37</v>
      </c>
      <c r="G27" s="3">
        <v>0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Definitions'!$A$13</f>
        <v>Prisoners_females</v>
      </c>
      <c r="C28" t="s">
        <v>32</v>
      </c>
      <c r="D28" s="3"/>
      <c r="E28" s="3"/>
      <c r="F28" s="4" t="s">
        <v>37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">
        <v>109</v>
      </c>
      <c r="C29" t="s">
        <v>32</v>
      </c>
      <c r="D29" s="3"/>
      <c r="E29" s="3"/>
      <c r="F29" s="4" t="s">
        <v>37</v>
      </c>
      <c r="G29" s="3">
        <v>19.706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>
        <v>19.706</v>
      </c>
      <c r="V29" s="3">
        <v>59.118</v>
      </c>
      <c r="W29" s="3">
        <v>1.752</v>
      </c>
      <c r="X29" s="3">
        <v>142.921</v>
      </c>
      <c r="Y29" s="3">
        <v>2.331</v>
      </c>
      <c r="Z29" s="3">
        <v>1.831</v>
      </c>
      <c r="AA29" s="3">
        <v>0.436</v>
      </c>
      <c r="AB29" s="3">
        <v>2.119</v>
      </c>
      <c r="AC29" s="3">
        <v>0.065</v>
      </c>
      <c r="AD29" s="3">
        <v>0.065</v>
      </c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1" spans="1:57">
      <c r="A31" s="1" t="s">
        <v>111</v>
      </c>
      <c r="B31" s="1" t="s">
        <v>29</v>
      </c>
      <c r="C31" s="1" t="s">
        <v>30</v>
      </c>
      <c r="D31" s="1" t="s">
        <v>31</v>
      </c>
      <c r="E31" s="1" t="s">
        <v>36</v>
      </c>
      <c r="F31" s="1"/>
      <c r="G31" s="1">
        <v>2000</v>
      </c>
      <c r="H31" s="1">
        <v>2001</v>
      </c>
      <c r="I31" s="1">
        <v>2002</v>
      </c>
      <c r="J31" s="1">
        <v>2003</v>
      </c>
      <c r="K31" s="1">
        <v>2004</v>
      </c>
      <c r="L31" s="1">
        <v>2005</v>
      </c>
      <c r="M31" s="1">
        <v>2006</v>
      </c>
      <c r="N31" s="1">
        <v>2007</v>
      </c>
      <c r="O31" s="1">
        <v>2008</v>
      </c>
      <c r="P31" s="1">
        <v>2009</v>
      </c>
      <c r="Q31" s="1">
        <v>2010</v>
      </c>
      <c r="R31" s="1">
        <v>2011</v>
      </c>
      <c r="S31" s="1">
        <v>2012</v>
      </c>
      <c r="T31" s="1">
        <v>2013</v>
      </c>
      <c r="U31" s="1">
        <v>2014</v>
      </c>
      <c r="V31" s="1">
        <v>2015</v>
      </c>
      <c r="W31" s="1">
        <v>2016</v>
      </c>
      <c r="X31" s="1">
        <v>2017</v>
      </c>
      <c r="Y31" s="1">
        <v>2018</v>
      </c>
      <c r="Z31" s="1">
        <v>2019</v>
      </c>
      <c r="AA31" s="1">
        <v>2020</v>
      </c>
      <c r="AB31" s="1">
        <v>2021</v>
      </c>
      <c r="AC31" s="1">
        <v>2022</v>
      </c>
      <c r="AD31" s="1">
        <v>2023</v>
      </c>
      <c r="AE31" s="1">
        <v>2024</v>
      </c>
      <c r="AF31" s="1">
        <v>2025</v>
      </c>
      <c r="AG31" s="1">
        <v>2026</v>
      </c>
      <c r="AH31" s="1">
        <v>2027</v>
      </c>
      <c r="AI31" s="1">
        <v>2028</v>
      </c>
      <c r="AJ31" s="1">
        <v>2029</v>
      </c>
      <c r="AK31" s="1">
        <v>2030</v>
      </c>
      <c r="AL31" s="1">
        <v>2031</v>
      </c>
      <c r="AM31" s="1">
        <v>2032</v>
      </c>
      <c r="AN31" s="1">
        <v>2033</v>
      </c>
      <c r="AO31" s="1">
        <v>2034</v>
      </c>
      <c r="AP31" s="1">
        <v>2035</v>
      </c>
      <c r="AQ31" s="1">
        <v>2036</v>
      </c>
      <c r="AR31" s="1">
        <v>2037</v>
      </c>
      <c r="AS31" s="1">
        <v>2038</v>
      </c>
      <c r="AT31" s="1">
        <v>2039</v>
      </c>
      <c r="AU31" s="1">
        <v>2040</v>
      </c>
      <c r="AV31" s="1">
        <v>2041</v>
      </c>
      <c r="AW31" s="1">
        <v>2042</v>
      </c>
      <c r="AX31" s="1">
        <v>2043</v>
      </c>
      <c r="AY31" s="1">
        <v>2044</v>
      </c>
      <c r="AZ31" s="1">
        <v>2045</v>
      </c>
      <c r="BA31" s="1">
        <v>2046</v>
      </c>
      <c r="BB31" s="1">
        <v>2047</v>
      </c>
      <c r="BC31" s="1">
        <v>2048</v>
      </c>
      <c r="BD31" s="1">
        <v>2049</v>
      </c>
      <c r="BE31" s="1">
        <v>2050</v>
      </c>
    </row>
    <row r="32" spans="1:57">
      <c r="A32" s="1" t="str">
        <f>'Population Definitions'!$A$2</f>
        <v>PWID_males</v>
      </c>
      <c r="C32" t="s">
        <v>32</v>
      </c>
      <c r="D32" s="3"/>
      <c r="E32" s="3"/>
      <c r="F32" s="4" t="s">
        <v>37</v>
      </c>
      <c r="G32" s="3">
        <v>0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Definitions'!$A$3</f>
        <v>PWID_females</v>
      </c>
      <c r="C33" t="s">
        <v>32</v>
      </c>
      <c r="D33" s="3"/>
      <c r="E33" s="3"/>
      <c r="F33" s="4" t="s">
        <v>37</v>
      </c>
      <c r="G33" s="3">
        <v>0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Definitions'!$A$4</f>
        <v>0-9_males</v>
      </c>
      <c r="C34" t="s">
        <v>32</v>
      </c>
      <c r="D34" s="3"/>
      <c r="E34" s="3"/>
      <c r="F34" s="4" t="s">
        <v>37</v>
      </c>
      <c r="G34" s="3">
        <v>0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Definitions'!$A$5</f>
        <v>0-9_females</v>
      </c>
      <c r="C35" t="s">
        <v>32</v>
      </c>
      <c r="D35" s="3"/>
      <c r="E35" s="3"/>
      <c r="F35" s="4" t="s">
        <v>37</v>
      </c>
      <c r="G35" s="3">
        <v>0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Definitions'!$A$6</f>
        <v>10-17_males</v>
      </c>
      <c r="C36" t="s">
        <v>32</v>
      </c>
      <c r="D36" s="3"/>
      <c r="E36" s="3"/>
      <c r="F36" s="4" t="s">
        <v>37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Definitions'!$A$7</f>
        <v>10-17_females</v>
      </c>
      <c r="C37" t="s">
        <v>32</v>
      </c>
      <c r="D37" s="3"/>
      <c r="E37" s="3"/>
      <c r="F37" s="4" t="s">
        <v>37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Definitions'!$A$8</f>
        <v>18-64_males</v>
      </c>
      <c r="C38" t="s">
        <v>32</v>
      </c>
      <c r="D38" s="3"/>
      <c r="E38" s="3"/>
      <c r="F38" s="4" t="s">
        <v>37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Definitions'!$A$9</f>
        <v>18-64_females</v>
      </c>
      <c r="C39" t="s">
        <v>32</v>
      </c>
      <c r="D39" s="3"/>
      <c r="E39" s="3"/>
      <c r="F39" s="4" t="s">
        <v>37</v>
      </c>
      <c r="G39" s="3">
        <v>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Definitions'!$A$10</f>
        <v>65+_males</v>
      </c>
      <c r="C40" t="s">
        <v>32</v>
      </c>
      <c r="D40" s="3"/>
      <c r="E40" s="3"/>
      <c r="F40" s="4" t="s">
        <v>37</v>
      </c>
      <c r="G40" s="3">
        <v>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Definitions'!$A$11</f>
        <v>65+_females</v>
      </c>
      <c r="C41" t="s">
        <v>32</v>
      </c>
      <c r="D41" s="3"/>
      <c r="E41" s="3"/>
      <c r="F41" s="4" t="s">
        <v>37</v>
      </c>
      <c r="G41" s="3">
        <v>0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Definitions'!$A$12</f>
        <v>Prisoners_males</v>
      </c>
      <c r="C42" t="s">
        <v>32</v>
      </c>
      <c r="D42" s="3"/>
      <c r="E42" s="3"/>
      <c r="F42" s="4" t="s">
        <v>37</v>
      </c>
      <c r="G42" s="3">
        <v>0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Definitions'!$A$13</f>
        <v>Prisoners_females</v>
      </c>
      <c r="C43" t="s">
        <v>32</v>
      </c>
      <c r="D43" s="3"/>
      <c r="E43" s="3"/>
      <c r="F43" s="4" t="s">
        <v>37</v>
      </c>
      <c r="G43" s="3">
        <v>0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">
        <v>109</v>
      </c>
      <c r="C44" t="s">
        <v>32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6" spans="1:57">
      <c r="A46" s="1" t="s">
        <v>112</v>
      </c>
      <c r="B46" s="1" t="s">
        <v>29</v>
      </c>
      <c r="C46" s="1" t="s">
        <v>30</v>
      </c>
      <c r="D46" s="1" t="s">
        <v>31</v>
      </c>
      <c r="E46" s="1" t="s">
        <v>36</v>
      </c>
      <c r="F46" s="1"/>
      <c r="G46" s="1">
        <v>2000</v>
      </c>
      <c r="H46" s="1">
        <v>2001</v>
      </c>
      <c r="I46" s="1">
        <v>2002</v>
      </c>
      <c r="J46" s="1">
        <v>2003</v>
      </c>
      <c r="K46" s="1">
        <v>2004</v>
      </c>
      <c r="L46" s="1">
        <v>2005</v>
      </c>
      <c r="M46" s="1">
        <v>2006</v>
      </c>
      <c r="N46" s="1">
        <v>2007</v>
      </c>
      <c r="O46" s="1">
        <v>2008</v>
      </c>
      <c r="P46" s="1">
        <v>2009</v>
      </c>
      <c r="Q46" s="1">
        <v>2010</v>
      </c>
      <c r="R46" s="1">
        <v>2011</v>
      </c>
      <c r="S46" s="1">
        <v>2012</v>
      </c>
      <c r="T46" s="1">
        <v>2013</v>
      </c>
      <c r="U46" s="1">
        <v>2014</v>
      </c>
      <c r="V46" s="1">
        <v>2015</v>
      </c>
      <c r="W46" s="1">
        <v>2016</v>
      </c>
      <c r="X46" s="1">
        <v>2017</v>
      </c>
      <c r="Y46" s="1">
        <v>2018</v>
      </c>
      <c r="Z46" s="1">
        <v>2019</v>
      </c>
      <c r="AA46" s="1">
        <v>2020</v>
      </c>
      <c r="AB46" s="1">
        <v>2021</v>
      </c>
      <c r="AC46" s="1">
        <v>2022</v>
      </c>
      <c r="AD46" s="1">
        <v>2023</v>
      </c>
      <c r="AE46" s="1">
        <v>2024</v>
      </c>
      <c r="AF46" s="1">
        <v>2025</v>
      </c>
      <c r="AG46" s="1">
        <v>2026</v>
      </c>
      <c r="AH46" s="1">
        <v>2027</v>
      </c>
      <c r="AI46" s="1">
        <v>2028</v>
      </c>
      <c r="AJ46" s="1">
        <v>2029</v>
      </c>
      <c r="AK46" s="1">
        <v>2030</v>
      </c>
      <c r="AL46" s="1">
        <v>2031</v>
      </c>
      <c r="AM46" s="1">
        <v>2032</v>
      </c>
      <c r="AN46" s="1">
        <v>2033</v>
      </c>
      <c r="AO46" s="1">
        <v>2034</v>
      </c>
      <c r="AP46" s="1">
        <v>2035</v>
      </c>
      <c r="AQ46" s="1">
        <v>2036</v>
      </c>
      <c r="AR46" s="1">
        <v>2037</v>
      </c>
      <c r="AS46" s="1">
        <v>2038</v>
      </c>
      <c r="AT46" s="1">
        <v>2039</v>
      </c>
      <c r="AU46" s="1">
        <v>2040</v>
      </c>
      <c r="AV46" s="1">
        <v>2041</v>
      </c>
      <c r="AW46" s="1">
        <v>2042</v>
      </c>
      <c r="AX46" s="1">
        <v>2043</v>
      </c>
      <c r="AY46" s="1">
        <v>2044</v>
      </c>
      <c r="AZ46" s="1">
        <v>2045</v>
      </c>
      <c r="BA46" s="1">
        <v>2046</v>
      </c>
      <c r="BB46" s="1">
        <v>2047</v>
      </c>
      <c r="BC46" s="1">
        <v>2048</v>
      </c>
      <c r="BD46" s="1">
        <v>2049</v>
      </c>
      <c r="BE46" s="1">
        <v>2050</v>
      </c>
    </row>
    <row r="47" spans="1:57">
      <c r="A47" s="1" t="str">
        <f>'Population Definitions'!$A$2</f>
        <v>PWID_males</v>
      </c>
      <c r="C47" t="s">
        <v>32</v>
      </c>
      <c r="D47" s="3"/>
      <c r="E47" s="3"/>
      <c r="F47" s="4" t="s">
        <v>37</v>
      </c>
      <c r="G47" s="3">
        <v>0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Definitions'!$A$3</f>
        <v>PWID_females</v>
      </c>
      <c r="C48" t="s">
        <v>32</v>
      </c>
      <c r="D48" s="3"/>
      <c r="E48" s="3"/>
      <c r="F48" s="4" t="s">
        <v>37</v>
      </c>
      <c r="G48" s="3">
        <v>0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Definitions'!$A$4</f>
        <v>0-9_males</v>
      </c>
      <c r="C49" t="s">
        <v>32</v>
      </c>
      <c r="D49" s="3"/>
      <c r="E49" s="3"/>
      <c r="F49" s="4" t="s">
        <v>37</v>
      </c>
      <c r="G49" s="3">
        <v>0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Definitions'!$A$5</f>
        <v>0-9_females</v>
      </c>
      <c r="C50" t="s">
        <v>32</v>
      </c>
      <c r="D50" s="3"/>
      <c r="E50" s="3"/>
      <c r="F50" s="4" t="s">
        <v>37</v>
      </c>
      <c r="G50" s="3">
        <v>0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Definitions'!$A$6</f>
        <v>10-17_males</v>
      </c>
      <c r="C51" t="s">
        <v>32</v>
      </c>
      <c r="D51" s="3"/>
      <c r="E51" s="3"/>
      <c r="F51" s="4" t="s">
        <v>37</v>
      </c>
      <c r="G51" s="3">
        <v>0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Definitions'!$A$7</f>
        <v>10-17_females</v>
      </c>
      <c r="C52" t="s">
        <v>32</v>
      </c>
      <c r="D52" s="3"/>
      <c r="E52" s="3"/>
      <c r="F52" s="4" t="s">
        <v>37</v>
      </c>
      <c r="G52" s="3">
        <v>0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Definitions'!$A$8</f>
        <v>18-64_males</v>
      </c>
      <c r="C53" t="s">
        <v>32</v>
      </c>
      <c r="D53" s="3"/>
      <c r="E53" s="3"/>
      <c r="F53" s="4" t="s">
        <v>37</v>
      </c>
      <c r="G53" s="3">
        <v>0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Definitions'!$A$9</f>
        <v>18-64_females</v>
      </c>
      <c r="C54" t="s">
        <v>32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Definitions'!$A$10</f>
        <v>65+_males</v>
      </c>
      <c r="C55" t="s">
        <v>32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Definitions'!$A$11</f>
        <v>65+_females</v>
      </c>
      <c r="C56" t="s">
        <v>32</v>
      </c>
      <c r="D56" s="3"/>
      <c r="E56" s="3"/>
      <c r="F56" s="4" t="s">
        <v>37</v>
      </c>
      <c r="G56" s="3">
        <v>0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Definitions'!$A$12</f>
        <v>Prisoners_males</v>
      </c>
      <c r="C57" t="s">
        <v>32</v>
      </c>
      <c r="D57" s="3"/>
      <c r="E57" s="3"/>
      <c r="F57" s="4" t="s">
        <v>37</v>
      </c>
      <c r="G57" s="3">
        <v>0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Definitions'!$A$13</f>
        <v>Prisoners_females</v>
      </c>
      <c r="C58" t="s">
        <v>32</v>
      </c>
      <c r="D58" s="3"/>
      <c r="E58" s="3"/>
      <c r="F58" s="4" t="s">
        <v>37</v>
      </c>
      <c r="G58" s="3">
        <v>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">
        <v>109</v>
      </c>
      <c r="C59" t="s">
        <v>32</v>
      </c>
      <c r="D59" s="3"/>
      <c r="E59" s="3"/>
      <c r="F59" s="4" t="s">
        <v>37</v>
      </c>
      <c r="G59" s="3">
        <v>15924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15924</v>
      </c>
      <c r="W59" s="3">
        <v>15813</v>
      </c>
      <c r="X59" s="3">
        <v>15681</v>
      </c>
      <c r="Y59" s="3">
        <v>15441</v>
      </c>
      <c r="Z59" s="3">
        <v>15333</v>
      </c>
      <c r="AA59" s="3">
        <v>14725</v>
      </c>
      <c r="AB59" s="3">
        <v>14579</v>
      </c>
      <c r="AC59" s="3">
        <v>14235</v>
      </c>
      <c r="AD59" s="3">
        <v>13053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1" spans="1:57">
      <c r="A61" s="1" t="s">
        <v>113</v>
      </c>
      <c r="B61" s="1" t="s">
        <v>29</v>
      </c>
      <c r="C61" s="1" t="s">
        <v>30</v>
      </c>
      <c r="D61" s="1" t="s">
        <v>31</v>
      </c>
      <c r="E61" s="1" t="s">
        <v>36</v>
      </c>
      <c r="F61" s="1"/>
      <c r="G61" s="1">
        <v>2000</v>
      </c>
      <c r="H61" s="1">
        <v>2001</v>
      </c>
      <c r="I61" s="1">
        <v>2002</v>
      </c>
      <c r="J61" s="1">
        <v>2003</v>
      </c>
      <c r="K61" s="1">
        <v>2004</v>
      </c>
      <c r="L61" s="1">
        <v>2005</v>
      </c>
      <c r="M61" s="1">
        <v>2006</v>
      </c>
      <c r="N61" s="1">
        <v>2007</v>
      </c>
      <c r="O61" s="1">
        <v>2008</v>
      </c>
      <c r="P61" s="1">
        <v>2009</v>
      </c>
      <c r="Q61" s="1">
        <v>2010</v>
      </c>
      <c r="R61" s="1">
        <v>2011</v>
      </c>
      <c r="S61" s="1">
        <v>2012</v>
      </c>
      <c r="T61" s="1">
        <v>2013</v>
      </c>
      <c r="U61" s="1">
        <v>2014</v>
      </c>
      <c r="V61" s="1">
        <v>2015</v>
      </c>
      <c r="W61" s="1">
        <v>2016</v>
      </c>
      <c r="X61" s="1">
        <v>2017</v>
      </c>
      <c r="Y61" s="1">
        <v>2018</v>
      </c>
      <c r="Z61" s="1">
        <v>2019</v>
      </c>
      <c r="AA61" s="1">
        <v>2020</v>
      </c>
      <c r="AB61" s="1">
        <v>2021</v>
      </c>
      <c r="AC61" s="1">
        <v>2022</v>
      </c>
      <c r="AD61" s="1">
        <v>2023</v>
      </c>
      <c r="AE61" s="1">
        <v>2024</v>
      </c>
      <c r="AF61" s="1">
        <v>2025</v>
      </c>
      <c r="AG61" s="1">
        <v>2026</v>
      </c>
      <c r="AH61" s="1">
        <v>2027</v>
      </c>
      <c r="AI61" s="1">
        <v>2028</v>
      </c>
      <c r="AJ61" s="1">
        <v>2029</v>
      </c>
      <c r="AK61" s="1">
        <v>2030</v>
      </c>
      <c r="AL61" s="1">
        <v>2031</v>
      </c>
      <c r="AM61" s="1">
        <v>2032</v>
      </c>
      <c r="AN61" s="1">
        <v>2033</v>
      </c>
      <c r="AO61" s="1">
        <v>2034</v>
      </c>
      <c r="AP61" s="1">
        <v>2035</v>
      </c>
      <c r="AQ61" s="1">
        <v>2036</v>
      </c>
      <c r="AR61" s="1">
        <v>2037</v>
      </c>
      <c r="AS61" s="1">
        <v>2038</v>
      </c>
      <c r="AT61" s="1">
        <v>2039</v>
      </c>
      <c r="AU61" s="1">
        <v>2040</v>
      </c>
      <c r="AV61" s="1">
        <v>2041</v>
      </c>
      <c r="AW61" s="1">
        <v>2042</v>
      </c>
      <c r="AX61" s="1">
        <v>2043</v>
      </c>
      <c r="AY61" s="1">
        <v>2044</v>
      </c>
      <c r="AZ61" s="1">
        <v>2045</v>
      </c>
      <c r="BA61" s="1">
        <v>2046</v>
      </c>
      <c r="BB61" s="1">
        <v>2047</v>
      </c>
      <c r="BC61" s="1">
        <v>2048</v>
      </c>
      <c r="BD61" s="1">
        <v>2049</v>
      </c>
      <c r="BE61" s="1">
        <v>2050</v>
      </c>
    </row>
    <row r="62" spans="1:57">
      <c r="A62" s="1" t="str">
        <f>'Population Definitions'!$A$2</f>
        <v>PWID_males</v>
      </c>
      <c r="C62" t="s">
        <v>32</v>
      </c>
      <c r="D62" s="3"/>
      <c r="E62" s="3"/>
      <c r="F62" s="4" t="s">
        <v>37</v>
      </c>
      <c r="G62" s="3">
        <v>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Definitions'!$A$3</f>
        <v>PWID_females</v>
      </c>
      <c r="C63" t="s">
        <v>32</v>
      </c>
      <c r="D63" s="3"/>
      <c r="E63" s="3"/>
      <c r="F63" s="4" t="s">
        <v>37</v>
      </c>
      <c r="G63" s="3">
        <v>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Definitions'!$A$4</f>
        <v>0-9_males</v>
      </c>
      <c r="C64" t="s">
        <v>32</v>
      </c>
      <c r="D64" s="3"/>
      <c r="E64" s="3"/>
      <c r="F64" s="4" t="s">
        <v>37</v>
      </c>
      <c r="G64" s="3">
        <v>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Definitions'!$A$5</f>
        <v>0-9_females</v>
      </c>
      <c r="C65" t="s">
        <v>32</v>
      </c>
      <c r="D65" s="3"/>
      <c r="E65" s="3"/>
      <c r="F65" s="4" t="s">
        <v>37</v>
      </c>
      <c r="G65" s="3">
        <v>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Definitions'!$A$6</f>
        <v>10-17_males</v>
      </c>
      <c r="C66" t="s">
        <v>32</v>
      </c>
      <c r="D66" s="3"/>
      <c r="E66" s="3"/>
      <c r="F66" s="4" t="s">
        <v>37</v>
      </c>
      <c r="G66" s="3">
        <v>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Definitions'!$A$7</f>
        <v>10-17_females</v>
      </c>
      <c r="C67" t="s">
        <v>32</v>
      </c>
      <c r="D67" s="3"/>
      <c r="E67" s="3"/>
      <c r="F67" s="4" t="s">
        <v>37</v>
      </c>
      <c r="G67" s="3">
        <v>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Definitions'!$A$8</f>
        <v>18-64_males</v>
      </c>
      <c r="C68" t="s">
        <v>32</v>
      </c>
      <c r="D68" s="3"/>
      <c r="E68" s="3"/>
      <c r="F68" s="4" t="s">
        <v>37</v>
      </c>
      <c r="G68" s="3">
        <v>0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Definitions'!$A$9</f>
        <v>18-64_females</v>
      </c>
      <c r="C69" t="s">
        <v>32</v>
      </c>
      <c r="D69" s="3"/>
      <c r="E69" s="3"/>
      <c r="F69" s="4" t="s">
        <v>37</v>
      </c>
      <c r="G69" s="3">
        <v>0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Definitions'!$A$10</f>
        <v>65+_males</v>
      </c>
      <c r="C70" t="s">
        <v>32</v>
      </c>
      <c r="D70" s="3"/>
      <c r="E70" s="3"/>
      <c r="F70" s="4" t="s">
        <v>37</v>
      </c>
      <c r="G70" s="3">
        <v>0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Definitions'!$A$11</f>
        <v>65+_females</v>
      </c>
      <c r="C71" t="s">
        <v>32</v>
      </c>
      <c r="D71" s="3"/>
      <c r="E71" s="3"/>
      <c r="F71" s="4" t="s">
        <v>37</v>
      </c>
      <c r="G71" s="3">
        <v>0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Definitions'!$A$12</f>
        <v>Prisoners_males</v>
      </c>
      <c r="C72" t="s">
        <v>32</v>
      </c>
      <c r="D72" s="3"/>
      <c r="E72" s="3"/>
      <c r="F72" s="4" t="s">
        <v>37</v>
      </c>
      <c r="G72" s="3">
        <v>0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Definitions'!$A$13</f>
        <v>Prisoners_females</v>
      </c>
      <c r="C73" t="s">
        <v>32</v>
      </c>
      <c r="D73" s="3"/>
      <c r="E73" s="3"/>
      <c r="F73" s="4" t="s">
        <v>37</v>
      </c>
      <c r="G73" s="3">
        <v>0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">
        <v>109</v>
      </c>
      <c r="C74" t="s">
        <v>32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6" spans="1:57">
      <c r="A76" s="1" t="s">
        <v>114</v>
      </c>
      <c r="B76" s="1" t="s">
        <v>29</v>
      </c>
      <c r="C76" s="1" t="s">
        <v>30</v>
      </c>
      <c r="D76" s="1" t="s">
        <v>31</v>
      </c>
      <c r="E76" s="1" t="s">
        <v>36</v>
      </c>
      <c r="F76" s="1"/>
      <c r="G76" s="1">
        <v>2000</v>
      </c>
      <c r="H76" s="1">
        <v>2001</v>
      </c>
      <c r="I76" s="1">
        <v>2002</v>
      </c>
      <c r="J76" s="1">
        <v>2003</v>
      </c>
      <c r="K76" s="1">
        <v>2004</v>
      </c>
      <c r="L76" s="1">
        <v>2005</v>
      </c>
      <c r="M76" s="1">
        <v>2006</v>
      </c>
      <c r="N76" s="1">
        <v>2007</v>
      </c>
      <c r="O76" s="1">
        <v>2008</v>
      </c>
      <c r="P76" s="1">
        <v>2009</v>
      </c>
      <c r="Q76" s="1">
        <v>2010</v>
      </c>
      <c r="R76" s="1">
        <v>2011</v>
      </c>
      <c r="S76" s="1">
        <v>2012</v>
      </c>
      <c r="T76" s="1">
        <v>2013</v>
      </c>
      <c r="U76" s="1">
        <v>2014</v>
      </c>
      <c r="V76" s="1">
        <v>2015</v>
      </c>
      <c r="W76" s="1">
        <v>2016</v>
      </c>
      <c r="X76" s="1">
        <v>2017</v>
      </c>
      <c r="Y76" s="1">
        <v>2018</v>
      </c>
      <c r="Z76" s="1">
        <v>2019</v>
      </c>
      <c r="AA76" s="1">
        <v>2020</v>
      </c>
      <c r="AB76" s="1">
        <v>2021</v>
      </c>
      <c r="AC76" s="1">
        <v>2022</v>
      </c>
      <c r="AD76" s="1">
        <v>2023</v>
      </c>
      <c r="AE76" s="1">
        <v>2024</v>
      </c>
      <c r="AF76" s="1">
        <v>2025</v>
      </c>
      <c r="AG76" s="1">
        <v>2026</v>
      </c>
      <c r="AH76" s="1">
        <v>2027</v>
      </c>
      <c r="AI76" s="1">
        <v>2028</v>
      </c>
      <c r="AJ76" s="1">
        <v>2029</v>
      </c>
      <c r="AK76" s="1">
        <v>2030</v>
      </c>
      <c r="AL76" s="1">
        <v>2031</v>
      </c>
      <c r="AM76" s="1">
        <v>2032</v>
      </c>
      <c r="AN76" s="1">
        <v>2033</v>
      </c>
      <c r="AO76" s="1">
        <v>2034</v>
      </c>
      <c r="AP76" s="1">
        <v>2035</v>
      </c>
      <c r="AQ76" s="1">
        <v>2036</v>
      </c>
      <c r="AR76" s="1">
        <v>2037</v>
      </c>
      <c r="AS76" s="1">
        <v>2038</v>
      </c>
      <c r="AT76" s="1">
        <v>2039</v>
      </c>
      <c r="AU76" s="1">
        <v>2040</v>
      </c>
      <c r="AV76" s="1">
        <v>2041</v>
      </c>
      <c r="AW76" s="1">
        <v>2042</v>
      </c>
      <c r="AX76" s="1">
        <v>2043</v>
      </c>
      <c r="AY76" s="1">
        <v>2044</v>
      </c>
      <c r="AZ76" s="1">
        <v>2045</v>
      </c>
      <c r="BA76" s="1">
        <v>2046</v>
      </c>
      <c r="BB76" s="1">
        <v>2047</v>
      </c>
      <c r="BC76" s="1">
        <v>2048</v>
      </c>
      <c r="BD76" s="1">
        <v>2049</v>
      </c>
      <c r="BE76" s="1">
        <v>2050</v>
      </c>
    </row>
    <row r="77" spans="1:57">
      <c r="A77" s="1" t="str">
        <f>'Population Definitions'!$A$2</f>
        <v>PWID_males</v>
      </c>
      <c r="C77" t="s">
        <v>32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Definitions'!$A$3</f>
        <v>PWID_females</v>
      </c>
      <c r="C78" t="s">
        <v>32</v>
      </c>
      <c r="D78" s="3"/>
      <c r="E78" s="3"/>
      <c r="F78" s="4" t="s">
        <v>37</v>
      </c>
      <c r="G78" s="3">
        <v>0</v>
      </c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Definitions'!$A$4</f>
        <v>0-9_males</v>
      </c>
      <c r="C79" t="s">
        <v>32</v>
      </c>
      <c r="D79" s="3"/>
      <c r="E79" s="3"/>
      <c r="F79" s="4" t="s">
        <v>37</v>
      </c>
      <c r="G79" s="3">
        <v>0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Definitions'!$A$5</f>
        <v>0-9_females</v>
      </c>
      <c r="C80" t="s">
        <v>32</v>
      </c>
      <c r="D80" s="3"/>
      <c r="E80" s="3"/>
      <c r="F80" s="4" t="s">
        <v>37</v>
      </c>
      <c r="G80" s="3">
        <v>0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Definitions'!$A$6</f>
        <v>10-17_males</v>
      </c>
      <c r="C81" t="s">
        <v>32</v>
      </c>
      <c r="D81" s="3"/>
      <c r="E81" s="3"/>
      <c r="F81" s="4" t="s">
        <v>37</v>
      </c>
      <c r="G81" s="3">
        <v>0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Definitions'!$A$7</f>
        <v>10-17_females</v>
      </c>
      <c r="C82" t="s">
        <v>32</v>
      </c>
      <c r="D82" s="3"/>
      <c r="E82" s="3"/>
      <c r="F82" s="4" t="s">
        <v>37</v>
      </c>
      <c r="G82" s="3">
        <v>0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Definitions'!$A$8</f>
        <v>18-64_males</v>
      </c>
      <c r="C83" t="s">
        <v>32</v>
      </c>
      <c r="D83" s="3"/>
      <c r="E83" s="3"/>
      <c r="F83" s="4" t="s">
        <v>37</v>
      </c>
      <c r="G83" s="3">
        <v>0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Definitions'!$A$9</f>
        <v>18-64_females</v>
      </c>
      <c r="C84" t="s">
        <v>32</v>
      </c>
      <c r="D84" s="3"/>
      <c r="E84" s="3"/>
      <c r="F84" s="4" t="s">
        <v>37</v>
      </c>
      <c r="G84" s="3">
        <v>0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Definitions'!$A$10</f>
        <v>65+_males</v>
      </c>
      <c r="C85" t="s">
        <v>32</v>
      </c>
      <c r="D85" s="3"/>
      <c r="E85" s="3"/>
      <c r="F85" s="4" t="s">
        <v>37</v>
      </c>
      <c r="G85" s="3">
        <v>0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Definitions'!$A$11</f>
        <v>65+_females</v>
      </c>
      <c r="C86" t="s">
        <v>32</v>
      </c>
      <c r="D86" s="3"/>
      <c r="E86" s="3"/>
      <c r="F86" s="4" t="s">
        <v>37</v>
      </c>
      <c r="G86" s="3">
        <v>0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Definitions'!$A$12</f>
        <v>Prisoners_males</v>
      </c>
      <c r="C87" t="s">
        <v>32</v>
      </c>
      <c r="D87" s="3"/>
      <c r="E87" s="3"/>
      <c r="F87" s="4" t="s">
        <v>37</v>
      </c>
      <c r="G87" s="3">
        <v>0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Definitions'!$A$13</f>
        <v>Prisoners_females</v>
      </c>
      <c r="C88" t="s">
        <v>32</v>
      </c>
      <c r="D88" s="3"/>
      <c r="E88" s="3"/>
      <c r="F88" s="4" t="s">
        <v>37</v>
      </c>
      <c r="G88" s="3">
        <v>0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">
        <v>109</v>
      </c>
      <c r="C89" t="s">
        <v>32</v>
      </c>
      <c r="D89" s="3"/>
      <c r="E89" s="3"/>
      <c r="F89" s="4" t="s">
        <v>37</v>
      </c>
      <c r="G89" s="3">
        <v>163.8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>
        <v>163.8</v>
      </c>
      <c r="W89" s="3">
        <v>163.8</v>
      </c>
      <c r="X89" s="3">
        <v>163.8</v>
      </c>
      <c r="Y89" s="3">
        <v>163.8</v>
      </c>
      <c r="Z89" s="3">
        <v>163.8</v>
      </c>
      <c r="AA89" s="3">
        <v>163.8</v>
      </c>
      <c r="AB89" s="3">
        <v>163.8</v>
      </c>
      <c r="AC89" s="3">
        <v>163.8</v>
      </c>
      <c r="AD89" s="3">
        <v>163.8</v>
      </c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1" spans="1:57">
      <c r="A91" s="1" t="s">
        <v>115</v>
      </c>
      <c r="B91" s="1" t="s">
        <v>29</v>
      </c>
      <c r="C91" s="1" t="s">
        <v>30</v>
      </c>
      <c r="D91" s="1" t="s">
        <v>31</v>
      </c>
      <c r="E91" s="1" t="s">
        <v>36</v>
      </c>
      <c r="F91" s="1"/>
      <c r="G91" s="1">
        <v>2000</v>
      </c>
      <c r="H91" s="1">
        <v>2001</v>
      </c>
      <c r="I91" s="1">
        <v>2002</v>
      </c>
      <c r="J91" s="1">
        <v>2003</v>
      </c>
      <c r="K91" s="1">
        <v>2004</v>
      </c>
      <c r="L91" s="1">
        <v>2005</v>
      </c>
      <c r="M91" s="1">
        <v>2006</v>
      </c>
      <c r="N91" s="1">
        <v>2007</v>
      </c>
      <c r="O91" s="1">
        <v>2008</v>
      </c>
      <c r="P91" s="1">
        <v>2009</v>
      </c>
      <c r="Q91" s="1">
        <v>2010</v>
      </c>
      <c r="R91" s="1">
        <v>2011</v>
      </c>
      <c r="S91" s="1">
        <v>2012</v>
      </c>
      <c r="T91" s="1">
        <v>2013</v>
      </c>
      <c r="U91" s="1">
        <v>2014</v>
      </c>
      <c r="V91" s="1">
        <v>2015</v>
      </c>
      <c r="W91" s="1">
        <v>2016</v>
      </c>
      <c r="X91" s="1">
        <v>2017</v>
      </c>
      <c r="Y91" s="1">
        <v>2018</v>
      </c>
      <c r="Z91" s="1">
        <v>2019</v>
      </c>
      <c r="AA91" s="1">
        <v>2020</v>
      </c>
      <c r="AB91" s="1">
        <v>2021</v>
      </c>
      <c r="AC91" s="1">
        <v>2022</v>
      </c>
      <c r="AD91" s="1">
        <v>2023</v>
      </c>
      <c r="AE91" s="1">
        <v>2024</v>
      </c>
      <c r="AF91" s="1">
        <v>2025</v>
      </c>
      <c r="AG91" s="1">
        <v>2026</v>
      </c>
      <c r="AH91" s="1">
        <v>2027</v>
      </c>
      <c r="AI91" s="1">
        <v>2028</v>
      </c>
      <c r="AJ91" s="1">
        <v>2029</v>
      </c>
      <c r="AK91" s="1">
        <v>2030</v>
      </c>
      <c r="AL91" s="1">
        <v>2031</v>
      </c>
      <c r="AM91" s="1">
        <v>2032</v>
      </c>
      <c r="AN91" s="1">
        <v>2033</v>
      </c>
      <c r="AO91" s="1">
        <v>2034</v>
      </c>
      <c r="AP91" s="1">
        <v>2035</v>
      </c>
      <c r="AQ91" s="1">
        <v>2036</v>
      </c>
      <c r="AR91" s="1">
        <v>2037</v>
      </c>
      <c r="AS91" s="1">
        <v>2038</v>
      </c>
      <c r="AT91" s="1">
        <v>2039</v>
      </c>
      <c r="AU91" s="1">
        <v>2040</v>
      </c>
      <c r="AV91" s="1">
        <v>2041</v>
      </c>
      <c r="AW91" s="1">
        <v>2042</v>
      </c>
      <c r="AX91" s="1">
        <v>2043</v>
      </c>
      <c r="AY91" s="1">
        <v>2044</v>
      </c>
      <c r="AZ91" s="1">
        <v>2045</v>
      </c>
      <c r="BA91" s="1">
        <v>2046</v>
      </c>
      <c r="BB91" s="1">
        <v>2047</v>
      </c>
      <c r="BC91" s="1">
        <v>2048</v>
      </c>
      <c r="BD91" s="1">
        <v>2049</v>
      </c>
      <c r="BE91" s="1">
        <v>2050</v>
      </c>
    </row>
    <row r="92" spans="1:57">
      <c r="A92" s="1" t="str">
        <f>'Population Definitions'!$A$2</f>
        <v>PWID_males</v>
      </c>
      <c r="C92" t="s">
        <v>32</v>
      </c>
      <c r="D92" s="3"/>
      <c r="E92" s="3"/>
      <c r="F92" s="4" t="s">
        <v>37</v>
      </c>
      <c r="G92" s="3">
        <v>0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Definitions'!$A$3</f>
        <v>PWID_females</v>
      </c>
      <c r="C93" t="s">
        <v>32</v>
      </c>
      <c r="D93" s="3"/>
      <c r="E93" s="3"/>
      <c r="F93" s="4" t="s">
        <v>37</v>
      </c>
      <c r="G93" s="3">
        <v>0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Definitions'!$A$4</f>
        <v>0-9_males</v>
      </c>
      <c r="C94" t="s">
        <v>32</v>
      </c>
      <c r="D94" s="3"/>
      <c r="E94" s="3"/>
      <c r="F94" s="4" t="s">
        <v>37</v>
      </c>
      <c r="G94" s="3">
        <v>0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Definitions'!$A$5</f>
        <v>0-9_females</v>
      </c>
      <c r="C95" t="s">
        <v>32</v>
      </c>
      <c r="D95" s="3"/>
      <c r="E95" s="3"/>
      <c r="F95" s="4" t="s">
        <v>37</v>
      </c>
      <c r="G95" s="3">
        <v>0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Definitions'!$A$6</f>
        <v>10-17_males</v>
      </c>
      <c r="C96" t="s">
        <v>32</v>
      </c>
      <c r="D96" s="3"/>
      <c r="E96" s="3"/>
      <c r="F96" s="4" t="s">
        <v>37</v>
      </c>
      <c r="G96" s="3">
        <v>0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Definitions'!$A$7</f>
        <v>10-17_females</v>
      </c>
      <c r="C97" t="s">
        <v>32</v>
      </c>
      <c r="D97" s="3"/>
      <c r="E97" s="3"/>
      <c r="F97" s="4" t="s">
        <v>37</v>
      </c>
      <c r="G97" s="3">
        <v>0</v>
      </c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8" spans="1:57">
      <c r="A98" s="1" t="str">
        <f>'Population Definitions'!$A$8</f>
        <v>18-64_males</v>
      </c>
      <c r="C98" t="s">
        <v>32</v>
      </c>
      <c r="D98" s="3"/>
      <c r="E98" s="3"/>
      <c r="F98" s="4" t="s">
        <v>37</v>
      </c>
      <c r="G98" s="3">
        <v>0</v>
      </c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1:57">
      <c r="A99" s="1" t="str">
        <f>'Population Definitions'!$A$9</f>
        <v>18-64_females</v>
      </c>
      <c r="C99" t="s">
        <v>32</v>
      </c>
      <c r="D99" s="3"/>
      <c r="E99" s="3"/>
      <c r="F99" s="4" t="s">
        <v>37</v>
      </c>
      <c r="G99" s="3">
        <v>0</v>
      </c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1:57">
      <c r="A100" s="1" t="str">
        <f>'Population Definitions'!$A$10</f>
        <v>65+_males</v>
      </c>
      <c r="C100" t="s">
        <v>32</v>
      </c>
      <c r="D100" s="3"/>
      <c r="E100" s="3"/>
      <c r="F100" s="4" t="s">
        <v>37</v>
      </c>
      <c r="G100" s="3">
        <v>0</v>
      </c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Definitions'!$A$11</f>
        <v>65+_females</v>
      </c>
      <c r="C101" t="s">
        <v>32</v>
      </c>
      <c r="D101" s="3"/>
      <c r="E101" s="3"/>
      <c r="F101" s="4" t="s">
        <v>37</v>
      </c>
      <c r="G101" s="3">
        <v>0</v>
      </c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Definitions'!$A$12</f>
        <v>Prisoners_males</v>
      </c>
      <c r="C102" t="s">
        <v>32</v>
      </c>
      <c r="D102" s="3"/>
      <c r="E102" s="3"/>
      <c r="F102" s="4" t="s">
        <v>37</v>
      </c>
      <c r="G102" s="3">
        <v>0</v>
      </c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Definitions'!$A$13</f>
        <v>Prisoners_females</v>
      </c>
      <c r="C103" t="s">
        <v>32</v>
      </c>
      <c r="D103" s="3"/>
      <c r="E103" s="3"/>
      <c r="F103" s="4" t="s">
        <v>37</v>
      </c>
      <c r="G103" s="3">
        <v>0</v>
      </c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">
        <v>109</v>
      </c>
      <c r="C104" t="s">
        <v>32</v>
      </c>
      <c r="D104" s="3"/>
      <c r="E104" s="3"/>
      <c r="F104" s="4" t="s">
        <v>37</v>
      </c>
      <c r="G104" s="3">
        <v>0</v>
      </c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6" spans="1:57">
      <c r="A106" s="1" t="s">
        <v>116</v>
      </c>
      <c r="B106" s="1" t="s">
        <v>29</v>
      </c>
      <c r="C106" s="1" t="s">
        <v>30</v>
      </c>
      <c r="D106" s="1" t="s">
        <v>31</v>
      </c>
      <c r="E106" s="1" t="s">
        <v>36</v>
      </c>
      <c r="F106" s="1"/>
      <c r="G106" s="1">
        <v>2000</v>
      </c>
      <c r="H106" s="1">
        <v>2001</v>
      </c>
      <c r="I106" s="1">
        <v>2002</v>
      </c>
      <c r="J106" s="1">
        <v>2003</v>
      </c>
      <c r="K106" s="1">
        <v>2004</v>
      </c>
      <c r="L106" s="1">
        <v>2005</v>
      </c>
      <c r="M106" s="1">
        <v>2006</v>
      </c>
      <c r="N106" s="1">
        <v>2007</v>
      </c>
      <c r="O106" s="1">
        <v>2008</v>
      </c>
      <c r="P106" s="1">
        <v>2009</v>
      </c>
      <c r="Q106" s="1">
        <v>2010</v>
      </c>
      <c r="R106" s="1">
        <v>2011</v>
      </c>
      <c r="S106" s="1">
        <v>2012</v>
      </c>
      <c r="T106" s="1">
        <v>2013</v>
      </c>
      <c r="U106" s="1">
        <v>2014</v>
      </c>
      <c r="V106" s="1">
        <v>2015</v>
      </c>
      <c r="W106" s="1">
        <v>2016</v>
      </c>
      <c r="X106" s="1">
        <v>2017</v>
      </c>
      <c r="Y106" s="1">
        <v>2018</v>
      </c>
      <c r="Z106" s="1">
        <v>2019</v>
      </c>
      <c r="AA106" s="1">
        <v>2020</v>
      </c>
      <c r="AB106" s="1">
        <v>2021</v>
      </c>
      <c r="AC106" s="1">
        <v>2022</v>
      </c>
      <c r="AD106" s="1">
        <v>2023</v>
      </c>
      <c r="AE106" s="1">
        <v>2024</v>
      </c>
      <c r="AF106" s="1">
        <v>2025</v>
      </c>
      <c r="AG106" s="1">
        <v>2026</v>
      </c>
      <c r="AH106" s="1">
        <v>2027</v>
      </c>
      <c r="AI106" s="1">
        <v>2028</v>
      </c>
      <c r="AJ106" s="1">
        <v>2029</v>
      </c>
      <c r="AK106" s="1">
        <v>2030</v>
      </c>
      <c r="AL106" s="1">
        <v>2031</v>
      </c>
      <c r="AM106" s="1">
        <v>2032</v>
      </c>
      <c r="AN106" s="1">
        <v>2033</v>
      </c>
      <c r="AO106" s="1">
        <v>2034</v>
      </c>
      <c r="AP106" s="1">
        <v>2035</v>
      </c>
      <c r="AQ106" s="1">
        <v>2036</v>
      </c>
      <c r="AR106" s="1">
        <v>2037</v>
      </c>
      <c r="AS106" s="1">
        <v>2038</v>
      </c>
      <c r="AT106" s="1">
        <v>2039</v>
      </c>
      <c r="AU106" s="1">
        <v>2040</v>
      </c>
      <c r="AV106" s="1">
        <v>2041</v>
      </c>
      <c r="AW106" s="1">
        <v>2042</v>
      </c>
      <c r="AX106" s="1">
        <v>2043</v>
      </c>
      <c r="AY106" s="1">
        <v>2044</v>
      </c>
      <c r="AZ106" s="1">
        <v>2045</v>
      </c>
      <c r="BA106" s="1">
        <v>2046</v>
      </c>
      <c r="BB106" s="1">
        <v>2047</v>
      </c>
      <c r="BC106" s="1">
        <v>2048</v>
      </c>
      <c r="BD106" s="1">
        <v>2049</v>
      </c>
      <c r="BE106" s="1">
        <v>2050</v>
      </c>
    </row>
    <row r="107" spans="1:57">
      <c r="A107" s="1" t="str">
        <f>'Population Definitions'!$A$2</f>
        <v>PWID_males</v>
      </c>
      <c r="C107" t="s">
        <v>32</v>
      </c>
      <c r="D107" s="3"/>
      <c r="E107" s="3"/>
      <c r="F107" s="4" t="s">
        <v>37</v>
      </c>
      <c r="G107" s="3">
        <v>0</v>
      </c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Definitions'!$A$3</f>
        <v>PWID_females</v>
      </c>
      <c r="C108" t="s">
        <v>32</v>
      </c>
      <c r="D108" s="3"/>
      <c r="E108" s="3"/>
      <c r="F108" s="4" t="s">
        <v>37</v>
      </c>
      <c r="G108" s="3">
        <v>0</v>
      </c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Definitions'!$A$4</f>
        <v>0-9_males</v>
      </c>
      <c r="C109" t="s">
        <v>32</v>
      </c>
      <c r="D109" s="3"/>
      <c r="E109" s="3"/>
      <c r="F109" s="4" t="s">
        <v>37</v>
      </c>
      <c r="G109" s="3">
        <v>0</v>
      </c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Definitions'!$A$5</f>
        <v>0-9_females</v>
      </c>
      <c r="C110" t="s">
        <v>32</v>
      </c>
      <c r="D110" s="3"/>
      <c r="E110" s="3"/>
      <c r="F110" s="4" t="s">
        <v>37</v>
      </c>
      <c r="G110" s="3">
        <v>0</v>
      </c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Definitions'!$A$6</f>
        <v>10-17_males</v>
      </c>
      <c r="C111" t="s">
        <v>32</v>
      </c>
      <c r="D111" s="3"/>
      <c r="E111" s="3"/>
      <c r="F111" s="4" t="s">
        <v>37</v>
      </c>
      <c r="G111" s="3">
        <v>0</v>
      </c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2" spans="1:57">
      <c r="A112" s="1" t="str">
        <f>'Population Definitions'!$A$7</f>
        <v>10-17_females</v>
      </c>
      <c r="C112" t="s">
        <v>32</v>
      </c>
      <c r="D112" s="3"/>
      <c r="E112" s="3"/>
      <c r="F112" s="4" t="s">
        <v>37</v>
      </c>
      <c r="G112" s="3">
        <v>0</v>
      </c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</row>
    <row r="113" spans="1:57">
      <c r="A113" s="1" t="str">
        <f>'Population Definitions'!$A$8</f>
        <v>18-64_males</v>
      </c>
      <c r="C113" t="s">
        <v>32</v>
      </c>
      <c r="D113" s="3"/>
      <c r="E113" s="3"/>
      <c r="F113" s="4" t="s">
        <v>37</v>
      </c>
      <c r="G113" s="3">
        <v>0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</row>
    <row r="114" spans="1:57">
      <c r="A114" s="1" t="str">
        <f>'Population Definitions'!$A$9</f>
        <v>18-64_females</v>
      </c>
      <c r="C114" t="s">
        <v>32</v>
      </c>
      <c r="D114" s="3"/>
      <c r="E114" s="3"/>
      <c r="F114" s="4" t="s">
        <v>37</v>
      </c>
      <c r="G114" s="3">
        <v>0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Definitions'!$A$10</f>
        <v>65+_males</v>
      </c>
      <c r="C115" t="s">
        <v>32</v>
      </c>
      <c r="D115" s="3"/>
      <c r="E115" s="3"/>
      <c r="F115" s="4" t="s">
        <v>37</v>
      </c>
      <c r="G115" s="3">
        <v>0</v>
      </c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Definitions'!$A$11</f>
        <v>65+_females</v>
      </c>
      <c r="C116" t="s">
        <v>32</v>
      </c>
      <c r="D116" s="3"/>
      <c r="E116" s="3"/>
      <c r="F116" s="4" t="s">
        <v>37</v>
      </c>
      <c r="G116" s="3">
        <v>0</v>
      </c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Definitions'!$A$12</f>
        <v>Prisoners_males</v>
      </c>
      <c r="C117" t="s">
        <v>32</v>
      </c>
      <c r="D117" s="3"/>
      <c r="E117" s="3"/>
      <c r="F117" s="4" t="s">
        <v>37</v>
      </c>
      <c r="G117" s="3">
        <v>0</v>
      </c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Definitions'!$A$13</f>
        <v>Prisoners_females</v>
      </c>
      <c r="C118" t="s">
        <v>32</v>
      </c>
      <c r="D118" s="3"/>
      <c r="E118" s="3"/>
      <c r="F118" s="4" t="s">
        <v>37</v>
      </c>
      <c r="G118" s="3">
        <v>0</v>
      </c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">
        <v>109</v>
      </c>
      <c r="C119" t="s">
        <v>32</v>
      </c>
      <c r="D119" s="3"/>
      <c r="E119" s="3"/>
      <c r="F119" s="4" t="s">
        <v>37</v>
      </c>
      <c r="G119" s="3">
        <v>0</v>
      </c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1" spans="1:57">
      <c r="A121" s="1" t="s">
        <v>117</v>
      </c>
      <c r="B121" s="1" t="s">
        <v>29</v>
      </c>
      <c r="C121" s="1" t="s">
        <v>30</v>
      </c>
      <c r="D121" s="1" t="s">
        <v>31</v>
      </c>
      <c r="E121" s="1" t="s">
        <v>36</v>
      </c>
      <c r="F121" s="1"/>
      <c r="G121" s="1">
        <v>2000</v>
      </c>
      <c r="H121" s="1">
        <v>2001</v>
      </c>
      <c r="I121" s="1">
        <v>2002</v>
      </c>
      <c r="J121" s="1">
        <v>2003</v>
      </c>
      <c r="K121" s="1">
        <v>2004</v>
      </c>
      <c r="L121" s="1">
        <v>2005</v>
      </c>
      <c r="M121" s="1">
        <v>2006</v>
      </c>
      <c r="N121" s="1">
        <v>2007</v>
      </c>
      <c r="O121" s="1">
        <v>2008</v>
      </c>
      <c r="P121" s="1">
        <v>2009</v>
      </c>
      <c r="Q121" s="1">
        <v>2010</v>
      </c>
      <c r="R121" s="1">
        <v>2011</v>
      </c>
      <c r="S121" s="1">
        <v>2012</v>
      </c>
      <c r="T121" s="1">
        <v>2013</v>
      </c>
      <c r="U121" s="1">
        <v>2014</v>
      </c>
      <c r="V121" s="1">
        <v>2015</v>
      </c>
      <c r="W121" s="1">
        <v>2016</v>
      </c>
      <c r="X121" s="1">
        <v>2017</v>
      </c>
      <c r="Y121" s="1">
        <v>2018</v>
      </c>
      <c r="Z121" s="1">
        <v>2019</v>
      </c>
      <c r="AA121" s="1">
        <v>2020</v>
      </c>
      <c r="AB121" s="1">
        <v>2021</v>
      </c>
      <c r="AC121" s="1">
        <v>2022</v>
      </c>
      <c r="AD121" s="1">
        <v>2023</v>
      </c>
      <c r="AE121" s="1">
        <v>2024</v>
      </c>
      <c r="AF121" s="1">
        <v>2025</v>
      </c>
      <c r="AG121" s="1">
        <v>2026</v>
      </c>
      <c r="AH121" s="1">
        <v>2027</v>
      </c>
      <c r="AI121" s="1">
        <v>2028</v>
      </c>
      <c r="AJ121" s="1">
        <v>2029</v>
      </c>
      <c r="AK121" s="1">
        <v>2030</v>
      </c>
      <c r="AL121" s="1">
        <v>2031</v>
      </c>
      <c r="AM121" s="1">
        <v>2032</v>
      </c>
      <c r="AN121" s="1">
        <v>2033</v>
      </c>
      <c r="AO121" s="1">
        <v>2034</v>
      </c>
      <c r="AP121" s="1">
        <v>2035</v>
      </c>
      <c r="AQ121" s="1">
        <v>2036</v>
      </c>
      <c r="AR121" s="1">
        <v>2037</v>
      </c>
      <c r="AS121" s="1">
        <v>2038</v>
      </c>
      <c r="AT121" s="1">
        <v>2039</v>
      </c>
      <c r="AU121" s="1">
        <v>2040</v>
      </c>
      <c r="AV121" s="1">
        <v>2041</v>
      </c>
      <c r="AW121" s="1">
        <v>2042</v>
      </c>
      <c r="AX121" s="1">
        <v>2043</v>
      </c>
      <c r="AY121" s="1">
        <v>2044</v>
      </c>
      <c r="AZ121" s="1">
        <v>2045</v>
      </c>
      <c r="BA121" s="1">
        <v>2046</v>
      </c>
      <c r="BB121" s="1">
        <v>2047</v>
      </c>
      <c r="BC121" s="1">
        <v>2048</v>
      </c>
      <c r="BD121" s="1">
        <v>2049</v>
      </c>
      <c r="BE121" s="1">
        <v>2050</v>
      </c>
    </row>
    <row r="122" spans="1:57">
      <c r="A122" s="1" t="str">
        <f>'Population Definitions'!$A$2</f>
        <v>PWID_males</v>
      </c>
      <c r="C122" t="s">
        <v>32</v>
      </c>
      <c r="D122" s="3"/>
      <c r="E122" s="3"/>
      <c r="F122" s="4" t="s">
        <v>37</v>
      </c>
      <c r="G122" s="3">
        <v>0</v>
      </c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Definitions'!$A$3</f>
        <v>PWID_females</v>
      </c>
      <c r="C123" t="s">
        <v>32</v>
      </c>
      <c r="D123" s="3"/>
      <c r="E123" s="3"/>
      <c r="F123" s="4" t="s">
        <v>37</v>
      </c>
      <c r="G123" s="3">
        <v>0</v>
      </c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Definitions'!$A$4</f>
        <v>0-9_males</v>
      </c>
      <c r="C124" t="s">
        <v>32</v>
      </c>
      <c r="D124" s="3"/>
      <c r="E124" s="3"/>
      <c r="F124" s="4" t="s">
        <v>37</v>
      </c>
      <c r="G124" s="3">
        <v>0</v>
      </c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Definitions'!$A$5</f>
        <v>0-9_females</v>
      </c>
      <c r="C125" t="s">
        <v>32</v>
      </c>
      <c r="D125" s="3"/>
      <c r="E125" s="3"/>
      <c r="F125" s="4" t="s">
        <v>37</v>
      </c>
      <c r="G125" s="3">
        <v>0</v>
      </c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6" spans="1:57">
      <c r="A126" s="1" t="str">
        <f>'Population Definitions'!$A$6</f>
        <v>10-17_males</v>
      </c>
      <c r="C126" t="s">
        <v>32</v>
      </c>
      <c r="D126" s="3"/>
      <c r="E126" s="3"/>
      <c r="F126" s="4" t="s">
        <v>37</v>
      </c>
      <c r="G126" s="3">
        <v>0</v>
      </c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</row>
    <row r="127" spans="1:57">
      <c r="A127" s="1" t="str">
        <f>'Population Definitions'!$A$7</f>
        <v>10-17_females</v>
      </c>
      <c r="C127" t="s">
        <v>32</v>
      </c>
      <c r="D127" s="3"/>
      <c r="E127" s="3"/>
      <c r="F127" s="4" t="s">
        <v>37</v>
      </c>
      <c r="G127" s="3">
        <v>0</v>
      </c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</row>
    <row r="128" spans="1:57">
      <c r="A128" s="1" t="str">
        <f>'Population Definitions'!$A$8</f>
        <v>18-64_males</v>
      </c>
      <c r="C128" t="s">
        <v>32</v>
      </c>
      <c r="D128" s="3"/>
      <c r="E128" s="3"/>
      <c r="F128" s="4" t="s">
        <v>37</v>
      </c>
      <c r="G128" s="3">
        <v>0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Definitions'!$A$9</f>
        <v>18-64_females</v>
      </c>
      <c r="C129" t="s">
        <v>32</v>
      </c>
      <c r="D129" s="3"/>
      <c r="E129" s="3"/>
      <c r="F129" s="4" t="s">
        <v>37</v>
      </c>
      <c r="G129" s="3">
        <v>0</v>
      </c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Definitions'!$A$10</f>
        <v>65+_males</v>
      </c>
      <c r="C130" t="s">
        <v>32</v>
      </c>
      <c r="D130" s="3"/>
      <c r="E130" s="3"/>
      <c r="F130" s="4" t="s">
        <v>37</v>
      </c>
      <c r="G130" s="3">
        <v>0</v>
      </c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Definitions'!$A$11</f>
        <v>65+_females</v>
      </c>
      <c r="C131" t="s">
        <v>32</v>
      </c>
      <c r="D131" s="3"/>
      <c r="E131" s="3"/>
      <c r="F131" s="4" t="s">
        <v>37</v>
      </c>
      <c r="G131" s="3">
        <v>0</v>
      </c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Definitions'!$A$12</f>
        <v>Prisoners_males</v>
      </c>
      <c r="C132" t="s">
        <v>32</v>
      </c>
      <c r="D132" s="3"/>
      <c r="E132" s="3"/>
      <c r="F132" s="4" t="s">
        <v>37</v>
      </c>
      <c r="G132" s="3">
        <v>0</v>
      </c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Definitions'!$A$13</f>
        <v>Prisoners_females</v>
      </c>
      <c r="C133" t="s">
        <v>32</v>
      </c>
      <c r="D133" s="3"/>
      <c r="E133" s="3"/>
      <c r="F133" s="4" t="s">
        <v>37</v>
      </c>
      <c r="G133" s="3">
        <v>0</v>
      </c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">
        <v>109</v>
      </c>
      <c r="C134" t="s">
        <v>32</v>
      </c>
      <c r="D134" s="3"/>
      <c r="E134" s="3"/>
      <c r="F134" s="4" t="s">
        <v>37</v>
      </c>
      <c r="G134" s="3">
        <v>10408.81481481481</v>
      </c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>
        <v>15551</v>
      </c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6" spans="1:57">
      <c r="A136" s="1" t="s">
        <v>118</v>
      </c>
      <c r="B136" s="1" t="s">
        <v>29</v>
      </c>
      <c r="C136" s="1" t="s">
        <v>30</v>
      </c>
      <c r="D136" s="1" t="s">
        <v>31</v>
      </c>
      <c r="E136" s="1" t="s">
        <v>36</v>
      </c>
      <c r="F136" s="1"/>
      <c r="G136" s="1">
        <v>2000</v>
      </c>
      <c r="H136" s="1">
        <v>2001</v>
      </c>
      <c r="I136" s="1">
        <v>2002</v>
      </c>
      <c r="J136" s="1">
        <v>2003</v>
      </c>
      <c r="K136" s="1">
        <v>2004</v>
      </c>
      <c r="L136" s="1">
        <v>2005</v>
      </c>
      <c r="M136" s="1">
        <v>2006</v>
      </c>
      <c r="N136" s="1">
        <v>2007</v>
      </c>
      <c r="O136" s="1">
        <v>2008</v>
      </c>
      <c r="P136" s="1">
        <v>2009</v>
      </c>
      <c r="Q136" s="1">
        <v>2010</v>
      </c>
      <c r="R136" s="1">
        <v>2011</v>
      </c>
      <c r="S136" s="1">
        <v>2012</v>
      </c>
      <c r="T136" s="1">
        <v>2013</v>
      </c>
      <c r="U136" s="1">
        <v>2014</v>
      </c>
      <c r="V136" s="1">
        <v>2015</v>
      </c>
      <c r="W136" s="1">
        <v>2016</v>
      </c>
      <c r="X136" s="1">
        <v>2017</v>
      </c>
      <c r="Y136" s="1">
        <v>2018</v>
      </c>
      <c r="Z136" s="1">
        <v>2019</v>
      </c>
      <c r="AA136" s="1">
        <v>2020</v>
      </c>
      <c r="AB136" s="1">
        <v>2021</v>
      </c>
      <c r="AC136" s="1">
        <v>2022</v>
      </c>
      <c r="AD136" s="1">
        <v>2023</v>
      </c>
      <c r="AE136" s="1">
        <v>2024</v>
      </c>
      <c r="AF136" s="1">
        <v>2025</v>
      </c>
      <c r="AG136" s="1">
        <v>2026</v>
      </c>
      <c r="AH136" s="1">
        <v>2027</v>
      </c>
      <c r="AI136" s="1">
        <v>2028</v>
      </c>
      <c r="AJ136" s="1">
        <v>2029</v>
      </c>
      <c r="AK136" s="1">
        <v>2030</v>
      </c>
      <c r="AL136" s="1">
        <v>2031</v>
      </c>
      <c r="AM136" s="1">
        <v>2032</v>
      </c>
      <c r="AN136" s="1">
        <v>2033</v>
      </c>
      <c r="AO136" s="1">
        <v>2034</v>
      </c>
      <c r="AP136" s="1">
        <v>2035</v>
      </c>
      <c r="AQ136" s="1">
        <v>2036</v>
      </c>
      <c r="AR136" s="1">
        <v>2037</v>
      </c>
      <c r="AS136" s="1">
        <v>2038</v>
      </c>
      <c r="AT136" s="1">
        <v>2039</v>
      </c>
      <c r="AU136" s="1">
        <v>2040</v>
      </c>
      <c r="AV136" s="1">
        <v>2041</v>
      </c>
      <c r="AW136" s="1">
        <v>2042</v>
      </c>
      <c r="AX136" s="1">
        <v>2043</v>
      </c>
      <c r="AY136" s="1">
        <v>2044</v>
      </c>
      <c r="AZ136" s="1">
        <v>2045</v>
      </c>
      <c r="BA136" s="1">
        <v>2046</v>
      </c>
      <c r="BB136" s="1">
        <v>2047</v>
      </c>
      <c r="BC136" s="1">
        <v>2048</v>
      </c>
      <c r="BD136" s="1">
        <v>2049</v>
      </c>
      <c r="BE136" s="1">
        <v>2050</v>
      </c>
    </row>
    <row r="137" spans="1:57">
      <c r="A137" s="1" t="str">
        <f>'Population Definitions'!$A$2</f>
        <v>PWID_males</v>
      </c>
      <c r="C137" t="s">
        <v>32</v>
      </c>
      <c r="D137" s="3"/>
      <c r="E137" s="3"/>
      <c r="F137" s="4" t="s">
        <v>37</v>
      </c>
      <c r="G137" s="3">
        <v>0</v>
      </c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Definitions'!$A$3</f>
        <v>PWID_females</v>
      </c>
      <c r="C138" t="s">
        <v>32</v>
      </c>
      <c r="D138" s="3"/>
      <c r="E138" s="3"/>
      <c r="F138" s="4" t="s">
        <v>37</v>
      </c>
      <c r="G138" s="3">
        <v>0</v>
      </c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Definitions'!$A$4</f>
        <v>0-9_males</v>
      </c>
      <c r="C139" t="s">
        <v>32</v>
      </c>
      <c r="D139" s="3"/>
      <c r="E139" s="3"/>
      <c r="F139" s="4" t="s">
        <v>37</v>
      </c>
      <c r="G139" s="3">
        <v>0</v>
      </c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0" spans="1:57">
      <c r="A140" s="1" t="str">
        <f>'Population Definitions'!$A$5</f>
        <v>0-9_females</v>
      </c>
      <c r="C140" t="s">
        <v>32</v>
      </c>
      <c r="D140" s="3"/>
      <c r="E140" s="3"/>
      <c r="F140" s="4" t="s">
        <v>37</v>
      </c>
      <c r="G140" s="3">
        <v>0</v>
      </c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</row>
    <row r="141" spans="1:57">
      <c r="A141" s="1" t="str">
        <f>'Population Definitions'!$A$6</f>
        <v>10-17_males</v>
      </c>
      <c r="C141" t="s">
        <v>32</v>
      </c>
      <c r="D141" s="3"/>
      <c r="E141" s="3"/>
      <c r="F141" s="4" t="s">
        <v>37</v>
      </c>
      <c r="G141" s="3">
        <v>0</v>
      </c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</row>
    <row r="142" spans="1:57">
      <c r="A142" s="1" t="str">
        <f>'Population Definitions'!$A$7</f>
        <v>10-17_females</v>
      </c>
      <c r="C142" t="s">
        <v>32</v>
      </c>
      <c r="D142" s="3"/>
      <c r="E142" s="3"/>
      <c r="F142" s="4" t="s">
        <v>37</v>
      </c>
      <c r="G142" s="3">
        <v>0</v>
      </c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Definitions'!$A$8</f>
        <v>18-64_males</v>
      </c>
      <c r="C143" t="s">
        <v>32</v>
      </c>
      <c r="D143" s="3"/>
      <c r="E143" s="3"/>
      <c r="F143" s="4" t="s">
        <v>37</v>
      </c>
      <c r="G143" s="3">
        <v>0</v>
      </c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Definitions'!$A$9</f>
        <v>18-64_females</v>
      </c>
      <c r="C144" t="s">
        <v>32</v>
      </c>
      <c r="D144" s="3"/>
      <c r="E144" s="3"/>
      <c r="F144" s="4" t="s">
        <v>37</v>
      </c>
      <c r="G144" s="3">
        <v>0</v>
      </c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Definitions'!$A$10</f>
        <v>65+_males</v>
      </c>
      <c r="C145" t="s">
        <v>32</v>
      </c>
      <c r="D145" s="3"/>
      <c r="E145" s="3"/>
      <c r="F145" s="4" t="s">
        <v>37</v>
      </c>
      <c r="G145" s="3">
        <v>0</v>
      </c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Definitions'!$A$11</f>
        <v>65+_females</v>
      </c>
      <c r="C146" t="s">
        <v>32</v>
      </c>
      <c r="D146" s="3"/>
      <c r="E146" s="3"/>
      <c r="F146" s="4" t="s">
        <v>37</v>
      </c>
      <c r="G146" s="3">
        <v>0</v>
      </c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Definitions'!$A$12</f>
        <v>Prisoners_males</v>
      </c>
      <c r="C147" t="s">
        <v>32</v>
      </c>
      <c r="D147" s="3"/>
      <c r="E147" s="3"/>
      <c r="F147" s="4" t="s">
        <v>37</v>
      </c>
      <c r="G147" s="3">
        <v>0</v>
      </c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Definitions'!$A$13</f>
        <v>Prisoners_females</v>
      </c>
      <c r="C148" t="s">
        <v>32</v>
      </c>
      <c r="D148" s="3"/>
      <c r="E148" s="3"/>
      <c r="F148" s="4" t="s">
        <v>37</v>
      </c>
      <c r="G148" s="3">
        <v>0</v>
      </c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">
        <v>109</v>
      </c>
      <c r="C149" t="s">
        <v>32</v>
      </c>
      <c r="D149" s="3"/>
      <c r="E149" s="3"/>
      <c r="F149" s="4" t="s">
        <v>37</v>
      </c>
      <c r="G149" s="3">
        <v>559.8148148148148</v>
      </c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>
        <v>823</v>
      </c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1" spans="1:57">
      <c r="A151" s="1" t="s">
        <v>119</v>
      </c>
      <c r="B151" s="1" t="s">
        <v>29</v>
      </c>
      <c r="C151" s="1" t="s">
        <v>30</v>
      </c>
      <c r="D151" s="1" t="s">
        <v>31</v>
      </c>
      <c r="E151" s="1" t="s">
        <v>36</v>
      </c>
      <c r="F151" s="1"/>
      <c r="G151" s="1">
        <v>2000</v>
      </c>
      <c r="H151" s="1">
        <v>2001</v>
      </c>
      <c r="I151" s="1">
        <v>2002</v>
      </c>
      <c r="J151" s="1">
        <v>2003</v>
      </c>
      <c r="K151" s="1">
        <v>2004</v>
      </c>
      <c r="L151" s="1">
        <v>2005</v>
      </c>
      <c r="M151" s="1">
        <v>2006</v>
      </c>
      <c r="N151" s="1">
        <v>2007</v>
      </c>
      <c r="O151" s="1">
        <v>2008</v>
      </c>
      <c r="P151" s="1">
        <v>2009</v>
      </c>
      <c r="Q151" s="1">
        <v>2010</v>
      </c>
      <c r="R151" s="1">
        <v>2011</v>
      </c>
      <c r="S151" s="1">
        <v>2012</v>
      </c>
      <c r="T151" s="1">
        <v>2013</v>
      </c>
      <c r="U151" s="1">
        <v>2014</v>
      </c>
      <c r="V151" s="1">
        <v>2015</v>
      </c>
      <c r="W151" s="1">
        <v>2016</v>
      </c>
      <c r="X151" s="1">
        <v>2017</v>
      </c>
      <c r="Y151" s="1">
        <v>2018</v>
      </c>
      <c r="Z151" s="1">
        <v>2019</v>
      </c>
      <c r="AA151" s="1">
        <v>2020</v>
      </c>
      <c r="AB151" s="1">
        <v>2021</v>
      </c>
      <c r="AC151" s="1">
        <v>2022</v>
      </c>
      <c r="AD151" s="1">
        <v>2023</v>
      </c>
      <c r="AE151" s="1">
        <v>2024</v>
      </c>
      <c r="AF151" s="1">
        <v>2025</v>
      </c>
      <c r="AG151" s="1">
        <v>2026</v>
      </c>
      <c r="AH151" s="1">
        <v>2027</v>
      </c>
      <c r="AI151" s="1">
        <v>2028</v>
      </c>
      <c r="AJ151" s="1">
        <v>2029</v>
      </c>
      <c r="AK151" s="1">
        <v>2030</v>
      </c>
      <c r="AL151" s="1">
        <v>2031</v>
      </c>
      <c r="AM151" s="1">
        <v>2032</v>
      </c>
      <c r="AN151" s="1">
        <v>2033</v>
      </c>
      <c r="AO151" s="1">
        <v>2034</v>
      </c>
      <c r="AP151" s="1">
        <v>2035</v>
      </c>
      <c r="AQ151" s="1">
        <v>2036</v>
      </c>
      <c r="AR151" s="1">
        <v>2037</v>
      </c>
      <c r="AS151" s="1">
        <v>2038</v>
      </c>
      <c r="AT151" s="1">
        <v>2039</v>
      </c>
      <c r="AU151" s="1">
        <v>2040</v>
      </c>
      <c r="AV151" s="1">
        <v>2041</v>
      </c>
      <c r="AW151" s="1">
        <v>2042</v>
      </c>
      <c r="AX151" s="1">
        <v>2043</v>
      </c>
      <c r="AY151" s="1">
        <v>2044</v>
      </c>
      <c r="AZ151" s="1">
        <v>2045</v>
      </c>
      <c r="BA151" s="1">
        <v>2046</v>
      </c>
      <c r="BB151" s="1">
        <v>2047</v>
      </c>
      <c r="BC151" s="1">
        <v>2048</v>
      </c>
      <c r="BD151" s="1">
        <v>2049</v>
      </c>
      <c r="BE151" s="1">
        <v>2050</v>
      </c>
    </row>
    <row r="152" spans="1:57">
      <c r="A152" s="1" t="str">
        <f>'Population Definitions'!$A$2</f>
        <v>PWID_males</v>
      </c>
      <c r="C152" t="s">
        <v>32</v>
      </c>
      <c r="D152" s="3"/>
      <c r="E152" s="3"/>
      <c r="F152" s="4" t="s">
        <v>37</v>
      </c>
      <c r="G152" s="3">
        <v>0</v>
      </c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Definitions'!$A$3</f>
        <v>PWID_females</v>
      </c>
      <c r="C153" t="s">
        <v>32</v>
      </c>
      <c r="D153" s="3"/>
      <c r="E153" s="3"/>
      <c r="F153" s="4" t="s">
        <v>37</v>
      </c>
      <c r="G153" s="3">
        <v>0</v>
      </c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4" spans="1:57">
      <c r="A154" s="1" t="str">
        <f>'Population Definitions'!$A$4</f>
        <v>0-9_males</v>
      </c>
      <c r="C154" t="s">
        <v>32</v>
      </c>
      <c r="D154" s="3"/>
      <c r="E154" s="3"/>
      <c r="F154" s="4" t="s">
        <v>37</v>
      </c>
      <c r="G154" s="3">
        <v>0</v>
      </c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</row>
    <row r="155" spans="1:57">
      <c r="A155" s="1" t="str">
        <f>'Population Definitions'!$A$5</f>
        <v>0-9_females</v>
      </c>
      <c r="C155" t="s">
        <v>32</v>
      </c>
      <c r="D155" s="3"/>
      <c r="E155" s="3"/>
      <c r="F155" s="4" t="s">
        <v>37</v>
      </c>
      <c r="G155" s="3">
        <v>0</v>
      </c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</row>
    <row r="156" spans="1:57">
      <c r="A156" s="1" t="str">
        <f>'Population Definitions'!$A$6</f>
        <v>10-17_males</v>
      </c>
      <c r="C156" t="s">
        <v>32</v>
      </c>
      <c r="D156" s="3"/>
      <c r="E156" s="3"/>
      <c r="F156" s="4" t="s">
        <v>37</v>
      </c>
      <c r="G156" s="3">
        <v>0</v>
      </c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Definitions'!$A$7</f>
        <v>10-17_females</v>
      </c>
      <c r="C157" t="s">
        <v>32</v>
      </c>
      <c r="D157" s="3"/>
      <c r="E157" s="3"/>
      <c r="F157" s="4" t="s">
        <v>37</v>
      </c>
      <c r="G157" s="3">
        <v>0</v>
      </c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Definitions'!$A$8</f>
        <v>18-64_males</v>
      </c>
      <c r="C158" t="s">
        <v>32</v>
      </c>
      <c r="D158" s="3"/>
      <c r="E158" s="3"/>
      <c r="F158" s="4" t="s">
        <v>37</v>
      </c>
      <c r="G158" s="3">
        <v>0</v>
      </c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Definitions'!$A$9</f>
        <v>18-64_females</v>
      </c>
      <c r="C159" t="s">
        <v>32</v>
      </c>
      <c r="D159" s="3"/>
      <c r="E159" s="3"/>
      <c r="F159" s="4" t="s">
        <v>37</v>
      </c>
      <c r="G159" s="3">
        <v>0</v>
      </c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Definitions'!$A$10</f>
        <v>65+_males</v>
      </c>
      <c r="C160" t="s">
        <v>32</v>
      </c>
      <c r="D160" s="3"/>
      <c r="E160" s="3"/>
      <c r="F160" s="4" t="s">
        <v>37</v>
      </c>
      <c r="G160" s="3">
        <v>0</v>
      </c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Definitions'!$A$11</f>
        <v>65+_females</v>
      </c>
      <c r="C161" t="s">
        <v>32</v>
      </c>
      <c r="D161" s="3"/>
      <c r="E161" s="3"/>
      <c r="F161" s="4" t="s">
        <v>37</v>
      </c>
      <c r="G161" s="3">
        <v>0</v>
      </c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Definitions'!$A$12</f>
        <v>Prisoners_males</v>
      </c>
      <c r="C162" t="s">
        <v>32</v>
      </c>
      <c r="D162" s="3"/>
      <c r="E162" s="3"/>
      <c r="F162" s="4" t="s">
        <v>37</v>
      </c>
      <c r="G162" s="3">
        <v>0</v>
      </c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Definitions'!$A$13</f>
        <v>Prisoners_females</v>
      </c>
      <c r="C163" t="s">
        <v>32</v>
      </c>
      <c r="D163" s="3"/>
      <c r="E163" s="3"/>
      <c r="F163" s="4" t="s">
        <v>37</v>
      </c>
      <c r="G163" s="3">
        <v>0</v>
      </c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">
        <v>109</v>
      </c>
      <c r="C164" t="s">
        <v>32</v>
      </c>
      <c r="D164" s="3"/>
      <c r="E164" s="3"/>
      <c r="F164" s="4" t="s">
        <v>37</v>
      </c>
      <c r="G164" s="3">
        <v>0</v>
      </c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6" spans="1:57">
      <c r="A166" s="1" t="s">
        <v>120</v>
      </c>
      <c r="B166" s="1" t="s">
        <v>29</v>
      </c>
      <c r="C166" s="1" t="s">
        <v>30</v>
      </c>
      <c r="D166" s="1" t="s">
        <v>31</v>
      </c>
      <c r="E166" s="1" t="s">
        <v>36</v>
      </c>
      <c r="F166" s="1"/>
      <c r="G166" s="1">
        <v>2000</v>
      </c>
      <c r="H166" s="1">
        <v>2001</v>
      </c>
      <c r="I166" s="1">
        <v>2002</v>
      </c>
      <c r="J166" s="1">
        <v>2003</v>
      </c>
      <c r="K166" s="1">
        <v>2004</v>
      </c>
      <c r="L166" s="1">
        <v>2005</v>
      </c>
      <c r="M166" s="1">
        <v>2006</v>
      </c>
      <c r="N166" s="1">
        <v>2007</v>
      </c>
      <c r="O166" s="1">
        <v>2008</v>
      </c>
      <c r="P166" s="1">
        <v>2009</v>
      </c>
      <c r="Q166" s="1">
        <v>2010</v>
      </c>
      <c r="R166" s="1">
        <v>2011</v>
      </c>
      <c r="S166" s="1">
        <v>2012</v>
      </c>
      <c r="T166" s="1">
        <v>2013</v>
      </c>
      <c r="U166" s="1">
        <v>2014</v>
      </c>
      <c r="V166" s="1">
        <v>2015</v>
      </c>
      <c r="W166" s="1">
        <v>2016</v>
      </c>
      <c r="X166" s="1">
        <v>2017</v>
      </c>
      <c r="Y166" s="1">
        <v>2018</v>
      </c>
      <c r="Z166" s="1">
        <v>2019</v>
      </c>
      <c r="AA166" s="1">
        <v>2020</v>
      </c>
      <c r="AB166" s="1">
        <v>2021</v>
      </c>
      <c r="AC166" s="1">
        <v>2022</v>
      </c>
      <c r="AD166" s="1">
        <v>2023</v>
      </c>
      <c r="AE166" s="1">
        <v>2024</v>
      </c>
      <c r="AF166" s="1">
        <v>2025</v>
      </c>
      <c r="AG166" s="1">
        <v>2026</v>
      </c>
      <c r="AH166" s="1">
        <v>2027</v>
      </c>
      <c r="AI166" s="1">
        <v>2028</v>
      </c>
      <c r="AJ166" s="1">
        <v>2029</v>
      </c>
      <c r="AK166" s="1">
        <v>2030</v>
      </c>
      <c r="AL166" s="1">
        <v>2031</v>
      </c>
      <c r="AM166" s="1">
        <v>2032</v>
      </c>
      <c r="AN166" s="1">
        <v>2033</v>
      </c>
      <c r="AO166" s="1">
        <v>2034</v>
      </c>
      <c r="AP166" s="1">
        <v>2035</v>
      </c>
      <c r="AQ166" s="1">
        <v>2036</v>
      </c>
      <c r="AR166" s="1">
        <v>2037</v>
      </c>
      <c r="AS166" s="1">
        <v>2038</v>
      </c>
      <c r="AT166" s="1">
        <v>2039</v>
      </c>
      <c r="AU166" s="1">
        <v>2040</v>
      </c>
      <c r="AV166" s="1">
        <v>2041</v>
      </c>
      <c r="AW166" s="1">
        <v>2042</v>
      </c>
      <c r="AX166" s="1">
        <v>2043</v>
      </c>
      <c r="AY166" s="1">
        <v>2044</v>
      </c>
      <c r="AZ166" s="1">
        <v>2045</v>
      </c>
      <c r="BA166" s="1">
        <v>2046</v>
      </c>
      <c r="BB166" s="1">
        <v>2047</v>
      </c>
      <c r="BC166" s="1">
        <v>2048</v>
      </c>
      <c r="BD166" s="1">
        <v>2049</v>
      </c>
      <c r="BE166" s="1">
        <v>2050</v>
      </c>
    </row>
    <row r="167" spans="1:57">
      <c r="A167" s="1" t="str">
        <f>'Population Definitions'!$A$2</f>
        <v>PWID_males</v>
      </c>
      <c r="C167" t="s">
        <v>32</v>
      </c>
      <c r="D167" s="3"/>
      <c r="E167" s="3"/>
      <c r="F167" s="4" t="s">
        <v>37</v>
      </c>
      <c r="G167" s="3">
        <v>0</v>
      </c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8" spans="1:57">
      <c r="A168" s="1" t="str">
        <f>'Population Definitions'!$A$3</f>
        <v>PWID_females</v>
      </c>
      <c r="C168" t="s">
        <v>32</v>
      </c>
      <c r="D168" s="3"/>
      <c r="E168" s="3"/>
      <c r="F168" s="4" t="s">
        <v>37</v>
      </c>
      <c r="G168" s="3">
        <v>0</v>
      </c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</row>
    <row r="169" spans="1:57">
      <c r="A169" s="1" t="str">
        <f>'Population Definitions'!$A$4</f>
        <v>0-9_males</v>
      </c>
      <c r="C169" t="s">
        <v>32</v>
      </c>
      <c r="D169" s="3"/>
      <c r="E169" s="3"/>
      <c r="F169" s="4" t="s">
        <v>37</v>
      </c>
      <c r="G169" s="3">
        <v>0</v>
      </c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</row>
    <row r="170" spans="1:57">
      <c r="A170" s="1" t="str">
        <f>'Population Definitions'!$A$5</f>
        <v>0-9_females</v>
      </c>
      <c r="C170" t="s">
        <v>32</v>
      </c>
      <c r="D170" s="3"/>
      <c r="E170" s="3"/>
      <c r="F170" s="4" t="s">
        <v>37</v>
      </c>
      <c r="G170" s="3">
        <v>0</v>
      </c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Definitions'!$A$6</f>
        <v>10-17_males</v>
      </c>
      <c r="C171" t="s">
        <v>32</v>
      </c>
      <c r="D171" s="3"/>
      <c r="E171" s="3"/>
      <c r="F171" s="4" t="s">
        <v>37</v>
      </c>
      <c r="G171" s="3">
        <v>0</v>
      </c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Definitions'!$A$7</f>
        <v>10-17_females</v>
      </c>
      <c r="C172" t="s">
        <v>32</v>
      </c>
      <c r="D172" s="3"/>
      <c r="E172" s="3"/>
      <c r="F172" s="4" t="s">
        <v>37</v>
      </c>
      <c r="G172" s="3">
        <v>0</v>
      </c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Definitions'!$A$8</f>
        <v>18-64_males</v>
      </c>
      <c r="C173" t="s">
        <v>32</v>
      </c>
      <c r="D173" s="3"/>
      <c r="E173" s="3"/>
      <c r="F173" s="4" t="s">
        <v>37</v>
      </c>
      <c r="G173" s="3">
        <v>0</v>
      </c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Definitions'!$A$9</f>
        <v>18-64_females</v>
      </c>
      <c r="C174" t="s">
        <v>32</v>
      </c>
      <c r="D174" s="3"/>
      <c r="E174" s="3"/>
      <c r="F174" s="4" t="s">
        <v>37</v>
      </c>
      <c r="G174" s="3">
        <v>0</v>
      </c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Definitions'!$A$10</f>
        <v>65+_males</v>
      </c>
      <c r="C175" t="s">
        <v>32</v>
      </c>
      <c r="D175" s="3"/>
      <c r="E175" s="3"/>
      <c r="F175" s="4" t="s">
        <v>37</v>
      </c>
      <c r="G175" s="3">
        <v>0</v>
      </c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Definitions'!$A$11</f>
        <v>65+_females</v>
      </c>
      <c r="C176" t="s">
        <v>32</v>
      </c>
      <c r="D176" s="3"/>
      <c r="E176" s="3"/>
      <c r="F176" s="4" t="s">
        <v>37</v>
      </c>
      <c r="G176" s="3">
        <v>0</v>
      </c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Definitions'!$A$12</f>
        <v>Prisoners_males</v>
      </c>
      <c r="C177" t="s">
        <v>32</v>
      </c>
      <c r="D177" s="3"/>
      <c r="E177" s="3"/>
      <c r="F177" s="4" t="s">
        <v>37</v>
      </c>
      <c r="G177" s="3">
        <v>0</v>
      </c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Definitions'!$A$13</f>
        <v>Prisoners_females</v>
      </c>
      <c r="C178" t="s">
        <v>32</v>
      </c>
      <c r="D178" s="3"/>
      <c r="E178" s="3"/>
      <c r="F178" s="4" t="s">
        <v>37</v>
      </c>
      <c r="G178" s="3">
        <v>0</v>
      </c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">
        <v>109</v>
      </c>
      <c r="C179" t="s">
        <v>32</v>
      </c>
      <c r="D179" s="3"/>
      <c r="E179" s="3"/>
      <c r="F179" s="4" t="s">
        <v>37</v>
      </c>
      <c r="G179" s="3">
        <v>0</v>
      </c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1" spans="1:57">
      <c r="A181" s="1" t="s">
        <v>121</v>
      </c>
      <c r="B181" s="1" t="s">
        <v>29</v>
      </c>
      <c r="C181" s="1" t="s">
        <v>30</v>
      </c>
      <c r="D181" s="1" t="s">
        <v>31</v>
      </c>
      <c r="E181" s="1" t="s">
        <v>36</v>
      </c>
      <c r="F181" s="1"/>
      <c r="G181" s="1">
        <v>2000</v>
      </c>
      <c r="H181" s="1">
        <v>2001</v>
      </c>
      <c r="I181" s="1">
        <v>2002</v>
      </c>
      <c r="J181" s="1">
        <v>2003</v>
      </c>
      <c r="K181" s="1">
        <v>2004</v>
      </c>
      <c r="L181" s="1">
        <v>2005</v>
      </c>
      <c r="M181" s="1">
        <v>2006</v>
      </c>
      <c r="N181" s="1">
        <v>2007</v>
      </c>
      <c r="O181" s="1">
        <v>2008</v>
      </c>
      <c r="P181" s="1">
        <v>2009</v>
      </c>
      <c r="Q181" s="1">
        <v>2010</v>
      </c>
      <c r="R181" s="1">
        <v>2011</v>
      </c>
      <c r="S181" s="1">
        <v>2012</v>
      </c>
      <c r="T181" s="1">
        <v>2013</v>
      </c>
      <c r="U181" s="1">
        <v>2014</v>
      </c>
      <c r="V181" s="1">
        <v>2015</v>
      </c>
      <c r="W181" s="1">
        <v>2016</v>
      </c>
      <c r="X181" s="1">
        <v>2017</v>
      </c>
      <c r="Y181" s="1">
        <v>2018</v>
      </c>
      <c r="Z181" s="1">
        <v>2019</v>
      </c>
      <c r="AA181" s="1">
        <v>2020</v>
      </c>
      <c r="AB181" s="1">
        <v>2021</v>
      </c>
      <c r="AC181" s="1">
        <v>2022</v>
      </c>
      <c r="AD181" s="1">
        <v>2023</v>
      </c>
      <c r="AE181" s="1">
        <v>2024</v>
      </c>
      <c r="AF181" s="1">
        <v>2025</v>
      </c>
      <c r="AG181" s="1">
        <v>2026</v>
      </c>
      <c r="AH181" s="1">
        <v>2027</v>
      </c>
      <c r="AI181" s="1">
        <v>2028</v>
      </c>
      <c r="AJ181" s="1">
        <v>2029</v>
      </c>
      <c r="AK181" s="1">
        <v>2030</v>
      </c>
      <c r="AL181" s="1">
        <v>2031</v>
      </c>
      <c r="AM181" s="1">
        <v>2032</v>
      </c>
      <c r="AN181" s="1">
        <v>2033</v>
      </c>
      <c r="AO181" s="1">
        <v>2034</v>
      </c>
      <c r="AP181" s="1">
        <v>2035</v>
      </c>
      <c r="AQ181" s="1">
        <v>2036</v>
      </c>
      <c r="AR181" s="1">
        <v>2037</v>
      </c>
      <c r="AS181" s="1">
        <v>2038</v>
      </c>
      <c r="AT181" s="1">
        <v>2039</v>
      </c>
      <c r="AU181" s="1">
        <v>2040</v>
      </c>
      <c r="AV181" s="1">
        <v>2041</v>
      </c>
      <c r="AW181" s="1">
        <v>2042</v>
      </c>
      <c r="AX181" s="1">
        <v>2043</v>
      </c>
      <c r="AY181" s="1">
        <v>2044</v>
      </c>
      <c r="AZ181" s="1">
        <v>2045</v>
      </c>
      <c r="BA181" s="1">
        <v>2046</v>
      </c>
      <c r="BB181" s="1">
        <v>2047</v>
      </c>
      <c r="BC181" s="1">
        <v>2048</v>
      </c>
      <c r="BD181" s="1">
        <v>2049</v>
      </c>
      <c r="BE181" s="1">
        <v>2050</v>
      </c>
    </row>
    <row r="182" spans="1:57">
      <c r="A182" s="1" t="str">
        <f>'Population Definitions'!$A$2</f>
        <v>PWID_males</v>
      </c>
      <c r="C182" t="s">
        <v>32</v>
      </c>
      <c r="D182" s="3"/>
      <c r="E182" s="3"/>
      <c r="F182" s="4" t="s">
        <v>37</v>
      </c>
      <c r="G182" s="3">
        <v>0</v>
      </c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</row>
    <row r="183" spans="1:57">
      <c r="A183" s="1" t="str">
        <f>'Population Definitions'!$A$3</f>
        <v>PWID_females</v>
      </c>
      <c r="C183" t="s">
        <v>32</v>
      </c>
      <c r="D183" s="3"/>
      <c r="E183" s="3"/>
      <c r="F183" s="4" t="s">
        <v>37</v>
      </c>
      <c r="G183" s="3">
        <v>0</v>
      </c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</row>
    <row r="184" spans="1:57">
      <c r="A184" s="1" t="str">
        <f>'Population Definitions'!$A$4</f>
        <v>0-9_males</v>
      </c>
      <c r="C184" t="s">
        <v>32</v>
      </c>
      <c r="D184" s="3"/>
      <c r="E184" s="3"/>
      <c r="F184" s="4" t="s">
        <v>37</v>
      </c>
      <c r="G184" s="3">
        <v>0</v>
      </c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Definitions'!$A$5</f>
        <v>0-9_females</v>
      </c>
      <c r="C185" t="s">
        <v>32</v>
      </c>
      <c r="D185" s="3"/>
      <c r="E185" s="3"/>
      <c r="F185" s="4" t="s">
        <v>37</v>
      </c>
      <c r="G185" s="3">
        <v>0</v>
      </c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Definitions'!$A$6</f>
        <v>10-17_males</v>
      </c>
      <c r="C186" t="s">
        <v>32</v>
      </c>
      <c r="D186" s="3"/>
      <c r="E186" s="3"/>
      <c r="F186" s="4" t="s">
        <v>37</v>
      </c>
      <c r="G186" s="3">
        <v>0</v>
      </c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Definitions'!$A$7</f>
        <v>10-17_females</v>
      </c>
      <c r="C187" t="s">
        <v>32</v>
      </c>
      <c r="D187" s="3"/>
      <c r="E187" s="3"/>
      <c r="F187" s="4" t="s">
        <v>37</v>
      </c>
      <c r="G187" s="3">
        <v>0</v>
      </c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Definitions'!$A$8</f>
        <v>18-64_males</v>
      </c>
      <c r="C188" t="s">
        <v>32</v>
      </c>
      <c r="D188" s="3"/>
      <c r="E188" s="3"/>
      <c r="F188" s="4" t="s">
        <v>37</v>
      </c>
      <c r="G188" s="3">
        <v>0</v>
      </c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Definitions'!$A$9</f>
        <v>18-64_females</v>
      </c>
      <c r="C189" t="s">
        <v>32</v>
      </c>
      <c r="D189" s="3"/>
      <c r="E189" s="3"/>
      <c r="F189" s="4" t="s">
        <v>37</v>
      </c>
      <c r="G189" s="3">
        <v>0</v>
      </c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Definitions'!$A$10</f>
        <v>65+_males</v>
      </c>
      <c r="C190" t="s">
        <v>32</v>
      </c>
      <c r="D190" s="3"/>
      <c r="E190" s="3"/>
      <c r="F190" s="4" t="s">
        <v>37</v>
      </c>
      <c r="G190" s="3">
        <v>0</v>
      </c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Definitions'!$A$11</f>
        <v>65+_females</v>
      </c>
      <c r="C191" t="s">
        <v>32</v>
      </c>
      <c r="D191" s="3"/>
      <c r="E191" s="3"/>
      <c r="F191" s="4" t="s">
        <v>37</v>
      </c>
      <c r="G191" s="3">
        <v>0</v>
      </c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Definitions'!$A$12</f>
        <v>Prisoners_males</v>
      </c>
      <c r="C192" t="s">
        <v>32</v>
      </c>
      <c r="D192" s="3"/>
      <c r="E192" s="3"/>
      <c r="F192" s="4" t="s">
        <v>37</v>
      </c>
      <c r="G192" s="3">
        <v>0</v>
      </c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Definitions'!$A$13</f>
        <v>Prisoners_females</v>
      </c>
      <c r="C193" t="s">
        <v>32</v>
      </c>
      <c r="D193" s="3"/>
      <c r="E193" s="3"/>
      <c r="F193" s="4" t="s">
        <v>37</v>
      </c>
      <c r="G193" s="3">
        <v>0</v>
      </c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">
        <v>109</v>
      </c>
      <c r="C194" t="s">
        <v>32</v>
      </c>
      <c r="D194" s="3"/>
      <c r="E194" s="3"/>
      <c r="F194" s="4" t="s">
        <v>37</v>
      </c>
      <c r="G194" s="3">
        <v>0</v>
      </c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6" spans="1:57">
      <c r="A196" s="1" t="s">
        <v>122</v>
      </c>
      <c r="B196" s="1" t="s">
        <v>29</v>
      </c>
      <c r="C196" s="1" t="s">
        <v>30</v>
      </c>
      <c r="D196" s="1" t="s">
        <v>31</v>
      </c>
      <c r="E196" s="1" t="s">
        <v>36</v>
      </c>
      <c r="F196" s="1"/>
      <c r="G196" s="1">
        <v>2000</v>
      </c>
      <c r="H196" s="1">
        <v>2001</v>
      </c>
      <c r="I196" s="1">
        <v>2002</v>
      </c>
      <c r="J196" s="1">
        <v>2003</v>
      </c>
      <c r="K196" s="1">
        <v>2004</v>
      </c>
      <c r="L196" s="1">
        <v>2005</v>
      </c>
      <c r="M196" s="1">
        <v>2006</v>
      </c>
      <c r="N196" s="1">
        <v>2007</v>
      </c>
      <c r="O196" s="1">
        <v>2008</v>
      </c>
      <c r="P196" s="1">
        <v>2009</v>
      </c>
      <c r="Q196" s="1">
        <v>2010</v>
      </c>
      <c r="R196" s="1">
        <v>2011</v>
      </c>
      <c r="S196" s="1">
        <v>2012</v>
      </c>
      <c r="T196" s="1">
        <v>2013</v>
      </c>
      <c r="U196" s="1">
        <v>2014</v>
      </c>
      <c r="V196" s="1">
        <v>2015</v>
      </c>
      <c r="W196" s="1">
        <v>2016</v>
      </c>
      <c r="X196" s="1">
        <v>2017</v>
      </c>
      <c r="Y196" s="1">
        <v>2018</v>
      </c>
      <c r="Z196" s="1">
        <v>2019</v>
      </c>
      <c r="AA196" s="1">
        <v>2020</v>
      </c>
      <c r="AB196" s="1">
        <v>2021</v>
      </c>
      <c r="AC196" s="1">
        <v>2022</v>
      </c>
      <c r="AD196" s="1">
        <v>2023</v>
      </c>
      <c r="AE196" s="1">
        <v>2024</v>
      </c>
      <c r="AF196" s="1">
        <v>2025</v>
      </c>
      <c r="AG196" s="1">
        <v>2026</v>
      </c>
      <c r="AH196" s="1">
        <v>2027</v>
      </c>
      <c r="AI196" s="1">
        <v>2028</v>
      </c>
      <c r="AJ196" s="1">
        <v>2029</v>
      </c>
      <c r="AK196" s="1">
        <v>2030</v>
      </c>
      <c r="AL196" s="1">
        <v>2031</v>
      </c>
      <c r="AM196" s="1">
        <v>2032</v>
      </c>
      <c r="AN196" s="1">
        <v>2033</v>
      </c>
      <c r="AO196" s="1">
        <v>2034</v>
      </c>
      <c r="AP196" s="1">
        <v>2035</v>
      </c>
      <c r="AQ196" s="1">
        <v>2036</v>
      </c>
      <c r="AR196" s="1">
        <v>2037</v>
      </c>
      <c r="AS196" s="1">
        <v>2038</v>
      </c>
      <c r="AT196" s="1">
        <v>2039</v>
      </c>
      <c r="AU196" s="1">
        <v>2040</v>
      </c>
      <c r="AV196" s="1">
        <v>2041</v>
      </c>
      <c r="AW196" s="1">
        <v>2042</v>
      </c>
      <c r="AX196" s="1">
        <v>2043</v>
      </c>
      <c r="AY196" s="1">
        <v>2044</v>
      </c>
      <c r="AZ196" s="1">
        <v>2045</v>
      </c>
      <c r="BA196" s="1">
        <v>2046</v>
      </c>
      <c r="BB196" s="1">
        <v>2047</v>
      </c>
      <c r="BC196" s="1">
        <v>2048</v>
      </c>
      <c r="BD196" s="1">
        <v>2049</v>
      </c>
      <c r="BE196" s="1">
        <v>2050</v>
      </c>
    </row>
    <row r="197" spans="1:57">
      <c r="A197" s="1" t="str">
        <f>'Population Definitions'!$A$2</f>
        <v>PWID_males</v>
      </c>
      <c r="C197" t="s">
        <v>32</v>
      </c>
      <c r="D197" s="3"/>
      <c r="E197" s="3"/>
      <c r="F197" s="4" t="s">
        <v>37</v>
      </c>
      <c r="G197" s="3">
        <v>0</v>
      </c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</row>
    <row r="198" spans="1:57">
      <c r="A198" s="1" t="str">
        <f>'Population Definitions'!$A$3</f>
        <v>PWID_females</v>
      </c>
      <c r="C198" t="s">
        <v>32</v>
      </c>
      <c r="D198" s="3"/>
      <c r="E198" s="3"/>
      <c r="F198" s="4" t="s">
        <v>37</v>
      </c>
      <c r="G198" s="3">
        <v>0</v>
      </c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Definitions'!$A$4</f>
        <v>0-9_males</v>
      </c>
      <c r="C199" t="s">
        <v>32</v>
      </c>
      <c r="D199" s="3"/>
      <c r="E199" s="3"/>
      <c r="F199" s="4" t="s">
        <v>37</v>
      </c>
      <c r="G199" s="3">
        <v>0</v>
      </c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Definitions'!$A$5</f>
        <v>0-9_females</v>
      </c>
      <c r="C200" t="s">
        <v>32</v>
      </c>
      <c r="D200" s="3"/>
      <c r="E200" s="3"/>
      <c r="F200" s="4" t="s">
        <v>37</v>
      </c>
      <c r="G200" s="3">
        <v>0</v>
      </c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Definitions'!$A$6</f>
        <v>10-17_males</v>
      </c>
      <c r="C201" t="s">
        <v>32</v>
      </c>
      <c r="D201" s="3"/>
      <c r="E201" s="3"/>
      <c r="F201" s="4" t="s">
        <v>37</v>
      </c>
      <c r="G201" s="3">
        <v>0</v>
      </c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Definitions'!$A$7</f>
        <v>10-17_females</v>
      </c>
      <c r="C202" t="s">
        <v>32</v>
      </c>
      <c r="D202" s="3"/>
      <c r="E202" s="3"/>
      <c r="F202" s="4" t="s">
        <v>37</v>
      </c>
      <c r="G202" s="3">
        <v>0</v>
      </c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Definitions'!$A$8</f>
        <v>18-64_males</v>
      </c>
      <c r="C203" t="s">
        <v>32</v>
      </c>
      <c r="D203" s="3"/>
      <c r="E203" s="3"/>
      <c r="F203" s="4" t="s">
        <v>37</v>
      </c>
      <c r="G203" s="3">
        <v>0</v>
      </c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Definitions'!$A$9</f>
        <v>18-64_females</v>
      </c>
      <c r="C204" t="s">
        <v>32</v>
      </c>
      <c r="D204" s="3"/>
      <c r="E204" s="3"/>
      <c r="F204" s="4" t="s">
        <v>37</v>
      </c>
      <c r="G204" s="3">
        <v>0</v>
      </c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Definitions'!$A$10</f>
        <v>65+_males</v>
      </c>
      <c r="C205" t="s">
        <v>32</v>
      </c>
      <c r="D205" s="3"/>
      <c r="E205" s="3"/>
      <c r="F205" s="4" t="s">
        <v>37</v>
      </c>
      <c r="G205" s="3">
        <v>0</v>
      </c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Definitions'!$A$11</f>
        <v>65+_females</v>
      </c>
      <c r="C206" t="s">
        <v>32</v>
      </c>
      <c r="D206" s="3"/>
      <c r="E206" s="3"/>
      <c r="F206" s="4" t="s">
        <v>37</v>
      </c>
      <c r="G206" s="3">
        <v>0</v>
      </c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Definitions'!$A$12</f>
        <v>Prisoners_males</v>
      </c>
      <c r="C207" t="s">
        <v>32</v>
      </c>
      <c r="D207" s="3"/>
      <c r="E207" s="3"/>
      <c r="F207" s="4" t="s">
        <v>37</v>
      </c>
      <c r="G207" s="3">
        <v>0</v>
      </c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Definitions'!$A$13</f>
        <v>Prisoners_females</v>
      </c>
      <c r="C208" t="s">
        <v>32</v>
      </c>
      <c r="D208" s="3"/>
      <c r="E208" s="3"/>
      <c r="F208" s="4" t="s">
        <v>37</v>
      </c>
      <c r="G208" s="3">
        <v>0</v>
      </c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">
        <v>109</v>
      </c>
      <c r="C209" t="s">
        <v>32</v>
      </c>
      <c r="D209" s="3"/>
      <c r="E209" s="3"/>
      <c r="F209" s="4" t="s">
        <v>37</v>
      </c>
      <c r="G209" s="3">
        <v>0</v>
      </c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123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32</v>
      </c>
      <c r="D212" s="3"/>
      <c r="E212" s="3"/>
      <c r="F212" s="4" t="s">
        <v>37</v>
      </c>
      <c r="G212" s="3">
        <v>0</v>
      </c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32</v>
      </c>
      <c r="D213" s="3"/>
      <c r="E213" s="3"/>
      <c r="F213" s="4" t="s">
        <v>37</v>
      </c>
      <c r="G213" s="3">
        <v>0</v>
      </c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32</v>
      </c>
      <c r="D214" s="3"/>
      <c r="E214" s="3"/>
      <c r="F214" s="4" t="s">
        <v>37</v>
      </c>
      <c r="G214" s="3">
        <v>0</v>
      </c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32</v>
      </c>
      <c r="D215" s="3"/>
      <c r="E215" s="3"/>
      <c r="F215" s="4" t="s">
        <v>37</v>
      </c>
      <c r="G215" s="3">
        <v>0</v>
      </c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32</v>
      </c>
      <c r="D216" s="3"/>
      <c r="E216" s="3"/>
      <c r="F216" s="4" t="s">
        <v>37</v>
      </c>
      <c r="G216" s="3">
        <v>0</v>
      </c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32</v>
      </c>
      <c r="D217" s="3"/>
      <c r="E217" s="3"/>
      <c r="F217" s="4" t="s">
        <v>37</v>
      </c>
      <c r="G217" s="3">
        <v>0</v>
      </c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32</v>
      </c>
      <c r="D218" s="3"/>
      <c r="E218" s="3"/>
      <c r="F218" s="4" t="s">
        <v>37</v>
      </c>
      <c r="G218" s="3">
        <v>0</v>
      </c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32</v>
      </c>
      <c r="D219" s="3"/>
      <c r="E219" s="3"/>
      <c r="F219" s="4" t="s">
        <v>37</v>
      </c>
      <c r="G219" s="3">
        <v>0</v>
      </c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32</v>
      </c>
      <c r="D220" s="3"/>
      <c r="E220" s="3"/>
      <c r="F220" s="4" t="s">
        <v>37</v>
      </c>
      <c r="G220" s="3">
        <v>0</v>
      </c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32</v>
      </c>
      <c r="D221" s="3"/>
      <c r="E221" s="3"/>
      <c r="F221" s="4" t="s">
        <v>37</v>
      </c>
      <c r="G221" s="3">
        <v>0</v>
      </c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32</v>
      </c>
      <c r="D222" s="3"/>
      <c r="E222" s="3"/>
      <c r="F222" s="4" t="s">
        <v>37</v>
      </c>
      <c r="G222" s="3">
        <v>0</v>
      </c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32</v>
      </c>
      <c r="D223" s="3"/>
      <c r="E223" s="3"/>
      <c r="F223" s="4" t="s">
        <v>37</v>
      </c>
      <c r="G223" s="3">
        <v>0</v>
      </c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4" spans="1:57">
      <c r="A224" s="1" t="s">
        <v>109</v>
      </c>
      <c r="C224" t="s">
        <v>32</v>
      </c>
      <c r="D224" s="3"/>
      <c r="E224" s="3"/>
      <c r="F224" s="4" t="s">
        <v>37</v>
      </c>
      <c r="G224" s="3">
        <v>0</v>
      </c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</row>
    <row r="226" spans="1:57">
      <c r="A226" s="1" t="s">
        <v>124</v>
      </c>
      <c r="B226" s="1" t="s">
        <v>29</v>
      </c>
      <c r="C226" s="1" t="s">
        <v>30</v>
      </c>
      <c r="D226" s="1" t="s">
        <v>31</v>
      </c>
      <c r="E226" s="1" t="s">
        <v>36</v>
      </c>
      <c r="F226" s="1"/>
      <c r="G226" s="1">
        <v>2000</v>
      </c>
      <c r="H226" s="1">
        <v>2001</v>
      </c>
      <c r="I226" s="1">
        <v>2002</v>
      </c>
      <c r="J226" s="1">
        <v>2003</v>
      </c>
      <c r="K226" s="1">
        <v>2004</v>
      </c>
      <c r="L226" s="1">
        <v>2005</v>
      </c>
      <c r="M226" s="1">
        <v>2006</v>
      </c>
      <c r="N226" s="1">
        <v>2007</v>
      </c>
      <c r="O226" s="1">
        <v>2008</v>
      </c>
      <c r="P226" s="1">
        <v>2009</v>
      </c>
      <c r="Q226" s="1">
        <v>2010</v>
      </c>
      <c r="R226" s="1">
        <v>2011</v>
      </c>
      <c r="S226" s="1">
        <v>2012</v>
      </c>
      <c r="T226" s="1">
        <v>2013</v>
      </c>
      <c r="U226" s="1">
        <v>2014</v>
      </c>
      <c r="V226" s="1">
        <v>2015</v>
      </c>
      <c r="W226" s="1">
        <v>2016</v>
      </c>
      <c r="X226" s="1">
        <v>2017</v>
      </c>
      <c r="Y226" s="1">
        <v>2018</v>
      </c>
      <c r="Z226" s="1">
        <v>2019</v>
      </c>
      <c r="AA226" s="1">
        <v>2020</v>
      </c>
      <c r="AB226" s="1">
        <v>2021</v>
      </c>
      <c r="AC226" s="1">
        <v>2022</v>
      </c>
      <c r="AD226" s="1">
        <v>2023</v>
      </c>
      <c r="AE226" s="1">
        <v>2024</v>
      </c>
      <c r="AF226" s="1">
        <v>2025</v>
      </c>
      <c r="AG226" s="1">
        <v>2026</v>
      </c>
      <c r="AH226" s="1">
        <v>2027</v>
      </c>
      <c r="AI226" s="1">
        <v>2028</v>
      </c>
      <c r="AJ226" s="1">
        <v>2029</v>
      </c>
      <c r="AK226" s="1">
        <v>2030</v>
      </c>
      <c r="AL226" s="1">
        <v>2031</v>
      </c>
      <c r="AM226" s="1">
        <v>2032</v>
      </c>
      <c r="AN226" s="1">
        <v>2033</v>
      </c>
      <c r="AO226" s="1">
        <v>2034</v>
      </c>
      <c r="AP226" s="1">
        <v>2035</v>
      </c>
      <c r="AQ226" s="1">
        <v>2036</v>
      </c>
      <c r="AR226" s="1">
        <v>2037</v>
      </c>
      <c r="AS226" s="1">
        <v>2038</v>
      </c>
      <c r="AT226" s="1">
        <v>2039</v>
      </c>
      <c r="AU226" s="1">
        <v>2040</v>
      </c>
      <c r="AV226" s="1">
        <v>2041</v>
      </c>
      <c r="AW226" s="1">
        <v>2042</v>
      </c>
      <c r="AX226" s="1">
        <v>2043</v>
      </c>
      <c r="AY226" s="1">
        <v>2044</v>
      </c>
      <c r="AZ226" s="1">
        <v>2045</v>
      </c>
      <c r="BA226" s="1">
        <v>2046</v>
      </c>
      <c r="BB226" s="1">
        <v>2047</v>
      </c>
      <c r="BC226" s="1">
        <v>2048</v>
      </c>
      <c r="BD226" s="1">
        <v>2049</v>
      </c>
      <c r="BE226" s="1">
        <v>2050</v>
      </c>
    </row>
    <row r="227" spans="1:57">
      <c r="A227" s="1" t="str">
        <f>'Population Definitions'!$A$2</f>
        <v>PWID_males</v>
      </c>
      <c r="C227" t="s">
        <v>32</v>
      </c>
      <c r="D227" s="3"/>
      <c r="E227" s="3"/>
      <c r="F227" s="4" t="s">
        <v>37</v>
      </c>
      <c r="G227" s="3">
        <v>0</v>
      </c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Definitions'!$A$3</f>
        <v>PWID_females</v>
      </c>
      <c r="C228" t="s">
        <v>32</v>
      </c>
      <c r="D228" s="3"/>
      <c r="E228" s="3"/>
      <c r="F228" s="4" t="s">
        <v>37</v>
      </c>
      <c r="G228" s="3">
        <v>0</v>
      </c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Definitions'!$A$4</f>
        <v>0-9_males</v>
      </c>
      <c r="C229" t="s">
        <v>32</v>
      </c>
      <c r="D229" s="3"/>
      <c r="E229" s="3"/>
      <c r="F229" s="4" t="s">
        <v>37</v>
      </c>
      <c r="G229" s="3">
        <v>0</v>
      </c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Definitions'!$A$5</f>
        <v>0-9_females</v>
      </c>
      <c r="C230" t="s">
        <v>32</v>
      </c>
      <c r="D230" s="3"/>
      <c r="E230" s="3"/>
      <c r="F230" s="4" t="s">
        <v>37</v>
      </c>
      <c r="G230" s="3">
        <v>0</v>
      </c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Definitions'!$A$6</f>
        <v>10-17_males</v>
      </c>
      <c r="C231" t="s">
        <v>32</v>
      </c>
      <c r="D231" s="3"/>
      <c r="E231" s="3"/>
      <c r="F231" s="4" t="s">
        <v>37</v>
      </c>
      <c r="G231" s="3">
        <v>0</v>
      </c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Definitions'!$A$7</f>
        <v>10-17_females</v>
      </c>
      <c r="C232" t="s">
        <v>32</v>
      </c>
      <c r="D232" s="3"/>
      <c r="E232" s="3"/>
      <c r="F232" s="4" t="s">
        <v>37</v>
      </c>
      <c r="G232" s="3">
        <v>0</v>
      </c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Definitions'!$A$8</f>
        <v>18-64_males</v>
      </c>
      <c r="C233" t="s">
        <v>32</v>
      </c>
      <c r="D233" s="3"/>
      <c r="E233" s="3"/>
      <c r="F233" s="4" t="s">
        <v>37</v>
      </c>
      <c r="G233" s="3">
        <v>0</v>
      </c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Definitions'!$A$9</f>
        <v>18-64_females</v>
      </c>
      <c r="C234" t="s">
        <v>32</v>
      </c>
      <c r="D234" s="3"/>
      <c r="E234" s="3"/>
      <c r="F234" s="4" t="s">
        <v>37</v>
      </c>
      <c r="G234" s="3">
        <v>0</v>
      </c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Definitions'!$A$10</f>
        <v>65+_males</v>
      </c>
      <c r="C235" t="s">
        <v>32</v>
      </c>
      <c r="D235" s="3"/>
      <c r="E235" s="3"/>
      <c r="F235" s="4" t="s">
        <v>37</v>
      </c>
      <c r="G235" s="3">
        <v>0</v>
      </c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Definitions'!$A$11</f>
        <v>65+_females</v>
      </c>
      <c r="C236" t="s">
        <v>32</v>
      </c>
      <c r="D236" s="3"/>
      <c r="E236" s="3"/>
      <c r="F236" s="4" t="s">
        <v>37</v>
      </c>
      <c r="G236" s="3">
        <v>0</v>
      </c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Definitions'!$A$12</f>
        <v>Prisoners_males</v>
      </c>
      <c r="C237" t="s">
        <v>32</v>
      </c>
      <c r="D237" s="3"/>
      <c r="E237" s="3"/>
      <c r="F237" s="4" t="s">
        <v>37</v>
      </c>
      <c r="G237" s="3">
        <v>0</v>
      </c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8" spans="1:57">
      <c r="A238" s="1" t="str">
        <f>'Population Definitions'!$A$13</f>
        <v>Prisoners_females</v>
      </c>
      <c r="C238" t="s">
        <v>32</v>
      </c>
      <c r="D238" s="3"/>
      <c r="E238" s="3"/>
      <c r="F238" s="4" t="s">
        <v>37</v>
      </c>
      <c r="G238" s="3">
        <v>0</v>
      </c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</row>
    <row r="239" spans="1:57">
      <c r="A239" s="1" t="s">
        <v>109</v>
      </c>
      <c r="C239" t="s">
        <v>32</v>
      </c>
      <c r="D239" s="3"/>
      <c r="E239" s="3"/>
      <c r="F239" s="4" t="s">
        <v>37</v>
      </c>
      <c r="G239" s="3">
        <v>513.1</v>
      </c>
      <c r="H239" s="3"/>
      <c r="I239" s="3"/>
      <c r="J239" s="3"/>
      <c r="K239" s="3"/>
      <c r="L239" s="3"/>
      <c r="M239" s="3"/>
      <c r="N239" s="3"/>
      <c r="O239" s="3"/>
      <c r="P239" s="3"/>
      <c r="Q239" s="3">
        <v>513.1</v>
      </c>
      <c r="R239" s="3"/>
      <c r="S239" s="3"/>
      <c r="T239" s="3"/>
      <c r="U239" s="3"/>
      <c r="V239" s="3"/>
      <c r="W239" s="3"/>
      <c r="X239" s="3"/>
      <c r="Y239" s="3"/>
      <c r="Z239" s="3">
        <v>616.1</v>
      </c>
      <c r="AA239" s="3">
        <v>624.3</v>
      </c>
      <c r="AB239" s="3">
        <v>623.5</v>
      </c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</row>
    <row r="241" spans="1:57">
      <c r="A241" s="1" t="s">
        <v>125</v>
      </c>
      <c r="B241" s="1" t="s">
        <v>29</v>
      </c>
      <c r="C241" s="1" t="s">
        <v>30</v>
      </c>
      <c r="D241" s="1" t="s">
        <v>31</v>
      </c>
      <c r="E241" s="1" t="s">
        <v>36</v>
      </c>
      <c r="F241" s="1"/>
      <c r="G241" s="1">
        <v>2000</v>
      </c>
      <c r="H241" s="1">
        <v>2001</v>
      </c>
      <c r="I241" s="1">
        <v>2002</v>
      </c>
      <c r="J241" s="1">
        <v>2003</v>
      </c>
      <c r="K241" s="1">
        <v>2004</v>
      </c>
      <c r="L241" s="1">
        <v>2005</v>
      </c>
      <c r="M241" s="1">
        <v>2006</v>
      </c>
      <c r="N241" s="1">
        <v>2007</v>
      </c>
      <c r="O241" s="1">
        <v>2008</v>
      </c>
      <c r="P241" s="1">
        <v>2009</v>
      </c>
      <c r="Q241" s="1">
        <v>2010</v>
      </c>
      <c r="R241" s="1">
        <v>2011</v>
      </c>
      <c r="S241" s="1">
        <v>2012</v>
      </c>
      <c r="T241" s="1">
        <v>2013</v>
      </c>
      <c r="U241" s="1">
        <v>2014</v>
      </c>
      <c r="V241" s="1">
        <v>2015</v>
      </c>
      <c r="W241" s="1">
        <v>2016</v>
      </c>
      <c r="X241" s="1">
        <v>2017</v>
      </c>
      <c r="Y241" s="1">
        <v>2018</v>
      </c>
      <c r="Z241" s="1">
        <v>2019</v>
      </c>
      <c r="AA241" s="1">
        <v>2020</v>
      </c>
      <c r="AB241" s="1">
        <v>2021</v>
      </c>
      <c r="AC241" s="1">
        <v>2022</v>
      </c>
      <c r="AD241" s="1">
        <v>2023</v>
      </c>
      <c r="AE241" s="1">
        <v>2024</v>
      </c>
      <c r="AF241" s="1">
        <v>2025</v>
      </c>
      <c r="AG241" s="1">
        <v>2026</v>
      </c>
      <c r="AH241" s="1">
        <v>2027</v>
      </c>
      <c r="AI241" s="1">
        <v>2028</v>
      </c>
      <c r="AJ241" s="1">
        <v>2029</v>
      </c>
      <c r="AK241" s="1">
        <v>2030</v>
      </c>
      <c r="AL241" s="1">
        <v>2031</v>
      </c>
      <c r="AM241" s="1">
        <v>2032</v>
      </c>
      <c r="AN241" s="1">
        <v>2033</v>
      </c>
      <c r="AO241" s="1">
        <v>2034</v>
      </c>
      <c r="AP241" s="1">
        <v>2035</v>
      </c>
      <c r="AQ241" s="1">
        <v>2036</v>
      </c>
      <c r="AR241" s="1">
        <v>2037</v>
      </c>
      <c r="AS241" s="1">
        <v>2038</v>
      </c>
      <c r="AT241" s="1">
        <v>2039</v>
      </c>
      <c r="AU241" s="1">
        <v>2040</v>
      </c>
      <c r="AV241" s="1">
        <v>2041</v>
      </c>
      <c r="AW241" s="1">
        <v>2042</v>
      </c>
      <c r="AX241" s="1">
        <v>2043</v>
      </c>
      <c r="AY241" s="1">
        <v>2044</v>
      </c>
      <c r="AZ241" s="1">
        <v>2045</v>
      </c>
      <c r="BA241" s="1">
        <v>2046</v>
      </c>
      <c r="BB241" s="1">
        <v>2047</v>
      </c>
      <c r="BC241" s="1">
        <v>2048</v>
      </c>
      <c r="BD241" s="1">
        <v>2049</v>
      </c>
      <c r="BE241" s="1">
        <v>2050</v>
      </c>
    </row>
    <row r="242" spans="1:57">
      <c r="A242" s="1" t="str">
        <f>'Population Definitions'!$A$2</f>
        <v>PWID_males</v>
      </c>
      <c r="C242" t="s">
        <v>32</v>
      </c>
      <c r="D242" s="3"/>
      <c r="E242" s="3"/>
      <c r="F242" s="4" t="s">
        <v>37</v>
      </c>
      <c r="G242" s="3">
        <v>0</v>
      </c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Definitions'!$A$3</f>
        <v>PWID_females</v>
      </c>
      <c r="C243" t="s">
        <v>32</v>
      </c>
      <c r="D243" s="3"/>
      <c r="E243" s="3"/>
      <c r="F243" s="4" t="s">
        <v>37</v>
      </c>
      <c r="G243" s="3">
        <v>0</v>
      </c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Definitions'!$A$4</f>
        <v>0-9_males</v>
      </c>
      <c r="C244" t="s">
        <v>32</v>
      </c>
      <c r="D244" s="3"/>
      <c r="E244" s="3"/>
      <c r="F244" s="4" t="s">
        <v>37</v>
      </c>
      <c r="G244" s="3">
        <v>0</v>
      </c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Definitions'!$A$5</f>
        <v>0-9_females</v>
      </c>
      <c r="C245" t="s">
        <v>32</v>
      </c>
      <c r="D245" s="3"/>
      <c r="E245" s="3"/>
      <c r="F245" s="4" t="s">
        <v>37</v>
      </c>
      <c r="G245" s="3">
        <v>0</v>
      </c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Definitions'!$A$6</f>
        <v>10-17_males</v>
      </c>
      <c r="C246" t="s">
        <v>32</v>
      </c>
      <c r="D246" s="3"/>
      <c r="E246" s="3"/>
      <c r="F246" s="4" t="s">
        <v>37</v>
      </c>
      <c r="G246" s="3">
        <v>0</v>
      </c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Definitions'!$A$7</f>
        <v>10-17_females</v>
      </c>
      <c r="C247" t="s">
        <v>32</v>
      </c>
      <c r="D247" s="3"/>
      <c r="E247" s="3"/>
      <c r="F247" s="4" t="s">
        <v>37</v>
      </c>
      <c r="G247" s="3">
        <v>0</v>
      </c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Definitions'!$A$8</f>
        <v>18-64_males</v>
      </c>
      <c r="C248" t="s">
        <v>32</v>
      </c>
      <c r="D248" s="3"/>
      <c r="E248" s="3"/>
      <c r="F248" s="4" t="s">
        <v>37</v>
      </c>
      <c r="G248" s="3">
        <v>0</v>
      </c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Definitions'!$A$9</f>
        <v>18-64_females</v>
      </c>
      <c r="C249" t="s">
        <v>32</v>
      </c>
      <c r="D249" s="3"/>
      <c r="E249" s="3"/>
      <c r="F249" s="4" t="s">
        <v>37</v>
      </c>
      <c r="G249" s="3">
        <v>0</v>
      </c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Definitions'!$A$10</f>
        <v>65+_males</v>
      </c>
      <c r="C250" t="s">
        <v>32</v>
      </c>
      <c r="D250" s="3"/>
      <c r="E250" s="3"/>
      <c r="F250" s="4" t="s">
        <v>37</v>
      </c>
      <c r="G250" s="3">
        <v>0</v>
      </c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Definitions'!$A$11</f>
        <v>65+_females</v>
      </c>
      <c r="C251" t="s">
        <v>32</v>
      </c>
      <c r="D251" s="3"/>
      <c r="E251" s="3"/>
      <c r="F251" s="4" t="s">
        <v>37</v>
      </c>
      <c r="G251" s="3">
        <v>0</v>
      </c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2" spans="1:57">
      <c r="A252" s="1" t="str">
        <f>'Population Definitions'!$A$12</f>
        <v>Prisoners_males</v>
      </c>
      <c r="C252" t="s">
        <v>32</v>
      </c>
      <c r="D252" s="3"/>
      <c r="E252" s="3"/>
      <c r="F252" s="4" t="s">
        <v>37</v>
      </c>
      <c r="G252" s="3">
        <v>0</v>
      </c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</row>
    <row r="253" spans="1:57">
      <c r="A253" s="1" t="str">
        <f>'Population Definitions'!$A$13</f>
        <v>Prisoners_females</v>
      </c>
      <c r="C253" t="s">
        <v>32</v>
      </c>
      <c r="D253" s="3"/>
      <c r="E253" s="3"/>
      <c r="F253" s="4" t="s">
        <v>37</v>
      </c>
      <c r="G253" s="3">
        <v>0</v>
      </c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</row>
    <row r="254" spans="1:57">
      <c r="A254" s="1" t="s">
        <v>109</v>
      </c>
      <c r="C254" t="s">
        <v>32</v>
      </c>
      <c r="D254" s="3"/>
      <c r="E254" s="3"/>
      <c r="F254" s="4" t="s">
        <v>37</v>
      </c>
      <c r="G254" s="3">
        <v>0</v>
      </c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</row>
  </sheetData>
  <conditionalFormatting sqref="E100">
    <cfRule type="expression" dxfId="0" priority="147">
      <formula>COUNTIF(G100:BE100,"&lt;&gt;" &amp; "")&gt;0</formula>
    </cfRule>
    <cfRule type="expression" dxfId="1" priority="148">
      <formula>AND(COUNTIF(G100:BE100,"&lt;&gt;" &amp; "")&gt;0,NOT(ISBLANK(E100)))</formula>
    </cfRule>
  </conditionalFormatting>
  <conditionalFormatting sqref="E101">
    <cfRule type="expression" dxfId="0" priority="149">
      <formula>COUNTIF(G101:BE101,"&lt;&gt;" &amp; "")&gt;0</formula>
    </cfRule>
    <cfRule type="expression" dxfId="1" priority="150">
      <formula>AND(COUNTIF(G101:BE101,"&lt;&gt;" &amp; "")&gt;0,NOT(ISBLANK(E101)))</formula>
    </cfRule>
  </conditionalFormatting>
  <conditionalFormatting sqref="E102">
    <cfRule type="expression" dxfId="0" priority="151">
      <formula>COUNTIF(G102:BE102,"&lt;&gt;" &amp; "")&gt;0</formula>
    </cfRule>
    <cfRule type="expression" dxfId="1" priority="152">
      <formula>AND(COUNTIF(G102:BE102,"&lt;&gt;" &amp; "")&gt;0,NOT(ISBLANK(E102)))</formula>
    </cfRule>
  </conditionalFormatting>
  <conditionalFormatting sqref="E103">
    <cfRule type="expression" dxfId="0" priority="153">
      <formula>COUNTIF(G103:BE103,"&lt;&gt;" &amp; "")&gt;0</formula>
    </cfRule>
    <cfRule type="expression" dxfId="1" priority="154">
      <formula>AND(COUNTIF(G103:BE103,"&lt;&gt;" &amp; "")&gt;0,NOT(ISBLANK(E103)))</formula>
    </cfRule>
  </conditionalFormatting>
  <conditionalFormatting sqref="E104">
    <cfRule type="expression" dxfId="0" priority="155">
      <formula>COUNTIF(G104:BE104,"&lt;&gt;" &amp; "")&gt;0</formula>
    </cfRule>
    <cfRule type="expression" dxfId="1" priority="156">
      <formula>AND(COUNTIF(G104:BE104,"&lt;&gt;" &amp; "")&gt;0,NOT(ISBLANK(E104)))</formula>
    </cfRule>
  </conditionalFormatting>
  <conditionalFormatting sqref="E107">
    <cfRule type="expression" dxfId="0" priority="157">
      <formula>COUNTIF(G107:BE107,"&lt;&gt;" &amp; "")&gt;0</formula>
    </cfRule>
    <cfRule type="expression" dxfId="1" priority="158">
      <formula>AND(COUNTIF(G107:BE107,"&lt;&gt;" &amp; "")&gt;0,NOT(ISBLANK(E107)))</formula>
    </cfRule>
  </conditionalFormatting>
  <conditionalFormatting sqref="E108">
    <cfRule type="expression" dxfId="0" priority="159">
      <formula>COUNTIF(G108:BE108,"&lt;&gt;" &amp; "")&gt;0</formula>
    </cfRule>
    <cfRule type="expression" dxfId="1" priority="160">
      <formula>AND(COUNTIF(G108:BE108,"&lt;&gt;" &amp; "")&gt;0,NOT(ISBLANK(E108)))</formula>
    </cfRule>
  </conditionalFormatting>
  <conditionalFormatting sqref="E109">
    <cfRule type="expression" dxfId="0" priority="161">
      <formula>COUNTIF(G109:BE109,"&lt;&gt;" &amp; "")&gt;0</formula>
    </cfRule>
    <cfRule type="expression" dxfId="1" priority="162">
      <formula>AND(COUNTIF(G109:BE109,"&lt;&gt;" &amp; "")&gt;0,NOT(ISBLANK(E109)))</formula>
    </cfRule>
  </conditionalFormatting>
  <conditionalFormatting sqref="E110">
    <cfRule type="expression" dxfId="0" priority="163">
      <formula>COUNTIF(G110:BE110,"&lt;&gt;" &amp; "")&gt;0</formula>
    </cfRule>
    <cfRule type="expression" dxfId="1" priority="164">
      <formula>AND(COUNTIF(G110:BE110,"&lt;&gt;" &amp; "")&gt;0,NOT(ISBLANK(E110)))</formula>
    </cfRule>
  </conditionalFormatting>
  <conditionalFormatting sqref="E111">
    <cfRule type="expression" dxfId="0" priority="165">
      <formula>COUNTIF(G111:BE111,"&lt;&gt;" &amp; "")&gt;0</formula>
    </cfRule>
    <cfRule type="expression" dxfId="1" priority="166">
      <formula>AND(COUNTIF(G111:BE111,"&lt;&gt;" &amp; "")&gt;0,NOT(ISBLANK(E111)))</formula>
    </cfRule>
  </conditionalFormatting>
  <conditionalFormatting sqref="E112">
    <cfRule type="expression" dxfId="0" priority="167">
      <formula>COUNTIF(G112:BE112,"&lt;&gt;" &amp; "")&gt;0</formula>
    </cfRule>
    <cfRule type="expression" dxfId="1" priority="168">
      <formula>AND(COUNTIF(G112:BE112,"&lt;&gt;" &amp; "")&gt;0,NOT(ISBLANK(E112)))</formula>
    </cfRule>
  </conditionalFormatting>
  <conditionalFormatting sqref="E113">
    <cfRule type="expression" dxfId="0" priority="169">
      <formula>COUNTIF(G113:BE113,"&lt;&gt;" &amp; "")&gt;0</formula>
    </cfRule>
    <cfRule type="expression" dxfId="1" priority="170">
      <formula>AND(COUNTIF(G113:BE113,"&lt;&gt;" &amp; "")&gt;0,NOT(ISBLANK(E113)))</formula>
    </cfRule>
  </conditionalFormatting>
  <conditionalFormatting sqref="E114">
    <cfRule type="expression" dxfId="0" priority="171">
      <formula>COUNTIF(G114:BE114,"&lt;&gt;" &amp; "")&gt;0</formula>
    </cfRule>
    <cfRule type="expression" dxfId="1" priority="172">
      <formula>AND(COUNTIF(G114:BE114,"&lt;&gt;" &amp; "")&gt;0,NOT(ISBLANK(E114)))</formula>
    </cfRule>
  </conditionalFormatting>
  <conditionalFormatting sqref="E115">
    <cfRule type="expression" dxfId="0" priority="173">
      <formula>COUNTIF(G115:BE115,"&lt;&gt;" &amp; "")&gt;0</formula>
    </cfRule>
    <cfRule type="expression" dxfId="1" priority="174">
      <formula>AND(COUNTIF(G115:BE115,"&lt;&gt;" &amp; "")&gt;0,NOT(ISBLANK(E115)))</formula>
    </cfRule>
  </conditionalFormatting>
  <conditionalFormatting sqref="E116">
    <cfRule type="expression" dxfId="0" priority="175">
      <formula>COUNTIF(G116:BE116,"&lt;&gt;" &amp; "")&gt;0</formula>
    </cfRule>
    <cfRule type="expression" dxfId="1" priority="176">
      <formula>AND(COUNTIF(G116:BE116,"&lt;&gt;" &amp; "")&gt;0,NOT(ISBLANK(E116)))</formula>
    </cfRule>
  </conditionalFormatting>
  <conditionalFormatting sqref="E117">
    <cfRule type="expression" dxfId="0" priority="177">
      <formula>COUNTIF(G117:BE117,"&lt;&gt;" &amp; "")&gt;0</formula>
    </cfRule>
    <cfRule type="expression" dxfId="1" priority="178">
      <formula>AND(COUNTIF(G117:BE117,"&lt;&gt;" &amp; "")&gt;0,NOT(ISBLANK(E117)))</formula>
    </cfRule>
  </conditionalFormatting>
  <conditionalFormatting sqref="E118">
    <cfRule type="expression" dxfId="0" priority="179">
      <formula>COUNTIF(G118:BE118,"&lt;&gt;" &amp; "")&gt;0</formula>
    </cfRule>
    <cfRule type="expression" dxfId="1" priority="180">
      <formula>AND(COUNTIF(G118:BE118,"&lt;&gt;" &amp; "")&gt;0,NOT(ISBLANK(E118)))</formula>
    </cfRule>
  </conditionalFormatting>
  <conditionalFormatting sqref="E119">
    <cfRule type="expression" dxfId="0" priority="181">
      <formula>COUNTIF(G119:BE119,"&lt;&gt;" &amp; "")&gt;0</formula>
    </cfRule>
    <cfRule type="expression" dxfId="1" priority="182">
      <formula>AND(COUNTIF(G119:BE119,"&lt;&gt;" &amp; "")&gt;0,NOT(ISBLANK(E119)))</formula>
    </cfRule>
  </conditionalFormatting>
  <conditionalFormatting sqref="E122">
    <cfRule type="expression" dxfId="0" priority="183">
      <formula>COUNTIF(G122:BE122,"&lt;&gt;" &amp; "")&gt;0</formula>
    </cfRule>
    <cfRule type="expression" dxfId="1" priority="184">
      <formula>AND(COUNTIF(G122:BE122,"&lt;&gt;" &amp; "")&gt;0,NOT(ISBLANK(E122)))</formula>
    </cfRule>
  </conditionalFormatting>
  <conditionalFormatting sqref="E123">
    <cfRule type="expression" dxfId="0" priority="185">
      <formula>COUNTIF(G123:BE123,"&lt;&gt;" &amp; "")&gt;0</formula>
    </cfRule>
    <cfRule type="expression" dxfId="1" priority="186">
      <formula>AND(COUNTIF(G123:BE123,"&lt;&gt;" &amp; "")&gt;0,NOT(ISBLANK(E123)))</formula>
    </cfRule>
  </conditionalFormatting>
  <conditionalFormatting sqref="E124">
    <cfRule type="expression" dxfId="0" priority="187">
      <formula>COUNTIF(G124:BE124,"&lt;&gt;" &amp; "")&gt;0</formula>
    </cfRule>
    <cfRule type="expression" dxfId="1" priority="188">
      <formula>AND(COUNTIF(G124:BE124,"&lt;&gt;" &amp; "")&gt;0,NOT(ISBLANK(E124)))</formula>
    </cfRule>
  </conditionalFormatting>
  <conditionalFormatting sqref="E125">
    <cfRule type="expression" dxfId="0" priority="189">
      <formula>COUNTIF(G125:BE125,"&lt;&gt;" &amp; "")&gt;0</formula>
    </cfRule>
    <cfRule type="expression" dxfId="1" priority="190">
      <formula>AND(COUNTIF(G125:BE125,"&lt;&gt;" &amp; "")&gt;0,NOT(ISBLANK(E125)))</formula>
    </cfRule>
  </conditionalFormatting>
  <conditionalFormatting sqref="E126">
    <cfRule type="expression" dxfId="0" priority="191">
      <formula>COUNTIF(G126:BE126,"&lt;&gt;" &amp; "")&gt;0</formula>
    </cfRule>
    <cfRule type="expression" dxfId="1" priority="192">
      <formula>AND(COUNTIF(G126:BE126,"&lt;&gt;" &amp; "")&gt;0,NOT(ISBLANK(E126)))</formula>
    </cfRule>
  </conditionalFormatting>
  <conditionalFormatting sqref="E127">
    <cfRule type="expression" dxfId="0" priority="193">
      <formula>COUNTIF(G127:BE127,"&lt;&gt;" &amp; "")&gt;0</formula>
    </cfRule>
    <cfRule type="expression" dxfId="1" priority="194">
      <formula>AND(COUNTIF(G127:BE127,"&lt;&gt;" &amp; "")&gt;0,NOT(ISBLANK(E127)))</formula>
    </cfRule>
  </conditionalFormatting>
  <conditionalFormatting sqref="E128">
    <cfRule type="expression" dxfId="0" priority="195">
      <formula>COUNTIF(G128:BE128,"&lt;&gt;" &amp; "")&gt;0</formula>
    </cfRule>
    <cfRule type="expression" dxfId="1" priority="196">
      <formula>AND(COUNTIF(G128:BE128,"&lt;&gt;" &amp; "")&gt;0,NOT(ISBLANK(E128)))</formula>
    </cfRule>
  </conditionalFormatting>
  <conditionalFormatting sqref="E129">
    <cfRule type="expression" dxfId="0" priority="197">
      <formula>COUNTIF(G129:BE129,"&lt;&gt;" &amp; "")&gt;0</formula>
    </cfRule>
    <cfRule type="expression" dxfId="1" priority="198">
      <formula>AND(COUNTIF(G129:BE129,"&lt;&gt;" &amp; "")&gt;0,NOT(ISBLANK(E129)))</formula>
    </cfRule>
  </conditionalFormatting>
  <conditionalFormatting sqref="E130">
    <cfRule type="expression" dxfId="0" priority="199">
      <formula>COUNTIF(G130:BE130,"&lt;&gt;" &amp; "")&gt;0</formula>
    </cfRule>
    <cfRule type="expression" dxfId="1" priority="200">
      <formula>AND(COUNTIF(G130:BE130,"&lt;&gt;" &amp; "")&gt;0,NOT(ISBLANK(E130)))</formula>
    </cfRule>
  </conditionalFormatting>
  <conditionalFormatting sqref="E131">
    <cfRule type="expression" dxfId="0" priority="201">
      <formula>COUNTIF(G131:BE131,"&lt;&gt;" &amp; "")&gt;0</formula>
    </cfRule>
    <cfRule type="expression" dxfId="1" priority="202">
      <formula>AND(COUNTIF(G131:BE131,"&lt;&gt;" &amp; "")&gt;0,NOT(ISBLANK(E131)))</formula>
    </cfRule>
  </conditionalFormatting>
  <conditionalFormatting sqref="E132">
    <cfRule type="expression" dxfId="0" priority="203">
      <formula>COUNTIF(G132:BE132,"&lt;&gt;" &amp; "")&gt;0</formula>
    </cfRule>
    <cfRule type="expression" dxfId="1" priority="204">
      <formula>AND(COUNTIF(G132:BE132,"&lt;&gt;" &amp; "")&gt;0,NOT(ISBLANK(E132)))</formula>
    </cfRule>
  </conditionalFormatting>
  <conditionalFormatting sqref="E133">
    <cfRule type="expression" dxfId="0" priority="205">
      <formula>COUNTIF(G133:BE133,"&lt;&gt;" &amp; "")&gt;0</formula>
    </cfRule>
    <cfRule type="expression" dxfId="1" priority="206">
      <formula>AND(COUNTIF(G133:BE133,"&lt;&gt;" &amp; "")&gt;0,NOT(ISBLANK(E133)))</formula>
    </cfRule>
  </conditionalFormatting>
  <conditionalFormatting sqref="E134">
    <cfRule type="expression" dxfId="0" priority="207">
      <formula>COUNTIF(G134:BE134,"&lt;&gt;" &amp; "")&gt;0</formula>
    </cfRule>
    <cfRule type="expression" dxfId="1" priority="208">
      <formula>AND(COUNTIF(G134:BE134,"&lt;&gt;" &amp; "")&gt;0,NOT(ISBLANK(E134)))</formula>
    </cfRule>
  </conditionalFormatting>
  <conditionalFormatting sqref="E137">
    <cfRule type="expression" dxfId="0" priority="209">
      <formula>COUNTIF(G137:BE137,"&lt;&gt;" &amp; "")&gt;0</formula>
    </cfRule>
    <cfRule type="expression" dxfId="1" priority="210">
      <formula>AND(COUNTIF(G137:BE137,"&lt;&gt;" &amp; "")&gt;0,NOT(ISBLANK(E137)))</formula>
    </cfRule>
  </conditionalFormatting>
  <conditionalFormatting sqref="E138">
    <cfRule type="expression" dxfId="0" priority="211">
      <formula>COUNTIF(G138:BE138,"&lt;&gt;" &amp; "")&gt;0</formula>
    </cfRule>
    <cfRule type="expression" dxfId="1" priority="212">
      <formula>AND(COUNTIF(G138:BE138,"&lt;&gt;" &amp; "")&gt;0,NOT(ISBLANK(E138)))</formula>
    </cfRule>
  </conditionalFormatting>
  <conditionalFormatting sqref="E139">
    <cfRule type="expression" dxfId="0" priority="213">
      <formula>COUNTIF(G139:BE139,"&lt;&gt;" &amp; "")&gt;0</formula>
    </cfRule>
    <cfRule type="expression" dxfId="1" priority="214">
      <formula>AND(COUNTIF(G139:BE139,"&lt;&gt;" &amp; "")&gt;0,NOT(ISBLANK(E139)))</formula>
    </cfRule>
  </conditionalFormatting>
  <conditionalFormatting sqref="E140">
    <cfRule type="expression" dxfId="0" priority="215">
      <formula>COUNTIF(G140:BE140,"&lt;&gt;" &amp; "")&gt;0</formula>
    </cfRule>
    <cfRule type="expression" dxfId="1" priority="216">
      <formula>AND(COUNTIF(G140:BE140,"&lt;&gt;" &amp; "")&gt;0,NOT(ISBLANK(E140)))</formula>
    </cfRule>
  </conditionalFormatting>
  <conditionalFormatting sqref="E141">
    <cfRule type="expression" dxfId="0" priority="217">
      <formula>COUNTIF(G141:BE141,"&lt;&gt;" &amp; "")&gt;0</formula>
    </cfRule>
    <cfRule type="expression" dxfId="1" priority="218">
      <formula>AND(COUNTIF(G141:BE141,"&lt;&gt;" &amp; "")&gt;0,NOT(ISBLANK(E141)))</formula>
    </cfRule>
  </conditionalFormatting>
  <conditionalFormatting sqref="E142">
    <cfRule type="expression" dxfId="0" priority="219">
      <formula>COUNTIF(G142:BE142,"&lt;&gt;" &amp; "")&gt;0</formula>
    </cfRule>
    <cfRule type="expression" dxfId="1" priority="220">
      <formula>AND(COUNTIF(G142:BE142,"&lt;&gt;" &amp; "")&gt;0,NOT(ISBLANK(E142)))</formula>
    </cfRule>
  </conditionalFormatting>
  <conditionalFormatting sqref="E143">
    <cfRule type="expression" dxfId="0" priority="221">
      <formula>COUNTIF(G143:BE143,"&lt;&gt;" &amp; "")&gt;0</formula>
    </cfRule>
    <cfRule type="expression" dxfId="1" priority="222">
      <formula>AND(COUNTIF(G143:BE143,"&lt;&gt;" &amp; "")&gt;0,NOT(ISBLANK(E143)))</formula>
    </cfRule>
  </conditionalFormatting>
  <conditionalFormatting sqref="E144">
    <cfRule type="expression" dxfId="0" priority="223">
      <formula>COUNTIF(G144:BE144,"&lt;&gt;" &amp; "")&gt;0</formula>
    </cfRule>
    <cfRule type="expression" dxfId="1" priority="224">
      <formula>AND(COUNTIF(G144:BE144,"&lt;&gt;" &amp; "")&gt;0,NOT(ISBLANK(E144)))</formula>
    </cfRule>
  </conditionalFormatting>
  <conditionalFormatting sqref="E145">
    <cfRule type="expression" dxfId="0" priority="225">
      <formula>COUNTIF(G145:BE145,"&lt;&gt;" &amp; "")&gt;0</formula>
    </cfRule>
    <cfRule type="expression" dxfId="1" priority="226">
      <formula>AND(COUNTIF(G145:BE145,"&lt;&gt;" &amp; "")&gt;0,NOT(ISBLANK(E145)))</formula>
    </cfRule>
  </conditionalFormatting>
  <conditionalFormatting sqref="E146">
    <cfRule type="expression" dxfId="0" priority="227">
      <formula>COUNTIF(G146:BE146,"&lt;&gt;" &amp; "")&gt;0</formula>
    </cfRule>
    <cfRule type="expression" dxfId="1" priority="228">
      <formula>AND(COUNTIF(G146:BE146,"&lt;&gt;" &amp; "")&gt;0,NOT(ISBLANK(E146)))</formula>
    </cfRule>
  </conditionalFormatting>
  <conditionalFormatting sqref="E147">
    <cfRule type="expression" dxfId="0" priority="229">
      <formula>COUNTIF(G147:BE147,"&lt;&gt;" &amp; "")&gt;0</formula>
    </cfRule>
    <cfRule type="expression" dxfId="1" priority="230">
      <formula>AND(COUNTIF(G147:BE147,"&lt;&gt;" &amp; "")&gt;0,NOT(ISBLANK(E147)))</formula>
    </cfRule>
  </conditionalFormatting>
  <conditionalFormatting sqref="E148">
    <cfRule type="expression" dxfId="0" priority="231">
      <formula>COUNTIF(G148:BE148,"&lt;&gt;" &amp; "")&gt;0</formula>
    </cfRule>
    <cfRule type="expression" dxfId="1" priority="232">
      <formula>AND(COUNTIF(G148:BE148,"&lt;&gt;" &amp; "")&gt;0,NOT(ISBLANK(E148)))</formula>
    </cfRule>
  </conditionalFormatting>
  <conditionalFormatting sqref="E149">
    <cfRule type="expression" dxfId="0" priority="233">
      <formula>COUNTIF(G149:BE149,"&lt;&gt;" &amp; "")&gt;0</formula>
    </cfRule>
    <cfRule type="expression" dxfId="1" priority="234">
      <formula>AND(COUNTIF(G149:BE149,"&lt;&gt;" &amp; "")&gt;0,NOT(ISBLANK(E149)))</formula>
    </cfRule>
  </conditionalFormatting>
  <conditionalFormatting sqref="E152">
    <cfRule type="expression" dxfId="0" priority="235">
      <formula>COUNTIF(G152:BE152,"&lt;&gt;" &amp; "")&gt;0</formula>
    </cfRule>
    <cfRule type="expression" dxfId="1" priority="236">
      <formula>AND(COUNTIF(G152:BE152,"&lt;&gt;" &amp; "")&gt;0,NOT(ISBLANK(E152)))</formula>
    </cfRule>
  </conditionalFormatting>
  <conditionalFormatting sqref="E153">
    <cfRule type="expression" dxfId="0" priority="237">
      <formula>COUNTIF(G153:BE153,"&lt;&gt;" &amp; "")&gt;0</formula>
    </cfRule>
    <cfRule type="expression" dxfId="1" priority="238">
      <formula>AND(COUNTIF(G153:BE153,"&lt;&gt;" &amp; "")&gt;0,NOT(ISBLANK(E153)))</formula>
    </cfRule>
  </conditionalFormatting>
  <conditionalFormatting sqref="E154">
    <cfRule type="expression" dxfId="0" priority="239">
      <formula>COUNTIF(G154:BE154,"&lt;&gt;" &amp; "")&gt;0</formula>
    </cfRule>
    <cfRule type="expression" dxfId="1" priority="240">
      <formula>AND(COUNTIF(G154:BE154,"&lt;&gt;" &amp; "")&gt;0,NOT(ISBLANK(E154)))</formula>
    </cfRule>
  </conditionalFormatting>
  <conditionalFormatting sqref="E155">
    <cfRule type="expression" dxfId="0" priority="241">
      <formula>COUNTIF(G155:BE155,"&lt;&gt;" &amp; "")&gt;0</formula>
    </cfRule>
    <cfRule type="expression" dxfId="1" priority="242">
      <formula>AND(COUNTIF(G155:BE155,"&lt;&gt;" &amp; "")&gt;0,NOT(ISBLANK(E155)))</formula>
    </cfRule>
  </conditionalFormatting>
  <conditionalFormatting sqref="E156">
    <cfRule type="expression" dxfId="0" priority="243">
      <formula>COUNTIF(G156:BE156,"&lt;&gt;" &amp; "")&gt;0</formula>
    </cfRule>
    <cfRule type="expression" dxfId="1" priority="244">
      <formula>AND(COUNTIF(G156:BE156,"&lt;&gt;" &amp; "")&gt;0,NOT(ISBLANK(E156)))</formula>
    </cfRule>
  </conditionalFormatting>
  <conditionalFormatting sqref="E157">
    <cfRule type="expression" dxfId="0" priority="245">
      <formula>COUNTIF(G157:BE157,"&lt;&gt;" &amp; "")&gt;0</formula>
    </cfRule>
    <cfRule type="expression" dxfId="1" priority="246">
      <formula>AND(COUNTIF(G157:BE157,"&lt;&gt;" &amp; "")&gt;0,NOT(ISBLANK(E157)))</formula>
    </cfRule>
  </conditionalFormatting>
  <conditionalFormatting sqref="E158">
    <cfRule type="expression" dxfId="0" priority="247">
      <formula>COUNTIF(G158:BE158,"&lt;&gt;" &amp; "")&gt;0</formula>
    </cfRule>
    <cfRule type="expression" dxfId="1" priority="248">
      <formula>AND(COUNTIF(G158:BE158,"&lt;&gt;" &amp; "")&gt;0,NOT(ISBLANK(E158)))</formula>
    </cfRule>
  </conditionalFormatting>
  <conditionalFormatting sqref="E159">
    <cfRule type="expression" dxfId="0" priority="249">
      <formula>COUNTIF(G159:BE159,"&lt;&gt;" &amp; "")&gt;0</formula>
    </cfRule>
    <cfRule type="expression" dxfId="1" priority="250">
      <formula>AND(COUNTIF(G159:BE159,"&lt;&gt;" &amp; "")&gt;0,NOT(ISBLANK(E159)))</formula>
    </cfRule>
  </conditionalFormatting>
  <conditionalFormatting sqref="E160">
    <cfRule type="expression" dxfId="0" priority="251">
      <formula>COUNTIF(G160:BE160,"&lt;&gt;" &amp; "")&gt;0</formula>
    </cfRule>
    <cfRule type="expression" dxfId="1" priority="252">
      <formula>AND(COUNTIF(G160:BE160,"&lt;&gt;" &amp; "")&gt;0,NOT(ISBLANK(E160)))</formula>
    </cfRule>
  </conditionalFormatting>
  <conditionalFormatting sqref="E161">
    <cfRule type="expression" dxfId="0" priority="253">
      <formula>COUNTIF(G161:BE161,"&lt;&gt;" &amp; "")&gt;0</formula>
    </cfRule>
    <cfRule type="expression" dxfId="1" priority="254">
      <formula>AND(COUNTIF(G161:BE161,"&lt;&gt;" &amp; "")&gt;0,NOT(ISBLANK(E161)))</formula>
    </cfRule>
  </conditionalFormatting>
  <conditionalFormatting sqref="E162">
    <cfRule type="expression" dxfId="0" priority="255">
      <formula>COUNTIF(G162:BE162,"&lt;&gt;" &amp; "")&gt;0</formula>
    </cfRule>
    <cfRule type="expression" dxfId="1" priority="256">
      <formula>AND(COUNTIF(G162:BE162,"&lt;&gt;" &amp; "")&gt;0,NOT(ISBLANK(E162)))</formula>
    </cfRule>
  </conditionalFormatting>
  <conditionalFormatting sqref="E163">
    <cfRule type="expression" dxfId="0" priority="257">
      <formula>COUNTIF(G163:BE163,"&lt;&gt;" &amp; "")&gt;0</formula>
    </cfRule>
    <cfRule type="expression" dxfId="1" priority="258">
      <formula>AND(COUNTIF(G163:BE163,"&lt;&gt;" &amp; "")&gt;0,NOT(ISBLANK(E163)))</formula>
    </cfRule>
  </conditionalFormatting>
  <conditionalFormatting sqref="E164">
    <cfRule type="expression" dxfId="0" priority="259">
      <formula>COUNTIF(G164:BE164,"&lt;&gt;" &amp; "")&gt;0</formula>
    </cfRule>
    <cfRule type="expression" dxfId="1" priority="260">
      <formula>AND(COUNTIF(G164:BE164,"&lt;&gt;" &amp; "")&gt;0,NOT(ISBLANK(E164)))</formula>
    </cfRule>
  </conditionalFormatting>
  <conditionalFormatting sqref="E167">
    <cfRule type="expression" dxfId="0" priority="261">
      <formula>COUNTIF(G167:BE167,"&lt;&gt;" &amp; "")&gt;0</formula>
    </cfRule>
    <cfRule type="expression" dxfId="1" priority="262">
      <formula>AND(COUNTIF(G167:BE167,"&lt;&gt;" &amp; "")&gt;0,NOT(ISBLANK(E167)))</formula>
    </cfRule>
  </conditionalFormatting>
  <conditionalFormatting sqref="E168">
    <cfRule type="expression" dxfId="0" priority="263">
      <formula>COUNTIF(G168:BE168,"&lt;&gt;" &amp; "")&gt;0</formula>
    </cfRule>
    <cfRule type="expression" dxfId="1" priority="264">
      <formula>AND(COUNTIF(G168:BE168,"&lt;&gt;" &amp; "")&gt;0,NOT(ISBLANK(E168)))</formula>
    </cfRule>
  </conditionalFormatting>
  <conditionalFormatting sqref="E169">
    <cfRule type="expression" dxfId="0" priority="265">
      <formula>COUNTIF(G169:BE169,"&lt;&gt;" &amp; "")&gt;0</formula>
    </cfRule>
    <cfRule type="expression" dxfId="1" priority="266">
      <formula>AND(COUNTIF(G169:BE169,"&lt;&gt;" &amp; "")&gt;0,NOT(ISBLANK(E169)))</formula>
    </cfRule>
  </conditionalFormatting>
  <conditionalFormatting sqref="E17">
    <cfRule type="expression" dxfId="0" priority="1">
      <formula>COUNTIF(G17:BE17,"&lt;&gt;" &amp; "")&gt;0</formula>
    </cfRule>
    <cfRule type="expression" dxfId="1" priority="2">
      <formula>AND(COUNTIF(G17:BE17,"&lt;&gt;" &amp; "")&gt;0,NOT(ISBLANK(E17)))</formula>
    </cfRule>
  </conditionalFormatting>
  <conditionalFormatting sqref="E170">
    <cfRule type="expression" dxfId="0" priority="267">
      <formula>COUNTIF(G170:BE170,"&lt;&gt;" &amp; "")&gt;0</formula>
    </cfRule>
    <cfRule type="expression" dxfId="1" priority="268">
      <formula>AND(COUNTIF(G170:BE170,"&lt;&gt;" &amp; "")&gt;0,NOT(ISBLANK(E170)))</formula>
    </cfRule>
  </conditionalFormatting>
  <conditionalFormatting sqref="E171">
    <cfRule type="expression" dxfId="0" priority="269">
      <formula>COUNTIF(G171:BE171,"&lt;&gt;" &amp; "")&gt;0</formula>
    </cfRule>
    <cfRule type="expression" dxfId="1" priority="270">
      <formula>AND(COUNTIF(G171:BE171,"&lt;&gt;" &amp; "")&gt;0,NOT(ISBLANK(E171)))</formula>
    </cfRule>
  </conditionalFormatting>
  <conditionalFormatting sqref="E172">
    <cfRule type="expression" dxfId="0" priority="271">
      <formula>COUNTIF(G172:BE172,"&lt;&gt;" &amp; "")&gt;0</formula>
    </cfRule>
    <cfRule type="expression" dxfId="1" priority="272">
      <formula>AND(COUNTIF(G172:BE172,"&lt;&gt;" &amp; "")&gt;0,NOT(ISBLANK(E172)))</formula>
    </cfRule>
  </conditionalFormatting>
  <conditionalFormatting sqref="E173">
    <cfRule type="expression" dxfId="0" priority="273">
      <formula>COUNTIF(G173:BE173,"&lt;&gt;" &amp; "")&gt;0</formula>
    </cfRule>
    <cfRule type="expression" dxfId="1" priority="274">
      <formula>AND(COUNTIF(G173:BE173,"&lt;&gt;" &amp; "")&gt;0,NOT(ISBLANK(E173)))</formula>
    </cfRule>
  </conditionalFormatting>
  <conditionalFormatting sqref="E174">
    <cfRule type="expression" dxfId="0" priority="275">
      <formula>COUNTIF(G174:BE174,"&lt;&gt;" &amp; "")&gt;0</formula>
    </cfRule>
    <cfRule type="expression" dxfId="1" priority="276">
      <formula>AND(COUNTIF(G174:BE174,"&lt;&gt;" &amp; "")&gt;0,NOT(ISBLANK(E174)))</formula>
    </cfRule>
  </conditionalFormatting>
  <conditionalFormatting sqref="E175">
    <cfRule type="expression" dxfId="0" priority="277">
      <formula>COUNTIF(G175:BE175,"&lt;&gt;" &amp; "")&gt;0</formula>
    </cfRule>
    <cfRule type="expression" dxfId="1" priority="278">
      <formula>AND(COUNTIF(G175:BE175,"&lt;&gt;" &amp; "")&gt;0,NOT(ISBLANK(E175)))</formula>
    </cfRule>
  </conditionalFormatting>
  <conditionalFormatting sqref="E176">
    <cfRule type="expression" dxfId="0" priority="279">
      <formula>COUNTIF(G176:BE176,"&lt;&gt;" &amp; "")&gt;0</formula>
    </cfRule>
    <cfRule type="expression" dxfId="1" priority="280">
      <formula>AND(COUNTIF(G176:BE176,"&lt;&gt;" &amp; "")&gt;0,NOT(ISBLANK(E176)))</formula>
    </cfRule>
  </conditionalFormatting>
  <conditionalFormatting sqref="E177">
    <cfRule type="expression" dxfId="0" priority="281">
      <formula>COUNTIF(G177:BE177,"&lt;&gt;" &amp; "")&gt;0</formula>
    </cfRule>
    <cfRule type="expression" dxfId="1" priority="282">
      <formula>AND(COUNTIF(G177:BE177,"&lt;&gt;" &amp; "")&gt;0,NOT(ISBLANK(E177)))</formula>
    </cfRule>
  </conditionalFormatting>
  <conditionalFormatting sqref="E178">
    <cfRule type="expression" dxfId="0" priority="283">
      <formula>COUNTIF(G178:BE178,"&lt;&gt;" &amp; "")&gt;0</formula>
    </cfRule>
    <cfRule type="expression" dxfId="1" priority="284">
      <formula>AND(COUNTIF(G178:BE178,"&lt;&gt;" &amp; "")&gt;0,NOT(ISBLANK(E178)))</formula>
    </cfRule>
  </conditionalFormatting>
  <conditionalFormatting sqref="E179">
    <cfRule type="expression" dxfId="0" priority="285">
      <formula>COUNTIF(G179:BE179,"&lt;&gt;" &amp; "")&gt;0</formula>
    </cfRule>
    <cfRule type="expression" dxfId="1" priority="286">
      <formula>AND(COUNTIF(G179:BE179,"&lt;&gt;" &amp; "")&gt;0,NOT(ISBLANK(E179)))</formula>
    </cfRule>
  </conditionalFormatting>
  <conditionalFormatting sqref="E18">
    <cfRule type="expression" dxfId="0" priority="3">
      <formula>COUNTIF(G18:BE18,"&lt;&gt;" &amp; "")&gt;0</formula>
    </cfRule>
    <cfRule type="expression" dxfId="1" priority="4">
      <formula>AND(COUNTIF(G18:BE18,"&lt;&gt;" &amp; "")&gt;0,NOT(ISBLANK(E18)))</formula>
    </cfRule>
  </conditionalFormatting>
  <conditionalFormatting sqref="E182">
    <cfRule type="expression" dxfId="0" priority="287">
      <formula>COUNTIF(G182:BE182,"&lt;&gt;" &amp; "")&gt;0</formula>
    </cfRule>
    <cfRule type="expression" dxfId="1" priority="288">
      <formula>AND(COUNTIF(G182:BE182,"&lt;&gt;" &amp; "")&gt;0,NOT(ISBLANK(E182)))</formula>
    </cfRule>
  </conditionalFormatting>
  <conditionalFormatting sqref="E183">
    <cfRule type="expression" dxfId="0" priority="289">
      <formula>COUNTIF(G183:BE183,"&lt;&gt;" &amp; "")&gt;0</formula>
    </cfRule>
    <cfRule type="expression" dxfId="1" priority="290">
      <formula>AND(COUNTIF(G183:BE183,"&lt;&gt;" &amp; "")&gt;0,NOT(ISBLANK(E183)))</formula>
    </cfRule>
  </conditionalFormatting>
  <conditionalFormatting sqref="E184">
    <cfRule type="expression" dxfId="0" priority="291">
      <formula>COUNTIF(G184:BE184,"&lt;&gt;" &amp; "")&gt;0</formula>
    </cfRule>
    <cfRule type="expression" dxfId="1" priority="292">
      <formula>AND(COUNTIF(G184:BE184,"&lt;&gt;" &amp; "")&gt;0,NOT(ISBLANK(E184)))</formula>
    </cfRule>
  </conditionalFormatting>
  <conditionalFormatting sqref="E185">
    <cfRule type="expression" dxfId="0" priority="293">
      <formula>COUNTIF(G185:BE185,"&lt;&gt;" &amp; "")&gt;0</formula>
    </cfRule>
    <cfRule type="expression" dxfId="1" priority="294">
      <formula>AND(COUNTIF(G185:BE185,"&lt;&gt;" &amp; "")&gt;0,NOT(ISBLANK(E185)))</formula>
    </cfRule>
  </conditionalFormatting>
  <conditionalFormatting sqref="E186">
    <cfRule type="expression" dxfId="0" priority="295">
      <formula>COUNTIF(G186:BE186,"&lt;&gt;" &amp; "")&gt;0</formula>
    </cfRule>
    <cfRule type="expression" dxfId="1" priority="296">
      <formula>AND(COUNTIF(G186:BE186,"&lt;&gt;" &amp; "")&gt;0,NOT(ISBLANK(E186)))</formula>
    </cfRule>
  </conditionalFormatting>
  <conditionalFormatting sqref="E187">
    <cfRule type="expression" dxfId="0" priority="297">
      <formula>COUNTIF(G187:BE187,"&lt;&gt;" &amp; "")&gt;0</formula>
    </cfRule>
    <cfRule type="expression" dxfId="1" priority="298">
      <formula>AND(COUNTIF(G187:BE187,"&lt;&gt;" &amp; "")&gt;0,NOT(ISBLANK(E187)))</formula>
    </cfRule>
  </conditionalFormatting>
  <conditionalFormatting sqref="E188">
    <cfRule type="expression" dxfId="0" priority="299">
      <formula>COUNTIF(G188:BE188,"&lt;&gt;" &amp; "")&gt;0</formula>
    </cfRule>
    <cfRule type="expression" dxfId="1" priority="300">
      <formula>AND(COUNTIF(G188:BE188,"&lt;&gt;" &amp; "")&gt;0,NOT(ISBLANK(E188)))</formula>
    </cfRule>
  </conditionalFormatting>
  <conditionalFormatting sqref="E189">
    <cfRule type="expression" dxfId="0" priority="301">
      <formula>COUNTIF(G189:BE189,"&lt;&gt;" &amp; "")&gt;0</formula>
    </cfRule>
    <cfRule type="expression" dxfId="1" priority="302">
      <formula>AND(COUNTIF(G189:BE189,"&lt;&gt;" &amp; "")&gt;0,NOT(ISBLANK(E189)))</formula>
    </cfRule>
  </conditionalFormatting>
  <conditionalFormatting sqref="E19">
    <cfRule type="expression" dxfId="0" priority="5">
      <formula>COUNTIF(G19:BE19,"&lt;&gt;" &amp; "")&gt;0</formula>
    </cfRule>
    <cfRule type="expression" dxfId="1" priority="6">
      <formula>AND(COUNTIF(G19:BE19,"&lt;&gt;" &amp; "")&gt;0,NOT(ISBLANK(E19)))</formula>
    </cfRule>
  </conditionalFormatting>
  <conditionalFormatting sqref="E190">
    <cfRule type="expression" dxfId="0" priority="303">
      <formula>COUNTIF(G190:BE190,"&lt;&gt;" &amp; "")&gt;0</formula>
    </cfRule>
    <cfRule type="expression" dxfId="1" priority="304">
      <formula>AND(COUNTIF(G190:BE190,"&lt;&gt;" &amp; "")&gt;0,NOT(ISBLANK(E190)))</formula>
    </cfRule>
  </conditionalFormatting>
  <conditionalFormatting sqref="E191">
    <cfRule type="expression" dxfId="0" priority="305">
      <formula>COUNTIF(G191:BE191,"&lt;&gt;" &amp; "")&gt;0</formula>
    </cfRule>
    <cfRule type="expression" dxfId="1" priority="306">
      <formula>AND(COUNTIF(G191:BE191,"&lt;&gt;" &amp; "")&gt;0,NOT(ISBLANK(E191)))</formula>
    </cfRule>
  </conditionalFormatting>
  <conditionalFormatting sqref="E192">
    <cfRule type="expression" dxfId="0" priority="307">
      <formula>COUNTIF(G192:BE192,"&lt;&gt;" &amp; "")&gt;0</formula>
    </cfRule>
    <cfRule type="expression" dxfId="1" priority="308">
      <formula>AND(COUNTIF(G192:BE192,"&lt;&gt;" &amp; "")&gt;0,NOT(ISBLANK(E192)))</formula>
    </cfRule>
  </conditionalFormatting>
  <conditionalFormatting sqref="E193">
    <cfRule type="expression" dxfId="0" priority="309">
      <formula>COUNTIF(G193:BE193,"&lt;&gt;" &amp; "")&gt;0</formula>
    </cfRule>
    <cfRule type="expression" dxfId="1" priority="310">
      <formula>AND(COUNTIF(G193:BE193,"&lt;&gt;" &amp; "")&gt;0,NOT(ISBLANK(E193)))</formula>
    </cfRule>
  </conditionalFormatting>
  <conditionalFormatting sqref="E194">
    <cfRule type="expression" dxfId="0" priority="311">
      <formula>COUNTIF(G194:BE194,"&lt;&gt;" &amp; "")&gt;0</formula>
    </cfRule>
    <cfRule type="expression" dxfId="1" priority="312">
      <formula>AND(COUNTIF(G194:BE194,"&lt;&gt;" &amp; "")&gt;0,NOT(ISBLANK(E194)))</formula>
    </cfRule>
  </conditionalFormatting>
  <conditionalFormatting sqref="E197">
    <cfRule type="expression" dxfId="0" priority="313">
      <formula>COUNTIF(G197:BE197,"&lt;&gt;" &amp; "")&gt;0</formula>
    </cfRule>
    <cfRule type="expression" dxfId="1" priority="314">
      <formula>AND(COUNTIF(G197:BE197,"&lt;&gt;" &amp; "")&gt;0,NOT(ISBLANK(E197)))</formula>
    </cfRule>
  </conditionalFormatting>
  <conditionalFormatting sqref="E198">
    <cfRule type="expression" dxfId="0" priority="315">
      <formula>COUNTIF(G198:BE198,"&lt;&gt;" &amp; "")&gt;0</formula>
    </cfRule>
    <cfRule type="expression" dxfId="1" priority="316">
      <formula>AND(COUNTIF(G198:BE198,"&lt;&gt;" &amp; "")&gt;0,NOT(ISBLANK(E198)))</formula>
    </cfRule>
  </conditionalFormatting>
  <conditionalFormatting sqref="E199">
    <cfRule type="expression" dxfId="0" priority="317">
      <formula>COUNTIF(G199:BE199,"&lt;&gt;" &amp; "")&gt;0</formula>
    </cfRule>
    <cfRule type="expression" dxfId="1" priority="318">
      <formula>AND(COUNTIF(G199:BE199,"&lt;&gt;" &amp; "")&gt;0,NOT(ISBLANK(E199)))</formula>
    </cfRule>
  </conditionalFormatting>
  <conditionalFormatting sqref="E20">
    <cfRule type="expression" dxfId="0" priority="7">
      <formula>COUNTIF(G20:BE20,"&lt;&gt;" &amp; "")&gt;0</formula>
    </cfRule>
    <cfRule type="expression" dxfId="1" priority="8">
      <formula>AND(COUNTIF(G20:BE20,"&lt;&gt;" &amp; "")&gt;0,NOT(ISBLANK(E20)))</formula>
    </cfRule>
  </conditionalFormatting>
  <conditionalFormatting sqref="E200">
    <cfRule type="expression" dxfId="0" priority="319">
      <formula>COUNTIF(G200:BE200,"&lt;&gt;" &amp; "")&gt;0</formula>
    </cfRule>
    <cfRule type="expression" dxfId="1" priority="320">
      <formula>AND(COUNTIF(G200:BE200,"&lt;&gt;" &amp; "")&gt;0,NOT(ISBLANK(E200)))</formula>
    </cfRule>
  </conditionalFormatting>
  <conditionalFormatting sqref="E201">
    <cfRule type="expression" dxfId="0" priority="321">
      <formula>COUNTIF(G201:BE201,"&lt;&gt;" &amp; "")&gt;0</formula>
    </cfRule>
    <cfRule type="expression" dxfId="1" priority="322">
      <formula>AND(COUNTIF(G201:BE201,"&lt;&gt;" &amp; "")&gt;0,NOT(ISBLANK(E201)))</formula>
    </cfRule>
  </conditionalFormatting>
  <conditionalFormatting sqref="E202">
    <cfRule type="expression" dxfId="0" priority="323">
      <formula>COUNTIF(G202:BE202,"&lt;&gt;" &amp; "")&gt;0</formula>
    </cfRule>
    <cfRule type="expression" dxfId="1" priority="324">
      <formula>AND(COUNTIF(G202:BE202,"&lt;&gt;" &amp; "")&gt;0,NOT(ISBLANK(E202)))</formula>
    </cfRule>
  </conditionalFormatting>
  <conditionalFormatting sqref="E203">
    <cfRule type="expression" dxfId="0" priority="325">
      <formula>COUNTIF(G203:BE203,"&lt;&gt;" &amp; "")&gt;0</formula>
    </cfRule>
    <cfRule type="expression" dxfId="1" priority="326">
      <formula>AND(COUNTIF(G203:BE203,"&lt;&gt;" &amp; "")&gt;0,NOT(ISBLANK(E203)))</formula>
    </cfRule>
  </conditionalFormatting>
  <conditionalFormatting sqref="E204">
    <cfRule type="expression" dxfId="0" priority="327">
      <formula>COUNTIF(G204:BE204,"&lt;&gt;" &amp; "")&gt;0</formula>
    </cfRule>
    <cfRule type="expression" dxfId="1" priority="328">
      <formula>AND(COUNTIF(G204:BE204,"&lt;&gt;" &amp; "")&gt;0,NOT(ISBLANK(E204)))</formula>
    </cfRule>
  </conditionalFormatting>
  <conditionalFormatting sqref="E205">
    <cfRule type="expression" dxfId="0" priority="329">
      <formula>COUNTIF(G205:BE205,"&lt;&gt;" &amp; "")&gt;0</formula>
    </cfRule>
    <cfRule type="expression" dxfId="1" priority="330">
      <formula>AND(COUNTIF(G205:BE205,"&lt;&gt;" &amp; "")&gt;0,NOT(ISBLANK(E205)))</formula>
    </cfRule>
  </conditionalFormatting>
  <conditionalFormatting sqref="E206">
    <cfRule type="expression" dxfId="0" priority="331">
      <formula>COUNTIF(G206:BE206,"&lt;&gt;" &amp; "")&gt;0</formula>
    </cfRule>
    <cfRule type="expression" dxfId="1" priority="332">
      <formula>AND(COUNTIF(G206:BE206,"&lt;&gt;" &amp; "")&gt;0,NOT(ISBLANK(E206)))</formula>
    </cfRule>
  </conditionalFormatting>
  <conditionalFormatting sqref="E207">
    <cfRule type="expression" dxfId="0" priority="333">
      <formula>COUNTIF(G207:BE207,"&lt;&gt;" &amp; "")&gt;0</formula>
    </cfRule>
    <cfRule type="expression" dxfId="1" priority="334">
      <formula>AND(COUNTIF(G207:BE207,"&lt;&gt;" &amp; "")&gt;0,NOT(ISBLANK(E207)))</formula>
    </cfRule>
  </conditionalFormatting>
  <conditionalFormatting sqref="E208">
    <cfRule type="expression" dxfId="0" priority="335">
      <formula>COUNTIF(G208:BE208,"&lt;&gt;" &amp; "")&gt;0</formula>
    </cfRule>
    <cfRule type="expression" dxfId="1" priority="336">
      <formula>AND(COUNTIF(G208:BE208,"&lt;&gt;" &amp; "")&gt;0,NOT(ISBLANK(E208)))</formula>
    </cfRule>
  </conditionalFormatting>
  <conditionalFormatting sqref="E209">
    <cfRule type="expression" dxfId="0" priority="337">
      <formula>COUNTIF(G209:BE209,"&lt;&gt;" &amp; "")&gt;0</formula>
    </cfRule>
    <cfRule type="expression" dxfId="1" priority="338">
      <formula>AND(COUNTIF(G209:BE209,"&lt;&gt;" &amp; "")&gt;0,NOT(ISBLANK(E209)))</formula>
    </cfRule>
  </conditionalFormatting>
  <conditionalFormatting sqref="E21">
    <cfRule type="expression" dxfId="0" priority="9">
      <formula>COUNTIF(G21:BE21,"&lt;&gt;" &amp; "")&gt;0</formula>
    </cfRule>
    <cfRule type="expression" dxfId="1" priority="10">
      <formula>AND(COUNTIF(G21:BE21,"&lt;&gt;" &amp; "")&gt;0,NOT(ISBLANK(E21)))</formula>
    </cfRule>
  </conditionalFormatting>
  <conditionalFormatting sqref="E212">
    <cfRule type="expression" dxfId="0" priority="339">
      <formula>COUNTIF(G212:BE212,"&lt;&gt;" &amp; "")&gt;0</formula>
    </cfRule>
    <cfRule type="expression" dxfId="1" priority="340">
      <formula>AND(COUNTIF(G212:BE212,"&lt;&gt;" &amp; "")&gt;0,NOT(ISBLANK(E212)))</formula>
    </cfRule>
  </conditionalFormatting>
  <conditionalFormatting sqref="E213">
    <cfRule type="expression" dxfId="0" priority="341">
      <formula>COUNTIF(G213:BE213,"&lt;&gt;" &amp; "")&gt;0</formula>
    </cfRule>
    <cfRule type="expression" dxfId="1" priority="342">
      <formula>AND(COUNTIF(G213:BE213,"&lt;&gt;" &amp; "")&gt;0,NOT(ISBLANK(E213)))</formula>
    </cfRule>
  </conditionalFormatting>
  <conditionalFormatting sqref="E214">
    <cfRule type="expression" dxfId="0" priority="343">
      <formula>COUNTIF(G214:BE214,"&lt;&gt;" &amp; "")&gt;0</formula>
    </cfRule>
    <cfRule type="expression" dxfId="1" priority="344">
      <formula>AND(COUNTIF(G214:BE214,"&lt;&gt;" &amp; "")&gt;0,NOT(ISBLANK(E214)))</formula>
    </cfRule>
  </conditionalFormatting>
  <conditionalFormatting sqref="E215">
    <cfRule type="expression" dxfId="0" priority="345">
      <formula>COUNTIF(G215:BE215,"&lt;&gt;" &amp; "")&gt;0</formula>
    </cfRule>
    <cfRule type="expression" dxfId="1" priority="346">
      <formula>AND(COUNTIF(G215:BE215,"&lt;&gt;" &amp; "")&gt;0,NOT(ISBLANK(E215)))</formula>
    </cfRule>
  </conditionalFormatting>
  <conditionalFormatting sqref="E216">
    <cfRule type="expression" dxfId="0" priority="347">
      <formula>COUNTIF(G216:BE216,"&lt;&gt;" &amp; "")&gt;0</formula>
    </cfRule>
    <cfRule type="expression" dxfId="1" priority="348">
      <formula>AND(COUNTIF(G216:BE216,"&lt;&gt;" &amp; "")&gt;0,NOT(ISBLANK(E216)))</formula>
    </cfRule>
  </conditionalFormatting>
  <conditionalFormatting sqref="E217">
    <cfRule type="expression" dxfId="0" priority="349">
      <formula>COUNTIF(G217:BE217,"&lt;&gt;" &amp; "")&gt;0</formula>
    </cfRule>
    <cfRule type="expression" dxfId="1" priority="350">
      <formula>AND(COUNTIF(G217:BE217,"&lt;&gt;" &amp; "")&gt;0,NOT(ISBLANK(E217)))</formula>
    </cfRule>
  </conditionalFormatting>
  <conditionalFormatting sqref="E218">
    <cfRule type="expression" dxfId="0" priority="351">
      <formula>COUNTIF(G218:BE218,"&lt;&gt;" &amp; "")&gt;0</formula>
    </cfRule>
    <cfRule type="expression" dxfId="1" priority="352">
      <formula>AND(COUNTIF(G218:BE218,"&lt;&gt;" &amp; "")&gt;0,NOT(ISBLANK(E218)))</formula>
    </cfRule>
  </conditionalFormatting>
  <conditionalFormatting sqref="E219">
    <cfRule type="expression" dxfId="0" priority="353">
      <formula>COUNTIF(G219:BE219,"&lt;&gt;" &amp; "")&gt;0</formula>
    </cfRule>
    <cfRule type="expression" dxfId="1" priority="354">
      <formula>AND(COUNTIF(G219:BE219,"&lt;&gt;" &amp; "")&gt;0,NOT(ISBLANK(E219)))</formula>
    </cfRule>
  </conditionalFormatting>
  <conditionalFormatting sqref="E22">
    <cfRule type="expression" dxfId="0" priority="11">
      <formula>COUNTIF(G22:BE22,"&lt;&gt;" &amp; "")&gt;0</formula>
    </cfRule>
    <cfRule type="expression" dxfId="1" priority="12">
      <formula>AND(COUNTIF(G22:BE22,"&lt;&gt;" &amp; "")&gt;0,NOT(ISBLANK(E22)))</formula>
    </cfRule>
  </conditionalFormatting>
  <conditionalFormatting sqref="E220">
    <cfRule type="expression" dxfId="0" priority="355">
      <formula>COUNTIF(G220:BE220,"&lt;&gt;" &amp; "")&gt;0</formula>
    </cfRule>
    <cfRule type="expression" dxfId="1" priority="356">
      <formula>AND(COUNTIF(G220:BE220,"&lt;&gt;" &amp; "")&gt;0,NOT(ISBLANK(E220)))</formula>
    </cfRule>
  </conditionalFormatting>
  <conditionalFormatting sqref="E221">
    <cfRule type="expression" dxfId="0" priority="357">
      <formula>COUNTIF(G221:BE221,"&lt;&gt;" &amp; "")&gt;0</formula>
    </cfRule>
    <cfRule type="expression" dxfId="1" priority="358">
      <formula>AND(COUNTIF(G221:BE221,"&lt;&gt;" &amp; "")&gt;0,NOT(ISBLANK(E221)))</formula>
    </cfRule>
  </conditionalFormatting>
  <conditionalFormatting sqref="E222">
    <cfRule type="expression" dxfId="0" priority="359">
      <formula>COUNTIF(G222:BE222,"&lt;&gt;" &amp; "")&gt;0</formula>
    </cfRule>
    <cfRule type="expression" dxfId="1" priority="360">
      <formula>AND(COUNTIF(G222:BE222,"&lt;&gt;" &amp; "")&gt;0,NOT(ISBLANK(E222)))</formula>
    </cfRule>
  </conditionalFormatting>
  <conditionalFormatting sqref="E223">
    <cfRule type="expression" dxfId="0" priority="361">
      <formula>COUNTIF(G223:BE223,"&lt;&gt;" &amp; "")&gt;0</formula>
    </cfRule>
    <cfRule type="expression" dxfId="1" priority="362">
      <formula>AND(COUNTIF(G223:BE223,"&lt;&gt;" &amp; "")&gt;0,NOT(ISBLANK(E223)))</formula>
    </cfRule>
  </conditionalFormatting>
  <conditionalFormatting sqref="E224">
    <cfRule type="expression" dxfId="0" priority="363">
      <formula>COUNTIF(G224:BE224,"&lt;&gt;" &amp; "")&gt;0</formula>
    </cfRule>
    <cfRule type="expression" dxfId="1" priority="364">
      <formula>AND(COUNTIF(G224:BE224,"&lt;&gt;" &amp; "")&gt;0,NOT(ISBLANK(E224)))</formula>
    </cfRule>
  </conditionalFormatting>
  <conditionalFormatting sqref="E227">
    <cfRule type="expression" dxfId="0" priority="365">
      <formula>COUNTIF(G227:BE227,"&lt;&gt;" &amp; "")&gt;0</formula>
    </cfRule>
    <cfRule type="expression" dxfId="1" priority="366">
      <formula>AND(COUNTIF(G227:BE227,"&lt;&gt;" &amp; "")&gt;0,NOT(ISBLANK(E227)))</formula>
    </cfRule>
  </conditionalFormatting>
  <conditionalFormatting sqref="E228">
    <cfRule type="expression" dxfId="0" priority="367">
      <formula>COUNTIF(G228:BE228,"&lt;&gt;" &amp; "")&gt;0</formula>
    </cfRule>
    <cfRule type="expression" dxfId="1" priority="368">
      <formula>AND(COUNTIF(G228:BE228,"&lt;&gt;" &amp; "")&gt;0,NOT(ISBLANK(E228)))</formula>
    </cfRule>
  </conditionalFormatting>
  <conditionalFormatting sqref="E229">
    <cfRule type="expression" dxfId="0" priority="369">
      <formula>COUNTIF(G229:BE229,"&lt;&gt;" &amp; "")&gt;0</formula>
    </cfRule>
    <cfRule type="expression" dxfId="1" priority="370">
      <formula>AND(COUNTIF(G229:BE229,"&lt;&gt;" &amp; "")&gt;0,NOT(ISBLANK(E229)))</formula>
    </cfRule>
  </conditionalFormatting>
  <conditionalFormatting sqref="E23">
    <cfRule type="expression" dxfId="0" priority="13">
      <formula>COUNTIF(G23:BE23,"&lt;&gt;" &amp; "")&gt;0</formula>
    </cfRule>
    <cfRule type="expression" dxfId="1" priority="14">
      <formula>AND(COUNTIF(G23:BE23,"&lt;&gt;" &amp; "")&gt;0,NOT(ISBLANK(E23)))</formula>
    </cfRule>
  </conditionalFormatting>
  <conditionalFormatting sqref="E230">
    <cfRule type="expression" dxfId="0" priority="371">
      <formula>COUNTIF(G230:BE230,"&lt;&gt;" &amp; "")&gt;0</formula>
    </cfRule>
    <cfRule type="expression" dxfId="1" priority="372">
      <formula>AND(COUNTIF(G230:BE230,"&lt;&gt;" &amp; "")&gt;0,NOT(ISBLANK(E230)))</formula>
    </cfRule>
  </conditionalFormatting>
  <conditionalFormatting sqref="E231">
    <cfRule type="expression" dxfId="0" priority="373">
      <formula>COUNTIF(G231:BE231,"&lt;&gt;" &amp; "")&gt;0</formula>
    </cfRule>
    <cfRule type="expression" dxfId="1" priority="374">
      <formula>AND(COUNTIF(G231:BE231,"&lt;&gt;" &amp; "")&gt;0,NOT(ISBLANK(E231)))</formula>
    </cfRule>
  </conditionalFormatting>
  <conditionalFormatting sqref="E232">
    <cfRule type="expression" dxfId="0" priority="375">
      <formula>COUNTIF(G232:BE232,"&lt;&gt;" &amp; "")&gt;0</formula>
    </cfRule>
    <cfRule type="expression" dxfId="1" priority="376">
      <formula>AND(COUNTIF(G232:BE232,"&lt;&gt;" &amp; "")&gt;0,NOT(ISBLANK(E232)))</formula>
    </cfRule>
  </conditionalFormatting>
  <conditionalFormatting sqref="E233">
    <cfRule type="expression" dxfId="0" priority="377">
      <formula>COUNTIF(G233:BE233,"&lt;&gt;" &amp; "")&gt;0</formula>
    </cfRule>
    <cfRule type="expression" dxfId="1" priority="378">
      <formula>AND(COUNTIF(G233:BE233,"&lt;&gt;" &amp; "")&gt;0,NOT(ISBLANK(E233)))</formula>
    </cfRule>
  </conditionalFormatting>
  <conditionalFormatting sqref="E234">
    <cfRule type="expression" dxfId="0" priority="379">
      <formula>COUNTIF(G234:BE234,"&lt;&gt;" &amp; "")&gt;0</formula>
    </cfRule>
    <cfRule type="expression" dxfId="1" priority="380">
      <formula>AND(COUNTIF(G234:BE234,"&lt;&gt;" &amp; "")&gt;0,NOT(ISBLANK(E234)))</formula>
    </cfRule>
  </conditionalFormatting>
  <conditionalFormatting sqref="E235">
    <cfRule type="expression" dxfId="0" priority="381">
      <formula>COUNTIF(G235:BE235,"&lt;&gt;" &amp; "")&gt;0</formula>
    </cfRule>
    <cfRule type="expression" dxfId="1" priority="382">
      <formula>AND(COUNTIF(G235:BE235,"&lt;&gt;" &amp; "")&gt;0,NOT(ISBLANK(E235)))</formula>
    </cfRule>
  </conditionalFormatting>
  <conditionalFormatting sqref="E236">
    <cfRule type="expression" dxfId="0" priority="383">
      <formula>COUNTIF(G236:BE236,"&lt;&gt;" &amp; "")&gt;0</formula>
    </cfRule>
    <cfRule type="expression" dxfId="1" priority="384">
      <formula>AND(COUNTIF(G236:BE236,"&lt;&gt;" &amp; "")&gt;0,NOT(ISBLANK(E236)))</formula>
    </cfRule>
  </conditionalFormatting>
  <conditionalFormatting sqref="E237">
    <cfRule type="expression" dxfId="0" priority="385">
      <formula>COUNTIF(G237:BE237,"&lt;&gt;" &amp; "")&gt;0</formula>
    </cfRule>
    <cfRule type="expression" dxfId="1" priority="386">
      <formula>AND(COUNTIF(G237:BE237,"&lt;&gt;" &amp; "")&gt;0,NOT(ISBLANK(E237)))</formula>
    </cfRule>
  </conditionalFormatting>
  <conditionalFormatting sqref="E238">
    <cfRule type="expression" dxfId="0" priority="387">
      <formula>COUNTIF(G238:BE238,"&lt;&gt;" &amp; "")&gt;0</formula>
    </cfRule>
    <cfRule type="expression" dxfId="1" priority="388">
      <formula>AND(COUNTIF(G238:BE238,"&lt;&gt;" &amp; "")&gt;0,NOT(ISBLANK(E238)))</formula>
    </cfRule>
  </conditionalFormatting>
  <conditionalFormatting sqref="E239">
    <cfRule type="expression" dxfId="0" priority="389">
      <formula>COUNTIF(G239:BE239,"&lt;&gt;" &amp; "")&gt;0</formula>
    </cfRule>
    <cfRule type="expression" dxfId="1" priority="390">
      <formula>AND(COUNTIF(G239:BE239,"&lt;&gt;" &amp; "")&gt;0,NOT(ISBLANK(E239)))</formula>
    </cfRule>
  </conditionalFormatting>
  <conditionalFormatting sqref="E24">
    <cfRule type="expression" dxfId="0" priority="15">
      <formula>COUNTIF(G24:BE24,"&lt;&gt;" &amp; "")&gt;0</formula>
    </cfRule>
    <cfRule type="expression" dxfId="1" priority="16">
      <formula>AND(COUNTIF(G24:BE24,"&lt;&gt;" &amp; "")&gt;0,NOT(ISBLANK(E24)))</formula>
    </cfRule>
  </conditionalFormatting>
  <conditionalFormatting sqref="E242">
    <cfRule type="expression" dxfId="0" priority="391">
      <formula>COUNTIF(G242:BE242,"&lt;&gt;" &amp; "")&gt;0</formula>
    </cfRule>
    <cfRule type="expression" dxfId="1" priority="392">
      <formula>AND(COUNTIF(G242:BE242,"&lt;&gt;" &amp; "")&gt;0,NOT(ISBLANK(E242)))</formula>
    </cfRule>
  </conditionalFormatting>
  <conditionalFormatting sqref="E243">
    <cfRule type="expression" dxfId="0" priority="393">
      <formula>COUNTIF(G243:BE243,"&lt;&gt;" &amp; "")&gt;0</formula>
    </cfRule>
    <cfRule type="expression" dxfId="1" priority="394">
      <formula>AND(COUNTIF(G243:BE243,"&lt;&gt;" &amp; "")&gt;0,NOT(ISBLANK(E243)))</formula>
    </cfRule>
  </conditionalFormatting>
  <conditionalFormatting sqref="E244">
    <cfRule type="expression" dxfId="0" priority="395">
      <formula>COUNTIF(G244:BE244,"&lt;&gt;" &amp; "")&gt;0</formula>
    </cfRule>
    <cfRule type="expression" dxfId="1" priority="396">
      <formula>AND(COUNTIF(G244:BE244,"&lt;&gt;" &amp; "")&gt;0,NOT(ISBLANK(E244)))</formula>
    </cfRule>
  </conditionalFormatting>
  <conditionalFormatting sqref="E245">
    <cfRule type="expression" dxfId="0" priority="397">
      <formula>COUNTIF(G245:BE245,"&lt;&gt;" &amp; "")&gt;0</formula>
    </cfRule>
    <cfRule type="expression" dxfId="1" priority="398">
      <formula>AND(COUNTIF(G245:BE245,"&lt;&gt;" &amp; "")&gt;0,NOT(ISBLANK(E245)))</formula>
    </cfRule>
  </conditionalFormatting>
  <conditionalFormatting sqref="E246">
    <cfRule type="expression" dxfId="0" priority="399">
      <formula>COUNTIF(G246:BE246,"&lt;&gt;" &amp; "")&gt;0</formula>
    </cfRule>
    <cfRule type="expression" dxfId="1" priority="400">
      <formula>AND(COUNTIF(G246:BE246,"&lt;&gt;" &amp; "")&gt;0,NOT(ISBLANK(E246)))</formula>
    </cfRule>
  </conditionalFormatting>
  <conditionalFormatting sqref="E247">
    <cfRule type="expression" dxfId="0" priority="401">
      <formula>COUNTIF(G247:BE247,"&lt;&gt;" &amp; "")&gt;0</formula>
    </cfRule>
    <cfRule type="expression" dxfId="1" priority="402">
      <formula>AND(COUNTIF(G247:BE247,"&lt;&gt;" &amp; "")&gt;0,NOT(ISBLANK(E247)))</formula>
    </cfRule>
  </conditionalFormatting>
  <conditionalFormatting sqref="E248">
    <cfRule type="expression" dxfId="0" priority="403">
      <formula>COUNTIF(G248:BE248,"&lt;&gt;" &amp; "")&gt;0</formula>
    </cfRule>
    <cfRule type="expression" dxfId="1" priority="404">
      <formula>AND(COUNTIF(G248:BE248,"&lt;&gt;" &amp; "")&gt;0,NOT(ISBLANK(E248)))</formula>
    </cfRule>
  </conditionalFormatting>
  <conditionalFormatting sqref="E249">
    <cfRule type="expression" dxfId="0" priority="405">
      <formula>COUNTIF(G249:BE249,"&lt;&gt;" &amp; "")&gt;0</formula>
    </cfRule>
    <cfRule type="expression" dxfId="1" priority="406">
      <formula>AND(COUNTIF(G249:BE249,"&lt;&gt;" &amp; "")&gt;0,NOT(ISBLANK(E249)))</formula>
    </cfRule>
  </conditionalFormatting>
  <conditionalFormatting sqref="E25">
    <cfRule type="expression" dxfId="0" priority="17">
      <formula>COUNTIF(G25:BE25,"&lt;&gt;" &amp; "")&gt;0</formula>
    </cfRule>
    <cfRule type="expression" dxfId="1" priority="18">
      <formula>AND(COUNTIF(G25:BE25,"&lt;&gt;" &amp; "")&gt;0,NOT(ISBLANK(E25)))</formula>
    </cfRule>
  </conditionalFormatting>
  <conditionalFormatting sqref="E250">
    <cfRule type="expression" dxfId="0" priority="407">
      <formula>COUNTIF(G250:BE250,"&lt;&gt;" &amp; "")&gt;0</formula>
    </cfRule>
    <cfRule type="expression" dxfId="1" priority="408">
      <formula>AND(COUNTIF(G250:BE250,"&lt;&gt;" &amp; "")&gt;0,NOT(ISBLANK(E250)))</formula>
    </cfRule>
  </conditionalFormatting>
  <conditionalFormatting sqref="E251">
    <cfRule type="expression" dxfId="0" priority="409">
      <formula>COUNTIF(G251:BE251,"&lt;&gt;" &amp; "")&gt;0</formula>
    </cfRule>
    <cfRule type="expression" dxfId="1" priority="410">
      <formula>AND(COUNTIF(G251:BE251,"&lt;&gt;" &amp; "")&gt;0,NOT(ISBLANK(E251)))</formula>
    </cfRule>
  </conditionalFormatting>
  <conditionalFormatting sqref="E252">
    <cfRule type="expression" dxfId="0" priority="411">
      <formula>COUNTIF(G252:BE252,"&lt;&gt;" &amp; "")&gt;0</formula>
    </cfRule>
    <cfRule type="expression" dxfId="1" priority="412">
      <formula>AND(COUNTIF(G252:BE252,"&lt;&gt;" &amp; "")&gt;0,NOT(ISBLANK(E252)))</formula>
    </cfRule>
  </conditionalFormatting>
  <conditionalFormatting sqref="E253">
    <cfRule type="expression" dxfId="0" priority="413">
      <formula>COUNTIF(G253:BE253,"&lt;&gt;" &amp; "")&gt;0</formula>
    </cfRule>
    <cfRule type="expression" dxfId="1" priority="414">
      <formula>AND(COUNTIF(G253:BE253,"&lt;&gt;" &amp; "")&gt;0,NOT(ISBLANK(E253)))</formula>
    </cfRule>
  </conditionalFormatting>
  <conditionalFormatting sqref="E254">
    <cfRule type="expression" dxfId="0" priority="415">
      <formula>COUNTIF(G254:BE254,"&lt;&gt;" &amp; "")&gt;0</formula>
    </cfRule>
    <cfRule type="expression" dxfId="1" priority="416">
      <formula>AND(COUNTIF(G254:BE254,"&lt;&gt;" &amp; "")&gt;0,NOT(ISBLANK(E254)))</formula>
    </cfRule>
  </conditionalFormatting>
  <conditionalFormatting sqref="E26">
    <cfRule type="expression" dxfId="0" priority="19">
      <formula>COUNTIF(G26:BE26,"&lt;&gt;" &amp; "")&gt;0</formula>
    </cfRule>
    <cfRule type="expression" dxfId="1" priority="20">
      <formula>AND(COUNTIF(G26:BE26,"&lt;&gt;" &amp; "")&gt;0,NOT(ISBLANK(E26)))</formula>
    </cfRule>
  </conditionalFormatting>
  <conditionalFormatting sqref="E27">
    <cfRule type="expression" dxfId="0" priority="21">
      <formula>COUNTIF(G27:BE27,"&lt;&gt;" &amp; "")&gt;0</formula>
    </cfRule>
    <cfRule type="expression" dxfId="1" priority="22">
      <formula>AND(COUNTIF(G27:BE27,"&lt;&gt;" &amp; "")&gt;0,NOT(ISBLANK(E27)))</formula>
    </cfRule>
  </conditionalFormatting>
  <conditionalFormatting sqref="E28">
    <cfRule type="expression" dxfId="0" priority="23">
      <formula>COUNTIF(G28:BE28,"&lt;&gt;" &amp; "")&gt;0</formula>
    </cfRule>
    <cfRule type="expression" dxfId="1" priority="24">
      <formula>AND(COUNTIF(G28:BE28,"&lt;&gt;" &amp; "")&gt;0,NOT(ISBLANK(E28)))</formula>
    </cfRule>
  </conditionalFormatting>
  <conditionalFormatting sqref="E29">
    <cfRule type="expression" dxfId="0" priority="25">
      <formula>COUNTIF(G29:BE29,"&lt;&gt;" &amp; "")&gt;0</formula>
    </cfRule>
    <cfRule type="expression" dxfId="1" priority="26">
      <formula>AND(COUNTIF(G29:BE29,"&lt;&gt;" &amp; "")&gt;0,NOT(ISBLANK(E29)))</formula>
    </cfRule>
  </conditionalFormatting>
  <conditionalFormatting sqref="E32">
    <cfRule type="expression" dxfId="0" priority="27">
      <formula>COUNTIF(G32:BE32,"&lt;&gt;" &amp; "")&gt;0</formula>
    </cfRule>
    <cfRule type="expression" dxfId="1" priority="28">
      <formula>AND(COUNTIF(G32:BE32,"&lt;&gt;" &amp; "")&gt;0,NOT(ISBLANK(E32)))</formula>
    </cfRule>
  </conditionalFormatting>
  <conditionalFormatting sqref="E33">
    <cfRule type="expression" dxfId="0" priority="29">
      <formula>COUNTIF(G33:BE33,"&lt;&gt;" &amp; "")&gt;0</formula>
    </cfRule>
    <cfRule type="expression" dxfId="1" priority="30">
      <formula>AND(COUNTIF(G33:BE33,"&lt;&gt;" &amp; "")&gt;0,NOT(ISBLANK(E33)))</formula>
    </cfRule>
  </conditionalFormatting>
  <conditionalFormatting sqref="E34">
    <cfRule type="expression" dxfId="0" priority="31">
      <formula>COUNTIF(G34:BE34,"&lt;&gt;" &amp; "")&gt;0</formula>
    </cfRule>
    <cfRule type="expression" dxfId="1" priority="32">
      <formula>AND(COUNTIF(G34:BE34,"&lt;&gt;" &amp; "")&gt;0,NOT(ISBLANK(E34)))</formula>
    </cfRule>
  </conditionalFormatting>
  <conditionalFormatting sqref="E35">
    <cfRule type="expression" dxfId="0" priority="33">
      <formula>COUNTIF(G35:BE35,"&lt;&gt;" &amp; "")&gt;0</formula>
    </cfRule>
    <cfRule type="expression" dxfId="1" priority="34">
      <formula>AND(COUNTIF(G35:BE35,"&lt;&gt;" &amp; "")&gt;0,NOT(ISBLANK(E35)))</formula>
    </cfRule>
  </conditionalFormatting>
  <conditionalFormatting sqref="E36">
    <cfRule type="expression" dxfId="0" priority="35">
      <formula>COUNTIF(G36:BE36,"&lt;&gt;" &amp; "")&gt;0</formula>
    </cfRule>
    <cfRule type="expression" dxfId="1" priority="36">
      <formula>AND(COUNTIF(G36:BE36,"&lt;&gt;" &amp; "")&gt;0,NOT(ISBLANK(E36)))</formula>
    </cfRule>
  </conditionalFormatting>
  <conditionalFormatting sqref="E37">
    <cfRule type="expression" dxfId="0" priority="37">
      <formula>COUNTIF(G37:BE37,"&lt;&gt;" &amp; "")&gt;0</formula>
    </cfRule>
    <cfRule type="expression" dxfId="1" priority="38">
      <formula>AND(COUNTIF(G37:BE37,"&lt;&gt;" &amp; "")&gt;0,NOT(ISBLANK(E37)))</formula>
    </cfRule>
  </conditionalFormatting>
  <conditionalFormatting sqref="E38">
    <cfRule type="expression" dxfId="0" priority="39">
      <formula>COUNTIF(G38:BE38,"&lt;&gt;" &amp; "")&gt;0</formula>
    </cfRule>
    <cfRule type="expression" dxfId="1" priority="40">
      <formula>AND(COUNTIF(G38:BE38,"&lt;&gt;" &amp; "")&gt;0,NOT(ISBLANK(E38)))</formula>
    </cfRule>
  </conditionalFormatting>
  <conditionalFormatting sqref="E39">
    <cfRule type="expression" dxfId="0" priority="41">
      <formula>COUNTIF(G39:BE39,"&lt;&gt;" &amp; "")&gt;0</formula>
    </cfRule>
    <cfRule type="expression" dxfId="1" priority="42">
      <formula>AND(COUNTIF(G39:BE39,"&lt;&gt;" &amp; "")&gt;0,NOT(ISBLANK(E39)))</formula>
    </cfRule>
  </conditionalFormatting>
  <conditionalFormatting sqref="E40">
    <cfRule type="expression" dxfId="0" priority="43">
      <formula>COUNTIF(G40:BE40,"&lt;&gt;" &amp; "")&gt;0</formula>
    </cfRule>
    <cfRule type="expression" dxfId="1" priority="44">
      <formula>AND(COUNTIF(G40:BE40,"&lt;&gt;" &amp; "")&gt;0,NOT(ISBLANK(E40)))</formula>
    </cfRule>
  </conditionalFormatting>
  <conditionalFormatting sqref="E41">
    <cfRule type="expression" dxfId="0" priority="45">
      <formula>COUNTIF(G41:BE41,"&lt;&gt;" &amp; "")&gt;0</formula>
    </cfRule>
    <cfRule type="expression" dxfId="1" priority="46">
      <formula>AND(COUNTIF(G41:BE41,"&lt;&gt;" &amp; "")&gt;0,NOT(ISBLANK(E41)))</formula>
    </cfRule>
  </conditionalFormatting>
  <conditionalFormatting sqref="E42">
    <cfRule type="expression" dxfId="0" priority="47">
      <formula>COUNTIF(G42:BE42,"&lt;&gt;" &amp; "")&gt;0</formula>
    </cfRule>
    <cfRule type="expression" dxfId="1" priority="48">
      <formula>AND(COUNTIF(G42:BE42,"&lt;&gt;" &amp; "")&gt;0,NOT(ISBLANK(E42)))</formula>
    </cfRule>
  </conditionalFormatting>
  <conditionalFormatting sqref="E43">
    <cfRule type="expression" dxfId="0" priority="49">
      <formula>COUNTIF(G43:BE43,"&lt;&gt;" &amp; "")&gt;0</formula>
    </cfRule>
    <cfRule type="expression" dxfId="1" priority="50">
      <formula>AND(COUNTIF(G43:BE43,"&lt;&gt;" &amp; "")&gt;0,NOT(ISBLANK(E43)))</formula>
    </cfRule>
  </conditionalFormatting>
  <conditionalFormatting sqref="E44">
    <cfRule type="expression" dxfId="0" priority="51">
      <formula>COUNTIF(G44:BE44,"&lt;&gt;" &amp; "")&gt;0</formula>
    </cfRule>
    <cfRule type="expression" dxfId="1" priority="52">
      <formula>AND(COUNTIF(G44:BE44,"&lt;&gt;" &amp; "")&gt;0,NOT(ISBLANK(E44)))</formula>
    </cfRule>
  </conditionalFormatting>
  <conditionalFormatting sqref="E47">
    <cfRule type="expression" dxfId="0" priority="53">
      <formula>COUNTIF(G47:BE47,"&lt;&gt;" &amp; "")&gt;0</formula>
    </cfRule>
    <cfRule type="expression" dxfId="1" priority="54">
      <formula>AND(COUNTIF(G47:BE47,"&lt;&gt;" &amp; "")&gt;0,NOT(ISBLANK(E47)))</formula>
    </cfRule>
  </conditionalFormatting>
  <conditionalFormatting sqref="E48">
    <cfRule type="expression" dxfId="0" priority="55">
      <formula>COUNTIF(G48:BE48,"&lt;&gt;" &amp; "")&gt;0</formula>
    </cfRule>
    <cfRule type="expression" dxfId="1" priority="56">
      <formula>AND(COUNTIF(G48:BE48,"&lt;&gt;" &amp; "")&gt;0,NOT(ISBLANK(E48)))</formula>
    </cfRule>
  </conditionalFormatting>
  <conditionalFormatting sqref="E49">
    <cfRule type="expression" dxfId="0" priority="57">
      <formula>COUNTIF(G49:BE49,"&lt;&gt;" &amp; "")&gt;0</formula>
    </cfRule>
    <cfRule type="expression" dxfId="1" priority="58">
      <formula>AND(COUNTIF(G49:BE49,"&lt;&gt;" &amp; "")&gt;0,NOT(ISBLANK(E49)))</formula>
    </cfRule>
  </conditionalFormatting>
  <conditionalFormatting sqref="E50">
    <cfRule type="expression" dxfId="0" priority="59">
      <formula>COUNTIF(G50:BE50,"&lt;&gt;" &amp; "")&gt;0</formula>
    </cfRule>
    <cfRule type="expression" dxfId="1" priority="60">
      <formula>AND(COUNTIF(G50:BE50,"&lt;&gt;" &amp; "")&gt;0,NOT(ISBLANK(E50)))</formula>
    </cfRule>
  </conditionalFormatting>
  <conditionalFormatting sqref="E51">
    <cfRule type="expression" dxfId="0" priority="61">
      <formula>COUNTIF(G51:BE51,"&lt;&gt;" &amp; "")&gt;0</formula>
    </cfRule>
    <cfRule type="expression" dxfId="1" priority="62">
      <formula>AND(COUNTIF(G51:BE51,"&lt;&gt;" &amp; "")&gt;0,NOT(ISBLANK(E51)))</formula>
    </cfRule>
  </conditionalFormatting>
  <conditionalFormatting sqref="E52">
    <cfRule type="expression" dxfId="0" priority="63">
      <formula>COUNTIF(G52:BE52,"&lt;&gt;" &amp; "")&gt;0</formula>
    </cfRule>
    <cfRule type="expression" dxfId="1" priority="64">
      <formula>AND(COUNTIF(G52:BE52,"&lt;&gt;" &amp; "")&gt;0,NOT(ISBLANK(E52)))</formula>
    </cfRule>
  </conditionalFormatting>
  <conditionalFormatting sqref="E53">
    <cfRule type="expression" dxfId="0" priority="65">
      <formula>COUNTIF(G53:BE53,"&lt;&gt;" &amp; "")&gt;0</formula>
    </cfRule>
    <cfRule type="expression" dxfId="1" priority="66">
      <formula>AND(COUNTIF(G53:BE53,"&lt;&gt;" &amp; "")&gt;0,NOT(ISBLANK(E53)))</formula>
    </cfRule>
  </conditionalFormatting>
  <conditionalFormatting sqref="E54">
    <cfRule type="expression" dxfId="0" priority="67">
      <formula>COUNTIF(G54:BE54,"&lt;&gt;" &amp; "")&gt;0</formula>
    </cfRule>
    <cfRule type="expression" dxfId="1" priority="68">
      <formula>AND(COUNTIF(G54:BE54,"&lt;&gt;" &amp; "")&gt;0,NOT(ISBLANK(E54)))</formula>
    </cfRule>
  </conditionalFormatting>
  <conditionalFormatting sqref="E55">
    <cfRule type="expression" dxfId="0" priority="69">
      <formula>COUNTIF(G55:BE55,"&lt;&gt;" &amp; "")&gt;0</formula>
    </cfRule>
    <cfRule type="expression" dxfId="1" priority="70">
      <formula>AND(COUNTIF(G55:BE55,"&lt;&gt;" &amp; "")&gt;0,NOT(ISBLANK(E55)))</formula>
    </cfRule>
  </conditionalFormatting>
  <conditionalFormatting sqref="E56">
    <cfRule type="expression" dxfId="0" priority="71">
      <formula>COUNTIF(G56:BE56,"&lt;&gt;" &amp; "")&gt;0</formula>
    </cfRule>
    <cfRule type="expression" dxfId="1" priority="72">
      <formula>AND(COUNTIF(G56:BE56,"&lt;&gt;" &amp; "")&gt;0,NOT(ISBLANK(E56)))</formula>
    </cfRule>
  </conditionalFormatting>
  <conditionalFormatting sqref="E57">
    <cfRule type="expression" dxfId="0" priority="73">
      <formula>COUNTIF(G57:BE57,"&lt;&gt;" &amp; "")&gt;0</formula>
    </cfRule>
    <cfRule type="expression" dxfId="1" priority="74">
      <formula>AND(COUNTIF(G57:BE57,"&lt;&gt;" &amp; "")&gt;0,NOT(ISBLANK(E57)))</formula>
    </cfRule>
  </conditionalFormatting>
  <conditionalFormatting sqref="E58">
    <cfRule type="expression" dxfId="0" priority="75">
      <formula>COUNTIF(G58:BE58,"&lt;&gt;" &amp; "")&gt;0</formula>
    </cfRule>
    <cfRule type="expression" dxfId="1" priority="76">
      <formula>AND(COUNTIF(G58:BE58,"&lt;&gt;" &amp; "")&gt;0,NOT(ISBLANK(E58)))</formula>
    </cfRule>
  </conditionalFormatting>
  <conditionalFormatting sqref="E59">
    <cfRule type="expression" dxfId="0" priority="77">
      <formula>COUNTIF(G59:BE59,"&lt;&gt;" &amp; "")&gt;0</formula>
    </cfRule>
    <cfRule type="expression" dxfId="1" priority="78">
      <formula>AND(COUNTIF(G59:BE59,"&lt;&gt;" &amp; "")&gt;0,NOT(ISBLANK(E59)))</formula>
    </cfRule>
  </conditionalFormatting>
  <conditionalFormatting sqref="E62">
    <cfRule type="expression" dxfId="0" priority="79">
      <formula>COUNTIF(G62:BE62,"&lt;&gt;" &amp; "")&gt;0</formula>
    </cfRule>
    <cfRule type="expression" dxfId="1" priority="80">
      <formula>AND(COUNTIF(G62:BE62,"&lt;&gt;" &amp; "")&gt;0,NOT(ISBLANK(E62)))</formula>
    </cfRule>
  </conditionalFormatting>
  <conditionalFormatting sqref="E63">
    <cfRule type="expression" dxfId="0" priority="81">
      <formula>COUNTIF(G63:BE63,"&lt;&gt;" &amp; "")&gt;0</formula>
    </cfRule>
    <cfRule type="expression" dxfId="1" priority="82">
      <formula>AND(COUNTIF(G63:BE63,"&lt;&gt;" &amp; "")&gt;0,NOT(ISBLANK(E63)))</formula>
    </cfRule>
  </conditionalFormatting>
  <conditionalFormatting sqref="E64">
    <cfRule type="expression" dxfId="0" priority="83">
      <formula>COUNTIF(G64:BE64,"&lt;&gt;" &amp; "")&gt;0</formula>
    </cfRule>
    <cfRule type="expression" dxfId="1" priority="84">
      <formula>AND(COUNTIF(G64:BE64,"&lt;&gt;" &amp; "")&gt;0,NOT(ISBLANK(E64)))</formula>
    </cfRule>
  </conditionalFormatting>
  <conditionalFormatting sqref="E65">
    <cfRule type="expression" dxfId="0" priority="85">
      <formula>COUNTIF(G65:BE65,"&lt;&gt;" &amp; "")&gt;0</formula>
    </cfRule>
    <cfRule type="expression" dxfId="1" priority="86">
      <formula>AND(COUNTIF(G65:BE65,"&lt;&gt;" &amp; "")&gt;0,NOT(ISBLANK(E65)))</formula>
    </cfRule>
  </conditionalFormatting>
  <conditionalFormatting sqref="E66">
    <cfRule type="expression" dxfId="0" priority="87">
      <formula>COUNTIF(G66:BE66,"&lt;&gt;" &amp; "")&gt;0</formula>
    </cfRule>
    <cfRule type="expression" dxfId="1" priority="88">
      <formula>AND(COUNTIF(G66:BE66,"&lt;&gt;" &amp; "")&gt;0,NOT(ISBLANK(E66)))</formula>
    </cfRule>
  </conditionalFormatting>
  <conditionalFormatting sqref="E67">
    <cfRule type="expression" dxfId="0" priority="89">
      <formula>COUNTIF(G67:BE67,"&lt;&gt;" &amp; "")&gt;0</formula>
    </cfRule>
    <cfRule type="expression" dxfId="1" priority="90">
      <formula>AND(COUNTIF(G67:BE67,"&lt;&gt;" &amp; "")&gt;0,NOT(ISBLANK(E67)))</formula>
    </cfRule>
  </conditionalFormatting>
  <conditionalFormatting sqref="E68">
    <cfRule type="expression" dxfId="0" priority="91">
      <formula>COUNTIF(G68:BE68,"&lt;&gt;" &amp; "")&gt;0</formula>
    </cfRule>
    <cfRule type="expression" dxfId="1" priority="92">
      <formula>AND(COUNTIF(G68:BE68,"&lt;&gt;" &amp; "")&gt;0,NOT(ISBLANK(E68)))</formula>
    </cfRule>
  </conditionalFormatting>
  <conditionalFormatting sqref="E69">
    <cfRule type="expression" dxfId="0" priority="93">
      <formula>COUNTIF(G69:BE69,"&lt;&gt;" &amp; "")&gt;0</formula>
    </cfRule>
    <cfRule type="expression" dxfId="1" priority="94">
      <formula>AND(COUNTIF(G69:BE69,"&lt;&gt;" &amp; "")&gt;0,NOT(ISBLANK(E69)))</formula>
    </cfRule>
  </conditionalFormatting>
  <conditionalFormatting sqref="E70">
    <cfRule type="expression" dxfId="0" priority="95">
      <formula>COUNTIF(G70:BE70,"&lt;&gt;" &amp; "")&gt;0</formula>
    </cfRule>
    <cfRule type="expression" dxfId="1" priority="96">
      <formula>AND(COUNTIF(G70:BE70,"&lt;&gt;" &amp; "")&gt;0,NOT(ISBLANK(E70)))</formula>
    </cfRule>
  </conditionalFormatting>
  <conditionalFormatting sqref="E71">
    <cfRule type="expression" dxfId="0" priority="97">
      <formula>COUNTIF(G71:BE71,"&lt;&gt;" &amp; "")&gt;0</formula>
    </cfRule>
    <cfRule type="expression" dxfId="1" priority="98">
      <formula>AND(COUNTIF(G71:BE71,"&lt;&gt;" &amp; "")&gt;0,NOT(ISBLANK(E71)))</formula>
    </cfRule>
  </conditionalFormatting>
  <conditionalFormatting sqref="E72">
    <cfRule type="expression" dxfId="0" priority="99">
      <formula>COUNTIF(G72:BE72,"&lt;&gt;" &amp; "")&gt;0</formula>
    </cfRule>
    <cfRule type="expression" dxfId="1" priority="100">
      <formula>AND(COUNTIF(G72:BE72,"&lt;&gt;" &amp; "")&gt;0,NOT(ISBLANK(E72)))</formula>
    </cfRule>
  </conditionalFormatting>
  <conditionalFormatting sqref="E73">
    <cfRule type="expression" dxfId="0" priority="101">
      <formula>COUNTIF(G73:BE73,"&lt;&gt;" &amp; "")&gt;0</formula>
    </cfRule>
    <cfRule type="expression" dxfId="1" priority="102">
      <formula>AND(COUNTIF(G73:BE73,"&lt;&gt;" &amp; "")&gt;0,NOT(ISBLANK(E73)))</formula>
    </cfRule>
  </conditionalFormatting>
  <conditionalFormatting sqref="E74">
    <cfRule type="expression" dxfId="0" priority="103">
      <formula>COUNTIF(G74:BE74,"&lt;&gt;" &amp; "")&gt;0</formula>
    </cfRule>
    <cfRule type="expression" dxfId="1" priority="104">
      <formula>AND(COUNTIF(G74:BE74,"&lt;&gt;" &amp; "")&gt;0,NOT(ISBLANK(E74)))</formula>
    </cfRule>
  </conditionalFormatting>
  <conditionalFormatting sqref="E77">
    <cfRule type="expression" dxfId="0" priority="105">
      <formula>COUNTIF(G77:BE77,"&lt;&gt;" &amp; "")&gt;0</formula>
    </cfRule>
    <cfRule type="expression" dxfId="1" priority="106">
      <formula>AND(COUNTIF(G77:BE77,"&lt;&gt;" &amp; "")&gt;0,NOT(ISBLANK(E77)))</formula>
    </cfRule>
  </conditionalFormatting>
  <conditionalFormatting sqref="E78">
    <cfRule type="expression" dxfId="0" priority="107">
      <formula>COUNTIF(G78:BE78,"&lt;&gt;" &amp; "")&gt;0</formula>
    </cfRule>
    <cfRule type="expression" dxfId="1" priority="108">
      <formula>AND(COUNTIF(G78:BE78,"&lt;&gt;" &amp; "")&gt;0,NOT(ISBLANK(E78)))</formula>
    </cfRule>
  </conditionalFormatting>
  <conditionalFormatting sqref="E79">
    <cfRule type="expression" dxfId="0" priority="109">
      <formula>COUNTIF(G79:BE79,"&lt;&gt;" &amp; "")&gt;0</formula>
    </cfRule>
    <cfRule type="expression" dxfId="1" priority="110">
      <formula>AND(COUNTIF(G79:BE79,"&lt;&gt;" &amp; "")&gt;0,NOT(ISBLANK(E79)))</formula>
    </cfRule>
  </conditionalFormatting>
  <conditionalFormatting sqref="E80">
    <cfRule type="expression" dxfId="0" priority="111">
      <formula>COUNTIF(G80:BE80,"&lt;&gt;" &amp; "")&gt;0</formula>
    </cfRule>
    <cfRule type="expression" dxfId="1" priority="112">
      <formula>AND(COUNTIF(G80:BE80,"&lt;&gt;" &amp; "")&gt;0,NOT(ISBLANK(E80)))</formula>
    </cfRule>
  </conditionalFormatting>
  <conditionalFormatting sqref="E81">
    <cfRule type="expression" dxfId="0" priority="113">
      <formula>COUNTIF(G81:BE81,"&lt;&gt;" &amp; "")&gt;0</formula>
    </cfRule>
    <cfRule type="expression" dxfId="1" priority="114">
      <formula>AND(COUNTIF(G81:BE81,"&lt;&gt;" &amp; "")&gt;0,NOT(ISBLANK(E81)))</formula>
    </cfRule>
  </conditionalFormatting>
  <conditionalFormatting sqref="E82">
    <cfRule type="expression" dxfId="0" priority="115">
      <formula>COUNTIF(G82:BE82,"&lt;&gt;" &amp; "")&gt;0</formula>
    </cfRule>
    <cfRule type="expression" dxfId="1" priority="116">
      <formula>AND(COUNTIF(G82:BE82,"&lt;&gt;" &amp; "")&gt;0,NOT(ISBLANK(E82)))</formula>
    </cfRule>
  </conditionalFormatting>
  <conditionalFormatting sqref="E83">
    <cfRule type="expression" dxfId="0" priority="117">
      <formula>COUNTIF(G83:BE83,"&lt;&gt;" &amp; "")&gt;0</formula>
    </cfRule>
    <cfRule type="expression" dxfId="1" priority="118">
      <formula>AND(COUNTIF(G83:BE83,"&lt;&gt;" &amp; "")&gt;0,NOT(ISBLANK(E83)))</formula>
    </cfRule>
  </conditionalFormatting>
  <conditionalFormatting sqref="E84">
    <cfRule type="expression" dxfId="0" priority="119">
      <formula>COUNTIF(G84:BE84,"&lt;&gt;" &amp; "")&gt;0</formula>
    </cfRule>
    <cfRule type="expression" dxfId="1" priority="120">
      <formula>AND(COUNTIF(G84:BE84,"&lt;&gt;" &amp; "")&gt;0,NOT(ISBLANK(E84)))</formula>
    </cfRule>
  </conditionalFormatting>
  <conditionalFormatting sqref="E85">
    <cfRule type="expression" dxfId="0" priority="121">
      <formula>COUNTIF(G85:BE85,"&lt;&gt;" &amp; "")&gt;0</formula>
    </cfRule>
    <cfRule type="expression" dxfId="1" priority="122">
      <formula>AND(COUNTIF(G85:BE85,"&lt;&gt;" &amp; "")&gt;0,NOT(ISBLANK(E85)))</formula>
    </cfRule>
  </conditionalFormatting>
  <conditionalFormatting sqref="E86">
    <cfRule type="expression" dxfId="0" priority="123">
      <formula>COUNTIF(G86:BE86,"&lt;&gt;" &amp; "")&gt;0</formula>
    </cfRule>
    <cfRule type="expression" dxfId="1" priority="124">
      <formula>AND(COUNTIF(G86:BE86,"&lt;&gt;" &amp; "")&gt;0,NOT(ISBLANK(E86)))</formula>
    </cfRule>
  </conditionalFormatting>
  <conditionalFormatting sqref="E87">
    <cfRule type="expression" dxfId="0" priority="125">
      <formula>COUNTIF(G87:BE87,"&lt;&gt;" &amp; "")&gt;0</formula>
    </cfRule>
    <cfRule type="expression" dxfId="1" priority="126">
      <formula>AND(COUNTIF(G87:BE87,"&lt;&gt;" &amp; "")&gt;0,NOT(ISBLANK(E87)))</formula>
    </cfRule>
  </conditionalFormatting>
  <conditionalFormatting sqref="E88">
    <cfRule type="expression" dxfId="0" priority="127">
      <formula>COUNTIF(G88:BE88,"&lt;&gt;" &amp; "")&gt;0</formula>
    </cfRule>
    <cfRule type="expression" dxfId="1" priority="128">
      <formula>AND(COUNTIF(G88:BE88,"&lt;&gt;" &amp; "")&gt;0,NOT(ISBLANK(E88)))</formula>
    </cfRule>
  </conditionalFormatting>
  <conditionalFormatting sqref="E89">
    <cfRule type="expression" dxfId="0" priority="129">
      <formula>COUNTIF(G89:BE89,"&lt;&gt;" &amp; "")&gt;0</formula>
    </cfRule>
    <cfRule type="expression" dxfId="1" priority="130">
      <formula>AND(COUNTIF(G89:BE89,"&lt;&gt;" &amp; "")&gt;0,NOT(ISBLANK(E89)))</formula>
    </cfRule>
  </conditionalFormatting>
  <conditionalFormatting sqref="E92">
    <cfRule type="expression" dxfId="0" priority="131">
      <formula>COUNTIF(G92:BE92,"&lt;&gt;" &amp; "")&gt;0</formula>
    </cfRule>
    <cfRule type="expression" dxfId="1" priority="132">
      <formula>AND(COUNTIF(G92:BE92,"&lt;&gt;" &amp; "")&gt;0,NOT(ISBLANK(E92)))</formula>
    </cfRule>
  </conditionalFormatting>
  <conditionalFormatting sqref="E93">
    <cfRule type="expression" dxfId="0" priority="133">
      <formula>COUNTIF(G93:BE93,"&lt;&gt;" &amp; "")&gt;0</formula>
    </cfRule>
    <cfRule type="expression" dxfId="1" priority="134">
      <formula>AND(COUNTIF(G93:BE93,"&lt;&gt;" &amp; "")&gt;0,NOT(ISBLANK(E93)))</formula>
    </cfRule>
  </conditionalFormatting>
  <conditionalFormatting sqref="E94">
    <cfRule type="expression" dxfId="0" priority="135">
      <formula>COUNTIF(G94:BE94,"&lt;&gt;" &amp; "")&gt;0</formula>
    </cfRule>
    <cfRule type="expression" dxfId="1" priority="136">
      <formula>AND(COUNTIF(G94:BE94,"&lt;&gt;" &amp; "")&gt;0,NOT(ISBLANK(E94)))</formula>
    </cfRule>
  </conditionalFormatting>
  <conditionalFormatting sqref="E95">
    <cfRule type="expression" dxfId="0" priority="137">
      <formula>COUNTIF(G95:BE95,"&lt;&gt;" &amp; "")&gt;0</formula>
    </cfRule>
    <cfRule type="expression" dxfId="1" priority="138">
      <formula>AND(COUNTIF(G95:BE95,"&lt;&gt;" &amp; "")&gt;0,NOT(ISBLANK(E95)))</formula>
    </cfRule>
  </conditionalFormatting>
  <conditionalFormatting sqref="E96">
    <cfRule type="expression" dxfId="0" priority="139">
      <formula>COUNTIF(G96:BE96,"&lt;&gt;" &amp; "")&gt;0</formula>
    </cfRule>
    <cfRule type="expression" dxfId="1" priority="140">
      <formula>AND(COUNTIF(G96:BE96,"&lt;&gt;" &amp; "")&gt;0,NOT(ISBLANK(E96)))</formula>
    </cfRule>
  </conditionalFormatting>
  <conditionalFormatting sqref="E97">
    <cfRule type="expression" dxfId="0" priority="141">
      <formula>COUNTIF(G97:BE97,"&lt;&gt;" &amp; "")&gt;0</formula>
    </cfRule>
    <cfRule type="expression" dxfId="1" priority="142">
      <formula>AND(COUNTIF(G97:BE97,"&lt;&gt;" &amp; "")&gt;0,NOT(ISBLANK(E97)))</formula>
    </cfRule>
  </conditionalFormatting>
  <conditionalFormatting sqref="E98">
    <cfRule type="expression" dxfId="0" priority="143">
      <formula>COUNTIF(G98:BE98,"&lt;&gt;" &amp; "")&gt;0</formula>
    </cfRule>
    <cfRule type="expression" dxfId="1" priority="144">
      <formula>AND(COUNTIF(G98:BE98,"&lt;&gt;" &amp; "")&gt;0,NOT(ISBLANK(E98)))</formula>
    </cfRule>
  </conditionalFormatting>
  <conditionalFormatting sqref="E99">
    <cfRule type="expression" dxfId="0" priority="145">
      <formula>COUNTIF(G99:BE99,"&lt;&gt;" &amp; "")&gt;0</formula>
    </cfRule>
    <cfRule type="expression" dxfId="1" priority="146">
      <formula>AND(COUNTIF(G99:BE99,"&lt;&gt;" &amp; "")&gt;0,NOT(ISBLANK(E99)))</formula>
    </cfRule>
  </conditionalFormatting>
  <dataValidations count="221">
    <dataValidation type="list" allowBlank="1" showInputMessage="1" showErrorMessage="1" sqref="C2">
      <formula1>"Fraction"</formula1>
    </dataValidation>
    <dataValidation type="list" allowBlank="1" showInputMessage="1" showErrorMessage="1" sqref="C3">
      <formula1>"Fraction"</formula1>
    </dataValidation>
    <dataValidation type="list" allowBlank="1" showInputMessage="1" showErrorMessage="1" sqref="C4">
      <formula1>"Fraction"</formula1>
    </dataValidation>
    <dataValidation type="list" allowBlank="1" showInputMessage="1" showErrorMessage="1" sqref="C5">
      <formula1>"Fraction"</formula1>
    </dataValidation>
    <dataValidation type="list" allowBlank="1" showInputMessage="1" showErrorMessage="1" sqref="C6">
      <formula1>"Fraction"</formula1>
    </dataValidation>
    <dataValidation type="list" allowBlank="1" showInputMessage="1" showErrorMessage="1" sqref="C7">
      <formula1>"Fraction"</formula1>
    </dataValidation>
    <dataValidation type="list" allowBlank="1" showInputMessage="1" showErrorMessage="1" sqref="C8">
      <formula1>"Fraction"</formula1>
    </dataValidation>
    <dataValidation type="list" allowBlank="1" showInputMessage="1" showErrorMessage="1" sqref="C9">
      <formula1>"Fraction"</formula1>
    </dataValidation>
    <dataValidation type="list" allowBlank="1" showInputMessage="1" showErrorMessage="1" sqref="C10">
      <formula1>"Fraction"</formula1>
    </dataValidation>
    <dataValidation type="list" allowBlank="1" showInputMessage="1" showErrorMessage="1" sqref="C11">
      <formula1>"Fraction"</formula1>
    </dataValidation>
    <dataValidation type="list" allowBlank="1" showInputMessage="1" showErrorMessage="1" sqref="C12">
      <formula1>"Fraction"</formula1>
    </dataValidation>
    <dataValidation type="list" allowBlank="1" showInputMessage="1" showErrorMessage="1" sqref="C13">
      <formula1>"Fraction"</formula1>
    </dataValidation>
    <dataValidation type="list" allowBlank="1" showInputMessage="1" showErrorMessage="1" sqref="C14">
      <formula1>"Fraction"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28">
      <formula1>"Number (per year)"</formula1>
    </dataValidation>
    <dataValidation type="list" allowBlank="1" showInputMessage="1" showErrorMessage="1" sqref="C29">
      <formula1>"Number (per year)"</formula1>
    </dataValidation>
    <dataValidation type="list" allowBlank="1" showInputMessage="1" showErrorMessage="1" sqref="C32">
      <formula1>"Number (per year)"</formula1>
    </dataValidation>
    <dataValidation type="list" allowBlank="1" showInputMessage="1" showErrorMessage="1" sqref="C33">
      <formula1>"Number (per year)"</formula1>
    </dataValidation>
    <dataValidation type="list" allowBlank="1" showInputMessage="1" showErrorMessage="1" sqref="C34">
      <formula1>"Number (per year)"</formula1>
    </dataValidation>
    <dataValidation type="list" allowBlank="1" showInputMessage="1" showErrorMessage="1" sqref="C35">
      <formula1>"Number (per year)"</formula1>
    </dataValidation>
    <dataValidation type="list" allowBlank="1" showInputMessage="1" showErrorMessage="1" sqref="C36">
      <formula1>"Number (per year)"</formula1>
    </dataValidation>
    <dataValidation type="list" allowBlank="1" showInputMessage="1" showErrorMessage="1" sqref="C37">
      <formula1>"Number (per year)"</formula1>
    </dataValidation>
    <dataValidation type="list" allowBlank="1" showInputMessage="1" showErrorMessage="1" sqref="C38">
      <formula1>"Number (per year)"</formula1>
    </dataValidation>
    <dataValidation type="list" allowBlank="1" showInputMessage="1" showErrorMessage="1" sqref="C39">
      <formula1>"Number (per year)"</formula1>
    </dataValidation>
    <dataValidation type="list" allowBlank="1" showInputMessage="1" showErrorMessage="1" sqref="C40">
      <formula1>"Number (per year)"</formula1>
    </dataValidation>
    <dataValidation type="list" allowBlank="1" showInputMessage="1" showErrorMessage="1" sqref="C41">
      <formula1>"Number (per year)"</formula1>
    </dataValidation>
    <dataValidation type="list" allowBlank="1" showInputMessage="1" showErrorMessage="1" sqref="C42">
      <formula1>"Number (per year)"</formula1>
    </dataValidation>
    <dataValidation type="list" allowBlank="1" showInputMessage="1" showErrorMessage="1" sqref="C43">
      <formula1>"Number (per year)"</formula1>
    </dataValidation>
    <dataValidation type="list" allowBlank="1" showInputMessage="1" showErrorMessage="1" sqref="C44">
      <formula1>"Number (per year)"</formula1>
    </dataValidation>
    <dataValidation type="list" allowBlank="1" showInputMessage="1" showErrorMessage="1" sqref="C47">
      <formula1>"Number (per year)"</formula1>
    </dataValidation>
    <dataValidation type="list" allowBlank="1" showInputMessage="1" showErrorMessage="1" sqref="C48">
      <formula1>"Number (per year)"</formula1>
    </dataValidation>
    <dataValidation type="list" allowBlank="1" showInputMessage="1" showErrorMessage="1" sqref="C49">
      <formula1>"Number (per year)"</formula1>
    </dataValidation>
    <dataValidation type="list" allowBlank="1" showInputMessage="1" showErrorMessage="1" sqref="C50">
      <formula1>"Number (per year)"</formula1>
    </dataValidation>
    <dataValidation type="list" allowBlank="1" showInputMessage="1" showErrorMessage="1" sqref="C51">
      <formula1>"Number (per year)"</formula1>
    </dataValidation>
    <dataValidation type="list" allowBlank="1" showInputMessage="1" showErrorMessage="1" sqref="C52">
      <formula1>"Number (per year)"</formula1>
    </dataValidation>
    <dataValidation type="list" allowBlank="1" showInputMessage="1" showErrorMessage="1" sqref="C53">
      <formula1>"Number (per year)"</formula1>
    </dataValidation>
    <dataValidation type="list" allowBlank="1" showInputMessage="1" showErrorMessage="1" sqref="C54">
      <formula1>"Number (per year)"</formula1>
    </dataValidation>
    <dataValidation type="list" allowBlank="1" showInputMessage="1" showErrorMessage="1" sqref="C55">
      <formula1>"Number (per year)"</formula1>
    </dataValidation>
    <dataValidation type="list" allowBlank="1" showInputMessage="1" showErrorMessage="1" sqref="C56">
      <formula1>"Number (per year)"</formula1>
    </dataValidation>
    <dataValidation type="list" allowBlank="1" showInputMessage="1" showErrorMessage="1" sqref="C57">
      <formula1>"Number (per year)"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0">
      <formula1>"Number (per year)"</formula1>
    </dataValidation>
    <dataValidation type="list" allowBlank="1" showInputMessage="1" showErrorMessage="1" sqref="C71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  <dataValidation type="list" allowBlank="1" showInputMessage="1" showErrorMessage="1" sqref="C84">
      <formula1>"Number (per year)"</formula1>
    </dataValidation>
    <dataValidation type="list" allowBlank="1" showInputMessage="1" showErrorMessage="1" sqref="C85">
      <formula1>"Number (per year)"</formula1>
    </dataValidation>
    <dataValidation type="list" allowBlank="1" showInputMessage="1" showErrorMessage="1" sqref="C86">
      <formula1>"Number (per year)"</formula1>
    </dataValidation>
    <dataValidation type="list" allowBlank="1" showInputMessage="1" showErrorMessage="1" sqref="C87">
      <formula1>"Number (per year)"</formula1>
    </dataValidation>
    <dataValidation type="list" allowBlank="1" showInputMessage="1" showErrorMessage="1" sqref="C88">
      <formula1>"Number (per year)"</formula1>
    </dataValidation>
    <dataValidation type="list" allowBlank="1" showInputMessage="1" showErrorMessage="1" sqref="C89">
      <formula1>"Number (per year)"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98">
      <formula1>"Number"</formula1>
    </dataValidation>
    <dataValidation type="list" allowBlank="1" showInputMessage="1" showErrorMessage="1" sqref="C99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2">
      <formula1>"Number"</formula1>
    </dataValidation>
    <dataValidation type="list" allowBlank="1" showInputMessage="1" showErrorMessage="1" sqref="C113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6">
      <formula1>"Number"</formula1>
    </dataValidation>
    <dataValidation type="list" allowBlank="1" showInputMessage="1" showErrorMessage="1" sqref="C127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0">
      <formula1>"Number"</formula1>
    </dataValidation>
    <dataValidation type="list" allowBlank="1" showInputMessage="1" showErrorMessage="1" sqref="C141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4">
      <formula1>"Number"</formula1>
    </dataValidation>
    <dataValidation type="list" allowBlank="1" showInputMessage="1" showErrorMessage="1" sqref="C155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7">
      <formula1>"Number (per year)"</formula1>
    </dataValidation>
    <dataValidation type="list" allowBlank="1" showInputMessage="1" showErrorMessage="1" sqref="C168">
      <formula1>"Number (per year)"</formula1>
    </dataValidation>
    <dataValidation type="list" allowBlank="1" showInputMessage="1" showErrorMessage="1" sqref="C169">
      <formula1>"Number (per year)"</formula1>
    </dataValidation>
    <dataValidation type="list" allowBlank="1" showInputMessage="1" showErrorMessage="1" sqref="C170">
      <formula1>"Number (per year)"</formula1>
    </dataValidation>
    <dataValidation type="list" allowBlank="1" showInputMessage="1" showErrorMessage="1" sqref="C171">
      <formula1>"Number (per year)"</formula1>
    </dataValidation>
    <dataValidation type="list" allowBlank="1" showInputMessage="1" showErrorMessage="1" sqref="C172">
      <formula1>"Number (per year)"</formula1>
    </dataValidation>
    <dataValidation type="list" allowBlank="1" showInputMessage="1" showErrorMessage="1" sqref="C173">
      <formula1>"Number (per year)"</formula1>
    </dataValidation>
    <dataValidation type="list" allowBlank="1" showInputMessage="1" showErrorMessage="1" sqref="C174">
      <formula1>"Number (per year)"</formula1>
    </dataValidation>
    <dataValidation type="list" allowBlank="1" showInputMessage="1" showErrorMessage="1" sqref="C175">
      <formula1>"Number (per year)"</formula1>
    </dataValidation>
    <dataValidation type="list" allowBlank="1" showInputMessage="1" showErrorMessage="1" sqref="C176">
      <formula1>"Number (per year)"</formula1>
    </dataValidation>
    <dataValidation type="list" allowBlank="1" showInputMessage="1" showErrorMessage="1" sqref="C177">
      <formula1>"Number (per year)"</formula1>
    </dataValidation>
    <dataValidation type="list" allowBlank="1" showInputMessage="1" showErrorMessage="1" sqref="C178">
      <formula1>"Number (per year)"</formula1>
    </dataValidation>
    <dataValidation type="list" allowBlank="1" showInputMessage="1" showErrorMessage="1" sqref="C179">
      <formula1>"Number (per year)"</formula1>
    </dataValidation>
    <dataValidation type="list" allowBlank="1" showInputMessage="1" showErrorMessage="1" sqref="C182">
      <formula1>"Number (per year)"</formula1>
    </dataValidation>
    <dataValidation type="list" allowBlank="1" showInputMessage="1" showErrorMessage="1" sqref="C183">
      <formula1>"Number (per year)"</formula1>
    </dataValidation>
    <dataValidation type="list" allowBlank="1" showInputMessage="1" showErrorMessage="1" sqref="C184">
      <formula1>"Number (per year)"</formula1>
    </dataValidation>
    <dataValidation type="list" allowBlank="1" showInputMessage="1" showErrorMessage="1" sqref="C185">
      <formula1>"Number (per year)"</formula1>
    </dataValidation>
    <dataValidation type="list" allowBlank="1" showInputMessage="1" showErrorMessage="1" sqref="C186">
      <formula1>"Number (per year)"</formula1>
    </dataValidation>
    <dataValidation type="list" allowBlank="1" showInputMessage="1" showErrorMessage="1" sqref="C187">
      <formula1>"Number (per year)"</formula1>
    </dataValidation>
    <dataValidation type="list" allowBlank="1" showInputMessage="1" showErrorMessage="1" sqref="C188">
      <formula1>"Number (per year)"</formula1>
    </dataValidation>
    <dataValidation type="list" allowBlank="1" showInputMessage="1" showErrorMessage="1" sqref="C189">
      <formula1>"Number (per year)"</formula1>
    </dataValidation>
    <dataValidation type="list" allowBlank="1" showInputMessage="1" showErrorMessage="1" sqref="C190">
      <formula1>"Number (per year)"</formula1>
    </dataValidation>
    <dataValidation type="list" allowBlank="1" showInputMessage="1" showErrorMessage="1" sqref="C191">
      <formula1>"Number (per year)"</formula1>
    </dataValidation>
    <dataValidation type="list" allowBlank="1" showInputMessage="1" showErrorMessage="1" sqref="C192">
      <formula1>"Number (per year)"</formula1>
    </dataValidation>
    <dataValidation type="list" allowBlank="1" showInputMessage="1" showErrorMessage="1" sqref="C193">
      <formula1>"Number (per year)"</formula1>
    </dataValidation>
    <dataValidation type="list" allowBlank="1" showInputMessage="1" showErrorMessage="1" sqref="C194">
      <formula1>"Number (per year)"</formula1>
    </dataValidation>
    <dataValidation type="list" allowBlank="1" showInputMessage="1" showErrorMessage="1" sqref="C197">
      <formula1>"Number (per year)"</formula1>
    </dataValidation>
    <dataValidation type="list" allowBlank="1" showInputMessage="1" showErrorMessage="1" sqref="C198">
      <formula1>"Number (per year)"</formula1>
    </dataValidation>
    <dataValidation type="list" allowBlank="1" showInputMessage="1" showErrorMessage="1" sqref="C199">
      <formula1>"Number (per year)"</formula1>
    </dataValidation>
    <dataValidation type="list" allowBlank="1" showInputMessage="1" showErrorMessage="1" sqref="C200">
      <formula1>"Number (per year)"</formula1>
    </dataValidation>
    <dataValidation type="list" allowBlank="1" showInputMessage="1" showErrorMessage="1" sqref="C201">
      <formula1>"Number (per year)"</formula1>
    </dataValidation>
    <dataValidation type="list" allowBlank="1" showInputMessage="1" showErrorMessage="1" sqref="C202">
      <formula1>"Number (per year)"</formula1>
    </dataValidation>
    <dataValidation type="list" allowBlank="1" showInputMessage="1" showErrorMessage="1" sqref="C203">
      <formula1>"Number (per year)"</formula1>
    </dataValidation>
    <dataValidation type="list" allowBlank="1" showInputMessage="1" showErrorMessage="1" sqref="C204">
      <formula1>"Number (per year)"</formula1>
    </dataValidation>
    <dataValidation type="list" allowBlank="1" showInputMessage="1" showErrorMessage="1" sqref="C205">
      <formula1>"Number (per year)"</formula1>
    </dataValidation>
    <dataValidation type="list" allowBlank="1" showInputMessage="1" showErrorMessage="1" sqref="C206">
      <formula1>"Number (per year)"</formula1>
    </dataValidation>
    <dataValidation type="list" allowBlank="1" showInputMessage="1" showErrorMessage="1" sqref="C207">
      <formula1>"Number (per year)"</formula1>
    </dataValidation>
    <dataValidation type="list" allowBlank="1" showInputMessage="1" showErrorMessage="1" sqref="C208">
      <formula1>"Number (per year)"</formula1>
    </dataValidation>
    <dataValidation type="list" allowBlank="1" showInputMessage="1" showErrorMessage="1" sqref="C209">
      <formula1>"Number (per year)"</formula1>
    </dataValidation>
    <dataValidation type="list" allowBlank="1" showInputMessage="1" showErrorMessage="1" sqref="C212">
      <formula1>"Number (per year)"</formula1>
    </dataValidation>
    <dataValidation type="list" allowBlank="1" showInputMessage="1" showErrorMessage="1" sqref="C213">
      <formula1>"Number (per year)"</formula1>
    </dataValidation>
    <dataValidation type="list" allowBlank="1" showInputMessage="1" showErrorMessage="1" sqref="C214">
      <formula1>"Number (per year)"</formula1>
    </dataValidation>
    <dataValidation type="list" allowBlank="1" showInputMessage="1" showErrorMessage="1" sqref="C215">
      <formula1>"Number (per year)"</formula1>
    </dataValidation>
    <dataValidation type="list" allowBlank="1" showInputMessage="1" showErrorMessage="1" sqref="C216">
      <formula1>"Number (per year)"</formula1>
    </dataValidation>
    <dataValidation type="list" allowBlank="1" showInputMessage="1" showErrorMessage="1" sqref="C217">
      <formula1>"Number (per year)"</formula1>
    </dataValidation>
    <dataValidation type="list" allowBlank="1" showInputMessage="1" showErrorMessage="1" sqref="C218">
      <formula1>"Number (per year)"</formula1>
    </dataValidation>
    <dataValidation type="list" allowBlank="1" showInputMessage="1" showErrorMessage="1" sqref="C219">
      <formula1>"Number (per year)"</formula1>
    </dataValidation>
    <dataValidation type="list" allowBlank="1" showInputMessage="1" showErrorMessage="1" sqref="C220">
      <formula1>"Number (per year)"</formula1>
    </dataValidation>
    <dataValidation type="list" allowBlank="1" showInputMessage="1" showErrorMessage="1" sqref="C221">
      <formula1>"Number (per year)"</formula1>
    </dataValidation>
    <dataValidation type="list" allowBlank="1" showInputMessage="1" showErrorMessage="1" sqref="C222">
      <formula1>"Number (per year)"</formula1>
    </dataValidation>
    <dataValidation type="list" allowBlank="1" showInputMessage="1" showErrorMessage="1" sqref="C223">
      <formula1>"Number (per year)"</formula1>
    </dataValidation>
    <dataValidation type="list" allowBlank="1" showInputMessage="1" showErrorMessage="1" sqref="C224">
      <formula1>"Number (per year)"</formula1>
    </dataValidation>
    <dataValidation type="list" allowBlank="1" showInputMessage="1" showErrorMessage="1" sqref="C227">
      <formula1>"Number (per year)"</formula1>
    </dataValidation>
    <dataValidation type="list" allowBlank="1" showInputMessage="1" showErrorMessage="1" sqref="C228">
      <formula1>"Number (per year)"</formula1>
    </dataValidation>
    <dataValidation type="list" allowBlank="1" showInputMessage="1" showErrorMessage="1" sqref="C229">
      <formula1>"Number (per year)"</formula1>
    </dataValidation>
    <dataValidation type="list" allowBlank="1" showInputMessage="1" showErrorMessage="1" sqref="C230">
      <formula1>"Number (per year)"</formula1>
    </dataValidation>
    <dataValidation type="list" allowBlank="1" showInputMessage="1" showErrorMessage="1" sqref="C231">
      <formula1>"Number (per year)"</formula1>
    </dataValidation>
    <dataValidation type="list" allowBlank="1" showInputMessage="1" showErrorMessage="1" sqref="C232">
      <formula1>"Number (per year)"</formula1>
    </dataValidation>
    <dataValidation type="list" allowBlank="1" showInputMessage="1" showErrorMessage="1" sqref="C233">
      <formula1>"Number (per year)"</formula1>
    </dataValidation>
    <dataValidation type="list" allowBlank="1" showInputMessage="1" showErrorMessage="1" sqref="C234">
      <formula1>"Number (per year)"</formula1>
    </dataValidation>
    <dataValidation type="list" allowBlank="1" showInputMessage="1" showErrorMessage="1" sqref="C235">
      <formula1>"Number (per year)"</formula1>
    </dataValidation>
    <dataValidation type="list" allowBlank="1" showInputMessage="1" showErrorMessage="1" sqref="C236">
      <formula1>"Number (per year)"</formula1>
    </dataValidation>
    <dataValidation type="list" allowBlank="1" showInputMessage="1" showErrorMessage="1" sqref="C237">
      <formula1>"Number (per year)"</formula1>
    </dataValidation>
    <dataValidation type="list" allowBlank="1" showInputMessage="1" showErrorMessage="1" sqref="C238">
      <formula1>"Number (per year)"</formula1>
    </dataValidation>
    <dataValidation type="list" allowBlank="1" showInputMessage="1" showErrorMessage="1" sqref="C239">
      <formula1>"Number (per year)"</formula1>
    </dataValidation>
    <dataValidation type="list" allowBlank="1" showInputMessage="1" showErrorMessage="1" sqref="C242">
      <formula1>"Number (per year)"</formula1>
    </dataValidation>
    <dataValidation type="list" allowBlank="1" showInputMessage="1" showErrorMessage="1" sqref="C243">
      <formula1>"Number (per year)"</formula1>
    </dataValidation>
    <dataValidation type="list" allowBlank="1" showInputMessage="1" showErrorMessage="1" sqref="C244">
      <formula1>"Number (per year)"</formula1>
    </dataValidation>
    <dataValidation type="list" allowBlank="1" showInputMessage="1" showErrorMessage="1" sqref="C245">
      <formula1>"Number (per year)"</formula1>
    </dataValidation>
    <dataValidation type="list" allowBlank="1" showInputMessage="1" showErrorMessage="1" sqref="C246">
      <formula1>"Number (per year)"</formula1>
    </dataValidation>
    <dataValidation type="list" allowBlank="1" showInputMessage="1" showErrorMessage="1" sqref="C247">
      <formula1>"Number (per year)"</formula1>
    </dataValidation>
    <dataValidation type="list" allowBlank="1" showInputMessage="1" showErrorMessage="1" sqref="C248">
      <formula1>"Number (per year)"</formula1>
    </dataValidation>
    <dataValidation type="list" allowBlank="1" showInputMessage="1" showErrorMessage="1" sqref="C249">
      <formula1>"Number (per year)"</formula1>
    </dataValidation>
    <dataValidation type="list" allowBlank="1" showInputMessage="1" showErrorMessage="1" sqref="C250">
      <formula1>"Number (per year)"</formula1>
    </dataValidation>
    <dataValidation type="list" allowBlank="1" showInputMessage="1" showErrorMessage="1" sqref="C251">
      <formula1>"Number (per year)"</formula1>
    </dataValidation>
    <dataValidation type="list" allowBlank="1" showInputMessage="1" showErrorMessage="1" sqref="C252">
      <formula1>"Number (per year)"</formula1>
    </dataValidation>
    <dataValidation type="list" allowBlank="1" showInputMessage="1" showErrorMessage="1" sqref="C253">
      <formula1>"Number (per year)"</formula1>
    </dataValidation>
    <dataValidation type="list" allowBlank="1" showInputMessage="1" showErrorMessage="1" sqref="C254">
      <formula1>"Number (per year)"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61"/>
  <sheetViews>
    <sheetView workbookViewId="0"/>
  </sheetViews>
  <sheetFormatPr defaultRowHeight="15"/>
  <cols>
    <col min="1" max="1" width="84.28515625" customWidth="1"/>
    <col min="2" max="2" width="30.28515625" customWidth="1"/>
    <col min="3" max="3" width="8.285156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126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32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32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32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32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32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127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32</v>
      </c>
      <c r="D16" s="3"/>
      <c r="E16" s="3">
        <v>11.79835236600001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32</v>
      </c>
      <c r="D17" s="3"/>
      <c r="E17" s="3">
        <v>1.540268160000001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32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32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32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32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32</v>
      </c>
      <c r="D22" s="3"/>
      <c r="E22" s="3">
        <v>4331.001246645885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32</v>
      </c>
      <c r="D23" s="3"/>
      <c r="E23" s="3">
        <v>4311.299524070115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32</v>
      </c>
      <c r="D24" s="3"/>
      <c r="E24" s="3">
        <v>222.4550950549453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32</v>
      </c>
      <c r="D25" s="3"/>
      <c r="E25" s="3">
        <v>217.862847877556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32</v>
      </c>
      <c r="D26" s="3"/>
      <c r="E26" s="3">
        <v>4.583267227809023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32</v>
      </c>
      <c r="D27" s="3"/>
      <c r="E27" s="3">
        <v>0.4093985976910019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128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32</v>
      </c>
      <c r="D30" s="3"/>
      <c r="E30" s="3">
        <v>2359.670473200001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32</v>
      </c>
      <c r="D31" s="3"/>
      <c r="E31" s="3">
        <v>308.0536320000001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32</v>
      </c>
      <c r="D32" s="3"/>
      <c r="E32" s="3">
        <v>623334.5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32</v>
      </c>
      <c r="D33" s="3"/>
      <c r="E33" s="3">
        <v>614742.5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32</v>
      </c>
      <c r="D34" s="3"/>
      <c r="E34" s="3">
        <v>381305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32</v>
      </c>
      <c r="D35" s="3"/>
      <c r="E35" s="3">
        <v>377920.5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32</v>
      </c>
      <c r="D36" s="3"/>
      <c r="E36" s="3">
        <v>866200.249329177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32</v>
      </c>
      <c r="D37" s="3"/>
      <c r="E37" s="3">
        <v>862259.9048140229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32</v>
      </c>
      <c r="D38" s="3"/>
      <c r="E38" s="3">
        <v>44491.01901098907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32</v>
      </c>
      <c r="D39" s="3"/>
      <c r="E39" s="3">
        <v>43572.5695755112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32</v>
      </c>
      <c r="D40" s="3"/>
      <c r="E40" s="3">
        <v>916.6534455618046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32</v>
      </c>
      <c r="D41" s="3"/>
      <c r="E41" s="3">
        <v>81.87971953820038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129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32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32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32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32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32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32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32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32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32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32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32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32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130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32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32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32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32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32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32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32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32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32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32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32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32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131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32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32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32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32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32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32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32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32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32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32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32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32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132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32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32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32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32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32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32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32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32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32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32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32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32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133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32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32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32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32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32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32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32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32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32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32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32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32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134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B114" t="s">
        <v>61</v>
      </c>
      <c r="C114" t="s">
        <v>32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B115" t="s">
        <v>61</v>
      </c>
      <c r="C115" t="s">
        <v>32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B116" t="s">
        <v>61</v>
      </c>
      <c r="C116" t="s">
        <v>32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B117" t="s">
        <v>61</v>
      </c>
      <c r="C117" t="s">
        <v>32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B118" t="s">
        <v>61</v>
      </c>
      <c r="C118" t="s">
        <v>32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B119" t="s">
        <v>61</v>
      </c>
      <c r="C119" t="s">
        <v>32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B120" t="s">
        <v>61</v>
      </c>
      <c r="C120" t="s">
        <v>32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B121" t="s">
        <v>61</v>
      </c>
      <c r="C121" t="s">
        <v>32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B122" t="s">
        <v>61</v>
      </c>
      <c r="C122" t="s">
        <v>32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B123" t="s">
        <v>61</v>
      </c>
      <c r="C123" t="s">
        <v>32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B124" t="s">
        <v>61</v>
      </c>
      <c r="C124" t="s">
        <v>32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B125" t="s">
        <v>61</v>
      </c>
      <c r="C125" t="s">
        <v>32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135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B128" t="s">
        <v>61</v>
      </c>
      <c r="C128" t="s">
        <v>32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B129" t="s">
        <v>61</v>
      </c>
      <c r="C129" t="s">
        <v>32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B130" t="s">
        <v>61</v>
      </c>
      <c r="C130" t="s">
        <v>32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B131" t="s">
        <v>61</v>
      </c>
      <c r="C131" t="s">
        <v>32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B132" t="s">
        <v>61</v>
      </c>
      <c r="C132" t="s">
        <v>32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B133" t="s">
        <v>61</v>
      </c>
      <c r="C133" t="s">
        <v>32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B134" t="s">
        <v>61</v>
      </c>
      <c r="C134" t="s">
        <v>32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B135" t="s">
        <v>61</v>
      </c>
      <c r="C135" t="s">
        <v>32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B136" t="s">
        <v>61</v>
      </c>
      <c r="C136" t="s">
        <v>32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B137" t="s">
        <v>61</v>
      </c>
      <c r="C137" t="s">
        <v>32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B138" t="s">
        <v>61</v>
      </c>
      <c r="C138" t="s">
        <v>32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B139" t="s">
        <v>61</v>
      </c>
      <c r="C139" t="s">
        <v>32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136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B142" t="s">
        <v>61</v>
      </c>
      <c r="C142" t="s">
        <v>32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B143" t="s">
        <v>61</v>
      </c>
      <c r="C143" t="s">
        <v>32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B144" t="s">
        <v>61</v>
      </c>
      <c r="C144" t="s">
        <v>32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B145" t="s">
        <v>61</v>
      </c>
      <c r="C145" t="s">
        <v>32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B146" t="s">
        <v>61</v>
      </c>
      <c r="C146" t="s">
        <v>32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B147" t="s">
        <v>61</v>
      </c>
      <c r="C147" t="s">
        <v>32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B148" t="s">
        <v>61</v>
      </c>
      <c r="C148" t="s">
        <v>32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B149" t="s">
        <v>61</v>
      </c>
      <c r="C149" t="s">
        <v>32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B150" t="s">
        <v>61</v>
      </c>
      <c r="C150" t="s">
        <v>32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B151" t="s">
        <v>61</v>
      </c>
      <c r="C151" t="s">
        <v>32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B152" t="s">
        <v>61</v>
      </c>
      <c r="C152" t="s">
        <v>32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B153" t="s">
        <v>61</v>
      </c>
      <c r="C153" t="s">
        <v>32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137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B156" t="s">
        <v>61</v>
      </c>
      <c r="C156" t="s">
        <v>32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B157" t="s">
        <v>61</v>
      </c>
      <c r="C157" t="s">
        <v>32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B158" t="s">
        <v>61</v>
      </c>
      <c r="C158" t="s">
        <v>32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B159" t="s">
        <v>61</v>
      </c>
      <c r="C159" t="s">
        <v>32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B160" t="s">
        <v>61</v>
      </c>
      <c r="C160" t="s">
        <v>32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B161" t="s">
        <v>61</v>
      </c>
      <c r="C161" t="s">
        <v>32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B162" t="s">
        <v>61</v>
      </c>
      <c r="C162" t="s">
        <v>32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B163" t="s">
        <v>61</v>
      </c>
      <c r="C163" t="s">
        <v>32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B164" t="s">
        <v>61</v>
      </c>
      <c r="C164" t="s">
        <v>32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B165" t="s">
        <v>61</v>
      </c>
      <c r="C165" t="s">
        <v>32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B166" t="s">
        <v>61</v>
      </c>
      <c r="C166" t="s">
        <v>32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B167" t="s">
        <v>61</v>
      </c>
      <c r="C167" t="s">
        <v>32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138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B170" t="s">
        <v>61</v>
      </c>
      <c r="C170" t="s">
        <v>32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B171" t="s">
        <v>61</v>
      </c>
      <c r="C171" t="s">
        <v>32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B172" t="s">
        <v>61</v>
      </c>
      <c r="C172" t="s">
        <v>32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B173" t="s">
        <v>61</v>
      </c>
      <c r="C173" t="s">
        <v>32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B174" t="s">
        <v>61</v>
      </c>
      <c r="C174" t="s">
        <v>32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B175" t="s">
        <v>61</v>
      </c>
      <c r="C175" t="s">
        <v>32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B176" t="s">
        <v>61</v>
      </c>
      <c r="C176" t="s">
        <v>32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B177" t="s">
        <v>61</v>
      </c>
      <c r="C177" t="s">
        <v>32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B178" t="s">
        <v>61</v>
      </c>
      <c r="C178" t="s">
        <v>32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B179" t="s">
        <v>61</v>
      </c>
      <c r="C179" t="s">
        <v>32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B180" t="s">
        <v>61</v>
      </c>
      <c r="C180" t="s">
        <v>32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B181" t="s">
        <v>61</v>
      </c>
      <c r="C181" t="s">
        <v>32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139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B184" t="s">
        <v>61</v>
      </c>
      <c r="C184" t="s">
        <v>32</v>
      </c>
      <c r="D184" s="3"/>
      <c r="E184" s="3">
        <v>0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B185" t="s">
        <v>61</v>
      </c>
      <c r="C185" t="s">
        <v>32</v>
      </c>
      <c r="D185" s="3"/>
      <c r="E185" s="3">
        <v>0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B186" t="s">
        <v>61</v>
      </c>
      <c r="C186" t="s">
        <v>32</v>
      </c>
      <c r="D186" s="3"/>
      <c r="E186" s="3">
        <v>0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B187" t="s">
        <v>61</v>
      </c>
      <c r="C187" t="s">
        <v>32</v>
      </c>
      <c r="D187" s="3"/>
      <c r="E187" s="3">
        <v>0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B188" t="s">
        <v>61</v>
      </c>
      <c r="C188" t="s">
        <v>32</v>
      </c>
      <c r="D188" s="3"/>
      <c r="E188" s="3">
        <v>0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B189" t="s">
        <v>61</v>
      </c>
      <c r="C189" t="s">
        <v>32</v>
      </c>
      <c r="D189" s="3"/>
      <c r="E189" s="3">
        <v>0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B190" t="s">
        <v>61</v>
      </c>
      <c r="C190" t="s">
        <v>32</v>
      </c>
      <c r="D190" s="3"/>
      <c r="E190" s="3">
        <v>0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B191" t="s">
        <v>61</v>
      </c>
      <c r="C191" t="s">
        <v>32</v>
      </c>
      <c r="D191" s="3"/>
      <c r="E191" s="3">
        <v>0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B192" t="s">
        <v>61</v>
      </c>
      <c r="C192" t="s">
        <v>32</v>
      </c>
      <c r="D192" s="3"/>
      <c r="E192" s="3">
        <v>0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B193" t="s">
        <v>61</v>
      </c>
      <c r="C193" t="s">
        <v>32</v>
      </c>
      <c r="D193" s="3"/>
      <c r="E193" s="3">
        <v>0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B194" t="s">
        <v>61</v>
      </c>
      <c r="C194" t="s">
        <v>32</v>
      </c>
      <c r="D194" s="3"/>
      <c r="E194" s="3">
        <v>0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B195" t="s">
        <v>61</v>
      </c>
      <c r="C195" t="s">
        <v>32</v>
      </c>
      <c r="D195" s="3"/>
      <c r="E195" s="3">
        <v>0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140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B198" t="s">
        <v>61</v>
      </c>
      <c r="C198" t="s">
        <v>32</v>
      </c>
      <c r="D198" s="3"/>
      <c r="E198" s="3">
        <v>0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B199" t="s">
        <v>61</v>
      </c>
      <c r="C199" t="s">
        <v>32</v>
      </c>
      <c r="D199" s="3"/>
      <c r="E199" s="3">
        <v>0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B200" t="s">
        <v>61</v>
      </c>
      <c r="C200" t="s">
        <v>32</v>
      </c>
      <c r="D200" s="3"/>
      <c r="E200" s="3">
        <v>0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B201" t="s">
        <v>61</v>
      </c>
      <c r="C201" t="s">
        <v>32</v>
      </c>
      <c r="D201" s="3"/>
      <c r="E201" s="3">
        <v>0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B202" t="s">
        <v>61</v>
      </c>
      <c r="C202" t="s">
        <v>32</v>
      </c>
      <c r="D202" s="3"/>
      <c r="E202" s="3">
        <v>0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B203" t="s">
        <v>61</v>
      </c>
      <c r="C203" t="s">
        <v>32</v>
      </c>
      <c r="D203" s="3"/>
      <c r="E203" s="3">
        <v>0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B204" t="s">
        <v>61</v>
      </c>
      <c r="C204" t="s">
        <v>32</v>
      </c>
      <c r="D204" s="3"/>
      <c r="E204" s="3">
        <v>0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B205" t="s">
        <v>61</v>
      </c>
      <c r="C205" t="s">
        <v>32</v>
      </c>
      <c r="D205" s="3"/>
      <c r="E205" s="3">
        <v>0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B206" t="s">
        <v>61</v>
      </c>
      <c r="C206" t="s">
        <v>32</v>
      </c>
      <c r="D206" s="3"/>
      <c r="E206" s="3">
        <v>0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B207" t="s">
        <v>61</v>
      </c>
      <c r="C207" t="s">
        <v>32</v>
      </c>
      <c r="D207" s="3"/>
      <c r="E207" s="3">
        <v>0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B208" t="s">
        <v>61</v>
      </c>
      <c r="C208" t="s">
        <v>32</v>
      </c>
      <c r="D208" s="3"/>
      <c r="E208" s="3">
        <v>0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B209" t="s">
        <v>61</v>
      </c>
      <c r="C209" t="s">
        <v>32</v>
      </c>
      <c r="D209" s="3"/>
      <c r="E209" s="3">
        <v>0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141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B212" t="s">
        <v>61</v>
      </c>
      <c r="C212" t="s">
        <v>32</v>
      </c>
      <c r="D212" s="3"/>
      <c r="E212" s="3">
        <v>0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B213" t="s">
        <v>61</v>
      </c>
      <c r="C213" t="s">
        <v>32</v>
      </c>
      <c r="D213" s="3"/>
      <c r="E213" s="3">
        <v>0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B214" t="s">
        <v>61</v>
      </c>
      <c r="C214" t="s">
        <v>32</v>
      </c>
      <c r="D214" s="3"/>
      <c r="E214" s="3">
        <v>0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B215" t="s">
        <v>61</v>
      </c>
      <c r="C215" t="s">
        <v>32</v>
      </c>
      <c r="D215" s="3"/>
      <c r="E215" s="3">
        <v>0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B216" t="s">
        <v>61</v>
      </c>
      <c r="C216" t="s">
        <v>32</v>
      </c>
      <c r="D216" s="3"/>
      <c r="E216" s="3">
        <v>0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B217" t="s">
        <v>61</v>
      </c>
      <c r="C217" t="s">
        <v>32</v>
      </c>
      <c r="D217" s="3"/>
      <c r="E217" s="3">
        <v>0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B218" t="s">
        <v>61</v>
      </c>
      <c r="C218" t="s">
        <v>32</v>
      </c>
      <c r="D218" s="3"/>
      <c r="E218" s="3">
        <v>0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B219" t="s">
        <v>61</v>
      </c>
      <c r="C219" t="s">
        <v>32</v>
      </c>
      <c r="D219" s="3"/>
      <c r="E219" s="3">
        <v>0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B220" t="s">
        <v>61</v>
      </c>
      <c r="C220" t="s">
        <v>32</v>
      </c>
      <c r="D220" s="3"/>
      <c r="E220" s="3">
        <v>0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B221" t="s">
        <v>61</v>
      </c>
      <c r="C221" t="s">
        <v>32</v>
      </c>
      <c r="D221" s="3"/>
      <c r="E221" s="3">
        <v>0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B222" t="s">
        <v>61</v>
      </c>
      <c r="C222" t="s">
        <v>32</v>
      </c>
      <c r="D222" s="3"/>
      <c r="E222" s="3">
        <v>0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B223" t="s">
        <v>61</v>
      </c>
      <c r="C223" t="s">
        <v>32</v>
      </c>
      <c r="D223" s="3"/>
      <c r="E223" s="3">
        <v>0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142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B226" t="s">
        <v>61</v>
      </c>
      <c r="C226" t="s">
        <v>32</v>
      </c>
      <c r="D226" s="3"/>
      <c r="E226" s="3">
        <v>0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B227" t="s">
        <v>61</v>
      </c>
      <c r="C227" t="s">
        <v>32</v>
      </c>
      <c r="D227" s="3"/>
      <c r="E227" s="3">
        <v>0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B228" t="s">
        <v>61</v>
      </c>
      <c r="C228" t="s">
        <v>32</v>
      </c>
      <c r="D228" s="3"/>
      <c r="E228" s="3">
        <v>0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B229" t="s">
        <v>61</v>
      </c>
      <c r="C229" t="s">
        <v>32</v>
      </c>
      <c r="D229" s="3"/>
      <c r="E229" s="3">
        <v>0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B230" t="s">
        <v>61</v>
      </c>
      <c r="C230" t="s">
        <v>32</v>
      </c>
      <c r="D230" s="3"/>
      <c r="E230" s="3">
        <v>0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B231" t="s">
        <v>61</v>
      </c>
      <c r="C231" t="s">
        <v>32</v>
      </c>
      <c r="D231" s="3"/>
      <c r="E231" s="3">
        <v>0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B232" t="s">
        <v>61</v>
      </c>
      <c r="C232" t="s">
        <v>32</v>
      </c>
      <c r="D232" s="3"/>
      <c r="E232" s="3">
        <v>0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B233" t="s">
        <v>61</v>
      </c>
      <c r="C233" t="s">
        <v>32</v>
      </c>
      <c r="D233" s="3"/>
      <c r="E233" s="3">
        <v>0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B234" t="s">
        <v>61</v>
      </c>
      <c r="C234" t="s">
        <v>32</v>
      </c>
      <c r="D234" s="3"/>
      <c r="E234" s="3">
        <v>0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B235" t="s">
        <v>61</v>
      </c>
      <c r="C235" t="s">
        <v>32</v>
      </c>
      <c r="D235" s="3"/>
      <c r="E235" s="3">
        <v>0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B236" t="s">
        <v>61</v>
      </c>
      <c r="C236" t="s">
        <v>32</v>
      </c>
      <c r="D236" s="3"/>
      <c r="E236" s="3">
        <v>0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B237" t="s">
        <v>61</v>
      </c>
      <c r="C237" t="s">
        <v>32</v>
      </c>
      <c r="D237" s="3"/>
      <c r="E237" s="3">
        <v>0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143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B240" t="s">
        <v>61</v>
      </c>
      <c r="C240" t="s">
        <v>32</v>
      </c>
      <c r="D240" s="3"/>
      <c r="E240" s="3">
        <v>0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B241" t="s">
        <v>61</v>
      </c>
      <c r="C241" t="s">
        <v>32</v>
      </c>
      <c r="D241" s="3"/>
      <c r="E241" s="3">
        <v>0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B242" t="s">
        <v>61</v>
      </c>
      <c r="C242" t="s">
        <v>32</v>
      </c>
      <c r="D242" s="3"/>
      <c r="E242" s="3">
        <v>0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B243" t="s">
        <v>61</v>
      </c>
      <c r="C243" t="s">
        <v>32</v>
      </c>
      <c r="D243" s="3"/>
      <c r="E243" s="3">
        <v>0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B244" t="s">
        <v>61</v>
      </c>
      <c r="C244" t="s">
        <v>32</v>
      </c>
      <c r="D244" s="3"/>
      <c r="E244" s="3">
        <v>0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B245" t="s">
        <v>61</v>
      </c>
      <c r="C245" t="s">
        <v>32</v>
      </c>
      <c r="D245" s="3"/>
      <c r="E245" s="3">
        <v>0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B246" t="s">
        <v>61</v>
      </c>
      <c r="C246" t="s">
        <v>32</v>
      </c>
      <c r="D246" s="3"/>
      <c r="E246" s="3">
        <v>0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B247" t="s">
        <v>61</v>
      </c>
      <c r="C247" t="s">
        <v>32</v>
      </c>
      <c r="D247" s="3"/>
      <c r="E247" s="3">
        <v>0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B248" t="s">
        <v>61</v>
      </c>
      <c r="C248" t="s">
        <v>32</v>
      </c>
      <c r="D248" s="3"/>
      <c r="E248" s="3">
        <v>0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B249" t="s">
        <v>61</v>
      </c>
      <c r="C249" t="s">
        <v>32</v>
      </c>
      <c r="D249" s="3"/>
      <c r="E249" s="3">
        <v>0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B250" t="s">
        <v>61</v>
      </c>
      <c r="C250" t="s">
        <v>32</v>
      </c>
      <c r="D250" s="3"/>
      <c r="E250" s="3">
        <v>0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B251" t="s">
        <v>61</v>
      </c>
      <c r="C251" t="s">
        <v>32</v>
      </c>
      <c r="D251" s="3"/>
      <c r="E251" s="3">
        <v>0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3" spans="1:57">
      <c r="A253" s="1" t="s">
        <v>144</v>
      </c>
      <c r="B253" s="1" t="s">
        <v>29</v>
      </c>
      <c r="C253" s="1" t="s">
        <v>30</v>
      </c>
      <c r="D253" s="1" t="s">
        <v>31</v>
      </c>
      <c r="E253" s="1">
        <v>2000</v>
      </c>
      <c r="F253" s="1">
        <v>2001</v>
      </c>
      <c r="G253" s="1">
        <v>2002</v>
      </c>
      <c r="H253" s="1">
        <v>2003</v>
      </c>
      <c r="I253" s="1">
        <v>2004</v>
      </c>
      <c r="J253" s="1">
        <v>2005</v>
      </c>
      <c r="K253" s="1">
        <v>2006</v>
      </c>
      <c r="L253" s="1">
        <v>2007</v>
      </c>
      <c r="M253" s="1">
        <v>2008</v>
      </c>
      <c r="N253" s="1">
        <v>2009</v>
      </c>
      <c r="O253" s="1">
        <v>2010</v>
      </c>
      <c r="P253" s="1">
        <v>2011</v>
      </c>
      <c r="Q253" s="1">
        <v>2012</v>
      </c>
      <c r="R253" s="1">
        <v>2013</v>
      </c>
      <c r="S253" s="1">
        <v>2014</v>
      </c>
      <c r="T253" s="1">
        <v>2015</v>
      </c>
      <c r="U253" s="1">
        <v>2016</v>
      </c>
      <c r="V253" s="1">
        <v>2017</v>
      </c>
      <c r="W253" s="1">
        <v>2018</v>
      </c>
      <c r="X253" s="1">
        <v>2019</v>
      </c>
      <c r="Y253" s="1">
        <v>2020</v>
      </c>
      <c r="Z253" s="1">
        <v>2021</v>
      </c>
      <c r="AA253" s="1">
        <v>2022</v>
      </c>
      <c r="AB253" s="1">
        <v>2023</v>
      </c>
      <c r="AC253" s="1">
        <v>2024</v>
      </c>
      <c r="AD253" s="1">
        <v>2025</v>
      </c>
      <c r="AE253" s="1">
        <v>2026</v>
      </c>
      <c r="AF253" s="1">
        <v>2027</v>
      </c>
      <c r="AG253" s="1">
        <v>2028</v>
      </c>
      <c r="AH253" s="1">
        <v>2029</v>
      </c>
      <c r="AI253" s="1">
        <v>2030</v>
      </c>
      <c r="AJ253" s="1">
        <v>2031</v>
      </c>
      <c r="AK253" s="1">
        <v>2032</v>
      </c>
      <c r="AL253" s="1">
        <v>2033</v>
      </c>
      <c r="AM253" s="1">
        <v>2034</v>
      </c>
      <c r="AN253" s="1">
        <v>2035</v>
      </c>
      <c r="AO253" s="1">
        <v>2036</v>
      </c>
      <c r="AP253" s="1">
        <v>2037</v>
      </c>
      <c r="AQ253" s="1">
        <v>2038</v>
      </c>
      <c r="AR253" s="1">
        <v>2039</v>
      </c>
      <c r="AS253" s="1">
        <v>2040</v>
      </c>
      <c r="AT253" s="1">
        <v>2041</v>
      </c>
      <c r="AU253" s="1">
        <v>2042</v>
      </c>
      <c r="AV253" s="1">
        <v>2043</v>
      </c>
      <c r="AW253" s="1">
        <v>2044</v>
      </c>
      <c r="AX253" s="1">
        <v>2045</v>
      </c>
      <c r="AY253" s="1">
        <v>2046</v>
      </c>
      <c r="AZ253" s="1">
        <v>2047</v>
      </c>
      <c r="BA253" s="1">
        <v>2048</v>
      </c>
      <c r="BB253" s="1">
        <v>2049</v>
      </c>
      <c r="BC253" s="1">
        <v>2050</v>
      </c>
    </row>
    <row r="254" spans="1:57">
      <c r="A254" s="1" t="str">
        <f>'Population Definitions'!$A$2</f>
        <v>PWID_males</v>
      </c>
      <c r="C254" t="s">
        <v>32</v>
      </c>
      <c r="D254" s="3"/>
      <c r="E254" s="3">
        <v>0</v>
      </c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</row>
    <row r="255" spans="1:57">
      <c r="A255" s="1" t="str">
        <f>'Population Definitions'!$A$3</f>
        <v>PWID_females</v>
      </c>
      <c r="C255" t="s">
        <v>32</v>
      </c>
      <c r="D255" s="3"/>
      <c r="E255" s="3">
        <v>0</v>
      </c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</row>
    <row r="256" spans="1:57">
      <c r="A256" s="1" t="str">
        <f>'Population Definitions'!$A$4</f>
        <v>0-9_males</v>
      </c>
      <c r="C256" t="s">
        <v>32</v>
      </c>
      <c r="D256" s="3"/>
      <c r="E256" s="3">
        <v>0</v>
      </c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</row>
    <row r="257" spans="1:55">
      <c r="A257" s="1" t="str">
        <f>'Population Definitions'!$A$5</f>
        <v>0-9_females</v>
      </c>
      <c r="C257" t="s">
        <v>32</v>
      </c>
      <c r="D257" s="3"/>
      <c r="E257" s="3">
        <v>0</v>
      </c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</row>
    <row r="258" spans="1:55">
      <c r="A258" s="1" t="str">
        <f>'Population Definitions'!$A$6</f>
        <v>10-17_males</v>
      </c>
      <c r="C258" t="s">
        <v>32</v>
      </c>
      <c r="D258" s="3"/>
      <c r="E258" s="3">
        <v>0</v>
      </c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</row>
    <row r="259" spans="1:55">
      <c r="A259" s="1" t="str">
        <f>'Population Definitions'!$A$7</f>
        <v>10-17_females</v>
      </c>
      <c r="C259" t="s">
        <v>32</v>
      </c>
      <c r="D259" s="3"/>
      <c r="E259" s="3">
        <v>0</v>
      </c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</row>
    <row r="260" spans="1:55">
      <c r="A260" s="1" t="str">
        <f>'Population Definitions'!$A$8</f>
        <v>18-64_males</v>
      </c>
      <c r="C260" t="s">
        <v>32</v>
      </c>
      <c r="D260" s="3"/>
      <c r="E260" s="3">
        <v>7592.580197623097</v>
      </c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</row>
    <row r="261" spans="1:55">
      <c r="A261" s="1" t="str">
        <f>'Population Definitions'!$A$9</f>
        <v>18-64_females</v>
      </c>
      <c r="C261" t="s">
        <v>32</v>
      </c>
      <c r="D261" s="3"/>
      <c r="E261" s="3">
        <v>7558.041553977195</v>
      </c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</row>
    <row r="262" spans="1:55">
      <c r="A262" s="1" t="str">
        <f>'Population Definitions'!$A$10</f>
        <v>65+_males</v>
      </c>
      <c r="C262" t="s">
        <v>32</v>
      </c>
      <c r="D262" s="3"/>
      <c r="E262" s="3">
        <v>389.980989010932</v>
      </c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</row>
    <row r="263" spans="1:55">
      <c r="A263" s="1" t="str">
        <f>'Population Definitions'!$A$11</f>
        <v>65+_females</v>
      </c>
      <c r="C263" t="s">
        <v>32</v>
      </c>
      <c r="D263" s="3"/>
      <c r="E263" s="3">
        <v>381.9304244887815</v>
      </c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</row>
    <row r="264" spans="1:55">
      <c r="A264" s="1" t="str">
        <f>'Population Definitions'!$A$12</f>
        <v>Prisoners_males</v>
      </c>
      <c r="C264" t="s">
        <v>32</v>
      </c>
      <c r="D264" s="3"/>
      <c r="E264" s="3">
        <v>1.346554438195378</v>
      </c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</row>
    <row r="265" spans="1:55">
      <c r="A265" s="1" t="str">
        <f>'Population Definitions'!$A$13</f>
        <v>Prisoners_females</v>
      </c>
      <c r="C265" t="s">
        <v>32</v>
      </c>
      <c r="D265" s="3"/>
      <c r="E265" s="3">
        <v>0.1202804617995871</v>
      </c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</row>
    <row r="267" spans="1:55">
      <c r="A267" s="1" t="s">
        <v>145</v>
      </c>
      <c r="B267" s="1" t="s">
        <v>29</v>
      </c>
      <c r="C267" s="1" t="s">
        <v>30</v>
      </c>
      <c r="D267" s="1" t="s">
        <v>31</v>
      </c>
      <c r="E267" s="1">
        <v>2000</v>
      </c>
      <c r="F267" s="1">
        <v>2001</v>
      </c>
      <c r="G267" s="1">
        <v>2002</v>
      </c>
      <c r="H267" s="1">
        <v>2003</v>
      </c>
      <c r="I267" s="1">
        <v>2004</v>
      </c>
      <c r="J267" s="1">
        <v>2005</v>
      </c>
      <c r="K267" s="1">
        <v>2006</v>
      </c>
      <c r="L267" s="1">
        <v>2007</v>
      </c>
      <c r="M267" s="1">
        <v>2008</v>
      </c>
      <c r="N267" s="1">
        <v>2009</v>
      </c>
      <c r="O267" s="1">
        <v>2010</v>
      </c>
      <c r="P267" s="1">
        <v>2011</v>
      </c>
      <c r="Q267" s="1">
        <v>2012</v>
      </c>
      <c r="R267" s="1">
        <v>2013</v>
      </c>
      <c r="S267" s="1">
        <v>2014</v>
      </c>
      <c r="T267" s="1">
        <v>2015</v>
      </c>
      <c r="U267" s="1">
        <v>2016</v>
      </c>
      <c r="V267" s="1">
        <v>2017</v>
      </c>
      <c r="W267" s="1">
        <v>2018</v>
      </c>
      <c r="X267" s="1">
        <v>2019</v>
      </c>
      <c r="Y267" s="1">
        <v>2020</v>
      </c>
      <c r="Z267" s="1">
        <v>2021</v>
      </c>
      <c r="AA267" s="1">
        <v>2022</v>
      </c>
      <c r="AB267" s="1">
        <v>2023</v>
      </c>
      <c r="AC267" s="1">
        <v>2024</v>
      </c>
      <c r="AD267" s="1">
        <v>2025</v>
      </c>
      <c r="AE267" s="1">
        <v>2026</v>
      </c>
      <c r="AF267" s="1">
        <v>2027</v>
      </c>
      <c r="AG267" s="1">
        <v>2028</v>
      </c>
      <c r="AH267" s="1">
        <v>2029</v>
      </c>
      <c r="AI267" s="1">
        <v>2030</v>
      </c>
      <c r="AJ267" s="1">
        <v>2031</v>
      </c>
      <c r="AK267" s="1">
        <v>2032</v>
      </c>
      <c r="AL267" s="1">
        <v>2033</v>
      </c>
      <c r="AM267" s="1">
        <v>2034</v>
      </c>
      <c r="AN267" s="1">
        <v>2035</v>
      </c>
      <c r="AO267" s="1">
        <v>2036</v>
      </c>
      <c r="AP267" s="1">
        <v>2037</v>
      </c>
      <c r="AQ267" s="1">
        <v>2038</v>
      </c>
      <c r="AR267" s="1">
        <v>2039</v>
      </c>
      <c r="AS267" s="1">
        <v>2040</v>
      </c>
      <c r="AT267" s="1">
        <v>2041</v>
      </c>
      <c r="AU267" s="1">
        <v>2042</v>
      </c>
      <c r="AV267" s="1">
        <v>2043</v>
      </c>
      <c r="AW267" s="1">
        <v>2044</v>
      </c>
      <c r="AX267" s="1">
        <v>2045</v>
      </c>
      <c r="AY267" s="1">
        <v>2046</v>
      </c>
      <c r="AZ267" s="1">
        <v>2047</v>
      </c>
      <c r="BA267" s="1">
        <v>2048</v>
      </c>
      <c r="BB267" s="1">
        <v>2049</v>
      </c>
      <c r="BC267" s="1">
        <v>2050</v>
      </c>
    </row>
    <row r="268" spans="1:55">
      <c r="A268" s="1" t="str">
        <f>'Population Definitions'!$A$2</f>
        <v>PWID_males</v>
      </c>
      <c r="C268" t="s">
        <v>32</v>
      </c>
      <c r="D268" s="3"/>
      <c r="E268" s="3">
        <v>0</v>
      </c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</row>
    <row r="269" spans="1:55">
      <c r="A269" s="1" t="str">
        <f>'Population Definitions'!$A$3</f>
        <v>PWID_females</v>
      </c>
      <c r="C269" t="s">
        <v>32</v>
      </c>
      <c r="D269" s="3"/>
      <c r="E269" s="3">
        <v>0</v>
      </c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</row>
    <row r="270" spans="1:55">
      <c r="A270" s="1" t="str">
        <f>'Population Definitions'!$A$4</f>
        <v>0-9_males</v>
      </c>
      <c r="C270" t="s">
        <v>32</v>
      </c>
      <c r="D270" s="3"/>
      <c r="E270" s="3">
        <v>0</v>
      </c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</row>
    <row r="271" spans="1:55">
      <c r="A271" s="1" t="str">
        <f>'Population Definitions'!$A$5</f>
        <v>0-9_females</v>
      </c>
      <c r="C271" t="s">
        <v>32</v>
      </c>
      <c r="D271" s="3"/>
      <c r="E271" s="3">
        <v>0</v>
      </c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</row>
    <row r="272" spans="1:55">
      <c r="A272" s="1" t="str">
        <f>'Population Definitions'!$A$6</f>
        <v>10-17_males</v>
      </c>
      <c r="C272" t="s">
        <v>32</v>
      </c>
      <c r="D272" s="3"/>
      <c r="E272" s="3">
        <v>0</v>
      </c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</row>
    <row r="273" spans="1:55">
      <c r="A273" s="1" t="str">
        <f>'Population Definitions'!$A$7</f>
        <v>10-17_females</v>
      </c>
      <c r="C273" t="s">
        <v>32</v>
      </c>
      <c r="D273" s="3"/>
      <c r="E273" s="3">
        <v>0</v>
      </c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</row>
    <row r="274" spans="1:55">
      <c r="A274" s="1" t="str">
        <f>'Population Definitions'!$A$8</f>
        <v>18-64_males</v>
      </c>
      <c r="C274" t="s">
        <v>32</v>
      </c>
      <c r="D274" s="3"/>
      <c r="E274" s="3">
        <v>0</v>
      </c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</row>
    <row r="275" spans="1:55">
      <c r="A275" s="1" t="str">
        <f>'Population Definitions'!$A$9</f>
        <v>18-64_females</v>
      </c>
      <c r="C275" t="s">
        <v>32</v>
      </c>
      <c r="D275" s="3"/>
      <c r="E275" s="3">
        <v>0</v>
      </c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</row>
    <row r="276" spans="1:55">
      <c r="A276" s="1" t="str">
        <f>'Population Definitions'!$A$10</f>
        <v>65+_males</v>
      </c>
      <c r="C276" t="s">
        <v>32</v>
      </c>
      <c r="D276" s="3"/>
      <c r="E276" s="3">
        <v>0</v>
      </c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</row>
    <row r="277" spans="1:55">
      <c r="A277" s="1" t="str">
        <f>'Population Definitions'!$A$11</f>
        <v>65+_females</v>
      </c>
      <c r="C277" t="s">
        <v>32</v>
      </c>
      <c r="D277" s="3"/>
      <c r="E277" s="3">
        <v>0</v>
      </c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</row>
    <row r="278" spans="1:55">
      <c r="A278" s="1" t="str">
        <f>'Population Definitions'!$A$12</f>
        <v>Prisoners_males</v>
      </c>
      <c r="C278" t="s">
        <v>32</v>
      </c>
      <c r="D278" s="3"/>
      <c r="E278" s="3">
        <v>0</v>
      </c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</row>
    <row r="279" spans="1:55">
      <c r="A279" s="1" t="str">
        <f>'Population Definitions'!$A$13</f>
        <v>Prisoners_females</v>
      </c>
      <c r="C279" t="s">
        <v>32</v>
      </c>
      <c r="D279" s="3"/>
      <c r="E279" s="3">
        <v>0</v>
      </c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</row>
    <row r="281" spans="1:55">
      <c r="A281" s="1" t="s">
        <v>146</v>
      </c>
      <c r="B281" s="1" t="s">
        <v>29</v>
      </c>
      <c r="C281" s="1" t="s">
        <v>30</v>
      </c>
      <c r="D281" s="1" t="s">
        <v>31</v>
      </c>
      <c r="E281" s="1">
        <v>2000</v>
      </c>
      <c r="F281" s="1">
        <v>2001</v>
      </c>
      <c r="G281" s="1">
        <v>2002</v>
      </c>
      <c r="H281" s="1">
        <v>2003</v>
      </c>
      <c r="I281" s="1">
        <v>2004</v>
      </c>
      <c r="J281" s="1">
        <v>2005</v>
      </c>
      <c r="K281" s="1">
        <v>2006</v>
      </c>
      <c r="L281" s="1">
        <v>2007</v>
      </c>
      <c r="M281" s="1">
        <v>2008</v>
      </c>
      <c r="N281" s="1">
        <v>2009</v>
      </c>
      <c r="O281" s="1">
        <v>2010</v>
      </c>
      <c r="P281" s="1">
        <v>2011</v>
      </c>
      <c r="Q281" s="1">
        <v>2012</v>
      </c>
      <c r="R281" s="1">
        <v>2013</v>
      </c>
      <c r="S281" s="1">
        <v>2014</v>
      </c>
      <c r="T281" s="1">
        <v>2015</v>
      </c>
      <c r="U281" s="1">
        <v>2016</v>
      </c>
      <c r="V281" s="1">
        <v>2017</v>
      </c>
      <c r="W281" s="1">
        <v>2018</v>
      </c>
      <c r="X281" s="1">
        <v>2019</v>
      </c>
      <c r="Y281" s="1">
        <v>2020</v>
      </c>
      <c r="Z281" s="1">
        <v>2021</v>
      </c>
      <c r="AA281" s="1">
        <v>2022</v>
      </c>
      <c r="AB281" s="1">
        <v>2023</v>
      </c>
      <c r="AC281" s="1">
        <v>2024</v>
      </c>
      <c r="AD281" s="1">
        <v>2025</v>
      </c>
      <c r="AE281" s="1">
        <v>2026</v>
      </c>
      <c r="AF281" s="1">
        <v>2027</v>
      </c>
      <c r="AG281" s="1">
        <v>2028</v>
      </c>
      <c r="AH281" s="1">
        <v>2029</v>
      </c>
      <c r="AI281" s="1">
        <v>2030</v>
      </c>
      <c r="AJ281" s="1">
        <v>2031</v>
      </c>
      <c r="AK281" s="1">
        <v>2032</v>
      </c>
      <c r="AL281" s="1">
        <v>2033</v>
      </c>
      <c r="AM281" s="1">
        <v>2034</v>
      </c>
      <c r="AN281" s="1">
        <v>2035</v>
      </c>
      <c r="AO281" s="1">
        <v>2036</v>
      </c>
      <c r="AP281" s="1">
        <v>2037</v>
      </c>
      <c r="AQ281" s="1">
        <v>2038</v>
      </c>
      <c r="AR281" s="1">
        <v>2039</v>
      </c>
      <c r="AS281" s="1">
        <v>2040</v>
      </c>
      <c r="AT281" s="1">
        <v>2041</v>
      </c>
      <c r="AU281" s="1">
        <v>2042</v>
      </c>
      <c r="AV281" s="1">
        <v>2043</v>
      </c>
      <c r="AW281" s="1">
        <v>2044</v>
      </c>
      <c r="AX281" s="1">
        <v>2045</v>
      </c>
      <c r="AY281" s="1">
        <v>2046</v>
      </c>
      <c r="AZ281" s="1">
        <v>2047</v>
      </c>
      <c r="BA281" s="1">
        <v>2048</v>
      </c>
      <c r="BB281" s="1">
        <v>2049</v>
      </c>
      <c r="BC281" s="1">
        <v>2050</v>
      </c>
    </row>
    <row r="282" spans="1:55">
      <c r="A282" s="1" t="str">
        <f>'Population Definitions'!$A$2</f>
        <v>PWID_males</v>
      </c>
      <c r="C282" t="s">
        <v>32</v>
      </c>
      <c r="D282" s="3"/>
      <c r="E282" s="3">
        <v>0</v>
      </c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</row>
    <row r="283" spans="1:55">
      <c r="A283" s="1" t="str">
        <f>'Population Definitions'!$A$3</f>
        <v>PWID_females</v>
      </c>
      <c r="C283" t="s">
        <v>32</v>
      </c>
      <c r="D283" s="3"/>
      <c r="E283" s="3">
        <v>0</v>
      </c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</row>
    <row r="284" spans="1:55">
      <c r="A284" s="1" t="str">
        <f>'Population Definitions'!$A$4</f>
        <v>0-9_males</v>
      </c>
      <c r="C284" t="s">
        <v>32</v>
      </c>
      <c r="D284" s="3"/>
      <c r="E284" s="3">
        <v>0</v>
      </c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</row>
    <row r="285" spans="1:55">
      <c r="A285" s="1" t="str">
        <f>'Population Definitions'!$A$5</f>
        <v>0-9_females</v>
      </c>
      <c r="C285" t="s">
        <v>32</v>
      </c>
      <c r="D285" s="3"/>
      <c r="E285" s="3">
        <v>0</v>
      </c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</row>
    <row r="286" spans="1:55">
      <c r="A286" s="1" t="str">
        <f>'Population Definitions'!$A$6</f>
        <v>10-17_males</v>
      </c>
      <c r="C286" t="s">
        <v>32</v>
      </c>
      <c r="D286" s="3"/>
      <c r="E286" s="3">
        <v>0</v>
      </c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</row>
    <row r="287" spans="1:55">
      <c r="A287" s="1" t="str">
        <f>'Population Definitions'!$A$7</f>
        <v>10-17_females</v>
      </c>
      <c r="C287" t="s">
        <v>32</v>
      </c>
      <c r="D287" s="3"/>
      <c r="E287" s="3">
        <v>0</v>
      </c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</row>
    <row r="288" spans="1:55">
      <c r="A288" s="1" t="str">
        <f>'Population Definitions'!$A$8</f>
        <v>18-64_males</v>
      </c>
      <c r="C288" t="s">
        <v>32</v>
      </c>
      <c r="D288" s="3"/>
      <c r="E288" s="3">
        <v>0</v>
      </c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</row>
    <row r="289" spans="1:55">
      <c r="A289" s="1" t="str">
        <f>'Population Definitions'!$A$9</f>
        <v>18-64_females</v>
      </c>
      <c r="C289" t="s">
        <v>32</v>
      </c>
      <c r="D289" s="3"/>
      <c r="E289" s="3">
        <v>0</v>
      </c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</row>
    <row r="290" spans="1:55">
      <c r="A290" s="1" t="str">
        <f>'Population Definitions'!$A$10</f>
        <v>65+_males</v>
      </c>
      <c r="C290" t="s">
        <v>32</v>
      </c>
      <c r="D290" s="3"/>
      <c r="E290" s="3">
        <v>0</v>
      </c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</row>
    <row r="291" spans="1:55">
      <c r="A291" s="1" t="str">
        <f>'Population Definitions'!$A$11</f>
        <v>65+_females</v>
      </c>
      <c r="C291" t="s">
        <v>32</v>
      </c>
      <c r="D291" s="3"/>
      <c r="E291" s="3">
        <v>0</v>
      </c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</row>
    <row r="292" spans="1:55">
      <c r="A292" s="1" t="str">
        <f>'Population Definitions'!$A$12</f>
        <v>Prisoners_males</v>
      </c>
      <c r="C292" t="s">
        <v>32</v>
      </c>
      <c r="D292" s="3"/>
      <c r="E292" s="3">
        <v>0</v>
      </c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</row>
    <row r="293" spans="1:55">
      <c r="A293" s="1" t="str">
        <f>'Population Definitions'!$A$13</f>
        <v>Prisoners_females</v>
      </c>
      <c r="C293" t="s">
        <v>32</v>
      </c>
      <c r="D293" s="3"/>
      <c r="E293" s="3">
        <v>0</v>
      </c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</row>
    <row r="295" spans="1:55">
      <c r="A295" s="1" t="s">
        <v>147</v>
      </c>
      <c r="B295" s="1" t="s">
        <v>29</v>
      </c>
      <c r="C295" s="1" t="s">
        <v>30</v>
      </c>
      <c r="D295" s="1" t="s">
        <v>31</v>
      </c>
      <c r="E295" s="1">
        <v>2000</v>
      </c>
      <c r="F295" s="1">
        <v>2001</v>
      </c>
      <c r="G295" s="1">
        <v>2002</v>
      </c>
      <c r="H295" s="1">
        <v>2003</v>
      </c>
      <c r="I295" s="1">
        <v>2004</v>
      </c>
      <c r="J295" s="1">
        <v>2005</v>
      </c>
      <c r="K295" s="1">
        <v>2006</v>
      </c>
      <c r="L295" s="1">
        <v>2007</v>
      </c>
      <c r="M295" s="1">
        <v>2008</v>
      </c>
      <c r="N295" s="1">
        <v>2009</v>
      </c>
      <c r="O295" s="1">
        <v>2010</v>
      </c>
      <c r="P295" s="1">
        <v>2011</v>
      </c>
      <c r="Q295" s="1">
        <v>2012</v>
      </c>
      <c r="R295" s="1">
        <v>2013</v>
      </c>
      <c r="S295" s="1">
        <v>2014</v>
      </c>
      <c r="T295" s="1">
        <v>2015</v>
      </c>
      <c r="U295" s="1">
        <v>2016</v>
      </c>
      <c r="V295" s="1">
        <v>2017</v>
      </c>
      <c r="W295" s="1">
        <v>2018</v>
      </c>
      <c r="X295" s="1">
        <v>2019</v>
      </c>
      <c r="Y295" s="1">
        <v>2020</v>
      </c>
      <c r="Z295" s="1">
        <v>2021</v>
      </c>
      <c r="AA295" s="1">
        <v>2022</v>
      </c>
      <c r="AB295" s="1">
        <v>2023</v>
      </c>
      <c r="AC295" s="1">
        <v>2024</v>
      </c>
      <c r="AD295" s="1">
        <v>2025</v>
      </c>
      <c r="AE295" s="1">
        <v>2026</v>
      </c>
      <c r="AF295" s="1">
        <v>2027</v>
      </c>
      <c r="AG295" s="1">
        <v>2028</v>
      </c>
      <c r="AH295" s="1">
        <v>2029</v>
      </c>
      <c r="AI295" s="1">
        <v>2030</v>
      </c>
      <c r="AJ295" s="1">
        <v>2031</v>
      </c>
      <c r="AK295" s="1">
        <v>2032</v>
      </c>
      <c r="AL295" s="1">
        <v>2033</v>
      </c>
      <c r="AM295" s="1">
        <v>2034</v>
      </c>
      <c r="AN295" s="1">
        <v>2035</v>
      </c>
      <c r="AO295" s="1">
        <v>2036</v>
      </c>
      <c r="AP295" s="1">
        <v>2037</v>
      </c>
      <c r="AQ295" s="1">
        <v>2038</v>
      </c>
      <c r="AR295" s="1">
        <v>2039</v>
      </c>
      <c r="AS295" s="1">
        <v>2040</v>
      </c>
      <c r="AT295" s="1">
        <v>2041</v>
      </c>
      <c r="AU295" s="1">
        <v>2042</v>
      </c>
      <c r="AV295" s="1">
        <v>2043</v>
      </c>
      <c r="AW295" s="1">
        <v>2044</v>
      </c>
      <c r="AX295" s="1">
        <v>2045</v>
      </c>
      <c r="AY295" s="1">
        <v>2046</v>
      </c>
      <c r="AZ295" s="1">
        <v>2047</v>
      </c>
      <c r="BA295" s="1">
        <v>2048</v>
      </c>
      <c r="BB295" s="1">
        <v>2049</v>
      </c>
      <c r="BC295" s="1">
        <v>2050</v>
      </c>
    </row>
    <row r="296" spans="1:55">
      <c r="A296" s="1" t="str">
        <f>'Population Definitions'!$A$2</f>
        <v>PWID_males</v>
      </c>
      <c r="C296" t="s">
        <v>32</v>
      </c>
      <c r="D296" s="3"/>
      <c r="E296" s="3">
        <v>0</v>
      </c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</row>
    <row r="297" spans="1:55">
      <c r="A297" s="1" t="str">
        <f>'Population Definitions'!$A$3</f>
        <v>PWID_females</v>
      </c>
      <c r="C297" t="s">
        <v>32</v>
      </c>
      <c r="D297" s="3"/>
      <c r="E297" s="3">
        <v>0</v>
      </c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</row>
    <row r="298" spans="1:55">
      <c r="A298" s="1" t="str">
        <f>'Population Definitions'!$A$4</f>
        <v>0-9_males</v>
      </c>
      <c r="C298" t="s">
        <v>32</v>
      </c>
      <c r="D298" s="3"/>
      <c r="E298" s="3">
        <v>0</v>
      </c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</row>
    <row r="299" spans="1:55">
      <c r="A299" s="1" t="str">
        <f>'Population Definitions'!$A$5</f>
        <v>0-9_females</v>
      </c>
      <c r="C299" t="s">
        <v>32</v>
      </c>
      <c r="D299" s="3"/>
      <c r="E299" s="3">
        <v>0</v>
      </c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</row>
    <row r="300" spans="1:55">
      <c r="A300" s="1" t="str">
        <f>'Population Definitions'!$A$6</f>
        <v>10-17_males</v>
      </c>
      <c r="C300" t="s">
        <v>32</v>
      </c>
      <c r="D300" s="3"/>
      <c r="E300" s="3">
        <v>0</v>
      </c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</row>
    <row r="301" spans="1:55">
      <c r="A301" s="1" t="str">
        <f>'Population Definitions'!$A$7</f>
        <v>10-17_females</v>
      </c>
      <c r="C301" t="s">
        <v>32</v>
      </c>
      <c r="D301" s="3"/>
      <c r="E301" s="3">
        <v>0</v>
      </c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</row>
    <row r="302" spans="1:55">
      <c r="A302" s="1" t="str">
        <f>'Population Definitions'!$A$8</f>
        <v>18-64_males</v>
      </c>
      <c r="C302" t="s">
        <v>32</v>
      </c>
      <c r="D302" s="3"/>
      <c r="E302" s="3">
        <v>0</v>
      </c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</row>
    <row r="303" spans="1:55">
      <c r="A303" s="1" t="str">
        <f>'Population Definitions'!$A$9</f>
        <v>18-64_females</v>
      </c>
      <c r="C303" t="s">
        <v>32</v>
      </c>
      <c r="D303" s="3"/>
      <c r="E303" s="3">
        <v>0</v>
      </c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</row>
    <row r="304" spans="1:55">
      <c r="A304" s="1" t="str">
        <f>'Population Definitions'!$A$10</f>
        <v>65+_males</v>
      </c>
      <c r="C304" t="s">
        <v>32</v>
      </c>
      <c r="D304" s="3"/>
      <c r="E304" s="3">
        <v>0</v>
      </c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</row>
    <row r="305" spans="1:55">
      <c r="A305" s="1" t="str">
        <f>'Population Definitions'!$A$11</f>
        <v>65+_females</v>
      </c>
      <c r="C305" t="s">
        <v>32</v>
      </c>
      <c r="D305" s="3"/>
      <c r="E305" s="3">
        <v>0</v>
      </c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</row>
    <row r="306" spans="1:55">
      <c r="A306" s="1" t="str">
        <f>'Population Definitions'!$A$12</f>
        <v>Prisoners_males</v>
      </c>
      <c r="C306" t="s">
        <v>32</v>
      </c>
      <c r="D306" s="3"/>
      <c r="E306" s="3">
        <v>0</v>
      </c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</row>
    <row r="307" spans="1:55">
      <c r="A307" s="1" t="str">
        <f>'Population Definitions'!$A$13</f>
        <v>Prisoners_females</v>
      </c>
      <c r="C307" t="s">
        <v>32</v>
      </c>
      <c r="D307" s="3"/>
      <c r="E307" s="3">
        <v>0</v>
      </c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</row>
    <row r="309" spans="1:55">
      <c r="A309" s="1" t="s">
        <v>148</v>
      </c>
      <c r="B309" s="1" t="s">
        <v>29</v>
      </c>
      <c r="C309" s="1" t="s">
        <v>30</v>
      </c>
      <c r="D309" s="1" t="s">
        <v>31</v>
      </c>
      <c r="E309" s="1">
        <v>2000</v>
      </c>
      <c r="F309" s="1">
        <v>2001</v>
      </c>
      <c r="G309" s="1">
        <v>2002</v>
      </c>
      <c r="H309" s="1">
        <v>2003</v>
      </c>
      <c r="I309" s="1">
        <v>2004</v>
      </c>
      <c r="J309" s="1">
        <v>2005</v>
      </c>
      <c r="K309" s="1">
        <v>2006</v>
      </c>
      <c r="L309" s="1">
        <v>2007</v>
      </c>
      <c r="M309" s="1">
        <v>2008</v>
      </c>
      <c r="N309" s="1">
        <v>2009</v>
      </c>
      <c r="O309" s="1">
        <v>2010</v>
      </c>
      <c r="P309" s="1">
        <v>2011</v>
      </c>
      <c r="Q309" s="1">
        <v>2012</v>
      </c>
      <c r="R309" s="1">
        <v>2013</v>
      </c>
      <c r="S309" s="1">
        <v>2014</v>
      </c>
      <c r="T309" s="1">
        <v>2015</v>
      </c>
      <c r="U309" s="1">
        <v>2016</v>
      </c>
      <c r="V309" s="1">
        <v>2017</v>
      </c>
      <c r="W309" s="1">
        <v>2018</v>
      </c>
      <c r="X309" s="1">
        <v>2019</v>
      </c>
      <c r="Y309" s="1">
        <v>2020</v>
      </c>
      <c r="Z309" s="1">
        <v>2021</v>
      </c>
      <c r="AA309" s="1">
        <v>2022</v>
      </c>
      <c r="AB309" s="1">
        <v>2023</v>
      </c>
      <c r="AC309" s="1">
        <v>2024</v>
      </c>
      <c r="AD309" s="1">
        <v>2025</v>
      </c>
      <c r="AE309" s="1">
        <v>2026</v>
      </c>
      <c r="AF309" s="1">
        <v>2027</v>
      </c>
      <c r="AG309" s="1">
        <v>2028</v>
      </c>
      <c r="AH309" s="1">
        <v>2029</v>
      </c>
      <c r="AI309" s="1">
        <v>2030</v>
      </c>
      <c r="AJ309" s="1">
        <v>2031</v>
      </c>
      <c r="AK309" s="1">
        <v>2032</v>
      </c>
      <c r="AL309" s="1">
        <v>2033</v>
      </c>
      <c r="AM309" s="1">
        <v>2034</v>
      </c>
      <c r="AN309" s="1">
        <v>2035</v>
      </c>
      <c r="AO309" s="1">
        <v>2036</v>
      </c>
      <c r="AP309" s="1">
        <v>2037</v>
      </c>
      <c r="AQ309" s="1">
        <v>2038</v>
      </c>
      <c r="AR309" s="1">
        <v>2039</v>
      </c>
      <c r="AS309" s="1">
        <v>2040</v>
      </c>
      <c r="AT309" s="1">
        <v>2041</v>
      </c>
      <c r="AU309" s="1">
        <v>2042</v>
      </c>
      <c r="AV309" s="1">
        <v>2043</v>
      </c>
      <c r="AW309" s="1">
        <v>2044</v>
      </c>
      <c r="AX309" s="1">
        <v>2045</v>
      </c>
      <c r="AY309" s="1">
        <v>2046</v>
      </c>
      <c r="AZ309" s="1">
        <v>2047</v>
      </c>
      <c r="BA309" s="1">
        <v>2048</v>
      </c>
      <c r="BB309" s="1">
        <v>2049</v>
      </c>
      <c r="BC309" s="1">
        <v>2050</v>
      </c>
    </row>
    <row r="310" spans="1:55">
      <c r="A310" s="1" t="str">
        <f>'Population Definitions'!$A$2</f>
        <v>PWID_males</v>
      </c>
      <c r="C310" t="s">
        <v>32</v>
      </c>
      <c r="D310" s="3"/>
      <c r="E310" s="3">
        <v>0</v>
      </c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</row>
    <row r="311" spans="1:55">
      <c r="A311" s="1" t="str">
        <f>'Population Definitions'!$A$3</f>
        <v>PWID_females</v>
      </c>
      <c r="C311" t="s">
        <v>32</v>
      </c>
      <c r="D311" s="3"/>
      <c r="E311" s="3">
        <v>0</v>
      </c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</row>
    <row r="312" spans="1:55">
      <c r="A312" s="1" t="str">
        <f>'Population Definitions'!$A$4</f>
        <v>0-9_males</v>
      </c>
      <c r="C312" t="s">
        <v>32</v>
      </c>
      <c r="D312" s="3"/>
      <c r="E312" s="3">
        <v>0</v>
      </c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</row>
    <row r="313" spans="1:55">
      <c r="A313" s="1" t="str">
        <f>'Population Definitions'!$A$5</f>
        <v>0-9_females</v>
      </c>
      <c r="C313" t="s">
        <v>32</v>
      </c>
      <c r="D313" s="3"/>
      <c r="E313" s="3">
        <v>0</v>
      </c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</row>
    <row r="314" spans="1:55">
      <c r="A314" s="1" t="str">
        <f>'Population Definitions'!$A$6</f>
        <v>10-17_males</v>
      </c>
      <c r="C314" t="s">
        <v>32</v>
      </c>
      <c r="D314" s="3"/>
      <c r="E314" s="3">
        <v>0</v>
      </c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</row>
    <row r="315" spans="1:55">
      <c r="A315" s="1" t="str">
        <f>'Population Definitions'!$A$7</f>
        <v>10-17_females</v>
      </c>
      <c r="C315" t="s">
        <v>32</v>
      </c>
      <c r="D315" s="3"/>
      <c r="E315" s="3">
        <v>0</v>
      </c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</row>
    <row r="316" spans="1:55">
      <c r="A316" s="1" t="str">
        <f>'Population Definitions'!$A$8</f>
        <v>18-64_males</v>
      </c>
      <c r="C316" t="s">
        <v>32</v>
      </c>
      <c r="D316" s="3"/>
      <c r="E316" s="3">
        <v>0</v>
      </c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</row>
    <row r="317" spans="1:55">
      <c r="A317" s="1" t="str">
        <f>'Population Definitions'!$A$9</f>
        <v>18-64_females</v>
      </c>
      <c r="C317" t="s">
        <v>32</v>
      </c>
      <c r="D317" s="3"/>
      <c r="E317" s="3">
        <v>0</v>
      </c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</row>
    <row r="318" spans="1:55">
      <c r="A318" s="1" t="str">
        <f>'Population Definitions'!$A$10</f>
        <v>65+_males</v>
      </c>
      <c r="C318" t="s">
        <v>32</v>
      </c>
      <c r="D318" s="3"/>
      <c r="E318" s="3">
        <v>0</v>
      </c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</row>
    <row r="319" spans="1:55">
      <c r="A319" s="1" t="str">
        <f>'Population Definitions'!$A$11</f>
        <v>65+_females</v>
      </c>
      <c r="C319" t="s">
        <v>32</v>
      </c>
      <c r="D319" s="3"/>
      <c r="E319" s="3">
        <v>0</v>
      </c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</row>
    <row r="320" spans="1:55">
      <c r="A320" s="1" t="str">
        <f>'Population Definitions'!$A$12</f>
        <v>Prisoners_males</v>
      </c>
      <c r="C320" t="s">
        <v>32</v>
      </c>
      <c r="D320" s="3"/>
      <c r="E320" s="3">
        <v>0</v>
      </c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</row>
    <row r="321" spans="1:55">
      <c r="A321" s="1" t="str">
        <f>'Population Definitions'!$A$13</f>
        <v>Prisoners_females</v>
      </c>
      <c r="C321" t="s">
        <v>32</v>
      </c>
      <c r="D321" s="3"/>
      <c r="E321" s="3">
        <v>0</v>
      </c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</row>
    <row r="323" spans="1:55">
      <c r="A323" s="1" t="s">
        <v>149</v>
      </c>
      <c r="B323" s="1" t="s">
        <v>29</v>
      </c>
      <c r="C323" s="1" t="s">
        <v>30</v>
      </c>
      <c r="D323" s="1" t="s">
        <v>31</v>
      </c>
      <c r="E323" s="1">
        <v>2000</v>
      </c>
      <c r="F323" s="1">
        <v>2001</v>
      </c>
      <c r="G323" s="1">
        <v>2002</v>
      </c>
      <c r="H323" s="1">
        <v>2003</v>
      </c>
      <c r="I323" s="1">
        <v>2004</v>
      </c>
      <c r="J323" s="1">
        <v>2005</v>
      </c>
      <c r="K323" s="1">
        <v>2006</v>
      </c>
      <c r="L323" s="1">
        <v>2007</v>
      </c>
      <c r="M323" s="1">
        <v>2008</v>
      </c>
      <c r="N323" s="1">
        <v>2009</v>
      </c>
      <c r="O323" s="1">
        <v>2010</v>
      </c>
      <c r="P323" s="1">
        <v>2011</v>
      </c>
      <c r="Q323" s="1">
        <v>2012</v>
      </c>
      <c r="R323" s="1">
        <v>2013</v>
      </c>
      <c r="S323" s="1">
        <v>2014</v>
      </c>
      <c r="T323" s="1">
        <v>2015</v>
      </c>
      <c r="U323" s="1">
        <v>2016</v>
      </c>
      <c r="V323" s="1">
        <v>2017</v>
      </c>
      <c r="W323" s="1">
        <v>2018</v>
      </c>
      <c r="X323" s="1">
        <v>2019</v>
      </c>
      <c r="Y323" s="1">
        <v>2020</v>
      </c>
      <c r="Z323" s="1">
        <v>2021</v>
      </c>
      <c r="AA323" s="1">
        <v>2022</v>
      </c>
      <c r="AB323" s="1">
        <v>2023</v>
      </c>
      <c r="AC323" s="1">
        <v>2024</v>
      </c>
      <c r="AD323" s="1">
        <v>2025</v>
      </c>
      <c r="AE323" s="1">
        <v>2026</v>
      </c>
      <c r="AF323" s="1">
        <v>2027</v>
      </c>
      <c r="AG323" s="1">
        <v>2028</v>
      </c>
      <c r="AH323" s="1">
        <v>2029</v>
      </c>
      <c r="AI323" s="1">
        <v>2030</v>
      </c>
      <c r="AJ323" s="1">
        <v>2031</v>
      </c>
      <c r="AK323" s="1">
        <v>2032</v>
      </c>
      <c r="AL323" s="1">
        <v>2033</v>
      </c>
      <c r="AM323" s="1">
        <v>2034</v>
      </c>
      <c r="AN323" s="1">
        <v>2035</v>
      </c>
      <c r="AO323" s="1">
        <v>2036</v>
      </c>
      <c r="AP323" s="1">
        <v>2037</v>
      </c>
      <c r="AQ323" s="1">
        <v>2038</v>
      </c>
      <c r="AR323" s="1">
        <v>2039</v>
      </c>
      <c r="AS323" s="1">
        <v>2040</v>
      </c>
      <c r="AT323" s="1">
        <v>2041</v>
      </c>
      <c r="AU323" s="1">
        <v>2042</v>
      </c>
      <c r="AV323" s="1">
        <v>2043</v>
      </c>
      <c r="AW323" s="1">
        <v>2044</v>
      </c>
      <c r="AX323" s="1">
        <v>2045</v>
      </c>
      <c r="AY323" s="1">
        <v>2046</v>
      </c>
      <c r="AZ323" s="1">
        <v>2047</v>
      </c>
      <c r="BA323" s="1">
        <v>2048</v>
      </c>
      <c r="BB323" s="1">
        <v>2049</v>
      </c>
      <c r="BC323" s="1">
        <v>2050</v>
      </c>
    </row>
    <row r="324" spans="1:55">
      <c r="A324" s="1" t="str">
        <f>'Population Definitions'!$A$2</f>
        <v>PWID_males</v>
      </c>
      <c r="C324" t="s">
        <v>32</v>
      </c>
      <c r="D324" s="3"/>
      <c r="E324" s="3">
        <v>0</v>
      </c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</row>
    <row r="325" spans="1:55">
      <c r="A325" s="1" t="str">
        <f>'Population Definitions'!$A$3</f>
        <v>PWID_females</v>
      </c>
      <c r="C325" t="s">
        <v>32</v>
      </c>
      <c r="D325" s="3"/>
      <c r="E325" s="3">
        <v>0</v>
      </c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</row>
    <row r="326" spans="1:55">
      <c r="A326" s="1" t="str">
        <f>'Population Definitions'!$A$4</f>
        <v>0-9_males</v>
      </c>
      <c r="C326" t="s">
        <v>32</v>
      </c>
      <c r="D326" s="3"/>
      <c r="E326" s="3">
        <v>0</v>
      </c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</row>
    <row r="327" spans="1:55">
      <c r="A327" s="1" t="str">
        <f>'Population Definitions'!$A$5</f>
        <v>0-9_females</v>
      </c>
      <c r="C327" t="s">
        <v>32</v>
      </c>
      <c r="D327" s="3"/>
      <c r="E327" s="3">
        <v>0</v>
      </c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</row>
    <row r="328" spans="1:55">
      <c r="A328" s="1" t="str">
        <f>'Population Definitions'!$A$6</f>
        <v>10-17_males</v>
      </c>
      <c r="C328" t="s">
        <v>32</v>
      </c>
      <c r="D328" s="3"/>
      <c r="E328" s="3">
        <v>0</v>
      </c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</row>
    <row r="329" spans="1:55">
      <c r="A329" s="1" t="str">
        <f>'Population Definitions'!$A$7</f>
        <v>10-17_females</v>
      </c>
      <c r="C329" t="s">
        <v>32</v>
      </c>
      <c r="D329" s="3"/>
      <c r="E329" s="3">
        <v>0</v>
      </c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</row>
    <row r="330" spans="1:55">
      <c r="A330" s="1" t="str">
        <f>'Population Definitions'!$A$8</f>
        <v>18-64_males</v>
      </c>
      <c r="C330" t="s">
        <v>32</v>
      </c>
      <c r="D330" s="3"/>
      <c r="E330" s="3">
        <v>0</v>
      </c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</row>
    <row r="331" spans="1:55">
      <c r="A331" s="1" t="str">
        <f>'Population Definitions'!$A$9</f>
        <v>18-64_females</v>
      </c>
      <c r="C331" t="s">
        <v>32</v>
      </c>
      <c r="D331" s="3"/>
      <c r="E331" s="3">
        <v>0</v>
      </c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</row>
    <row r="332" spans="1:55">
      <c r="A332" s="1" t="str">
        <f>'Population Definitions'!$A$10</f>
        <v>65+_males</v>
      </c>
      <c r="C332" t="s">
        <v>32</v>
      </c>
      <c r="D332" s="3"/>
      <c r="E332" s="3">
        <v>0</v>
      </c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</row>
    <row r="333" spans="1:55">
      <c r="A333" s="1" t="str">
        <f>'Population Definitions'!$A$11</f>
        <v>65+_females</v>
      </c>
      <c r="C333" t="s">
        <v>32</v>
      </c>
      <c r="D333" s="3"/>
      <c r="E333" s="3">
        <v>0</v>
      </c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</row>
    <row r="334" spans="1:55">
      <c r="A334" s="1" t="str">
        <f>'Population Definitions'!$A$12</f>
        <v>Prisoners_males</v>
      </c>
      <c r="C334" t="s">
        <v>32</v>
      </c>
      <c r="D334" s="3"/>
      <c r="E334" s="3">
        <v>0</v>
      </c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</row>
    <row r="335" spans="1:55">
      <c r="A335" s="1" t="str">
        <f>'Population Definitions'!$A$13</f>
        <v>Prisoners_females</v>
      </c>
      <c r="C335" t="s">
        <v>32</v>
      </c>
      <c r="D335" s="3"/>
      <c r="E335" s="3">
        <v>0</v>
      </c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</row>
    <row r="337" spans="1:55">
      <c r="A337" s="1" t="s">
        <v>150</v>
      </c>
      <c r="B337" s="1" t="s">
        <v>29</v>
      </c>
      <c r="C337" s="1" t="s">
        <v>30</v>
      </c>
      <c r="D337" s="1" t="s">
        <v>31</v>
      </c>
      <c r="E337" s="1">
        <v>2000</v>
      </c>
      <c r="F337" s="1">
        <v>2001</v>
      </c>
      <c r="G337" s="1">
        <v>2002</v>
      </c>
      <c r="H337" s="1">
        <v>2003</v>
      </c>
      <c r="I337" s="1">
        <v>2004</v>
      </c>
      <c r="J337" s="1">
        <v>2005</v>
      </c>
      <c r="K337" s="1">
        <v>2006</v>
      </c>
      <c r="L337" s="1">
        <v>2007</v>
      </c>
      <c r="M337" s="1">
        <v>2008</v>
      </c>
      <c r="N337" s="1">
        <v>2009</v>
      </c>
      <c r="O337" s="1">
        <v>2010</v>
      </c>
      <c r="P337" s="1">
        <v>2011</v>
      </c>
      <c r="Q337" s="1">
        <v>2012</v>
      </c>
      <c r="R337" s="1">
        <v>2013</v>
      </c>
      <c r="S337" s="1">
        <v>2014</v>
      </c>
      <c r="T337" s="1">
        <v>2015</v>
      </c>
      <c r="U337" s="1">
        <v>2016</v>
      </c>
      <c r="V337" s="1">
        <v>2017</v>
      </c>
      <c r="W337" s="1">
        <v>2018</v>
      </c>
      <c r="X337" s="1">
        <v>2019</v>
      </c>
      <c r="Y337" s="1">
        <v>2020</v>
      </c>
      <c r="Z337" s="1">
        <v>2021</v>
      </c>
      <c r="AA337" s="1">
        <v>2022</v>
      </c>
      <c r="AB337" s="1">
        <v>2023</v>
      </c>
      <c r="AC337" s="1">
        <v>2024</v>
      </c>
      <c r="AD337" s="1">
        <v>2025</v>
      </c>
      <c r="AE337" s="1">
        <v>2026</v>
      </c>
      <c r="AF337" s="1">
        <v>2027</v>
      </c>
      <c r="AG337" s="1">
        <v>2028</v>
      </c>
      <c r="AH337" s="1">
        <v>2029</v>
      </c>
      <c r="AI337" s="1">
        <v>2030</v>
      </c>
      <c r="AJ337" s="1">
        <v>2031</v>
      </c>
      <c r="AK337" s="1">
        <v>2032</v>
      </c>
      <c r="AL337" s="1">
        <v>2033</v>
      </c>
      <c r="AM337" s="1">
        <v>2034</v>
      </c>
      <c r="AN337" s="1">
        <v>2035</v>
      </c>
      <c r="AO337" s="1">
        <v>2036</v>
      </c>
      <c r="AP337" s="1">
        <v>2037</v>
      </c>
      <c r="AQ337" s="1">
        <v>2038</v>
      </c>
      <c r="AR337" s="1">
        <v>2039</v>
      </c>
      <c r="AS337" s="1">
        <v>2040</v>
      </c>
      <c r="AT337" s="1">
        <v>2041</v>
      </c>
      <c r="AU337" s="1">
        <v>2042</v>
      </c>
      <c r="AV337" s="1">
        <v>2043</v>
      </c>
      <c r="AW337" s="1">
        <v>2044</v>
      </c>
      <c r="AX337" s="1">
        <v>2045</v>
      </c>
      <c r="AY337" s="1">
        <v>2046</v>
      </c>
      <c r="AZ337" s="1">
        <v>2047</v>
      </c>
      <c r="BA337" s="1">
        <v>2048</v>
      </c>
      <c r="BB337" s="1">
        <v>2049</v>
      </c>
      <c r="BC337" s="1">
        <v>2050</v>
      </c>
    </row>
    <row r="338" spans="1:55">
      <c r="A338" s="1" t="str">
        <f>'Population Definitions'!$A$2</f>
        <v>PWID_males</v>
      </c>
      <c r="C338" t="s">
        <v>32</v>
      </c>
      <c r="D338" s="3"/>
      <c r="E338" s="3">
        <v>0</v>
      </c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</row>
    <row r="339" spans="1:55">
      <c r="A339" s="1" t="str">
        <f>'Population Definitions'!$A$3</f>
        <v>PWID_females</v>
      </c>
      <c r="C339" t="s">
        <v>32</v>
      </c>
      <c r="D339" s="3"/>
      <c r="E339" s="3">
        <v>0</v>
      </c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</row>
    <row r="340" spans="1:55">
      <c r="A340" s="1" t="str">
        <f>'Population Definitions'!$A$4</f>
        <v>0-9_males</v>
      </c>
      <c r="C340" t="s">
        <v>32</v>
      </c>
      <c r="D340" s="3"/>
      <c r="E340" s="3">
        <v>0</v>
      </c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</row>
    <row r="341" spans="1:55">
      <c r="A341" s="1" t="str">
        <f>'Population Definitions'!$A$5</f>
        <v>0-9_females</v>
      </c>
      <c r="C341" t="s">
        <v>32</v>
      </c>
      <c r="D341" s="3"/>
      <c r="E341" s="3">
        <v>0</v>
      </c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</row>
    <row r="342" spans="1:55">
      <c r="A342" s="1" t="str">
        <f>'Population Definitions'!$A$6</f>
        <v>10-17_males</v>
      </c>
      <c r="C342" t="s">
        <v>32</v>
      </c>
      <c r="D342" s="3"/>
      <c r="E342" s="3">
        <v>0</v>
      </c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</row>
    <row r="343" spans="1:55">
      <c r="A343" s="1" t="str">
        <f>'Population Definitions'!$A$7</f>
        <v>10-17_females</v>
      </c>
      <c r="C343" t="s">
        <v>32</v>
      </c>
      <c r="D343" s="3"/>
      <c r="E343" s="3">
        <v>0</v>
      </c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</row>
    <row r="344" spans="1:55">
      <c r="A344" s="1" t="str">
        <f>'Population Definitions'!$A$8</f>
        <v>18-64_males</v>
      </c>
      <c r="C344" t="s">
        <v>32</v>
      </c>
      <c r="D344" s="3"/>
      <c r="E344" s="3">
        <v>0</v>
      </c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</row>
    <row r="345" spans="1:55">
      <c r="A345" s="1" t="str">
        <f>'Population Definitions'!$A$9</f>
        <v>18-64_females</v>
      </c>
      <c r="C345" t="s">
        <v>32</v>
      </c>
      <c r="D345" s="3"/>
      <c r="E345" s="3">
        <v>0</v>
      </c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</row>
    <row r="346" spans="1:55">
      <c r="A346" s="1" t="str">
        <f>'Population Definitions'!$A$10</f>
        <v>65+_males</v>
      </c>
      <c r="C346" t="s">
        <v>32</v>
      </c>
      <c r="D346" s="3"/>
      <c r="E346" s="3">
        <v>0</v>
      </c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</row>
    <row r="347" spans="1:55">
      <c r="A347" s="1" t="str">
        <f>'Population Definitions'!$A$11</f>
        <v>65+_females</v>
      </c>
      <c r="C347" t="s">
        <v>32</v>
      </c>
      <c r="D347" s="3"/>
      <c r="E347" s="3">
        <v>0</v>
      </c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</row>
    <row r="348" spans="1:55">
      <c r="A348" s="1" t="str">
        <f>'Population Definitions'!$A$12</f>
        <v>Prisoners_males</v>
      </c>
      <c r="C348" t="s">
        <v>32</v>
      </c>
      <c r="D348" s="3"/>
      <c r="E348" s="3">
        <v>0</v>
      </c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</row>
    <row r="349" spans="1:55">
      <c r="A349" s="1" t="str">
        <f>'Population Definitions'!$A$13</f>
        <v>Prisoners_females</v>
      </c>
      <c r="C349" t="s">
        <v>32</v>
      </c>
      <c r="D349" s="3"/>
      <c r="E349" s="3">
        <v>0</v>
      </c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</row>
    <row r="351" spans="1:55">
      <c r="A351" s="1" t="s">
        <v>151</v>
      </c>
      <c r="B351" s="1" t="s">
        <v>29</v>
      </c>
      <c r="C351" s="1" t="s">
        <v>30</v>
      </c>
      <c r="D351" s="1" t="s">
        <v>31</v>
      </c>
      <c r="E351" s="1">
        <v>2000</v>
      </c>
      <c r="F351" s="1">
        <v>2001</v>
      </c>
      <c r="G351" s="1">
        <v>2002</v>
      </c>
      <c r="H351" s="1">
        <v>2003</v>
      </c>
      <c r="I351" s="1">
        <v>2004</v>
      </c>
      <c r="J351" s="1">
        <v>2005</v>
      </c>
      <c r="K351" s="1">
        <v>2006</v>
      </c>
      <c r="L351" s="1">
        <v>2007</v>
      </c>
      <c r="M351" s="1">
        <v>2008</v>
      </c>
      <c r="N351" s="1">
        <v>2009</v>
      </c>
      <c r="O351" s="1">
        <v>2010</v>
      </c>
      <c r="P351" s="1">
        <v>2011</v>
      </c>
      <c r="Q351" s="1">
        <v>2012</v>
      </c>
      <c r="R351" s="1">
        <v>2013</v>
      </c>
      <c r="S351" s="1">
        <v>2014</v>
      </c>
      <c r="T351" s="1">
        <v>2015</v>
      </c>
      <c r="U351" s="1">
        <v>2016</v>
      </c>
      <c r="V351" s="1">
        <v>2017</v>
      </c>
      <c r="W351" s="1">
        <v>2018</v>
      </c>
      <c r="X351" s="1">
        <v>2019</v>
      </c>
      <c r="Y351" s="1">
        <v>2020</v>
      </c>
      <c r="Z351" s="1">
        <v>2021</v>
      </c>
      <c r="AA351" s="1">
        <v>2022</v>
      </c>
      <c r="AB351" s="1">
        <v>2023</v>
      </c>
      <c r="AC351" s="1">
        <v>2024</v>
      </c>
      <c r="AD351" s="1">
        <v>2025</v>
      </c>
      <c r="AE351" s="1">
        <v>2026</v>
      </c>
      <c r="AF351" s="1">
        <v>2027</v>
      </c>
      <c r="AG351" s="1">
        <v>2028</v>
      </c>
      <c r="AH351" s="1">
        <v>2029</v>
      </c>
      <c r="AI351" s="1">
        <v>2030</v>
      </c>
      <c r="AJ351" s="1">
        <v>2031</v>
      </c>
      <c r="AK351" s="1">
        <v>2032</v>
      </c>
      <c r="AL351" s="1">
        <v>2033</v>
      </c>
      <c r="AM351" s="1">
        <v>2034</v>
      </c>
      <c r="AN351" s="1">
        <v>2035</v>
      </c>
      <c r="AO351" s="1">
        <v>2036</v>
      </c>
      <c r="AP351" s="1">
        <v>2037</v>
      </c>
      <c r="AQ351" s="1">
        <v>2038</v>
      </c>
      <c r="AR351" s="1">
        <v>2039</v>
      </c>
      <c r="AS351" s="1">
        <v>2040</v>
      </c>
      <c r="AT351" s="1">
        <v>2041</v>
      </c>
      <c r="AU351" s="1">
        <v>2042</v>
      </c>
      <c r="AV351" s="1">
        <v>2043</v>
      </c>
      <c r="AW351" s="1">
        <v>2044</v>
      </c>
      <c r="AX351" s="1">
        <v>2045</v>
      </c>
      <c r="AY351" s="1">
        <v>2046</v>
      </c>
      <c r="AZ351" s="1">
        <v>2047</v>
      </c>
      <c r="BA351" s="1">
        <v>2048</v>
      </c>
      <c r="BB351" s="1">
        <v>2049</v>
      </c>
      <c r="BC351" s="1">
        <v>2050</v>
      </c>
    </row>
    <row r="352" spans="1:55">
      <c r="A352" s="1" t="str">
        <f>'Population Definitions'!$A$2</f>
        <v>PWID_males</v>
      </c>
      <c r="C352" t="s">
        <v>32</v>
      </c>
      <c r="D352" s="3"/>
      <c r="E352" s="3">
        <v>0</v>
      </c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</row>
    <row r="353" spans="1:55">
      <c r="A353" s="1" t="str">
        <f>'Population Definitions'!$A$3</f>
        <v>PWID_females</v>
      </c>
      <c r="C353" t="s">
        <v>32</v>
      </c>
      <c r="D353" s="3"/>
      <c r="E353" s="3">
        <v>0</v>
      </c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</row>
    <row r="354" spans="1:55">
      <c r="A354" s="1" t="str">
        <f>'Population Definitions'!$A$4</f>
        <v>0-9_males</v>
      </c>
      <c r="C354" t="s">
        <v>32</v>
      </c>
      <c r="D354" s="3"/>
      <c r="E354" s="3">
        <v>0</v>
      </c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</row>
    <row r="355" spans="1:55">
      <c r="A355" s="1" t="str">
        <f>'Population Definitions'!$A$5</f>
        <v>0-9_females</v>
      </c>
      <c r="C355" t="s">
        <v>32</v>
      </c>
      <c r="D355" s="3"/>
      <c r="E355" s="3">
        <v>0</v>
      </c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</row>
    <row r="356" spans="1:55">
      <c r="A356" s="1" t="str">
        <f>'Population Definitions'!$A$6</f>
        <v>10-17_males</v>
      </c>
      <c r="C356" t="s">
        <v>32</v>
      </c>
      <c r="D356" s="3"/>
      <c r="E356" s="3">
        <v>0</v>
      </c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</row>
    <row r="357" spans="1:55">
      <c r="A357" s="1" t="str">
        <f>'Population Definitions'!$A$7</f>
        <v>10-17_females</v>
      </c>
      <c r="C357" t="s">
        <v>32</v>
      </c>
      <c r="D357" s="3"/>
      <c r="E357" s="3">
        <v>0</v>
      </c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</row>
    <row r="358" spans="1:55">
      <c r="A358" s="1" t="str">
        <f>'Population Definitions'!$A$8</f>
        <v>18-64_males</v>
      </c>
      <c r="C358" t="s">
        <v>32</v>
      </c>
      <c r="D358" s="3"/>
      <c r="E358" s="3">
        <v>0</v>
      </c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</row>
    <row r="359" spans="1:55">
      <c r="A359" s="1" t="str">
        <f>'Population Definitions'!$A$9</f>
        <v>18-64_females</v>
      </c>
      <c r="C359" t="s">
        <v>32</v>
      </c>
      <c r="D359" s="3"/>
      <c r="E359" s="3">
        <v>0</v>
      </c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</row>
    <row r="360" spans="1:55">
      <c r="A360" s="1" t="str">
        <f>'Population Definitions'!$A$10</f>
        <v>65+_males</v>
      </c>
      <c r="C360" t="s">
        <v>32</v>
      </c>
      <c r="D360" s="3"/>
      <c r="E360" s="3">
        <v>0</v>
      </c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</row>
    <row r="361" spans="1:55">
      <c r="A361" s="1" t="str">
        <f>'Population Definitions'!$A$11</f>
        <v>65+_females</v>
      </c>
      <c r="C361" t="s">
        <v>32</v>
      </c>
      <c r="D361" s="3"/>
      <c r="E361" s="3">
        <v>0</v>
      </c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</row>
    <row r="362" spans="1:55">
      <c r="A362" s="1" t="str">
        <f>'Population Definitions'!$A$12</f>
        <v>Prisoners_males</v>
      </c>
      <c r="C362" t="s">
        <v>32</v>
      </c>
      <c r="D362" s="3"/>
      <c r="E362" s="3">
        <v>0</v>
      </c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</row>
    <row r="363" spans="1:55">
      <c r="A363" s="1" t="str">
        <f>'Population Definitions'!$A$13</f>
        <v>Prisoners_females</v>
      </c>
      <c r="C363" t="s">
        <v>32</v>
      </c>
      <c r="D363" s="3"/>
      <c r="E363" s="3">
        <v>0</v>
      </c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</row>
    <row r="365" spans="1:55">
      <c r="A365" s="1" t="s">
        <v>152</v>
      </c>
      <c r="B365" s="1" t="s">
        <v>29</v>
      </c>
      <c r="C365" s="1" t="s">
        <v>30</v>
      </c>
      <c r="D365" s="1" t="s">
        <v>31</v>
      </c>
      <c r="E365" s="1">
        <v>2000</v>
      </c>
      <c r="F365" s="1">
        <v>2001</v>
      </c>
      <c r="G365" s="1">
        <v>2002</v>
      </c>
      <c r="H365" s="1">
        <v>2003</v>
      </c>
      <c r="I365" s="1">
        <v>2004</v>
      </c>
      <c r="J365" s="1">
        <v>2005</v>
      </c>
      <c r="K365" s="1">
        <v>2006</v>
      </c>
      <c r="L365" s="1">
        <v>2007</v>
      </c>
      <c r="M365" s="1">
        <v>2008</v>
      </c>
      <c r="N365" s="1">
        <v>2009</v>
      </c>
      <c r="O365" s="1">
        <v>2010</v>
      </c>
      <c r="P365" s="1">
        <v>2011</v>
      </c>
      <c r="Q365" s="1">
        <v>2012</v>
      </c>
      <c r="R365" s="1">
        <v>2013</v>
      </c>
      <c r="S365" s="1">
        <v>2014</v>
      </c>
      <c r="T365" s="1">
        <v>2015</v>
      </c>
      <c r="U365" s="1">
        <v>2016</v>
      </c>
      <c r="V365" s="1">
        <v>2017</v>
      </c>
      <c r="W365" s="1">
        <v>2018</v>
      </c>
      <c r="X365" s="1">
        <v>2019</v>
      </c>
      <c r="Y365" s="1">
        <v>2020</v>
      </c>
      <c r="Z365" s="1">
        <v>2021</v>
      </c>
      <c r="AA365" s="1">
        <v>2022</v>
      </c>
      <c r="AB365" s="1">
        <v>2023</v>
      </c>
      <c r="AC365" s="1">
        <v>2024</v>
      </c>
      <c r="AD365" s="1">
        <v>2025</v>
      </c>
      <c r="AE365" s="1">
        <v>2026</v>
      </c>
      <c r="AF365" s="1">
        <v>2027</v>
      </c>
      <c r="AG365" s="1">
        <v>2028</v>
      </c>
      <c r="AH365" s="1">
        <v>2029</v>
      </c>
      <c r="AI365" s="1">
        <v>2030</v>
      </c>
      <c r="AJ365" s="1">
        <v>2031</v>
      </c>
      <c r="AK365" s="1">
        <v>2032</v>
      </c>
      <c r="AL365" s="1">
        <v>2033</v>
      </c>
      <c r="AM365" s="1">
        <v>2034</v>
      </c>
      <c r="AN365" s="1">
        <v>2035</v>
      </c>
      <c r="AO365" s="1">
        <v>2036</v>
      </c>
      <c r="AP365" s="1">
        <v>2037</v>
      </c>
      <c r="AQ365" s="1">
        <v>2038</v>
      </c>
      <c r="AR365" s="1">
        <v>2039</v>
      </c>
      <c r="AS365" s="1">
        <v>2040</v>
      </c>
      <c r="AT365" s="1">
        <v>2041</v>
      </c>
      <c r="AU365" s="1">
        <v>2042</v>
      </c>
      <c r="AV365" s="1">
        <v>2043</v>
      </c>
      <c r="AW365" s="1">
        <v>2044</v>
      </c>
      <c r="AX365" s="1">
        <v>2045</v>
      </c>
      <c r="AY365" s="1">
        <v>2046</v>
      </c>
      <c r="AZ365" s="1">
        <v>2047</v>
      </c>
      <c r="BA365" s="1">
        <v>2048</v>
      </c>
      <c r="BB365" s="1">
        <v>2049</v>
      </c>
      <c r="BC365" s="1">
        <v>2050</v>
      </c>
    </row>
    <row r="366" spans="1:55">
      <c r="A366" s="1" t="str">
        <f>'Population Definitions'!$A$2</f>
        <v>PWID_males</v>
      </c>
      <c r="C366" t="s">
        <v>32</v>
      </c>
      <c r="D366" s="3"/>
      <c r="E366" s="3">
        <v>0</v>
      </c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</row>
    <row r="367" spans="1:55">
      <c r="A367" s="1" t="str">
        <f>'Population Definitions'!$A$3</f>
        <v>PWID_females</v>
      </c>
      <c r="C367" t="s">
        <v>32</v>
      </c>
      <c r="D367" s="3"/>
      <c r="E367" s="3">
        <v>0</v>
      </c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</row>
    <row r="368" spans="1:55">
      <c r="A368" s="1" t="str">
        <f>'Population Definitions'!$A$4</f>
        <v>0-9_males</v>
      </c>
      <c r="C368" t="s">
        <v>32</v>
      </c>
      <c r="D368" s="3"/>
      <c r="E368" s="3">
        <v>0</v>
      </c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</row>
    <row r="369" spans="1:55">
      <c r="A369" s="1" t="str">
        <f>'Population Definitions'!$A$5</f>
        <v>0-9_females</v>
      </c>
      <c r="C369" t="s">
        <v>32</v>
      </c>
      <c r="D369" s="3"/>
      <c r="E369" s="3">
        <v>0</v>
      </c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</row>
    <row r="370" spans="1:55">
      <c r="A370" s="1" t="str">
        <f>'Population Definitions'!$A$6</f>
        <v>10-17_males</v>
      </c>
      <c r="C370" t="s">
        <v>32</v>
      </c>
      <c r="D370" s="3"/>
      <c r="E370" s="3">
        <v>0</v>
      </c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</row>
    <row r="371" spans="1:55">
      <c r="A371" s="1" t="str">
        <f>'Population Definitions'!$A$7</f>
        <v>10-17_females</v>
      </c>
      <c r="C371" t="s">
        <v>32</v>
      </c>
      <c r="D371" s="3"/>
      <c r="E371" s="3">
        <v>0</v>
      </c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</row>
    <row r="372" spans="1:55">
      <c r="A372" s="1" t="str">
        <f>'Population Definitions'!$A$8</f>
        <v>18-64_males</v>
      </c>
      <c r="C372" t="s">
        <v>32</v>
      </c>
      <c r="D372" s="3"/>
      <c r="E372" s="3">
        <v>0</v>
      </c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</row>
    <row r="373" spans="1:55">
      <c r="A373" s="1" t="str">
        <f>'Population Definitions'!$A$9</f>
        <v>18-64_females</v>
      </c>
      <c r="C373" t="s">
        <v>32</v>
      </c>
      <c r="D373" s="3"/>
      <c r="E373" s="3">
        <v>0</v>
      </c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</row>
    <row r="374" spans="1:55">
      <c r="A374" s="1" t="str">
        <f>'Population Definitions'!$A$10</f>
        <v>65+_males</v>
      </c>
      <c r="C374" t="s">
        <v>32</v>
      </c>
      <c r="D374" s="3"/>
      <c r="E374" s="3">
        <v>0</v>
      </c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</row>
    <row r="375" spans="1:55">
      <c r="A375" s="1" t="str">
        <f>'Population Definitions'!$A$11</f>
        <v>65+_females</v>
      </c>
      <c r="C375" t="s">
        <v>32</v>
      </c>
      <c r="D375" s="3"/>
      <c r="E375" s="3">
        <v>0</v>
      </c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</row>
    <row r="376" spans="1:55">
      <c r="A376" s="1" t="str">
        <f>'Population Definitions'!$A$12</f>
        <v>Prisoners_males</v>
      </c>
      <c r="C376" t="s">
        <v>32</v>
      </c>
      <c r="D376" s="3"/>
      <c r="E376" s="3">
        <v>0</v>
      </c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</row>
    <row r="377" spans="1:55">
      <c r="A377" s="1" t="str">
        <f>'Population Definitions'!$A$13</f>
        <v>Prisoners_females</v>
      </c>
      <c r="C377" t="s">
        <v>32</v>
      </c>
      <c r="D377" s="3"/>
      <c r="E377" s="3">
        <v>0</v>
      </c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</row>
    <row r="379" spans="1:55">
      <c r="A379" s="1" t="s">
        <v>153</v>
      </c>
      <c r="B379" s="1" t="s">
        <v>29</v>
      </c>
      <c r="C379" s="1" t="s">
        <v>30</v>
      </c>
      <c r="D379" s="1" t="s">
        <v>31</v>
      </c>
      <c r="E379" s="1">
        <v>2000</v>
      </c>
      <c r="F379" s="1">
        <v>2001</v>
      </c>
      <c r="G379" s="1">
        <v>2002</v>
      </c>
      <c r="H379" s="1">
        <v>2003</v>
      </c>
      <c r="I379" s="1">
        <v>2004</v>
      </c>
      <c r="J379" s="1">
        <v>2005</v>
      </c>
      <c r="K379" s="1">
        <v>2006</v>
      </c>
      <c r="L379" s="1">
        <v>2007</v>
      </c>
      <c r="M379" s="1">
        <v>2008</v>
      </c>
      <c r="N379" s="1">
        <v>2009</v>
      </c>
      <c r="O379" s="1">
        <v>2010</v>
      </c>
      <c r="P379" s="1">
        <v>2011</v>
      </c>
      <c r="Q379" s="1">
        <v>2012</v>
      </c>
      <c r="R379" s="1">
        <v>2013</v>
      </c>
      <c r="S379" s="1">
        <v>2014</v>
      </c>
      <c r="T379" s="1">
        <v>2015</v>
      </c>
      <c r="U379" s="1">
        <v>2016</v>
      </c>
      <c r="V379" s="1">
        <v>2017</v>
      </c>
      <c r="W379" s="1">
        <v>2018</v>
      </c>
      <c r="X379" s="1">
        <v>2019</v>
      </c>
      <c r="Y379" s="1">
        <v>2020</v>
      </c>
      <c r="Z379" s="1">
        <v>2021</v>
      </c>
      <c r="AA379" s="1">
        <v>2022</v>
      </c>
      <c r="AB379" s="1">
        <v>2023</v>
      </c>
      <c r="AC379" s="1">
        <v>2024</v>
      </c>
      <c r="AD379" s="1">
        <v>2025</v>
      </c>
      <c r="AE379" s="1">
        <v>2026</v>
      </c>
      <c r="AF379" s="1">
        <v>2027</v>
      </c>
      <c r="AG379" s="1">
        <v>2028</v>
      </c>
      <c r="AH379" s="1">
        <v>2029</v>
      </c>
      <c r="AI379" s="1">
        <v>2030</v>
      </c>
      <c r="AJ379" s="1">
        <v>2031</v>
      </c>
      <c r="AK379" s="1">
        <v>2032</v>
      </c>
      <c r="AL379" s="1">
        <v>2033</v>
      </c>
      <c r="AM379" s="1">
        <v>2034</v>
      </c>
      <c r="AN379" s="1">
        <v>2035</v>
      </c>
      <c r="AO379" s="1">
        <v>2036</v>
      </c>
      <c r="AP379" s="1">
        <v>2037</v>
      </c>
      <c r="AQ379" s="1">
        <v>2038</v>
      </c>
      <c r="AR379" s="1">
        <v>2039</v>
      </c>
      <c r="AS379" s="1">
        <v>2040</v>
      </c>
      <c r="AT379" s="1">
        <v>2041</v>
      </c>
      <c r="AU379" s="1">
        <v>2042</v>
      </c>
      <c r="AV379" s="1">
        <v>2043</v>
      </c>
      <c r="AW379" s="1">
        <v>2044</v>
      </c>
      <c r="AX379" s="1">
        <v>2045</v>
      </c>
      <c r="AY379" s="1">
        <v>2046</v>
      </c>
      <c r="AZ379" s="1">
        <v>2047</v>
      </c>
      <c r="BA379" s="1">
        <v>2048</v>
      </c>
      <c r="BB379" s="1">
        <v>2049</v>
      </c>
      <c r="BC379" s="1">
        <v>2050</v>
      </c>
    </row>
    <row r="380" spans="1:55">
      <c r="A380" s="1" t="str">
        <f>'Population Definitions'!$A$2</f>
        <v>PWID_males</v>
      </c>
      <c r="C380" t="s">
        <v>32</v>
      </c>
      <c r="D380" s="3"/>
      <c r="E380" s="3">
        <v>0</v>
      </c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</row>
    <row r="381" spans="1:55">
      <c r="A381" s="1" t="str">
        <f>'Population Definitions'!$A$3</f>
        <v>PWID_females</v>
      </c>
      <c r="C381" t="s">
        <v>32</v>
      </c>
      <c r="D381" s="3"/>
      <c r="E381" s="3">
        <v>0</v>
      </c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</row>
    <row r="382" spans="1:55">
      <c r="A382" s="1" t="str">
        <f>'Population Definitions'!$A$4</f>
        <v>0-9_males</v>
      </c>
      <c r="C382" t="s">
        <v>32</v>
      </c>
      <c r="D382" s="3"/>
      <c r="E382" s="3">
        <v>0</v>
      </c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</row>
    <row r="383" spans="1:55">
      <c r="A383" s="1" t="str">
        <f>'Population Definitions'!$A$5</f>
        <v>0-9_females</v>
      </c>
      <c r="C383" t="s">
        <v>32</v>
      </c>
      <c r="D383" s="3"/>
      <c r="E383" s="3">
        <v>0</v>
      </c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</row>
    <row r="384" spans="1:55">
      <c r="A384" s="1" t="str">
        <f>'Population Definitions'!$A$6</f>
        <v>10-17_males</v>
      </c>
      <c r="C384" t="s">
        <v>32</v>
      </c>
      <c r="D384" s="3"/>
      <c r="E384" s="3">
        <v>0</v>
      </c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</row>
    <row r="385" spans="1:55">
      <c r="A385" s="1" t="str">
        <f>'Population Definitions'!$A$7</f>
        <v>10-17_females</v>
      </c>
      <c r="C385" t="s">
        <v>32</v>
      </c>
      <c r="D385" s="3"/>
      <c r="E385" s="3">
        <v>0</v>
      </c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</row>
    <row r="386" spans="1:55">
      <c r="A386" s="1" t="str">
        <f>'Population Definitions'!$A$8</f>
        <v>18-64_males</v>
      </c>
      <c r="C386" t="s">
        <v>32</v>
      </c>
      <c r="D386" s="3"/>
      <c r="E386" s="3">
        <v>0</v>
      </c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</row>
    <row r="387" spans="1:55">
      <c r="A387" s="1" t="str">
        <f>'Population Definitions'!$A$9</f>
        <v>18-64_females</v>
      </c>
      <c r="C387" t="s">
        <v>32</v>
      </c>
      <c r="D387" s="3"/>
      <c r="E387" s="3">
        <v>0</v>
      </c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</row>
    <row r="388" spans="1:55">
      <c r="A388" s="1" t="str">
        <f>'Population Definitions'!$A$10</f>
        <v>65+_males</v>
      </c>
      <c r="C388" t="s">
        <v>32</v>
      </c>
      <c r="D388" s="3"/>
      <c r="E388" s="3">
        <v>0</v>
      </c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</row>
    <row r="389" spans="1:55">
      <c r="A389" s="1" t="str">
        <f>'Population Definitions'!$A$11</f>
        <v>65+_females</v>
      </c>
      <c r="C389" t="s">
        <v>32</v>
      </c>
      <c r="D389" s="3"/>
      <c r="E389" s="3">
        <v>0</v>
      </c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</row>
    <row r="390" spans="1:55">
      <c r="A390" s="1" t="str">
        <f>'Population Definitions'!$A$12</f>
        <v>Prisoners_males</v>
      </c>
      <c r="C390" t="s">
        <v>32</v>
      </c>
      <c r="D390" s="3"/>
      <c r="E390" s="3">
        <v>0</v>
      </c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</row>
    <row r="391" spans="1:55">
      <c r="A391" s="1" t="str">
        <f>'Population Definitions'!$A$13</f>
        <v>Prisoners_females</v>
      </c>
      <c r="C391" t="s">
        <v>32</v>
      </c>
      <c r="D391" s="3"/>
      <c r="E391" s="3">
        <v>0</v>
      </c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</row>
    <row r="393" spans="1:55">
      <c r="A393" s="1" t="s">
        <v>154</v>
      </c>
      <c r="B393" s="1" t="s">
        <v>29</v>
      </c>
      <c r="C393" s="1" t="s">
        <v>30</v>
      </c>
      <c r="D393" s="1" t="s">
        <v>31</v>
      </c>
      <c r="E393" s="1">
        <v>2000</v>
      </c>
      <c r="F393" s="1">
        <v>2001</v>
      </c>
      <c r="G393" s="1">
        <v>2002</v>
      </c>
      <c r="H393" s="1">
        <v>2003</v>
      </c>
      <c r="I393" s="1">
        <v>2004</v>
      </c>
      <c r="J393" s="1">
        <v>2005</v>
      </c>
      <c r="K393" s="1">
        <v>2006</v>
      </c>
      <c r="L393" s="1">
        <v>2007</v>
      </c>
      <c r="M393" s="1">
        <v>2008</v>
      </c>
      <c r="N393" s="1">
        <v>2009</v>
      </c>
      <c r="O393" s="1">
        <v>2010</v>
      </c>
      <c r="P393" s="1">
        <v>2011</v>
      </c>
      <c r="Q393" s="1">
        <v>2012</v>
      </c>
      <c r="R393" s="1">
        <v>2013</v>
      </c>
      <c r="S393" s="1">
        <v>2014</v>
      </c>
      <c r="T393" s="1">
        <v>2015</v>
      </c>
      <c r="U393" s="1">
        <v>2016</v>
      </c>
      <c r="V393" s="1">
        <v>2017</v>
      </c>
      <c r="W393" s="1">
        <v>2018</v>
      </c>
      <c r="X393" s="1">
        <v>2019</v>
      </c>
      <c r="Y393" s="1">
        <v>2020</v>
      </c>
      <c r="Z393" s="1">
        <v>2021</v>
      </c>
      <c r="AA393" s="1">
        <v>2022</v>
      </c>
      <c r="AB393" s="1">
        <v>2023</v>
      </c>
      <c r="AC393" s="1">
        <v>2024</v>
      </c>
      <c r="AD393" s="1">
        <v>2025</v>
      </c>
      <c r="AE393" s="1">
        <v>2026</v>
      </c>
      <c r="AF393" s="1">
        <v>2027</v>
      </c>
      <c r="AG393" s="1">
        <v>2028</v>
      </c>
      <c r="AH393" s="1">
        <v>2029</v>
      </c>
      <c r="AI393" s="1">
        <v>2030</v>
      </c>
      <c r="AJ393" s="1">
        <v>2031</v>
      </c>
      <c r="AK393" s="1">
        <v>2032</v>
      </c>
      <c r="AL393" s="1">
        <v>2033</v>
      </c>
      <c r="AM393" s="1">
        <v>2034</v>
      </c>
      <c r="AN393" s="1">
        <v>2035</v>
      </c>
      <c r="AO393" s="1">
        <v>2036</v>
      </c>
      <c r="AP393" s="1">
        <v>2037</v>
      </c>
      <c r="AQ393" s="1">
        <v>2038</v>
      </c>
      <c r="AR393" s="1">
        <v>2039</v>
      </c>
      <c r="AS393" s="1">
        <v>2040</v>
      </c>
      <c r="AT393" s="1">
        <v>2041</v>
      </c>
      <c r="AU393" s="1">
        <v>2042</v>
      </c>
      <c r="AV393" s="1">
        <v>2043</v>
      </c>
      <c r="AW393" s="1">
        <v>2044</v>
      </c>
      <c r="AX393" s="1">
        <v>2045</v>
      </c>
      <c r="AY393" s="1">
        <v>2046</v>
      </c>
      <c r="AZ393" s="1">
        <v>2047</v>
      </c>
      <c r="BA393" s="1">
        <v>2048</v>
      </c>
      <c r="BB393" s="1">
        <v>2049</v>
      </c>
      <c r="BC393" s="1">
        <v>2050</v>
      </c>
    </row>
    <row r="394" spans="1:55">
      <c r="A394" s="1" t="str">
        <f>'Population Definitions'!$A$2</f>
        <v>PWID_males</v>
      </c>
      <c r="C394" t="s">
        <v>32</v>
      </c>
      <c r="D394" s="3"/>
      <c r="E394" s="3">
        <v>0</v>
      </c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</row>
    <row r="395" spans="1:55">
      <c r="A395" s="1" t="str">
        <f>'Population Definitions'!$A$3</f>
        <v>PWID_females</v>
      </c>
      <c r="C395" t="s">
        <v>32</v>
      </c>
      <c r="D395" s="3"/>
      <c r="E395" s="3">
        <v>0</v>
      </c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</row>
    <row r="396" spans="1:55">
      <c r="A396" s="1" t="str">
        <f>'Population Definitions'!$A$4</f>
        <v>0-9_males</v>
      </c>
      <c r="C396" t="s">
        <v>32</v>
      </c>
      <c r="D396" s="3"/>
      <c r="E396" s="3">
        <v>0</v>
      </c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</row>
    <row r="397" spans="1:55">
      <c r="A397" s="1" t="str">
        <f>'Population Definitions'!$A$5</f>
        <v>0-9_females</v>
      </c>
      <c r="C397" t="s">
        <v>32</v>
      </c>
      <c r="D397" s="3"/>
      <c r="E397" s="3">
        <v>0</v>
      </c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</row>
    <row r="398" spans="1:55">
      <c r="A398" s="1" t="str">
        <f>'Population Definitions'!$A$6</f>
        <v>10-17_males</v>
      </c>
      <c r="C398" t="s">
        <v>32</v>
      </c>
      <c r="D398" s="3"/>
      <c r="E398" s="3">
        <v>0</v>
      </c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</row>
    <row r="399" spans="1:55">
      <c r="A399" s="1" t="str">
        <f>'Population Definitions'!$A$7</f>
        <v>10-17_females</v>
      </c>
      <c r="C399" t="s">
        <v>32</v>
      </c>
      <c r="D399" s="3"/>
      <c r="E399" s="3">
        <v>0</v>
      </c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</row>
    <row r="400" spans="1:55">
      <c r="A400" s="1" t="str">
        <f>'Population Definitions'!$A$8</f>
        <v>18-64_males</v>
      </c>
      <c r="C400" t="s">
        <v>32</v>
      </c>
      <c r="D400" s="3"/>
      <c r="E400" s="3">
        <v>0</v>
      </c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</row>
    <row r="401" spans="1:55">
      <c r="A401" s="1" t="str">
        <f>'Population Definitions'!$A$9</f>
        <v>18-64_females</v>
      </c>
      <c r="C401" t="s">
        <v>32</v>
      </c>
      <c r="D401" s="3"/>
      <c r="E401" s="3">
        <v>0</v>
      </c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</row>
    <row r="402" spans="1:55">
      <c r="A402" s="1" t="str">
        <f>'Population Definitions'!$A$10</f>
        <v>65+_males</v>
      </c>
      <c r="C402" t="s">
        <v>32</v>
      </c>
      <c r="D402" s="3"/>
      <c r="E402" s="3">
        <v>0</v>
      </c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</row>
    <row r="403" spans="1:55">
      <c r="A403" s="1" t="str">
        <f>'Population Definitions'!$A$11</f>
        <v>65+_females</v>
      </c>
      <c r="C403" t="s">
        <v>32</v>
      </c>
      <c r="D403" s="3"/>
      <c r="E403" s="3">
        <v>0</v>
      </c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</row>
    <row r="404" spans="1:55">
      <c r="A404" s="1" t="str">
        <f>'Population Definitions'!$A$12</f>
        <v>Prisoners_males</v>
      </c>
      <c r="C404" t="s">
        <v>32</v>
      </c>
      <c r="D404" s="3"/>
      <c r="E404" s="3">
        <v>0</v>
      </c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</row>
    <row r="405" spans="1:55">
      <c r="A405" s="1" t="str">
        <f>'Population Definitions'!$A$13</f>
        <v>Prisoners_females</v>
      </c>
      <c r="C405" t="s">
        <v>32</v>
      </c>
      <c r="D405" s="3"/>
      <c r="E405" s="3">
        <v>0</v>
      </c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</row>
    <row r="407" spans="1:55">
      <c r="A407" s="1" t="s">
        <v>155</v>
      </c>
      <c r="B407" s="1" t="s">
        <v>29</v>
      </c>
      <c r="C407" s="1" t="s">
        <v>30</v>
      </c>
      <c r="D407" s="1" t="s">
        <v>31</v>
      </c>
      <c r="E407" s="1">
        <v>2000</v>
      </c>
      <c r="F407" s="1">
        <v>2001</v>
      </c>
      <c r="G407" s="1">
        <v>2002</v>
      </c>
      <c r="H407" s="1">
        <v>2003</v>
      </c>
      <c r="I407" s="1">
        <v>2004</v>
      </c>
      <c r="J407" s="1">
        <v>2005</v>
      </c>
      <c r="K407" s="1">
        <v>2006</v>
      </c>
      <c r="L407" s="1">
        <v>2007</v>
      </c>
      <c r="M407" s="1">
        <v>2008</v>
      </c>
      <c r="N407" s="1">
        <v>2009</v>
      </c>
      <c r="O407" s="1">
        <v>2010</v>
      </c>
      <c r="P407" s="1">
        <v>2011</v>
      </c>
      <c r="Q407" s="1">
        <v>2012</v>
      </c>
      <c r="R407" s="1">
        <v>2013</v>
      </c>
      <c r="S407" s="1">
        <v>2014</v>
      </c>
      <c r="T407" s="1">
        <v>2015</v>
      </c>
      <c r="U407" s="1">
        <v>2016</v>
      </c>
      <c r="V407" s="1">
        <v>2017</v>
      </c>
      <c r="W407" s="1">
        <v>2018</v>
      </c>
      <c r="X407" s="1">
        <v>2019</v>
      </c>
      <c r="Y407" s="1">
        <v>2020</v>
      </c>
      <c r="Z407" s="1">
        <v>2021</v>
      </c>
      <c r="AA407" s="1">
        <v>2022</v>
      </c>
      <c r="AB407" s="1">
        <v>2023</v>
      </c>
      <c r="AC407" s="1">
        <v>2024</v>
      </c>
      <c r="AD407" s="1">
        <v>2025</v>
      </c>
      <c r="AE407" s="1">
        <v>2026</v>
      </c>
      <c r="AF407" s="1">
        <v>2027</v>
      </c>
      <c r="AG407" s="1">
        <v>2028</v>
      </c>
      <c r="AH407" s="1">
        <v>2029</v>
      </c>
      <c r="AI407" s="1">
        <v>2030</v>
      </c>
      <c r="AJ407" s="1">
        <v>2031</v>
      </c>
      <c r="AK407" s="1">
        <v>2032</v>
      </c>
      <c r="AL407" s="1">
        <v>2033</v>
      </c>
      <c r="AM407" s="1">
        <v>2034</v>
      </c>
      <c r="AN407" s="1">
        <v>2035</v>
      </c>
      <c r="AO407" s="1">
        <v>2036</v>
      </c>
      <c r="AP407" s="1">
        <v>2037</v>
      </c>
      <c r="AQ407" s="1">
        <v>2038</v>
      </c>
      <c r="AR407" s="1">
        <v>2039</v>
      </c>
      <c r="AS407" s="1">
        <v>2040</v>
      </c>
      <c r="AT407" s="1">
        <v>2041</v>
      </c>
      <c r="AU407" s="1">
        <v>2042</v>
      </c>
      <c r="AV407" s="1">
        <v>2043</v>
      </c>
      <c r="AW407" s="1">
        <v>2044</v>
      </c>
      <c r="AX407" s="1">
        <v>2045</v>
      </c>
      <c r="AY407" s="1">
        <v>2046</v>
      </c>
      <c r="AZ407" s="1">
        <v>2047</v>
      </c>
      <c r="BA407" s="1">
        <v>2048</v>
      </c>
      <c r="BB407" s="1">
        <v>2049</v>
      </c>
      <c r="BC407" s="1">
        <v>2050</v>
      </c>
    </row>
    <row r="408" spans="1:55">
      <c r="A408" s="1" t="str">
        <f>'Population Definitions'!$A$2</f>
        <v>PWID_males</v>
      </c>
      <c r="C408" t="s">
        <v>32</v>
      </c>
      <c r="D408" s="3"/>
      <c r="E408" s="3">
        <v>0</v>
      </c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</row>
    <row r="409" spans="1:55">
      <c r="A409" s="1" t="str">
        <f>'Population Definitions'!$A$3</f>
        <v>PWID_females</v>
      </c>
      <c r="C409" t="s">
        <v>32</v>
      </c>
      <c r="D409" s="3"/>
      <c r="E409" s="3">
        <v>0</v>
      </c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</row>
    <row r="410" spans="1:55">
      <c r="A410" s="1" t="str">
        <f>'Population Definitions'!$A$4</f>
        <v>0-9_males</v>
      </c>
      <c r="C410" t="s">
        <v>32</v>
      </c>
      <c r="D410" s="3"/>
      <c r="E410" s="3">
        <v>0</v>
      </c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</row>
    <row r="411" spans="1:55">
      <c r="A411" s="1" t="str">
        <f>'Population Definitions'!$A$5</f>
        <v>0-9_females</v>
      </c>
      <c r="C411" t="s">
        <v>32</v>
      </c>
      <c r="D411" s="3"/>
      <c r="E411" s="3">
        <v>0</v>
      </c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</row>
    <row r="412" spans="1:55">
      <c r="A412" s="1" t="str">
        <f>'Population Definitions'!$A$6</f>
        <v>10-17_males</v>
      </c>
      <c r="C412" t="s">
        <v>32</v>
      </c>
      <c r="D412" s="3"/>
      <c r="E412" s="3">
        <v>0</v>
      </c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</row>
    <row r="413" spans="1:55">
      <c r="A413" s="1" t="str">
        <f>'Population Definitions'!$A$7</f>
        <v>10-17_females</v>
      </c>
      <c r="C413" t="s">
        <v>32</v>
      </c>
      <c r="D413" s="3"/>
      <c r="E413" s="3">
        <v>0</v>
      </c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</row>
    <row r="414" spans="1:55">
      <c r="A414" s="1" t="str">
        <f>'Population Definitions'!$A$8</f>
        <v>18-64_males</v>
      </c>
      <c r="C414" t="s">
        <v>32</v>
      </c>
      <c r="D414" s="3"/>
      <c r="E414" s="3">
        <v>0</v>
      </c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</row>
    <row r="415" spans="1:55">
      <c r="A415" s="1" t="str">
        <f>'Population Definitions'!$A$9</f>
        <v>18-64_females</v>
      </c>
      <c r="C415" t="s">
        <v>32</v>
      </c>
      <c r="D415" s="3"/>
      <c r="E415" s="3">
        <v>0</v>
      </c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</row>
    <row r="416" spans="1:55">
      <c r="A416" s="1" t="str">
        <f>'Population Definitions'!$A$10</f>
        <v>65+_males</v>
      </c>
      <c r="C416" t="s">
        <v>32</v>
      </c>
      <c r="D416" s="3"/>
      <c r="E416" s="3">
        <v>0</v>
      </c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</row>
    <row r="417" spans="1:55">
      <c r="A417" s="1" t="str">
        <f>'Population Definitions'!$A$11</f>
        <v>65+_females</v>
      </c>
      <c r="C417" t="s">
        <v>32</v>
      </c>
      <c r="D417" s="3"/>
      <c r="E417" s="3">
        <v>0</v>
      </c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</row>
    <row r="418" spans="1:55">
      <c r="A418" s="1" t="str">
        <f>'Population Definitions'!$A$12</f>
        <v>Prisoners_males</v>
      </c>
      <c r="C418" t="s">
        <v>32</v>
      </c>
      <c r="D418" s="3"/>
      <c r="E418" s="3">
        <v>0</v>
      </c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</row>
    <row r="419" spans="1:55">
      <c r="A419" s="1" t="str">
        <f>'Population Definitions'!$A$13</f>
        <v>Prisoners_females</v>
      </c>
      <c r="C419" t="s">
        <v>32</v>
      </c>
      <c r="D419" s="3"/>
      <c r="E419" s="3">
        <v>0</v>
      </c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</row>
    <row r="421" spans="1:55">
      <c r="A421" s="1" t="s">
        <v>156</v>
      </c>
      <c r="B421" s="1" t="s">
        <v>29</v>
      </c>
      <c r="C421" s="1" t="s">
        <v>30</v>
      </c>
      <c r="D421" s="1" t="s">
        <v>31</v>
      </c>
      <c r="E421" s="1">
        <v>2000</v>
      </c>
      <c r="F421" s="1">
        <v>2001</v>
      </c>
      <c r="G421" s="1">
        <v>2002</v>
      </c>
      <c r="H421" s="1">
        <v>2003</v>
      </c>
      <c r="I421" s="1">
        <v>2004</v>
      </c>
      <c r="J421" s="1">
        <v>2005</v>
      </c>
      <c r="K421" s="1">
        <v>2006</v>
      </c>
      <c r="L421" s="1">
        <v>2007</v>
      </c>
      <c r="M421" s="1">
        <v>2008</v>
      </c>
      <c r="N421" s="1">
        <v>2009</v>
      </c>
      <c r="O421" s="1">
        <v>2010</v>
      </c>
      <c r="P421" s="1">
        <v>2011</v>
      </c>
      <c r="Q421" s="1">
        <v>2012</v>
      </c>
      <c r="R421" s="1">
        <v>2013</v>
      </c>
      <c r="S421" s="1">
        <v>2014</v>
      </c>
      <c r="T421" s="1">
        <v>2015</v>
      </c>
      <c r="U421" s="1">
        <v>2016</v>
      </c>
      <c r="V421" s="1">
        <v>2017</v>
      </c>
      <c r="W421" s="1">
        <v>2018</v>
      </c>
      <c r="X421" s="1">
        <v>2019</v>
      </c>
      <c r="Y421" s="1">
        <v>2020</v>
      </c>
      <c r="Z421" s="1">
        <v>2021</v>
      </c>
      <c r="AA421" s="1">
        <v>2022</v>
      </c>
      <c r="AB421" s="1">
        <v>2023</v>
      </c>
      <c r="AC421" s="1">
        <v>2024</v>
      </c>
      <c r="AD421" s="1">
        <v>2025</v>
      </c>
      <c r="AE421" s="1">
        <v>2026</v>
      </c>
      <c r="AF421" s="1">
        <v>2027</v>
      </c>
      <c r="AG421" s="1">
        <v>2028</v>
      </c>
      <c r="AH421" s="1">
        <v>2029</v>
      </c>
      <c r="AI421" s="1">
        <v>2030</v>
      </c>
      <c r="AJ421" s="1">
        <v>2031</v>
      </c>
      <c r="AK421" s="1">
        <v>2032</v>
      </c>
      <c r="AL421" s="1">
        <v>2033</v>
      </c>
      <c r="AM421" s="1">
        <v>2034</v>
      </c>
      <c r="AN421" s="1">
        <v>2035</v>
      </c>
      <c r="AO421" s="1">
        <v>2036</v>
      </c>
      <c r="AP421" s="1">
        <v>2037</v>
      </c>
      <c r="AQ421" s="1">
        <v>2038</v>
      </c>
      <c r="AR421" s="1">
        <v>2039</v>
      </c>
      <c r="AS421" s="1">
        <v>2040</v>
      </c>
      <c r="AT421" s="1">
        <v>2041</v>
      </c>
      <c r="AU421" s="1">
        <v>2042</v>
      </c>
      <c r="AV421" s="1">
        <v>2043</v>
      </c>
      <c r="AW421" s="1">
        <v>2044</v>
      </c>
      <c r="AX421" s="1">
        <v>2045</v>
      </c>
      <c r="AY421" s="1">
        <v>2046</v>
      </c>
      <c r="AZ421" s="1">
        <v>2047</v>
      </c>
      <c r="BA421" s="1">
        <v>2048</v>
      </c>
      <c r="BB421" s="1">
        <v>2049</v>
      </c>
      <c r="BC421" s="1">
        <v>2050</v>
      </c>
    </row>
    <row r="422" spans="1:55">
      <c r="A422" s="1" t="str">
        <f>'Population Definitions'!$A$2</f>
        <v>PWID_males</v>
      </c>
      <c r="C422" t="s">
        <v>32</v>
      </c>
      <c r="D422" s="3"/>
      <c r="E422" s="3">
        <v>0</v>
      </c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</row>
    <row r="423" spans="1:55">
      <c r="A423" s="1" t="str">
        <f>'Population Definitions'!$A$3</f>
        <v>PWID_females</v>
      </c>
      <c r="C423" t="s">
        <v>32</v>
      </c>
      <c r="D423" s="3"/>
      <c r="E423" s="3">
        <v>0</v>
      </c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</row>
    <row r="424" spans="1:55">
      <c r="A424" s="1" t="str">
        <f>'Population Definitions'!$A$4</f>
        <v>0-9_males</v>
      </c>
      <c r="C424" t="s">
        <v>32</v>
      </c>
      <c r="D424" s="3"/>
      <c r="E424" s="3">
        <v>0</v>
      </c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</row>
    <row r="425" spans="1:55">
      <c r="A425" s="1" t="str">
        <f>'Population Definitions'!$A$5</f>
        <v>0-9_females</v>
      </c>
      <c r="C425" t="s">
        <v>32</v>
      </c>
      <c r="D425" s="3"/>
      <c r="E425" s="3">
        <v>0</v>
      </c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</row>
    <row r="426" spans="1:55">
      <c r="A426" s="1" t="str">
        <f>'Population Definitions'!$A$6</f>
        <v>10-17_males</v>
      </c>
      <c r="C426" t="s">
        <v>32</v>
      </c>
      <c r="D426" s="3"/>
      <c r="E426" s="3">
        <v>0</v>
      </c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</row>
    <row r="427" spans="1:55">
      <c r="A427" s="1" t="str">
        <f>'Population Definitions'!$A$7</f>
        <v>10-17_females</v>
      </c>
      <c r="C427" t="s">
        <v>32</v>
      </c>
      <c r="D427" s="3"/>
      <c r="E427" s="3">
        <v>0</v>
      </c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</row>
    <row r="428" spans="1:55">
      <c r="A428" s="1" t="str">
        <f>'Population Definitions'!$A$8</f>
        <v>18-64_males</v>
      </c>
      <c r="C428" t="s">
        <v>32</v>
      </c>
      <c r="D428" s="3"/>
      <c r="E428" s="3">
        <v>0</v>
      </c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</row>
    <row r="429" spans="1:55">
      <c r="A429" s="1" t="str">
        <f>'Population Definitions'!$A$9</f>
        <v>18-64_females</v>
      </c>
      <c r="C429" t="s">
        <v>32</v>
      </c>
      <c r="D429" s="3"/>
      <c r="E429" s="3">
        <v>0</v>
      </c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</row>
    <row r="430" spans="1:55">
      <c r="A430" s="1" t="str">
        <f>'Population Definitions'!$A$10</f>
        <v>65+_males</v>
      </c>
      <c r="C430" t="s">
        <v>32</v>
      </c>
      <c r="D430" s="3"/>
      <c r="E430" s="3">
        <v>0</v>
      </c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</row>
    <row r="431" spans="1:55">
      <c r="A431" s="1" t="str">
        <f>'Population Definitions'!$A$11</f>
        <v>65+_females</v>
      </c>
      <c r="C431" t="s">
        <v>32</v>
      </c>
      <c r="D431" s="3"/>
      <c r="E431" s="3">
        <v>0</v>
      </c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</row>
    <row r="432" spans="1:55">
      <c r="A432" s="1" t="str">
        <f>'Population Definitions'!$A$12</f>
        <v>Prisoners_males</v>
      </c>
      <c r="C432" t="s">
        <v>32</v>
      </c>
      <c r="D432" s="3"/>
      <c r="E432" s="3">
        <v>0</v>
      </c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</row>
    <row r="433" spans="1:55">
      <c r="A433" s="1" t="str">
        <f>'Population Definitions'!$A$13</f>
        <v>Prisoners_females</v>
      </c>
      <c r="C433" t="s">
        <v>32</v>
      </c>
      <c r="D433" s="3"/>
      <c r="E433" s="3">
        <v>0</v>
      </c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</row>
    <row r="435" spans="1:55">
      <c r="A435" s="1" t="s">
        <v>157</v>
      </c>
      <c r="B435" s="1" t="s">
        <v>29</v>
      </c>
      <c r="C435" s="1" t="s">
        <v>30</v>
      </c>
      <c r="D435" s="1" t="s">
        <v>31</v>
      </c>
      <c r="E435" s="1">
        <v>2000</v>
      </c>
      <c r="F435" s="1">
        <v>2001</v>
      </c>
      <c r="G435" s="1">
        <v>2002</v>
      </c>
      <c r="H435" s="1">
        <v>2003</v>
      </c>
      <c r="I435" s="1">
        <v>2004</v>
      </c>
      <c r="J435" s="1">
        <v>2005</v>
      </c>
      <c r="K435" s="1">
        <v>2006</v>
      </c>
      <c r="L435" s="1">
        <v>2007</v>
      </c>
      <c r="M435" s="1">
        <v>2008</v>
      </c>
      <c r="N435" s="1">
        <v>2009</v>
      </c>
      <c r="O435" s="1">
        <v>2010</v>
      </c>
      <c r="P435" s="1">
        <v>2011</v>
      </c>
      <c r="Q435" s="1">
        <v>2012</v>
      </c>
      <c r="R435" s="1">
        <v>2013</v>
      </c>
      <c r="S435" s="1">
        <v>2014</v>
      </c>
      <c r="T435" s="1">
        <v>2015</v>
      </c>
      <c r="U435" s="1">
        <v>2016</v>
      </c>
      <c r="V435" s="1">
        <v>2017</v>
      </c>
      <c r="W435" s="1">
        <v>2018</v>
      </c>
      <c r="X435" s="1">
        <v>2019</v>
      </c>
      <c r="Y435" s="1">
        <v>2020</v>
      </c>
      <c r="Z435" s="1">
        <v>2021</v>
      </c>
      <c r="AA435" s="1">
        <v>2022</v>
      </c>
      <c r="AB435" s="1">
        <v>2023</v>
      </c>
      <c r="AC435" s="1">
        <v>2024</v>
      </c>
      <c r="AD435" s="1">
        <v>2025</v>
      </c>
      <c r="AE435" s="1">
        <v>2026</v>
      </c>
      <c r="AF435" s="1">
        <v>2027</v>
      </c>
      <c r="AG435" s="1">
        <v>2028</v>
      </c>
      <c r="AH435" s="1">
        <v>2029</v>
      </c>
      <c r="AI435" s="1">
        <v>2030</v>
      </c>
      <c r="AJ435" s="1">
        <v>2031</v>
      </c>
      <c r="AK435" s="1">
        <v>2032</v>
      </c>
      <c r="AL435" s="1">
        <v>2033</v>
      </c>
      <c r="AM435" s="1">
        <v>2034</v>
      </c>
      <c r="AN435" s="1">
        <v>2035</v>
      </c>
      <c r="AO435" s="1">
        <v>2036</v>
      </c>
      <c r="AP435" s="1">
        <v>2037</v>
      </c>
      <c r="AQ435" s="1">
        <v>2038</v>
      </c>
      <c r="AR435" s="1">
        <v>2039</v>
      </c>
      <c r="AS435" s="1">
        <v>2040</v>
      </c>
      <c r="AT435" s="1">
        <v>2041</v>
      </c>
      <c r="AU435" s="1">
        <v>2042</v>
      </c>
      <c r="AV435" s="1">
        <v>2043</v>
      </c>
      <c r="AW435" s="1">
        <v>2044</v>
      </c>
      <c r="AX435" s="1">
        <v>2045</v>
      </c>
      <c r="AY435" s="1">
        <v>2046</v>
      </c>
      <c r="AZ435" s="1">
        <v>2047</v>
      </c>
      <c r="BA435" s="1">
        <v>2048</v>
      </c>
      <c r="BB435" s="1">
        <v>2049</v>
      </c>
      <c r="BC435" s="1">
        <v>2050</v>
      </c>
    </row>
    <row r="436" spans="1:55">
      <c r="A436" s="1" t="str">
        <f>'Population Definitions'!$A$2</f>
        <v>PWID_males</v>
      </c>
      <c r="C436" t="s">
        <v>32</v>
      </c>
      <c r="D436" s="3"/>
      <c r="E436" s="3">
        <v>0</v>
      </c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</row>
    <row r="437" spans="1:55">
      <c r="A437" s="1" t="str">
        <f>'Population Definitions'!$A$3</f>
        <v>PWID_females</v>
      </c>
      <c r="C437" t="s">
        <v>32</v>
      </c>
      <c r="D437" s="3"/>
      <c r="E437" s="3">
        <v>0</v>
      </c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</row>
    <row r="438" spans="1:55">
      <c r="A438" s="1" t="str">
        <f>'Population Definitions'!$A$4</f>
        <v>0-9_males</v>
      </c>
      <c r="C438" t="s">
        <v>32</v>
      </c>
      <c r="D438" s="3"/>
      <c r="E438" s="3">
        <v>0</v>
      </c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</row>
    <row r="439" spans="1:55">
      <c r="A439" s="1" t="str">
        <f>'Population Definitions'!$A$5</f>
        <v>0-9_females</v>
      </c>
      <c r="C439" t="s">
        <v>32</v>
      </c>
      <c r="D439" s="3"/>
      <c r="E439" s="3">
        <v>0</v>
      </c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</row>
    <row r="440" spans="1:55">
      <c r="A440" s="1" t="str">
        <f>'Population Definitions'!$A$6</f>
        <v>10-17_males</v>
      </c>
      <c r="C440" t="s">
        <v>32</v>
      </c>
      <c r="D440" s="3"/>
      <c r="E440" s="3">
        <v>0</v>
      </c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</row>
    <row r="441" spans="1:55">
      <c r="A441" s="1" t="str">
        <f>'Population Definitions'!$A$7</f>
        <v>10-17_females</v>
      </c>
      <c r="C441" t="s">
        <v>32</v>
      </c>
      <c r="D441" s="3"/>
      <c r="E441" s="3">
        <v>0</v>
      </c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</row>
    <row r="442" spans="1:55">
      <c r="A442" s="1" t="str">
        <f>'Population Definitions'!$A$8</f>
        <v>18-64_males</v>
      </c>
      <c r="C442" t="s">
        <v>32</v>
      </c>
      <c r="D442" s="3"/>
      <c r="E442" s="3">
        <v>0</v>
      </c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</row>
    <row r="443" spans="1:55">
      <c r="A443" s="1" t="str">
        <f>'Population Definitions'!$A$9</f>
        <v>18-64_females</v>
      </c>
      <c r="C443" t="s">
        <v>32</v>
      </c>
      <c r="D443" s="3"/>
      <c r="E443" s="3">
        <v>0</v>
      </c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</row>
    <row r="444" spans="1:55">
      <c r="A444" s="1" t="str">
        <f>'Population Definitions'!$A$10</f>
        <v>65+_males</v>
      </c>
      <c r="C444" t="s">
        <v>32</v>
      </c>
      <c r="D444" s="3"/>
      <c r="E444" s="3">
        <v>0</v>
      </c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</row>
    <row r="445" spans="1:55">
      <c r="A445" s="1" t="str">
        <f>'Population Definitions'!$A$11</f>
        <v>65+_females</v>
      </c>
      <c r="C445" t="s">
        <v>32</v>
      </c>
      <c r="D445" s="3"/>
      <c r="E445" s="3">
        <v>0</v>
      </c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</row>
    <row r="446" spans="1:55">
      <c r="A446" s="1" t="str">
        <f>'Population Definitions'!$A$12</f>
        <v>Prisoners_males</v>
      </c>
      <c r="C446" t="s">
        <v>32</v>
      </c>
      <c r="D446" s="3"/>
      <c r="E446" s="3">
        <v>0</v>
      </c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</row>
    <row r="447" spans="1:55">
      <c r="A447" s="1" t="str">
        <f>'Population Definitions'!$A$13</f>
        <v>Prisoners_females</v>
      </c>
      <c r="C447" t="s">
        <v>32</v>
      </c>
      <c r="D447" s="3"/>
      <c r="E447" s="3">
        <v>0</v>
      </c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</row>
    <row r="449" spans="1:55">
      <c r="A449" s="1" t="s">
        <v>158</v>
      </c>
      <c r="B449" s="1" t="s">
        <v>29</v>
      </c>
      <c r="C449" s="1" t="s">
        <v>30</v>
      </c>
      <c r="D449" s="1" t="s">
        <v>31</v>
      </c>
      <c r="E449" s="1">
        <v>2000</v>
      </c>
      <c r="F449" s="1">
        <v>2001</v>
      </c>
      <c r="G449" s="1">
        <v>2002</v>
      </c>
      <c r="H449" s="1">
        <v>2003</v>
      </c>
      <c r="I449" s="1">
        <v>2004</v>
      </c>
      <c r="J449" s="1">
        <v>2005</v>
      </c>
      <c r="K449" s="1">
        <v>2006</v>
      </c>
      <c r="L449" s="1">
        <v>2007</v>
      </c>
      <c r="M449" s="1">
        <v>2008</v>
      </c>
      <c r="N449" s="1">
        <v>2009</v>
      </c>
      <c r="O449" s="1">
        <v>2010</v>
      </c>
      <c r="P449" s="1">
        <v>2011</v>
      </c>
      <c r="Q449" s="1">
        <v>2012</v>
      </c>
      <c r="R449" s="1">
        <v>2013</v>
      </c>
      <c r="S449" s="1">
        <v>2014</v>
      </c>
      <c r="T449" s="1">
        <v>2015</v>
      </c>
      <c r="U449" s="1">
        <v>2016</v>
      </c>
      <c r="V449" s="1">
        <v>2017</v>
      </c>
      <c r="W449" s="1">
        <v>2018</v>
      </c>
      <c r="X449" s="1">
        <v>2019</v>
      </c>
      <c r="Y449" s="1">
        <v>2020</v>
      </c>
      <c r="Z449" s="1">
        <v>2021</v>
      </c>
      <c r="AA449" s="1">
        <v>2022</v>
      </c>
      <c r="AB449" s="1">
        <v>2023</v>
      </c>
      <c r="AC449" s="1">
        <v>2024</v>
      </c>
      <c r="AD449" s="1">
        <v>2025</v>
      </c>
      <c r="AE449" s="1">
        <v>2026</v>
      </c>
      <c r="AF449" s="1">
        <v>2027</v>
      </c>
      <c r="AG449" s="1">
        <v>2028</v>
      </c>
      <c r="AH449" s="1">
        <v>2029</v>
      </c>
      <c r="AI449" s="1">
        <v>2030</v>
      </c>
      <c r="AJ449" s="1">
        <v>2031</v>
      </c>
      <c r="AK449" s="1">
        <v>2032</v>
      </c>
      <c r="AL449" s="1">
        <v>2033</v>
      </c>
      <c r="AM449" s="1">
        <v>2034</v>
      </c>
      <c r="AN449" s="1">
        <v>2035</v>
      </c>
      <c r="AO449" s="1">
        <v>2036</v>
      </c>
      <c r="AP449" s="1">
        <v>2037</v>
      </c>
      <c r="AQ449" s="1">
        <v>2038</v>
      </c>
      <c r="AR449" s="1">
        <v>2039</v>
      </c>
      <c r="AS449" s="1">
        <v>2040</v>
      </c>
      <c r="AT449" s="1">
        <v>2041</v>
      </c>
      <c r="AU449" s="1">
        <v>2042</v>
      </c>
      <c r="AV449" s="1">
        <v>2043</v>
      </c>
      <c r="AW449" s="1">
        <v>2044</v>
      </c>
      <c r="AX449" s="1">
        <v>2045</v>
      </c>
      <c r="AY449" s="1">
        <v>2046</v>
      </c>
      <c r="AZ449" s="1">
        <v>2047</v>
      </c>
      <c r="BA449" s="1">
        <v>2048</v>
      </c>
      <c r="BB449" s="1">
        <v>2049</v>
      </c>
      <c r="BC449" s="1">
        <v>2050</v>
      </c>
    </row>
    <row r="450" spans="1:55">
      <c r="A450" s="1" t="str">
        <f>'Population Definitions'!$A$2</f>
        <v>PWID_males</v>
      </c>
      <c r="C450" t="s">
        <v>32</v>
      </c>
      <c r="D450" s="3"/>
      <c r="E450" s="3">
        <v>0</v>
      </c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</row>
    <row r="451" spans="1:55">
      <c r="A451" s="1" t="str">
        <f>'Population Definitions'!$A$3</f>
        <v>PWID_females</v>
      </c>
      <c r="C451" t="s">
        <v>32</v>
      </c>
      <c r="D451" s="3"/>
      <c r="E451" s="3">
        <v>0</v>
      </c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</row>
    <row r="452" spans="1:55">
      <c r="A452" s="1" t="str">
        <f>'Population Definitions'!$A$4</f>
        <v>0-9_males</v>
      </c>
      <c r="C452" t="s">
        <v>32</v>
      </c>
      <c r="D452" s="3"/>
      <c r="E452" s="3">
        <v>0</v>
      </c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</row>
    <row r="453" spans="1:55">
      <c r="A453" s="1" t="str">
        <f>'Population Definitions'!$A$5</f>
        <v>0-9_females</v>
      </c>
      <c r="C453" t="s">
        <v>32</v>
      </c>
      <c r="D453" s="3"/>
      <c r="E453" s="3">
        <v>0</v>
      </c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</row>
    <row r="454" spans="1:55">
      <c r="A454" s="1" t="str">
        <f>'Population Definitions'!$A$6</f>
        <v>10-17_males</v>
      </c>
      <c r="C454" t="s">
        <v>32</v>
      </c>
      <c r="D454" s="3"/>
      <c r="E454" s="3">
        <v>0</v>
      </c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</row>
    <row r="455" spans="1:55">
      <c r="A455" s="1" t="str">
        <f>'Population Definitions'!$A$7</f>
        <v>10-17_females</v>
      </c>
      <c r="C455" t="s">
        <v>32</v>
      </c>
      <c r="D455" s="3"/>
      <c r="E455" s="3">
        <v>0</v>
      </c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</row>
    <row r="456" spans="1:55">
      <c r="A456" s="1" t="str">
        <f>'Population Definitions'!$A$8</f>
        <v>18-64_males</v>
      </c>
      <c r="C456" t="s">
        <v>32</v>
      </c>
      <c r="D456" s="3"/>
      <c r="E456" s="3">
        <v>0</v>
      </c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</row>
    <row r="457" spans="1:55">
      <c r="A457" s="1" t="str">
        <f>'Population Definitions'!$A$9</f>
        <v>18-64_females</v>
      </c>
      <c r="C457" t="s">
        <v>32</v>
      </c>
      <c r="D457" s="3"/>
      <c r="E457" s="3">
        <v>0</v>
      </c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</row>
    <row r="458" spans="1:55">
      <c r="A458" s="1" t="str">
        <f>'Population Definitions'!$A$10</f>
        <v>65+_males</v>
      </c>
      <c r="C458" t="s">
        <v>32</v>
      </c>
      <c r="D458" s="3"/>
      <c r="E458" s="3">
        <v>0</v>
      </c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</row>
    <row r="459" spans="1:55">
      <c r="A459" s="1" t="str">
        <f>'Population Definitions'!$A$11</f>
        <v>65+_females</v>
      </c>
      <c r="C459" t="s">
        <v>32</v>
      </c>
      <c r="D459" s="3"/>
      <c r="E459" s="3">
        <v>0</v>
      </c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</row>
    <row r="460" spans="1:55">
      <c r="A460" s="1" t="str">
        <f>'Population Definitions'!$A$12</f>
        <v>Prisoners_males</v>
      </c>
      <c r="C460" t="s">
        <v>32</v>
      </c>
      <c r="D460" s="3"/>
      <c r="E460" s="3">
        <v>0</v>
      </c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</row>
    <row r="461" spans="1:55">
      <c r="A461" s="1" t="str">
        <f>'Population Definitions'!$A$13</f>
        <v>Prisoners_females</v>
      </c>
      <c r="C461" t="s">
        <v>32</v>
      </c>
      <c r="D461" s="3"/>
      <c r="E461" s="3">
        <v>0</v>
      </c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</row>
    <row r="463" spans="1:55">
      <c r="A463" s="1" t="s">
        <v>159</v>
      </c>
      <c r="B463" s="1" t="s">
        <v>29</v>
      </c>
      <c r="C463" s="1" t="s">
        <v>30</v>
      </c>
      <c r="D463" s="1" t="s">
        <v>31</v>
      </c>
      <c r="E463" s="1">
        <v>2000</v>
      </c>
      <c r="F463" s="1">
        <v>2001</v>
      </c>
      <c r="G463" s="1">
        <v>2002</v>
      </c>
      <c r="H463" s="1">
        <v>2003</v>
      </c>
      <c r="I463" s="1">
        <v>2004</v>
      </c>
      <c r="J463" s="1">
        <v>2005</v>
      </c>
      <c r="K463" s="1">
        <v>2006</v>
      </c>
      <c r="L463" s="1">
        <v>2007</v>
      </c>
      <c r="M463" s="1">
        <v>2008</v>
      </c>
      <c r="N463" s="1">
        <v>2009</v>
      </c>
      <c r="O463" s="1">
        <v>2010</v>
      </c>
      <c r="P463" s="1">
        <v>2011</v>
      </c>
      <c r="Q463" s="1">
        <v>2012</v>
      </c>
      <c r="R463" s="1">
        <v>2013</v>
      </c>
      <c r="S463" s="1">
        <v>2014</v>
      </c>
      <c r="T463" s="1">
        <v>2015</v>
      </c>
      <c r="U463" s="1">
        <v>2016</v>
      </c>
      <c r="V463" s="1">
        <v>2017</v>
      </c>
      <c r="W463" s="1">
        <v>2018</v>
      </c>
      <c r="X463" s="1">
        <v>2019</v>
      </c>
      <c r="Y463" s="1">
        <v>2020</v>
      </c>
      <c r="Z463" s="1">
        <v>2021</v>
      </c>
      <c r="AA463" s="1">
        <v>2022</v>
      </c>
      <c r="AB463" s="1">
        <v>2023</v>
      </c>
      <c r="AC463" s="1">
        <v>2024</v>
      </c>
      <c r="AD463" s="1">
        <v>2025</v>
      </c>
      <c r="AE463" s="1">
        <v>2026</v>
      </c>
      <c r="AF463" s="1">
        <v>2027</v>
      </c>
      <c r="AG463" s="1">
        <v>2028</v>
      </c>
      <c r="AH463" s="1">
        <v>2029</v>
      </c>
      <c r="AI463" s="1">
        <v>2030</v>
      </c>
      <c r="AJ463" s="1">
        <v>2031</v>
      </c>
      <c r="AK463" s="1">
        <v>2032</v>
      </c>
      <c r="AL463" s="1">
        <v>2033</v>
      </c>
      <c r="AM463" s="1">
        <v>2034</v>
      </c>
      <c r="AN463" s="1">
        <v>2035</v>
      </c>
      <c r="AO463" s="1">
        <v>2036</v>
      </c>
      <c r="AP463" s="1">
        <v>2037</v>
      </c>
      <c r="AQ463" s="1">
        <v>2038</v>
      </c>
      <c r="AR463" s="1">
        <v>2039</v>
      </c>
      <c r="AS463" s="1">
        <v>2040</v>
      </c>
      <c r="AT463" s="1">
        <v>2041</v>
      </c>
      <c r="AU463" s="1">
        <v>2042</v>
      </c>
      <c r="AV463" s="1">
        <v>2043</v>
      </c>
      <c r="AW463" s="1">
        <v>2044</v>
      </c>
      <c r="AX463" s="1">
        <v>2045</v>
      </c>
      <c r="AY463" s="1">
        <v>2046</v>
      </c>
      <c r="AZ463" s="1">
        <v>2047</v>
      </c>
      <c r="BA463" s="1">
        <v>2048</v>
      </c>
      <c r="BB463" s="1">
        <v>2049</v>
      </c>
      <c r="BC463" s="1">
        <v>2050</v>
      </c>
    </row>
    <row r="464" spans="1:55">
      <c r="A464" s="1" t="str">
        <f>'Population Definitions'!$A$2</f>
        <v>PWID_males</v>
      </c>
      <c r="C464" t="s">
        <v>32</v>
      </c>
      <c r="D464" s="3"/>
      <c r="E464" s="3">
        <v>0</v>
      </c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</row>
    <row r="465" spans="1:55">
      <c r="A465" s="1" t="str">
        <f>'Population Definitions'!$A$3</f>
        <v>PWID_females</v>
      </c>
      <c r="C465" t="s">
        <v>32</v>
      </c>
      <c r="D465" s="3"/>
      <c r="E465" s="3">
        <v>0</v>
      </c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</row>
    <row r="466" spans="1:55">
      <c r="A466" s="1" t="str">
        <f>'Population Definitions'!$A$4</f>
        <v>0-9_males</v>
      </c>
      <c r="C466" t="s">
        <v>32</v>
      </c>
      <c r="D466" s="3"/>
      <c r="E466" s="3">
        <v>0</v>
      </c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</row>
    <row r="467" spans="1:55">
      <c r="A467" s="1" t="str">
        <f>'Population Definitions'!$A$5</f>
        <v>0-9_females</v>
      </c>
      <c r="C467" t="s">
        <v>32</v>
      </c>
      <c r="D467" s="3"/>
      <c r="E467" s="3">
        <v>0</v>
      </c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</row>
    <row r="468" spans="1:55">
      <c r="A468" s="1" t="str">
        <f>'Population Definitions'!$A$6</f>
        <v>10-17_males</v>
      </c>
      <c r="C468" t="s">
        <v>32</v>
      </c>
      <c r="D468" s="3"/>
      <c r="E468" s="3">
        <v>0</v>
      </c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</row>
    <row r="469" spans="1:55">
      <c r="A469" s="1" t="str">
        <f>'Population Definitions'!$A$7</f>
        <v>10-17_females</v>
      </c>
      <c r="C469" t="s">
        <v>32</v>
      </c>
      <c r="D469" s="3"/>
      <c r="E469" s="3">
        <v>0</v>
      </c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</row>
    <row r="470" spans="1:55">
      <c r="A470" s="1" t="str">
        <f>'Population Definitions'!$A$8</f>
        <v>18-64_males</v>
      </c>
      <c r="C470" t="s">
        <v>32</v>
      </c>
      <c r="D470" s="3"/>
      <c r="E470" s="3">
        <v>2838.433096138718</v>
      </c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</row>
    <row r="471" spans="1:55">
      <c r="A471" s="1" t="str">
        <f>'Population Definitions'!$A$9</f>
        <v>18-64_females</v>
      </c>
      <c r="C471" t="s">
        <v>32</v>
      </c>
      <c r="D471" s="3"/>
      <c r="E471" s="3">
        <v>2825.521065357541</v>
      </c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</row>
    <row r="472" spans="1:55">
      <c r="A472" s="1" t="str">
        <f>'Population Definitions'!$A$10</f>
        <v>65+_males</v>
      </c>
      <c r="C472" t="s">
        <v>32</v>
      </c>
      <c r="D472" s="3"/>
      <c r="E472" s="3">
        <v>145.7916699279741</v>
      </c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</row>
    <row r="473" spans="1:55">
      <c r="A473" s="1" t="str">
        <f>'Population Definitions'!$A$11</f>
        <v>65+_females</v>
      </c>
      <c r="C473" t="s">
        <v>32</v>
      </c>
      <c r="D473" s="3"/>
      <c r="E473" s="3">
        <v>142.7820225897181</v>
      </c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</row>
    <row r="474" spans="1:55">
      <c r="A474" s="1" t="str">
        <f>'Population Definitions'!$A$12</f>
        <v>Prisoners_males</v>
      </c>
      <c r="C474" t="s">
        <v>32</v>
      </c>
      <c r="D474" s="3"/>
      <c r="E474" s="3">
        <v>0.5033999751919346</v>
      </c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</row>
    <row r="475" spans="1:55">
      <c r="A475" s="1" t="str">
        <f>'Population Definitions'!$A$13</f>
        <v>Prisoners_females</v>
      </c>
      <c r="C475" t="s">
        <v>32</v>
      </c>
      <c r="D475" s="3"/>
      <c r="E475" s="3">
        <v>0.04496601085592442</v>
      </c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</row>
    <row r="477" spans="1:55">
      <c r="A477" s="1" t="s">
        <v>160</v>
      </c>
      <c r="B477" s="1" t="s">
        <v>29</v>
      </c>
      <c r="C477" s="1" t="s">
        <v>30</v>
      </c>
      <c r="D477" s="1" t="s">
        <v>31</v>
      </c>
      <c r="E477" s="1">
        <v>2000</v>
      </c>
      <c r="F477" s="1">
        <v>2001</v>
      </c>
      <c r="G477" s="1">
        <v>2002</v>
      </c>
      <c r="H477" s="1">
        <v>2003</v>
      </c>
      <c r="I477" s="1">
        <v>2004</v>
      </c>
      <c r="J477" s="1">
        <v>2005</v>
      </c>
      <c r="K477" s="1">
        <v>2006</v>
      </c>
      <c r="L477" s="1">
        <v>2007</v>
      </c>
      <c r="M477" s="1">
        <v>2008</v>
      </c>
      <c r="N477" s="1">
        <v>2009</v>
      </c>
      <c r="O477" s="1">
        <v>2010</v>
      </c>
      <c r="P477" s="1">
        <v>2011</v>
      </c>
      <c r="Q477" s="1">
        <v>2012</v>
      </c>
      <c r="R477" s="1">
        <v>2013</v>
      </c>
      <c r="S477" s="1">
        <v>2014</v>
      </c>
      <c r="T477" s="1">
        <v>2015</v>
      </c>
      <c r="U477" s="1">
        <v>2016</v>
      </c>
      <c r="V477" s="1">
        <v>2017</v>
      </c>
      <c r="W477" s="1">
        <v>2018</v>
      </c>
      <c r="X477" s="1">
        <v>2019</v>
      </c>
      <c r="Y477" s="1">
        <v>2020</v>
      </c>
      <c r="Z477" s="1">
        <v>2021</v>
      </c>
      <c r="AA477" s="1">
        <v>2022</v>
      </c>
      <c r="AB477" s="1">
        <v>2023</v>
      </c>
      <c r="AC477" s="1">
        <v>2024</v>
      </c>
      <c r="AD477" s="1">
        <v>2025</v>
      </c>
      <c r="AE477" s="1">
        <v>2026</v>
      </c>
      <c r="AF477" s="1">
        <v>2027</v>
      </c>
      <c r="AG477" s="1">
        <v>2028</v>
      </c>
      <c r="AH477" s="1">
        <v>2029</v>
      </c>
      <c r="AI477" s="1">
        <v>2030</v>
      </c>
      <c r="AJ477" s="1">
        <v>2031</v>
      </c>
      <c r="AK477" s="1">
        <v>2032</v>
      </c>
      <c r="AL477" s="1">
        <v>2033</v>
      </c>
      <c r="AM477" s="1">
        <v>2034</v>
      </c>
      <c r="AN477" s="1">
        <v>2035</v>
      </c>
      <c r="AO477" s="1">
        <v>2036</v>
      </c>
      <c r="AP477" s="1">
        <v>2037</v>
      </c>
      <c r="AQ477" s="1">
        <v>2038</v>
      </c>
      <c r="AR477" s="1">
        <v>2039</v>
      </c>
      <c r="AS477" s="1">
        <v>2040</v>
      </c>
      <c r="AT477" s="1">
        <v>2041</v>
      </c>
      <c r="AU477" s="1">
        <v>2042</v>
      </c>
      <c r="AV477" s="1">
        <v>2043</v>
      </c>
      <c r="AW477" s="1">
        <v>2044</v>
      </c>
      <c r="AX477" s="1">
        <v>2045</v>
      </c>
      <c r="AY477" s="1">
        <v>2046</v>
      </c>
      <c r="AZ477" s="1">
        <v>2047</v>
      </c>
      <c r="BA477" s="1">
        <v>2048</v>
      </c>
      <c r="BB477" s="1">
        <v>2049</v>
      </c>
      <c r="BC477" s="1">
        <v>2050</v>
      </c>
    </row>
    <row r="478" spans="1:55">
      <c r="A478" s="1" t="str">
        <f>'Population Definitions'!$A$2</f>
        <v>PWID_males</v>
      </c>
      <c r="C478" t="s">
        <v>32</v>
      </c>
      <c r="D478" s="3"/>
      <c r="E478" s="3">
        <v>0</v>
      </c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</row>
    <row r="479" spans="1:55">
      <c r="A479" s="1" t="str">
        <f>'Population Definitions'!$A$3</f>
        <v>PWID_females</v>
      </c>
      <c r="C479" t="s">
        <v>32</v>
      </c>
      <c r="D479" s="3"/>
      <c r="E479" s="3">
        <v>0</v>
      </c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</row>
    <row r="480" spans="1:55">
      <c r="A480" s="1" t="str">
        <f>'Population Definitions'!$A$4</f>
        <v>0-9_males</v>
      </c>
      <c r="C480" t="s">
        <v>32</v>
      </c>
      <c r="D480" s="3"/>
      <c r="E480" s="3">
        <v>0</v>
      </c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</row>
    <row r="481" spans="1:55">
      <c r="A481" s="1" t="str">
        <f>'Population Definitions'!$A$5</f>
        <v>0-9_females</v>
      </c>
      <c r="C481" t="s">
        <v>32</v>
      </c>
      <c r="D481" s="3"/>
      <c r="E481" s="3">
        <v>0</v>
      </c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</row>
    <row r="482" spans="1:55">
      <c r="A482" s="1" t="str">
        <f>'Population Definitions'!$A$6</f>
        <v>10-17_males</v>
      </c>
      <c r="C482" t="s">
        <v>32</v>
      </c>
      <c r="D482" s="3"/>
      <c r="E482" s="3">
        <v>0</v>
      </c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</row>
    <row r="483" spans="1:55">
      <c r="A483" s="1" t="str">
        <f>'Population Definitions'!$A$7</f>
        <v>10-17_females</v>
      </c>
      <c r="C483" t="s">
        <v>32</v>
      </c>
      <c r="D483" s="3"/>
      <c r="E483" s="3">
        <v>0</v>
      </c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</row>
    <row r="484" spans="1:55">
      <c r="A484" s="1" t="str">
        <f>'Population Definitions'!$A$8</f>
        <v>18-64_males</v>
      </c>
      <c r="C484" t="s">
        <v>32</v>
      </c>
      <c r="D484" s="3"/>
      <c r="E484" s="3">
        <v>2838.433096138718</v>
      </c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</row>
    <row r="485" spans="1:55">
      <c r="A485" s="1" t="str">
        <f>'Population Definitions'!$A$9</f>
        <v>18-64_females</v>
      </c>
      <c r="C485" t="s">
        <v>32</v>
      </c>
      <c r="D485" s="3"/>
      <c r="E485" s="3">
        <v>2825.521065357541</v>
      </c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</row>
    <row r="486" spans="1:55">
      <c r="A486" s="1" t="str">
        <f>'Population Definitions'!$A$10</f>
        <v>65+_males</v>
      </c>
      <c r="C486" t="s">
        <v>32</v>
      </c>
      <c r="D486" s="3"/>
      <c r="E486" s="3">
        <v>145.7916699279741</v>
      </c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</row>
    <row r="487" spans="1:55">
      <c r="A487" s="1" t="str">
        <f>'Population Definitions'!$A$11</f>
        <v>65+_females</v>
      </c>
      <c r="C487" t="s">
        <v>32</v>
      </c>
      <c r="D487" s="3"/>
      <c r="E487" s="3">
        <v>142.7820225897181</v>
      </c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</row>
    <row r="488" spans="1:55">
      <c r="A488" s="1" t="str">
        <f>'Population Definitions'!$A$12</f>
        <v>Prisoners_males</v>
      </c>
      <c r="C488" t="s">
        <v>32</v>
      </c>
      <c r="D488" s="3"/>
      <c r="E488" s="3">
        <v>0.5033999751919346</v>
      </c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</row>
    <row r="489" spans="1:55">
      <c r="A489" s="1" t="str">
        <f>'Population Definitions'!$A$13</f>
        <v>Prisoners_females</v>
      </c>
      <c r="C489" t="s">
        <v>32</v>
      </c>
      <c r="D489" s="3"/>
      <c r="E489" s="3">
        <v>0.04496601085592442</v>
      </c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</row>
    <row r="491" spans="1:55">
      <c r="A491" s="1" t="s">
        <v>161</v>
      </c>
      <c r="B491" s="1" t="s">
        <v>29</v>
      </c>
      <c r="C491" s="1" t="s">
        <v>30</v>
      </c>
      <c r="D491" s="1" t="s">
        <v>31</v>
      </c>
      <c r="E491" s="1">
        <v>2000</v>
      </c>
      <c r="F491" s="1">
        <v>2001</v>
      </c>
      <c r="G491" s="1">
        <v>2002</v>
      </c>
      <c r="H491" s="1">
        <v>2003</v>
      </c>
      <c r="I491" s="1">
        <v>2004</v>
      </c>
      <c r="J491" s="1">
        <v>2005</v>
      </c>
      <c r="K491" s="1">
        <v>2006</v>
      </c>
      <c r="L491" s="1">
        <v>2007</v>
      </c>
      <c r="M491" s="1">
        <v>2008</v>
      </c>
      <c r="N491" s="1">
        <v>2009</v>
      </c>
      <c r="O491" s="1">
        <v>2010</v>
      </c>
      <c r="P491" s="1">
        <v>2011</v>
      </c>
      <c r="Q491" s="1">
        <v>2012</v>
      </c>
      <c r="R491" s="1">
        <v>2013</v>
      </c>
      <c r="S491" s="1">
        <v>2014</v>
      </c>
      <c r="T491" s="1">
        <v>2015</v>
      </c>
      <c r="U491" s="1">
        <v>2016</v>
      </c>
      <c r="V491" s="1">
        <v>2017</v>
      </c>
      <c r="W491" s="1">
        <v>2018</v>
      </c>
      <c r="X491" s="1">
        <v>2019</v>
      </c>
      <c r="Y491" s="1">
        <v>2020</v>
      </c>
      <c r="Z491" s="1">
        <v>2021</v>
      </c>
      <c r="AA491" s="1">
        <v>2022</v>
      </c>
      <c r="AB491" s="1">
        <v>2023</v>
      </c>
      <c r="AC491" s="1">
        <v>2024</v>
      </c>
      <c r="AD491" s="1">
        <v>2025</v>
      </c>
      <c r="AE491" s="1">
        <v>2026</v>
      </c>
      <c r="AF491" s="1">
        <v>2027</v>
      </c>
      <c r="AG491" s="1">
        <v>2028</v>
      </c>
      <c r="AH491" s="1">
        <v>2029</v>
      </c>
      <c r="AI491" s="1">
        <v>2030</v>
      </c>
      <c r="AJ491" s="1">
        <v>2031</v>
      </c>
      <c r="AK491" s="1">
        <v>2032</v>
      </c>
      <c r="AL491" s="1">
        <v>2033</v>
      </c>
      <c r="AM491" s="1">
        <v>2034</v>
      </c>
      <c r="AN491" s="1">
        <v>2035</v>
      </c>
      <c r="AO491" s="1">
        <v>2036</v>
      </c>
      <c r="AP491" s="1">
        <v>2037</v>
      </c>
      <c r="AQ491" s="1">
        <v>2038</v>
      </c>
      <c r="AR491" s="1">
        <v>2039</v>
      </c>
      <c r="AS491" s="1">
        <v>2040</v>
      </c>
      <c r="AT491" s="1">
        <v>2041</v>
      </c>
      <c r="AU491" s="1">
        <v>2042</v>
      </c>
      <c r="AV491" s="1">
        <v>2043</v>
      </c>
      <c r="AW491" s="1">
        <v>2044</v>
      </c>
      <c r="AX491" s="1">
        <v>2045</v>
      </c>
      <c r="AY491" s="1">
        <v>2046</v>
      </c>
      <c r="AZ491" s="1">
        <v>2047</v>
      </c>
      <c r="BA491" s="1">
        <v>2048</v>
      </c>
      <c r="BB491" s="1">
        <v>2049</v>
      </c>
      <c r="BC491" s="1">
        <v>2050</v>
      </c>
    </row>
    <row r="492" spans="1:55">
      <c r="A492" s="1" t="str">
        <f>'Population Definitions'!$A$2</f>
        <v>PWID_males</v>
      </c>
      <c r="C492" t="s">
        <v>32</v>
      </c>
      <c r="D492" s="3"/>
      <c r="E492" s="3">
        <v>0</v>
      </c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</row>
    <row r="493" spans="1:55">
      <c r="A493" s="1" t="str">
        <f>'Population Definitions'!$A$3</f>
        <v>PWID_females</v>
      </c>
      <c r="C493" t="s">
        <v>32</v>
      </c>
      <c r="D493" s="3"/>
      <c r="E493" s="3">
        <v>0</v>
      </c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</row>
    <row r="494" spans="1:55">
      <c r="A494" s="1" t="str">
        <f>'Population Definitions'!$A$4</f>
        <v>0-9_males</v>
      </c>
      <c r="C494" t="s">
        <v>32</v>
      </c>
      <c r="D494" s="3"/>
      <c r="E494" s="3">
        <v>0</v>
      </c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</row>
    <row r="495" spans="1:55">
      <c r="A495" s="1" t="str">
        <f>'Population Definitions'!$A$5</f>
        <v>0-9_females</v>
      </c>
      <c r="C495" t="s">
        <v>32</v>
      </c>
      <c r="D495" s="3"/>
      <c r="E495" s="3">
        <v>0</v>
      </c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</row>
    <row r="496" spans="1:55">
      <c r="A496" s="1" t="str">
        <f>'Population Definitions'!$A$6</f>
        <v>10-17_males</v>
      </c>
      <c r="C496" t="s">
        <v>32</v>
      </c>
      <c r="D496" s="3"/>
      <c r="E496" s="3">
        <v>0</v>
      </c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</row>
    <row r="497" spans="1:55">
      <c r="A497" s="1" t="str">
        <f>'Population Definitions'!$A$7</f>
        <v>10-17_females</v>
      </c>
      <c r="C497" t="s">
        <v>32</v>
      </c>
      <c r="D497" s="3"/>
      <c r="E497" s="3">
        <v>0</v>
      </c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</row>
    <row r="498" spans="1:55">
      <c r="A498" s="1" t="str">
        <f>'Population Definitions'!$A$8</f>
        <v>18-64_males</v>
      </c>
      <c r="C498" t="s">
        <v>32</v>
      </c>
      <c r="D498" s="3"/>
      <c r="E498" s="3">
        <v>709.6082740346795</v>
      </c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</row>
    <row r="499" spans="1:55">
      <c r="A499" s="1" t="str">
        <f>'Population Definitions'!$A$9</f>
        <v>18-64_females</v>
      </c>
      <c r="C499" t="s">
        <v>32</v>
      </c>
      <c r="D499" s="3"/>
      <c r="E499" s="3">
        <v>706.3802663393852</v>
      </c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</row>
    <row r="500" spans="1:55">
      <c r="A500" s="1" t="str">
        <f>'Population Definitions'!$A$10</f>
        <v>65+_males</v>
      </c>
      <c r="C500" t="s">
        <v>32</v>
      </c>
      <c r="D500" s="3"/>
      <c r="E500" s="3">
        <v>36.44791748199354</v>
      </c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</row>
    <row r="501" spans="1:55">
      <c r="A501" s="1" t="str">
        <f>'Population Definitions'!$A$11</f>
        <v>65+_females</v>
      </c>
      <c r="C501" t="s">
        <v>32</v>
      </c>
      <c r="D501" s="3"/>
      <c r="E501" s="3">
        <v>35.69550564742951</v>
      </c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</row>
    <row r="502" spans="1:55">
      <c r="A502" s="1" t="str">
        <f>'Population Definitions'!$A$12</f>
        <v>Prisoners_males</v>
      </c>
      <c r="C502" t="s">
        <v>32</v>
      </c>
      <c r="D502" s="3"/>
      <c r="E502" s="3">
        <v>0.1258499937979836</v>
      </c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</row>
    <row r="503" spans="1:55">
      <c r="A503" s="1" t="str">
        <f>'Population Definitions'!$A$13</f>
        <v>Prisoners_females</v>
      </c>
      <c r="C503" t="s">
        <v>32</v>
      </c>
      <c r="D503" s="3"/>
      <c r="E503" s="3">
        <v>0.01124150271398111</v>
      </c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</row>
    <row r="505" spans="1:55">
      <c r="A505" s="1" t="s">
        <v>162</v>
      </c>
      <c r="B505" s="1" t="s">
        <v>29</v>
      </c>
      <c r="C505" s="1" t="s">
        <v>30</v>
      </c>
      <c r="D505" s="1" t="s">
        <v>31</v>
      </c>
      <c r="E505" s="1">
        <v>2000</v>
      </c>
      <c r="F505" s="1">
        <v>2001</v>
      </c>
      <c r="G505" s="1">
        <v>2002</v>
      </c>
      <c r="H505" s="1">
        <v>2003</v>
      </c>
      <c r="I505" s="1">
        <v>2004</v>
      </c>
      <c r="J505" s="1">
        <v>2005</v>
      </c>
      <c r="K505" s="1">
        <v>2006</v>
      </c>
      <c r="L505" s="1">
        <v>2007</v>
      </c>
      <c r="M505" s="1">
        <v>2008</v>
      </c>
      <c r="N505" s="1">
        <v>2009</v>
      </c>
      <c r="O505" s="1">
        <v>2010</v>
      </c>
      <c r="P505" s="1">
        <v>2011</v>
      </c>
      <c r="Q505" s="1">
        <v>2012</v>
      </c>
      <c r="R505" s="1">
        <v>2013</v>
      </c>
      <c r="S505" s="1">
        <v>2014</v>
      </c>
      <c r="T505" s="1">
        <v>2015</v>
      </c>
      <c r="U505" s="1">
        <v>2016</v>
      </c>
      <c r="V505" s="1">
        <v>2017</v>
      </c>
      <c r="W505" s="1">
        <v>2018</v>
      </c>
      <c r="X505" s="1">
        <v>2019</v>
      </c>
      <c r="Y505" s="1">
        <v>2020</v>
      </c>
      <c r="Z505" s="1">
        <v>2021</v>
      </c>
      <c r="AA505" s="1">
        <v>2022</v>
      </c>
      <c r="AB505" s="1">
        <v>2023</v>
      </c>
      <c r="AC505" s="1">
        <v>2024</v>
      </c>
      <c r="AD505" s="1">
        <v>2025</v>
      </c>
      <c r="AE505" s="1">
        <v>2026</v>
      </c>
      <c r="AF505" s="1">
        <v>2027</v>
      </c>
      <c r="AG505" s="1">
        <v>2028</v>
      </c>
      <c r="AH505" s="1">
        <v>2029</v>
      </c>
      <c r="AI505" s="1">
        <v>2030</v>
      </c>
      <c r="AJ505" s="1">
        <v>2031</v>
      </c>
      <c r="AK505" s="1">
        <v>2032</v>
      </c>
      <c r="AL505" s="1">
        <v>2033</v>
      </c>
      <c r="AM505" s="1">
        <v>2034</v>
      </c>
      <c r="AN505" s="1">
        <v>2035</v>
      </c>
      <c r="AO505" s="1">
        <v>2036</v>
      </c>
      <c r="AP505" s="1">
        <v>2037</v>
      </c>
      <c r="AQ505" s="1">
        <v>2038</v>
      </c>
      <c r="AR505" s="1">
        <v>2039</v>
      </c>
      <c r="AS505" s="1">
        <v>2040</v>
      </c>
      <c r="AT505" s="1">
        <v>2041</v>
      </c>
      <c r="AU505" s="1">
        <v>2042</v>
      </c>
      <c r="AV505" s="1">
        <v>2043</v>
      </c>
      <c r="AW505" s="1">
        <v>2044</v>
      </c>
      <c r="AX505" s="1">
        <v>2045</v>
      </c>
      <c r="AY505" s="1">
        <v>2046</v>
      </c>
      <c r="AZ505" s="1">
        <v>2047</v>
      </c>
      <c r="BA505" s="1">
        <v>2048</v>
      </c>
      <c r="BB505" s="1">
        <v>2049</v>
      </c>
      <c r="BC505" s="1">
        <v>2050</v>
      </c>
    </row>
    <row r="506" spans="1:55">
      <c r="A506" s="1" t="str">
        <f>'Population Definitions'!$A$2</f>
        <v>PWID_males</v>
      </c>
      <c r="C506" t="s">
        <v>32</v>
      </c>
      <c r="D506" s="3"/>
      <c r="E506" s="3">
        <v>0</v>
      </c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</row>
    <row r="507" spans="1:55">
      <c r="A507" s="1" t="str">
        <f>'Population Definitions'!$A$3</f>
        <v>PWID_females</v>
      </c>
      <c r="C507" t="s">
        <v>32</v>
      </c>
      <c r="D507" s="3"/>
      <c r="E507" s="3">
        <v>0</v>
      </c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</row>
    <row r="508" spans="1:55">
      <c r="A508" s="1" t="str">
        <f>'Population Definitions'!$A$4</f>
        <v>0-9_males</v>
      </c>
      <c r="C508" t="s">
        <v>32</v>
      </c>
      <c r="D508" s="3"/>
      <c r="E508" s="3">
        <v>0</v>
      </c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</row>
    <row r="509" spans="1:55">
      <c r="A509" s="1" t="str">
        <f>'Population Definitions'!$A$5</f>
        <v>0-9_females</v>
      </c>
      <c r="C509" t="s">
        <v>32</v>
      </c>
      <c r="D509" s="3"/>
      <c r="E509" s="3">
        <v>0</v>
      </c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</row>
    <row r="510" spans="1:55">
      <c r="A510" s="1" t="str">
        <f>'Population Definitions'!$A$6</f>
        <v>10-17_males</v>
      </c>
      <c r="C510" t="s">
        <v>32</v>
      </c>
      <c r="D510" s="3"/>
      <c r="E510" s="3">
        <v>0</v>
      </c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</row>
    <row r="511" spans="1:55">
      <c r="A511" s="1" t="str">
        <f>'Population Definitions'!$A$7</f>
        <v>10-17_females</v>
      </c>
      <c r="C511" t="s">
        <v>32</v>
      </c>
      <c r="D511" s="3"/>
      <c r="E511" s="3">
        <v>0</v>
      </c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</row>
    <row r="512" spans="1:55">
      <c r="A512" s="1" t="str">
        <f>'Population Definitions'!$A$8</f>
        <v>18-64_males</v>
      </c>
      <c r="C512" t="s">
        <v>32</v>
      </c>
      <c r="D512" s="3"/>
      <c r="E512" s="3">
        <v>202.7452211527656</v>
      </c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</row>
    <row r="513" spans="1:55">
      <c r="A513" s="1" t="str">
        <f>'Population Definitions'!$A$9</f>
        <v>18-64_females</v>
      </c>
      <c r="C513" t="s">
        <v>32</v>
      </c>
      <c r="D513" s="3"/>
      <c r="E513" s="3">
        <v>201.8229332398244</v>
      </c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</row>
    <row r="514" spans="1:55">
      <c r="A514" s="1" t="str">
        <f>'Population Definitions'!$A$10</f>
        <v>65+_males</v>
      </c>
      <c r="C514" t="s">
        <v>32</v>
      </c>
      <c r="D514" s="3"/>
      <c r="E514" s="3">
        <v>10.41369070914101</v>
      </c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</row>
    <row r="515" spans="1:55">
      <c r="A515" s="1" t="str">
        <f>'Population Definitions'!$A$11</f>
        <v>65+_females</v>
      </c>
      <c r="C515" t="s">
        <v>32</v>
      </c>
      <c r="D515" s="3"/>
      <c r="E515" s="3">
        <v>10.19871589926558</v>
      </c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</row>
    <row r="516" spans="1:55">
      <c r="A516" s="1" t="str">
        <f>'Population Definitions'!$A$12</f>
        <v>Prisoners_males</v>
      </c>
      <c r="C516" t="s">
        <v>32</v>
      </c>
      <c r="D516" s="3"/>
      <c r="E516" s="3">
        <v>0.03595714108513819</v>
      </c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</row>
    <row r="517" spans="1:55">
      <c r="A517" s="1" t="str">
        <f>'Population Definitions'!$A$13</f>
        <v>Prisoners_females</v>
      </c>
      <c r="C517" t="s">
        <v>32</v>
      </c>
      <c r="D517" s="3"/>
      <c r="E517" s="3">
        <v>0.003211857918280316</v>
      </c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</row>
    <row r="519" spans="1:55">
      <c r="A519" s="1" t="s">
        <v>163</v>
      </c>
      <c r="B519" s="1" t="s">
        <v>29</v>
      </c>
      <c r="C519" s="1" t="s">
        <v>30</v>
      </c>
      <c r="D519" s="1" t="s">
        <v>31</v>
      </c>
      <c r="E519" s="1">
        <v>2000</v>
      </c>
      <c r="F519" s="1">
        <v>2001</v>
      </c>
      <c r="G519" s="1">
        <v>2002</v>
      </c>
      <c r="H519" s="1">
        <v>2003</v>
      </c>
      <c r="I519" s="1">
        <v>2004</v>
      </c>
      <c r="J519" s="1">
        <v>2005</v>
      </c>
      <c r="K519" s="1">
        <v>2006</v>
      </c>
      <c r="L519" s="1">
        <v>2007</v>
      </c>
      <c r="M519" s="1">
        <v>2008</v>
      </c>
      <c r="N519" s="1">
        <v>2009</v>
      </c>
      <c r="O519" s="1">
        <v>2010</v>
      </c>
      <c r="P519" s="1">
        <v>2011</v>
      </c>
      <c r="Q519" s="1">
        <v>2012</v>
      </c>
      <c r="R519" s="1">
        <v>2013</v>
      </c>
      <c r="S519" s="1">
        <v>2014</v>
      </c>
      <c r="T519" s="1">
        <v>2015</v>
      </c>
      <c r="U519" s="1">
        <v>2016</v>
      </c>
      <c r="V519" s="1">
        <v>2017</v>
      </c>
      <c r="W519" s="1">
        <v>2018</v>
      </c>
      <c r="X519" s="1">
        <v>2019</v>
      </c>
      <c r="Y519" s="1">
        <v>2020</v>
      </c>
      <c r="Z519" s="1">
        <v>2021</v>
      </c>
      <c r="AA519" s="1">
        <v>2022</v>
      </c>
      <c r="AB519" s="1">
        <v>2023</v>
      </c>
      <c r="AC519" s="1">
        <v>2024</v>
      </c>
      <c r="AD519" s="1">
        <v>2025</v>
      </c>
      <c r="AE519" s="1">
        <v>2026</v>
      </c>
      <c r="AF519" s="1">
        <v>2027</v>
      </c>
      <c r="AG519" s="1">
        <v>2028</v>
      </c>
      <c r="AH519" s="1">
        <v>2029</v>
      </c>
      <c r="AI519" s="1">
        <v>2030</v>
      </c>
      <c r="AJ519" s="1">
        <v>2031</v>
      </c>
      <c r="AK519" s="1">
        <v>2032</v>
      </c>
      <c r="AL519" s="1">
        <v>2033</v>
      </c>
      <c r="AM519" s="1">
        <v>2034</v>
      </c>
      <c r="AN519" s="1">
        <v>2035</v>
      </c>
      <c r="AO519" s="1">
        <v>2036</v>
      </c>
      <c r="AP519" s="1">
        <v>2037</v>
      </c>
      <c r="AQ519" s="1">
        <v>2038</v>
      </c>
      <c r="AR519" s="1">
        <v>2039</v>
      </c>
      <c r="AS519" s="1">
        <v>2040</v>
      </c>
      <c r="AT519" s="1">
        <v>2041</v>
      </c>
      <c r="AU519" s="1">
        <v>2042</v>
      </c>
      <c r="AV519" s="1">
        <v>2043</v>
      </c>
      <c r="AW519" s="1">
        <v>2044</v>
      </c>
      <c r="AX519" s="1">
        <v>2045</v>
      </c>
      <c r="AY519" s="1">
        <v>2046</v>
      </c>
      <c r="AZ519" s="1">
        <v>2047</v>
      </c>
      <c r="BA519" s="1">
        <v>2048</v>
      </c>
      <c r="BB519" s="1">
        <v>2049</v>
      </c>
      <c r="BC519" s="1">
        <v>2050</v>
      </c>
    </row>
    <row r="520" spans="1:55">
      <c r="A520" s="1" t="str">
        <f>'Population Definitions'!$A$2</f>
        <v>PWID_males</v>
      </c>
      <c r="C520" t="s">
        <v>32</v>
      </c>
      <c r="D520" s="3"/>
      <c r="E520" s="3">
        <v>0</v>
      </c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</row>
    <row r="521" spans="1:55">
      <c r="A521" s="1" t="str">
        <f>'Population Definitions'!$A$3</f>
        <v>PWID_females</v>
      </c>
      <c r="C521" t="s">
        <v>32</v>
      </c>
      <c r="D521" s="3"/>
      <c r="E521" s="3">
        <v>0</v>
      </c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</row>
    <row r="522" spans="1:55">
      <c r="A522" s="1" t="str">
        <f>'Population Definitions'!$A$4</f>
        <v>0-9_males</v>
      </c>
      <c r="C522" t="s">
        <v>32</v>
      </c>
      <c r="D522" s="3"/>
      <c r="E522" s="3">
        <v>0</v>
      </c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</row>
    <row r="523" spans="1:55">
      <c r="A523" s="1" t="str">
        <f>'Population Definitions'!$A$5</f>
        <v>0-9_females</v>
      </c>
      <c r="C523" t="s">
        <v>32</v>
      </c>
      <c r="D523" s="3"/>
      <c r="E523" s="3">
        <v>0</v>
      </c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</row>
    <row r="524" spans="1:55">
      <c r="A524" s="1" t="str">
        <f>'Population Definitions'!$A$6</f>
        <v>10-17_males</v>
      </c>
      <c r="C524" t="s">
        <v>32</v>
      </c>
      <c r="D524" s="3"/>
      <c r="E524" s="3">
        <v>0</v>
      </c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</row>
    <row r="525" spans="1:55">
      <c r="A525" s="1" t="str">
        <f>'Population Definitions'!$A$7</f>
        <v>10-17_females</v>
      </c>
      <c r="C525" t="s">
        <v>32</v>
      </c>
      <c r="D525" s="3"/>
      <c r="E525" s="3">
        <v>0</v>
      </c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</row>
    <row r="526" spans="1:55">
      <c r="A526" s="1" t="str">
        <f>'Population Definitions'!$A$8</f>
        <v>18-64_males</v>
      </c>
      <c r="C526" t="s">
        <v>32</v>
      </c>
      <c r="D526" s="3"/>
      <c r="E526" s="3">
        <v>135.1634807685104</v>
      </c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</row>
    <row r="527" spans="1:55">
      <c r="A527" s="1" t="str">
        <f>'Population Definitions'!$A$9</f>
        <v>18-64_females</v>
      </c>
      <c r="C527" t="s">
        <v>32</v>
      </c>
      <c r="D527" s="3"/>
      <c r="E527" s="3">
        <v>134.5486221598829</v>
      </c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</row>
    <row r="528" spans="1:55">
      <c r="A528" s="1" t="str">
        <f>'Population Definitions'!$A$10</f>
        <v>65+_males</v>
      </c>
      <c r="C528" t="s">
        <v>32</v>
      </c>
      <c r="D528" s="3"/>
      <c r="E528" s="3">
        <v>6.942460472760675</v>
      </c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</row>
    <row r="529" spans="1:55">
      <c r="A529" s="1" t="str">
        <f>'Population Definitions'!$A$11</f>
        <v>65+_females</v>
      </c>
      <c r="C529" t="s">
        <v>32</v>
      </c>
      <c r="D529" s="3"/>
      <c r="E529" s="3">
        <v>6.799143932843718</v>
      </c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</row>
    <row r="530" spans="1:55">
      <c r="A530" s="1" t="str">
        <f>'Population Definitions'!$A$12</f>
        <v>Prisoners_males</v>
      </c>
      <c r="C530" t="s">
        <v>32</v>
      </c>
      <c r="D530" s="3"/>
      <c r="E530" s="3">
        <v>0.02397142739009213</v>
      </c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</row>
    <row r="531" spans="1:55">
      <c r="A531" s="1" t="str">
        <f>'Population Definitions'!$A$13</f>
        <v>Prisoners_females</v>
      </c>
      <c r="C531" t="s">
        <v>32</v>
      </c>
      <c r="D531" s="3"/>
      <c r="E531" s="3">
        <v>0.002141238612186877</v>
      </c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</row>
    <row r="533" spans="1:55">
      <c r="A533" s="1" t="s">
        <v>164</v>
      </c>
      <c r="B533" s="1" t="s">
        <v>29</v>
      </c>
      <c r="C533" s="1" t="s">
        <v>30</v>
      </c>
      <c r="D533" s="1" t="s">
        <v>31</v>
      </c>
      <c r="E533" s="1">
        <v>2000</v>
      </c>
      <c r="F533" s="1">
        <v>2001</v>
      </c>
      <c r="G533" s="1">
        <v>2002</v>
      </c>
      <c r="H533" s="1">
        <v>2003</v>
      </c>
      <c r="I533" s="1">
        <v>2004</v>
      </c>
      <c r="J533" s="1">
        <v>2005</v>
      </c>
      <c r="K533" s="1">
        <v>2006</v>
      </c>
      <c r="L533" s="1">
        <v>2007</v>
      </c>
      <c r="M533" s="1">
        <v>2008</v>
      </c>
      <c r="N533" s="1">
        <v>2009</v>
      </c>
      <c r="O533" s="1">
        <v>2010</v>
      </c>
      <c r="P533" s="1">
        <v>2011</v>
      </c>
      <c r="Q533" s="1">
        <v>2012</v>
      </c>
      <c r="R533" s="1">
        <v>2013</v>
      </c>
      <c r="S533" s="1">
        <v>2014</v>
      </c>
      <c r="T533" s="1">
        <v>2015</v>
      </c>
      <c r="U533" s="1">
        <v>2016</v>
      </c>
      <c r="V533" s="1">
        <v>2017</v>
      </c>
      <c r="W533" s="1">
        <v>2018</v>
      </c>
      <c r="X533" s="1">
        <v>2019</v>
      </c>
      <c r="Y533" s="1">
        <v>2020</v>
      </c>
      <c r="Z533" s="1">
        <v>2021</v>
      </c>
      <c r="AA533" s="1">
        <v>2022</v>
      </c>
      <c r="AB533" s="1">
        <v>2023</v>
      </c>
      <c r="AC533" s="1">
        <v>2024</v>
      </c>
      <c r="AD533" s="1">
        <v>2025</v>
      </c>
      <c r="AE533" s="1">
        <v>2026</v>
      </c>
      <c r="AF533" s="1">
        <v>2027</v>
      </c>
      <c r="AG533" s="1">
        <v>2028</v>
      </c>
      <c r="AH533" s="1">
        <v>2029</v>
      </c>
      <c r="AI533" s="1">
        <v>2030</v>
      </c>
      <c r="AJ533" s="1">
        <v>2031</v>
      </c>
      <c r="AK533" s="1">
        <v>2032</v>
      </c>
      <c r="AL533" s="1">
        <v>2033</v>
      </c>
      <c r="AM533" s="1">
        <v>2034</v>
      </c>
      <c r="AN533" s="1">
        <v>2035</v>
      </c>
      <c r="AO533" s="1">
        <v>2036</v>
      </c>
      <c r="AP533" s="1">
        <v>2037</v>
      </c>
      <c r="AQ533" s="1">
        <v>2038</v>
      </c>
      <c r="AR533" s="1">
        <v>2039</v>
      </c>
      <c r="AS533" s="1">
        <v>2040</v>
      </c>
      <c r="AT533" s="1">
        <v>2041</v>
      </c>
      <c r="AU533" s="1">
        <v>2042</v>
      </c>
      <c r="AV533" s="1">
        <v>2043</v>
      </c>
      <c r="AW533" s="1">
        <v>2044</v>
      </c>
      <c r="AX533" s="1">
        <v>2045</v>
      </c>
      <c r="AY533" s="1">
        <v>2046</v>
      </c>
      <c r="AZ533" s="1">
        <v>2047</v>
      </c>
      <c r="BA533" s="1">
        <v>2048</v>
      </c>
      <c r="BB533" s="1">
        <v>2049</v>
      </c>
      <c r="BC533" s="1">
        <v>2050</v>
      </c>
    </row>
    <row r="534" spans="1:55">
      <c r="A534" s="1" t="str">
        <f>'Population Definitions'!$A$2</f>
        <v>PWID_males</v>
      </c>
      <c r="C534" t="s">
        <v>32</v>
      </c>
      <c r="D534" s="3"/>
      <c r="E534" s="3">
        <v>0</v>
      </c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</row>
    <row r="535" spans="1:55">
      <c r="A535" s="1" t="str">
        <f>'Population Definitions'!$A$3</f>
        <v>PWID_females</v>
      </c>
      <c r="C535" t="s">
        <v>32</v>
      </c>
      <c r="D535" s="3"/>
      <c r="E535" s="3">
        <v>0</v>
      </c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</row>
    <row r="536" spans="1:55">
      <c r="A536" s="1" t="str">
        <f>'Population Definitions'!$A$4</f>
        <v>0-9_males</v>
      </c>
      <c r="C536" t="s">
        <v>32</v>
      </c>
      <c r="D536" s="3"/>
      <c r="E536" s="3">
        <v>0</v>
      </c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</row>
    <row r="537" spans="1:55">
      <c r="A537" s="1" t="str">
        <f>'Population Definitions'!$A$5</f>
        <v>0-9_females</v>
      </c>
      <c r="C537" t="s">
        <v>32</v>
      </c>
      <c r="D537" s="3"/>
      <c r="E537" s="3">
        <v>0</v>
      </c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</row>
    <row r="538" spans="1:55">
      <c r="A538" s="1" t="str">
        <f>'Population Definitions'!$A$6</f>
        <v>10-17_males</v>
      </c>
      <c r="C538" t="s">
        <v>32</v>
      </c>
      <c r="D538" s="3"/>
      <c r="E538" s="3">
        <v>0</v>
      </c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</row>
    <row r="539" spans="1:55">
      <c r="A539" s="1" t="str">
        <f>'Population Definitions'!$A$7</f>
        <v>10-17_females</v>
      </c>
      <c r="C539" t="s">
        <v>32</v>
      </c>
      <c r="D539" s="3"/>
      <c r="E539" s="3">
        <v>0</v>
      </c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</row>
    <row r="540" spans="1:55">
      <c r="A540" s="1" t="str">
        <f>'Population Definitions'!$A$8</f>
        <v>18-64_males</v>
      </c>
      <c r="C540" t="s">
        <v>32</v>
      </c>
      <c r="D540" s="3"/>
      <c r="E540" s="3">
        <v>30.41178317291484</v>
      </c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</row>
    <row r="541" spans="1:55">
      <c r="A541" s="1" t="str">
        <f>'Population Definitions'!$A$9</f>
        <v>18-64_females</v>
      </c>
      <c r="C541" t="s">
        <v>32</v>
      </c>
      <c r="D541" s="3"/>
      <c r="E541" s="3">
        <v>30.27343998597365</v>
      </c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</row>
    <row r="542" spans="1:55">
      <c r="A542" s="1" t="str">
        <f>'Population Definitions'!$A$10</f>
        <v>65+_males</v>
      </c>
      <c r="C542" t="s">
        <v>32</v>
      </c>
      <c r="D542" s="3"/>
      <c r="E542" s="3">
        <v>1.562053606371152</v>
      </c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</row>
    <row r="543" spans="1:55">
      <c r="A543" s="1" t="str">
        <f>'Population Definitions'!$A$11</f>
        <v>65+_females</v>
      </c>
      <c r="C543" t="s">
        <v>32</v>
      </c>
      <c r="D543" s="3"/>
      <c r="E543" s="3">
        <v>1.529807384889836</v>
      </c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</row>
    <row r="544" spans="1:55">
      <c r="A544" s="1" t="str">
        <f>'Population Definitions'!$A$12</f>
        <v>Prisoners_males</v>
      </c>
      <c r="C544" t="s">
        <v>32</v>
      </c>
      <c r="D544" s="3"/>
      <c r="E544" s="3">
        <v>0.005393571162770728</v>
      </c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</row>
    <row r="545" spans="1:55">
      <c r="A545" s="1" t="str">
        <f>'Population Definitions'!$A$13</f>
        <v>Prisoners_females</v>
      </c>
      <c r="C545" t="s">
        <v>32</v>
      </c>
      <c r="D545" s="3"/>
      <c r="E545" s="3">
        <v>0.0004817786877420474</v>
      </c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</row>
    <row r="547" spans="1:55">
      <c r="A547" s="1" t="s">
        <v>165</v>
      </c>
      <c r="B547" s="1" t="s">
        <v>29</v>
      </c>
      <c r="C547" s="1" t="s">
        <v>30</v>
      </c>
      <c r="D547" s="1" t="s">
        <v>31</v>
      </c>
      <c r="E547" s="1">
        <v>2000</v>
      </c>
      <c r="F547" s="1">
        <v>2001</v>
      </c>
      <c r="G547" s="1">
        <v>2002</v>
      </c>
      <c r="H547" s="1">
        <v>2003</v>
      </c>
      <c r="I547" s="1">
        <v>2004</v>
      </c>
      <c r="J547" s="1">
        <v>2005</v>
      </c>
      <c r="K547" s="1">
        <v>2006</v>
      </c>
      <c r="L547" s="1">
        <v>2007</v>
      </c>
      <c r="M547" s="1">
        <v>2008</v>
      </c>
      <c r="N547" s="1">
        <v>2009</v>
      </c>
      <c r="O547" s="1">
        <v>2010</v>
      </c>
      <c r="P547" s="1">
        <v>2011</v>
      </c>
      <c r="Q547" s="1">
        <v>2012</v>
      </c>
      <c r="R547" s="1">
        <v>2013</v>
      </c>
      <c r="S547" s="1">
        <v>2014</v>
      </c>
      <c r="T547" s="1">
        <v>2015</v>
      </c>
      <c r="U547" s="1">
        <v>2016</v>
      </c>
      <c r="V547" s="1">
        <v>2017</v>
      </c>
      <c r="W547" s="1">
        <v>2018</v>
      </c>
      <c r="X547" s="1">
        <v>2019</v>
      </c>
      <c r="Y547" s="1">
        <v>2020</v>
      </c>
      <c r="Z547" s="1">
        <v>2021</v>
      </c>
      <c r="AA547" s="1">
        <v>2022</v>
      </c>
      <c r="AB547" s="1">
        <v>2023</v>
      </c>
      <c r="AC547" s="1">
        <v>2024</v>
      </c>
      <c r="AD547" s="1">
        <v>2025</v>
      </c>
      <c r="AE547" s="1">
        <v>2026</v>
      </c>
      <c r="AF547" s="1">
        <v>2027</v>
      </c>
      <c r="AG547" s="1">
        <v>2028</v>
      </c>
      <c r="AH547" s="1">
        <v>2029</v>
      </c>
      <c r="AI547" s="1">
        <v>2030</v>
      </c>
      <c r="AJ547" s="1">
        <v>2031</v>
      </c>
      <c r="AK547" s="1">
        <v>2032</v>
      </c>
      <c r="AL547" s="1">
        <v>2033</v>
      </c>
      <c r="AM547" s="1">
        <v>2034</v>
      </c>
      <c r="AN547" s="1">
        <v>2035</v>
      </c>
      <c r="AO547" s="1">
        <v>2036</v>
      </c>
      <c r="AP547" s="1">
        <v>2037</v>
      </c>
      <c r="AQ547" s="1">
        <v>2038</v>
      </c>
      <c r="AR547" s="1">
        <v>2039</v>
      </c>
      <c r="AS547" s="1">
        <v>2040</v>
      </c>
      <c r="AT547" s="1">
        <v>2041</v>
      </c>
      <c r="AU547" s="1">
        <v>2042</v>
      </c>
      <c r="AV547" s="1">
        <v>2043</v>
      </c>
      <c r="AW547" s="1">
        <v>2044</v>
      </c>
      <c r="AX547" s="1">
        <v>2045</v>
      </c>
      <c r="AY547" s="1">
        <v>2046</v>
      </c>
      <c r="AZ547" s="1">
        <v>2047</v>
      </c>
      <c r="BA547" s="1">
        <v>2048</v>
      </c>
      <c r="BB547" s="1">
        <v>2049</v>
      </c>
      <c r="BC547" s="1">
        <v>2050</v>
      </c>
    </row>
    <row r="548" spans="1:55">
      <c r="A548" s="1" t="str">
        <f>'Population Definitions'!$A$2</f>
        <v>PWID_males</v>
      </c>
      <c r="C548" t="s">
        <v>32</v>
      </c>
      <c r="D548" s="3"/>
      <c r="E548" s="3">
        <v>0</v>
      </c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</row>
    <row r="549" spans="1:55">
      <c r="A549" s="1" t="str">
        <f>'Population Definitions'!$A$3</f>
        <v>PWID_females</v>
      </c>
      <c r="C549" t="s">
        <v>32</v>
      </c>
      <c r="D549" s="3"/>
      <c r="E549" s="3">
        <v>0</v>
      </c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</row>
    <row r="550" spans="1:55">
      <c r="A550" s="1" t="str">
        <f>'Population Definitions'!$A$4</f>
        <v>0-9_males</v>
      </c>
      <c r="C550" t="s">
        <v>32</v>
      </c>
      <c r="D550" s="3"/>
      <c r="E550" s="3">
        <v>0</v>
      </c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</row>
    <row r="551" spans="1:55">
      <c r="A551" s="1" t="str">
        <f>'Population Definitions'!$A$5</f>
        <v>0-9_females</v>
      </c>
      <c r="C551" t="s">
        <v>32</v>
      </c>
      <c r="D551" s="3"/>
      <c r="E551" s="3">
        <v>0</v>
      </c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</row>
    <row r="552" spans="1:55">
      <c r="A552" s="1" t="str">
        <f>'Population Definitions'!$A$6</f>
        <v>10-17_males</v>
      </c>
      <c r="C552" t="s">
        <v>32</v>
      </c>
      <c r="D552" s="3"/>
      <c r="E552" s="3">
        <v>0</v>
      </c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</row>
    <row r="553" spans="1:55">
      <c r="A553" s="1" t="str">
        <f>'Population Definitions'!$A$7</f>
        <v>10-17_females</v>
      </c>
      <c r="C553" t="s">
        <v>32</v>
      </c>
      <c r="D553" s="3"/>
      <c r="E553" s="3">
        <v>0</v>
      </c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</row>
    <row r="554" spans="1:55">
      <c r="A554" s="1" t="str">
        <f>'Population Definitions'!$A$8</f>
        <v>18-64_males</v>
      </c>
      <c r="C554" t="s">
        <v>32</v>
      </c>
      <c r="D554" s="3"/>
      <c r="E554" s="3">
        <v>3.379087019213138</v>
      </c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</row>
    <row r="555" spans="1:55">
      <c r="A555" s="1" t="str">
        <f>'Population Definitions'!$A$9</f>
        <v>18-64_females</v>
      </c>
      <c r="C555" t="s">
        <v>32</v>
      </c>
      <c r="D555" s="3"/>
      <c r="E555" s="3">
        <v>3.363715553997449</v>
      </c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</row>
    <row r="556" spans="1:55">
      <c r="A556" s="1" t="str">
        <f>'Population Definitions'!$A$10</f>
        <v>65+_males</v>
      </c>
      <c r="C556" t="s">
        <v>32</v>
      </c>
      <c r="D556" s="3"/>
      <c r="E556" s="3">
        <v>0.1735615118190363</v>
      </c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</row>
    <row r="557" spans="1:55">
      <c r="A557" s="1" t="str">
        <f>'Population Definitions'!$A$11</f>
        <v>65+_females</v>
      </c>
      <c r="C557" t="s">
        <v>32</v>
      </c>
      <c r="D557" s="3"/>
      <c r="E557" s="3">
        <v>0.169978598321112</v>
      </c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</row>
    <row r="558" spans="1:55">
      <c r="A558" s="1" t="str">
        <f>'Population Definitions'!$A$12</f>
        <v>Prisoners_males</v>
      </c>
      <c r="C558" t="s">
        <v>32</v>
      </c>
      <c r="D558" s="3"/>
      <c r="E558" s="3">
        <v>0.0005992856847523702</v>
      </c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</row>
    <row r="559" spans="1:55">
      <c r="A559" s="1" t="str">
        <f>'Population Definitions'!$A$13</f>
        <v>Prisoners_females</v>
      </c>
      <c r="C559" t="s">
        <v>32</v>
      </c>
      <c r="D559" s="3"/>
      <c r="E559" s="3">
        <v>5.353096530467792E-05</v>
      </c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</row>
    <row r="561" spans="1:57">
      <c r="A561" s="1" t="s">
        <v>166</v>
      </c>
      <c r="B561" s="1" t="s">
        <v>29</v>
      </c>
      <c r="C561" s="1" t="s">
        <v>30</v>
      </c>
      <c r="D561" s="1" t="s">
        <v>31</v>
      </c>
      <c r="E561" s="1" t="s">
        <v>36</v>
      </c>
      <c r="F561" s="1"/>
      <c r="G561" s="1">
        <v>2000</v>
      </c>
      <c r="H561" s="1">
        <v>2001</v>
      </c>
      <c r="I561" s="1">
        <v>2002</v>
      </c>
      <c r="J561" s="1">
        <v>2003</v>
      </c>
      <c r="K561" s="1">
        <v>2004</v>
      </c>
      <c r="L561" s="1">
        <v>2005</v>
      </c>
      <c r="M561" s="1">
        <v>2006</v>
      </c>
      <c r="N561" s="1">
        <v>2007</v>
      </c>
      <c r="O561" s="1">
        <v>2008</v>
      </c>
      <c r="P561" s="1">
        <v>2009</v>
      </c>
      <c r="Q561" s="1">
        <v>2010</v>
      </c>
      <c r="R561" s="1">
        <v>2011</v>
      </c>
      <c r="S561" s="1">
        <v>2012</v>
      </c>
      <c r="T561" s="1">
        <v>2013</v>
      </c>
      <c r="U561" s="1">
        <v>2014</v>
      </c>
      <c r="V561" s="1">
        <v>2015</v>
      </c>
      <c r="W561" s="1">
        <v>2016</v>
      </c>
      <c r="X561" s="1">
        <v>2017</v>
      </c>
      <c r="Y561" s="1">
        <v>2018</v>
      </c>
      <c r="Z561" s="1">
        <v>2019</v>
      </c>
      <c r="AA561" s="1">
        <v>2020</v>
      </c>
      <c r="AB561" s="1">
        <v>2021</v>
      </c>
      <c r="AC561" s="1">
        <v>2022</v>
      </c>
      <c r="AD561" s="1">
        <v>2023</v>
      </c>
      <c r="AE561" s="1">
        <v>2024</v>
      </c>
      <c r="AF561" s="1">
        <v>2025</v>
      </c>
      <c r="AG561" s="1">
        <v>2026</v>
      </c>
      <c r="AH561" s="1">
        <v>2027</v>
      </c>
      <c r="AI561" s="1">
        <v>2028</v>
      </c>
      <c r="AJ561" s="1">
        <v>2029</v>
      </c>
      <c r="AK561" s="1">
        <v>2030</v>
      </c>
      <c r="AL561" s="1">
        <v>2031</v>
      </c>
      <c r="AM561" s="1">
        <v>2032</v>
      </c>
      <c r="AN561" s="1">
        <v>2033</v>
      </c>
      <c r="AO561" s="1">
        <v>2034</v>
      </c>
      <c r="AP561" s="1">
        <v>2035</v>
      </c>
      <c r="AQ561" s="1">
        <v>2036</v>
      </c>
      <c r="AR561" s="1">
        <v>2037</v>
      </c>
      <c r="AS561" s="1">
        <v>2038</v>
      </c>
      <c r="AT561" s="1">
        <v>2039</v>
      </c>
      <c r="AU561" s="1">
        <v>2040</v>
      </c>
      <c r="AV561" s="1">
        <v>2041</v>
      </c>
      <c r="AW561" s="1">
        <v>2042</v>
      </c>
      <c r="AX561" s="1">
        <v>2043</v>
      </c>
      <c r="AY561" s="1">
        <v>2044</v>
      </c>
      <c r="AZ561" s="1">
        <v>2045</v>
      </c>
      <c r="BA561" s="1">
        <v>2046</v>
      </c>
      <c r="BB561" s="1">
        <v>2047</v>
      </c>
      <c r="BC561" s="1">
        <v>2048</v>
      </c>
      <c r="BD561" s="1">
        <v>2049</v>
      </c>
      <c r="BE561" s="1">
        <v>2050</v>
      </c>
    </row>
    <row r="562" spans="1:57">
      <c r="A562" s="1" t="str">
        <f>'Population Definitions'!$A$2</f>
        <v>PWID_males</v>
      </c>
      <c r="C562" t="s">
        <v>32</v>
      </c>
      <c r="D562" s="3"/>
      <c r="E562" s="3">
        <v>0</v>
      </c>
      <c r="F562" s="4" t="s">
        <v>37</v>
      </c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</row>
    <row r="563" spans="1:57">
      <c r="A563" s="1" t="str">
        <f>'Population Definitions'!$A$3</f>
        <v>PWID_females</v>
      </c>
      <c r="C563" t="s">
        <v>32</v>
      </c>
      <c r="D563" s="3"/>
      <c r="E563" s="3">
        <v>0</v>
      </c>
      <c r="F563" s="4" t="s">
        <v>37</v>
      </c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</row>
    <row r="564" spans="1:57">
      <c r="A564" s="1" t="str">
        <f>'Population Definitions'!$A$4</f>
        <v>0-9_males</v>
      </c>
      <c r="C564" t="s">
        <v>32</v>
      </c>
      <c r="D564" s="3"/>
      <c r="E564" s="3">
        <v>0</v>
      </c>
      <c r="F564" s="4" t="s">
        <v>37</v>
      </c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</row>
    <row r="565" spans="1:57">
      <c r="A565" s="1" t="str">
        <f>'Population Definitions'!$A$5</f>
        <v>0-9_females</v>
      </c>
      <c r="C565" t="s">
        <v>32</v>
      </c>
      <c r="D565" s="3"/>
      <c r="E565" s="3">
        <v>0</v>
      </c>
      <c r="F565" s="4" t="s">
        <v>37</v>
      </c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</row>
    <row r="566" spans="1:57">
      <c r="A566" s="1" t="str">
        <f>'Population Definitions'!$A$6</f>
        <v>10-17_males</v>
      </c>
      <c r="C566" t="s">
        <v>32</v>
      </c>
      <c r="D566" s="3"/>
      <c r="E566" s="3">
        <v>0</v>
      </c>
      <c r="F566" s="4" t="s">
        <v>37</v>
      </c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</row>
    <row r="567" spans="1:57">
      <c r="A567" s="1" t="str">
        <f>'Population Definitions'!$A$7</f>
        <v>10-17_females</v>
      </c>
      <c r="C567" t="s">
        <v>32</v>
      </c>
      <c r="D567" s="3"/>
      <c r="E567" s="3">
        <v>0</v>
      </c>
      <c r="F567" s="4" t="s">
        <v>37</v>
      </c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</row>
    <row r="568" spans="1:57">
      <c r="A568" s="1" t="str">
        <f>'Population Definitions'!$A$8</f>
        <v>18-64_males</v>
      </c>
      <c r="C568" t="s">
        <v>32</v>
      </c>
      <c r="D568" s="3"/>
      <c r="E568" s="3">
        <v>0</v>
      </c>
      <c r="F568" s="4" t="s">
        <v>37</v>
      </c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</row>
    <row r="569" spans="1:57">
      <c r="A569" s="1" t="str">
        <f>'Population Definitions'!$A$9</f>
        <v>18-64_females</v>
      </c>
      <c r="C569" t="s">
        <v>32</v>
      </c>
      <c r="D569" s="3"/>
      <c r="E569" s="3">
        <v>0</v>
      </c>
      <c r="F569" s="4" t="s">
        <v>37</v>
      </c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</row>
    <row r="570" spans="1:57">
      <c r="A570" s="1" t="str">
        <f>'Population Definitions'!$A$10</f>
        <v>65+_males</v>
      </c>
      <c r="C570" t="s">
        <v>32</v>
      </c>
      <c r="D570" s="3"/>
      <c r="E570" s="3">
        <v>0</v>
      </c>
      <c r="F570" s="4" t="s">
        <v>37</v>
      </c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</row>
    <row r="571" spans="1:57">
      <c r="A571" s="1" t="str">
        <f>'Population Definitions'!$A$11</f>
        <v>65+_females</v>
      </c>
      <c r="C571" t="s">
        <v>32</v>
      </c>
      <c r="D571" s="3"/>
      <c r="E571" s="3">
        <v>0</v>
      </c>
      <c r="F571" s="4" t="s">
        <v>37</v>
      </c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</row>
    <row r="572" spans="1:57">
      <c r="A572" s="1" t="str">
        <f>'Population Definitions'!$A$12</f>
        <v>Prisoners_males</v>
      </c>
      <c r="C572" t="s">
        <v>32</v>
      </c>
      <c r="D572" s="3"/>
      <c r="E572" s="3">
        <v>0</v>
      </c>
      <c r="F572" s="4" t="s">
        <v>37</v>
      </c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</row>
    <row r="573" spans="1:57">
      <c r="A573" s="1" t="str">
        <f>'Population Definitions'!$A$13</f>
        <v>Prisoners_females</v>
      </c>
      <c r="C573" t="s">
        <v>32</v>
      </c>
      <c r="D573" s="3"/>
      <c r="E573" s="3">
        <v>0</v>
      </c>
      <c r="F573" s="4" t="s">
        <v>37</v>
      </c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</row>
    <row r="575" spans="1:57">
      <c r="A575" s="1" t="s">
        <v>167</v>
      </c>
      <c r="B575" s="1" t="s">
        <v>29</v>
      </c>
      <c r="C575" s="1" t="s">
        <v>30</v>
      </c>
      <c r="D575" s="1" t="s">
        <v>31</v>
      </c>
      <c r="E575" s="1">
        <v>2000</v>
      </c>
      <c r="F575" s="1">
        <v>2001</v>
      </c>
      <c r="G575" s="1">
        <v>2002</v>
      </c>
      <c r="H575" s="1">
        <v>2003</v>
      </c>
      <c r="I575" s="1">
        <v>2004</v>
      </c>
      <c r="J575" s="1">
        <v>2005</v>
      </c>
      <c r="K575" s="1">
        <v>2006</v>
      </c>
      <c r="L575" s="1">
        <v>2007</v>
      </c>
      <c r="M575" s="1">
        <v>2008</v>
      </c>
      <c r="N575" s="1">
        <v>2009</v>
      </c>
      <c r="O575" s="1">
        <v>2010</v>
      </c>
      <c r="P575" s="1">
        <v>2011</v>
      </c>
      <c r="Q575" s="1">
        <v>2012</v>
      </c>
      <c r="R575" s="1">
        <v>2013</v>
      </c>
      <c r="S575" s="1">
        <v>2014</v>
      </c>
      <c r="T575" s="1">
        <v>2015</v>
      </c>
      <c r="U575" s="1">
        <v>2016</v>
      </c>
      <c r="V575" s="1">
        <v>2017</v>
      </c>
      <c r="W575" s="1">
        <v>2018</v>
      </c>
      <c r="X575" s="1">
        <v>2019</v>
      </c>
      <c r="Y575" s="1">
        <v>2020</v>
      </c>
      <c r="Z575" s="1">
        <v>2021</v>
      </c>
      <c r="AA575" s="1">
        <v>2022</v>
      </c>
      <c r="AB575" s="1">
        <v>2023</v>
      </c>
      <c r="AC575" s="1">
        <v>2024</v>
      </c>
      <c r="AD575" s="1">
        <v>2025</v>
      </c>
      <c r="AE575" s="1">
        <v>2026</v>
      </c>
      <c r="AF575" s="1">
        <v>2027</v>
      </c>
      <c r="AG575" s="1">
        <v>2028</v>
      </c>
      <c r="AH575" s="1">
        <v>2029</v>
      </c>
      <c r="AI575" s="1">
        <v>2030</v>
      </c>
      <c r="AJ575" s="1">
        <v>2031</v>
      </c>
      <c r="AK575" s="1">
        <v>2032</v>
      </c>
      <c r="AL575" s="1">
        <v>2033</v>
      </c>
      <c r="AM575" s="1">
        <v>2034</v>
      </c>
      <c r="AN575" s="1">
        <v>2035</v>
      </c>
      <c r="AO575" s="1">
        <v>2036</v>
      </c>
      <c r="AP575" s="1">
        <v>2037</v>
      </c>
      <c r="AQ575" s="1">
        <v>2038</v>
      </c>
      <c r="AR575" s="1">
        <v>2039</v>
      </c>
      <c r="AS575" s="1">
        <v>2040</v>
      </c>
      <c r="AT575" s="1">
        <v>2041</v>
      </c>
      <c r="AU575" s="1">
        <v>2042</v>
      </c>
      <c r="AV575" s="1">
        <v>2043</v>
      </c>
      <c r="AW575" s="1">
        <v>2044</v>
      </c>
      <c r="AX575" s="1">
        <v>2045</v>
      </c>
      <c r="AY575" s="1">
        <v>2046</v>
      </c>
      <c r="AZ575" s="1">
        <v>2047</v>
      </c>
      <c r="BA575" s="1">
        <v>2048</v>
      </c>
      <c r="BB575" s="1">
        <v>2049</v>
      </c>
      <c r="BC575" s="1">
        <v>2050</v>
      </c>
    </row>
    <row r="576" spans="1:57">
      <c r="A576" s="1" t="str">
        <f>'Population Definitions'!$A$2</f>
        <v>PWID_males</v>
      </c>
      <c r="C576" t="s">
        <v>32</v>
      </c>
      <c r="D576" s="3"/>
      <c r="E576" s="3">
        <v>0</v>
      </c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</row>
    <row r="577" spans="1:55">
      <c r="A577" s="1" t="str">
        <f>'Population Definitions'!$A$3</f>
        <v>PWID_females</v>
      </c>
      <c r="C577" t="s">
        <v>32</v>
      </c>
      <c r="D577" s="3"/>
      <c r="E577" s="3">
        <v>0</v>
      </c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</row>
    <row r="578" spans="1:55">
      <c r="A578" s="1" t="str">
        <f>'Population Definitions'!$A$4</f>
        <v>0-9_males</v>
      </c>
      <c r="C578" t="s">
        <v>32</v>
      </c>
      <c r="D578" s="3"/>
      <c r="E578" s="3">
        <v>0</v>
      </c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</row>
    <row r="579" spans="1:55">
      <c r="A579" s="1" t="str">
        <f>'Population Definitions'!$A$5</f>
        <v>0-9_females</v>
      </c>
      <c r="C579" t="s">
        <v>32</v>
      </c>
      <c r="D579" s="3"/>
      <c r="E579" s="3">
        <v>0</v>
      </c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</row>
    <row r="580" spans="1:55">
      <c r="A580" s="1" t="str">
        <f>'Population Definitions'!$A$6</f>
        <v>10-17_males</v>
      </c>
      <c r="C580" t="s">
        <v>32</v>
      </c>
      <c r="D580" s="3"/>
      <c r="E580" s="3">
        <v>0</v>
      </c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</row>
    <row r="581" spans="1:55">
      <c r="A581" s="1" t="str">
        <f>'Population Definitions'!$A$7</f>
        <v>10-17_females</v>
      </c>
      <c r="C581" t="s">
        <v>32</v>
      </c>
      <c r="D581" s="3"/>
      <c r="E581" s="3">
        <v>0</v>
      </c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</row>
    <row r="582" spans="1:55">
      <c r="A582" s="1" t="str">
        <f>'Population Definitions'!$A$8</f>
        <v>18-64_males</v>
      </c>
      <c r="C582" t="s">
        <v>32</v>
      </c>
      <c r="D582" s="3"/>
      <c r="E582" s="3">
        <v>0</v>
      </c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</row>
    <row r="583" spans="1:55">
      <c r="A583" s="1" t="str">
        <f>'Population Definitions'!$A$9</f>
        <v>18-64_females</v>
      </c>
      <c r="C583" t="s">
        <v>32</v>
      </c>
      <c r="D583" s="3"/>
      <c r="E583" s="3">
        <v>0</v>
      </c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</row>
    <row r="584" spans="1:55">
      <c r="A584" s="1" t="str">
        <f>'Population Definitions'!$A$10</f>
        <v>65+_males</v>
      </c>
      <c r="C584" t="s">
        <v>32</v>
      </c>
      <c r="D584" s="3"/>
      <c r="E584" s="3">
        <v>0</v>
      </c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</row>
    <row r="585" spans="1:55">
      <c r="A585" s="1" t="str">
        <f>'Population Definitions'!$A$11</f>
        <v>65+_females</v>
      </c>
      <c r="C585" t="s">
        <v>32</v>
      </c>
      <c r="D585" s="3"/>
      <c r="E585" s="3">
        <v>0</v>
      </c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</row>
    <row r="586" spans="1:55">
      <c r="A586" s="1" t="str">
        <f>'Population Definitions'!$A$12</f>
        <v>Prisoners_males</v>
      </c>
      <c r="C586" t="s">
        <v>32</v>
      </c>
      <c r="D586" s="3"/>
      <c r="E586" s="3">
        <v>0</v>
      </c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</row>
    <row r="587" spans="1:55">
      <c r="A587" s="1" t="str">
        <f>'Population Definitions'!$A$13</f>
        <v>Prisoners_females</v>
      </c>
      <c r="C587" t="s">
        <v>32</v>
      </c>
      <c r="D587" s="3"/>
      <c r="E587" s="3">
        <v>0</v>
      </c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</row>
    <row r="589" spans="1:55">
      <c r="A589" s="1" t="s">
        <v>168</v>
      </c>
      <c r="B589" s="1" t="s">
        <v>29</v>
      </c>
      <c r="C589" s="1" t="s">
        <v>30</v>
      </c>
      <c r="D589" s="1" t="s">
        <v>31</v>
      </c>
      <c r="E589" s="1">
        <v>2000</v>
      </c>
      <c r="F589" s="1">
        <v>2001</v>
      </c>
      <c r="G589" s="1">
        <v>2002</v>
      </c>
      <c r="H589" s="1">
        <v>2003</v>
      </c>
      <c r="I589" s="1">
        <v>2004</v>
      </c>
      <c r="J589" s="1">
        <v>2005</v>
      </c>
      <c r="K589" s="1">
        <v>2006</v>
      </c>
      <c r="L589" s="1">
        <v>2007</v>
      </c>
      <c r="M589" s="1">
        <v>2008</v>
      </c>
      <c r="N589" s="1">
        <v>2009</v>
      </c>
      <c r="O589" s="1">
        <v>2010</v>
      </c>
      <c r="P589" s="1">
        <v>2011</v>
      </c>
      <c r="Q589" s="1">
        <v>2012</v>
      </c>
      <c r="R589" s="1">
        <v>2013</v>
      </c>
      <c r="S589" s="1">
        <v>2014</v>
      </c>
      <c r="T589" s="1">
        <v>2015</v>
      </c>
      <c r="U589" s="1">
        <v>2016</v>
      </c>
      <c r="V589" s="1">
        <v>2017</v>
      </c>
      <c r="W589" s="1">
        <v>2018</v>
      </c>
      <c r="X589" s="1">
        <v>2019</v>
      </c>
      <c r="Y589" s="1">
        <v>2020</v>
      </c>
      <c r="Z589" s="1">
        <v>2021</v>
      </c>
      <c r="AA589" s="1">
        <v>2022</v>
      </c>
      <c r="AB589" s="1">
        <v>2023</v>
      </c>
      <c r="AC589" s="1">
        <v>2024</v>
      </c>
      <c r="AD589" s="1">
        <v>2025</v>
      </c>
      <c r="AE589" s="1">
        <v>2026</v>
      </c>
      <c r="AF589" s="1">
        <v>2027</v>
      </c>
      <c r="AG589" s="1">
        <v>2028</v>
      </c>
      <c r="AH589" s="1">
        <v>2029</v>
      </c>
      <c r="AI589" s="1">
        <v>2030</v>
      </c>
      <c r="AJ589" s="1">
        <v>2031</v>
      </c>
      <c r="AK589" s="1">
        <v>2032</v>
      </c>
      <c r="AL589" s="1">
        <v>2033</v>
      </c>
      <c r="AM589" s="1">
        <v>2034</v>
      </c>
      <c r="AN589" s="1">
        <v>2035</v>
      </c>
      <c r="AO589" s="1">
        <v>2036</v>
      </c>
      <c r="AP589" s="1">
        <v>2037</v>
      </c>
      <c r="AQ589" s="1">
        <v>2038</v>
      </c>
      <c r="AR589" s="1">
        <v>2039</v>
      </c>
      <c r="AS589" s="1">
        <v>2040</v>
      </c>
      <c r="AT589" s="1">
        <v>2041</v>
      </c>
      <c r="AU589" s="1">
        <v>2042</v>
      </c>
      <c r="AV589" s="1">
        <v>2043</v>
      </c>
      <c r="AW589" s="1">
        <v>2044</v>
      </c>
      <c r="AX589" s="1">
        <v>2045</v>
      </c>
      <c r="AY589" s="1">
        <v>2046</v>
      </c>
      <c r="AZ589" s="1">
        <v>2047</v>
      </c>
      <c r="BA589" s="1">
        <v>2048</v>
      </c>
      <c r="BB589" s="1">
        <v>2049</v>
      </c>
      <c r="BC589" s="1">
        <v>2050</v>
      </c>
    </row>
    <row r="590" spans="1:55">
      <c r="A590" s="1" t="str">
        <f>'Population Definitions'!$A$2</f>
        <v>PWID_males</v>
      </c>
      <c r="C590" t="s">
        <v>32</v>
      </c>
      <c r="D590" s="3"/>
      <c r="E590" s="3">
        <v>0</v>
      </c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</row>
    <row r="591" spans="1:55">
      <c r="A591" s="1" t="str">
        <f>'Population Definitions'!$A$3</f>
        <v>PWID_females</v>
      </c>
      <c r="C591" t="s">
        <v>32</v>
      </c>
      <c r="D591" s="3"/>
      <c r="E591" s="3">
        <v>0</v>
      </c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</row>
    <row r="592" spans="1:55">
      <c r="A592" s="1" t="str">
        <f>'Population Definitions'!$A$4</f>
        <v>0-9_males</v>
      </c>
      <c r="C592" t="s">
        <v>32</v>
      </c>
      <c r="D592" s="3"/>
      <c r="E592" s="3">
        <v>0</v>
      </c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</row>
    <row r="593" spans="1:55">
      <c r="A593" s="1" t="str">
        <f>'Population Definitions'!$A$5</f>
        <v>0-9_females</v>
      </c>
      <c r="C593" t="s">
        <v>32</v>
      </c>
      <c r="D593" s="3"/>
      <c r="E593" s="3">
        <v>0</v>
      </c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</row>
    <row r="594" spans="1:55">
      <c r="A594" s="1" t="str">
        <f>'Population Definitions'!$A$6</f>
        <v>10-17_males</v>
      </c>
      <c r="C594" t="s">
        <v>32</v>
      </c>
      <c r="D594" s="3"/>
      <c r="E594" s="3">
        <v>0</v>
      </c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</row>
    <row r="595" spans="1:55">
      <c r="A595" s="1" t="str">
        <f>'Population Definitions'!$A$7</f>
        <v>10-17_females</v>
      </c>
      <c r="C595" t="s">
        <v>32</v>
      </c>
      <c r="D595" s="3"/>
      <c r="E595" s="3">
        <v>0</v>
      </c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</row>
    <row r="596" spans="1:55">
      <c r="A596" s="1" t="str">
        <f>'Population Definitions'!$A$8</f>
        <v>18-64_males</v>
      </c>
      <c r="C596" t="s">
        <v>32</v>
      </c>
      <c r="D596" s="3"/>
      <c r="E596" s="3">
        <v>0</v>
      </c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</row>
    <row r="597" spans="1:55">
      <c r="A597" s="1" t="str">
        <f>'Population Definitions'!$A$9</f>
        <v>18-64_females</v>
      </c>
      <c r="C597" t="s">
        <v>32</v>
      </c>
      <c r="D597" s="3"/>
      <c r="E597" s="3">
        <v>0</v>
      </c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</row>
    <row r="598" spans="1:55">
      <c r="A598" s="1" t="str">
        <f>'Population Definitions'!$A$10</f>
        <v>65+_males</v>
      </c>
      <c r="C598" t="s">
        <v>32</v>
      </c>
      <c r="D598" s="3"/>
      <c r="E598" s="3">
        <v>0</v>
      </c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</row>
    <row r="599" spans="1:55">
      <c r="A599" s="1" t="str">
        <f>'Population Definitions'!$A$11</f>
        <v>65+_females</v>
      </c>
      <c r="C599" t="s">
        <v>32</v>
      </c>
      <c r="D599" s="3"/>
      <c r="E599" s="3">
        <v>0</v>
      </c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</row>
    <row r="600" spans="1:55">
      <c r="A600" s="1" t="str">
        <f>'Population Definitions'!$A$12</f>
        <v>Prisoners_males</v>
      </c>
      <c r="C600" t="s">
        <v>32</v>
      </c>
      <c r="D600" s="3"/>
      <c r="E600" s="3">
        <v>0</v>
      </c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</row>
    <row r="601" spans="1:55">
      <c r="A601" s="1" t="str">
        <f>'Population Definitions'!$A$13</f>
        <v>Prisoners_females</v>
      </c>
      <c r="C601" t="s">
        <v>32</v>
      </c>
      <c r="D601" s="3"/>
      <c r="E601" s="3">
        <v>0</v>
      </c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</row>
    <row r="603" spans="1:55">
      <c r="A603" s="1" t="s">
        <v>169</v>
      </c>
      <c r="B603" s="1" t="s">
        <v>29</v>
      </c>
      <c r="C603" s="1" t="s">
        <v>30</v>
      </c>
      <c r="D603" s="1" t="s">
        <v>31</v>
      </c>
      <c r="E603" s="1">
        <v>2000</v>
      </c>
      <c r="F603" s="1">
        <v>2001</v>
      </c>
      <c r="G603" s="1">
        <v>2002</v>
      </c>
      <c r="H603" s="1">
        <v>2003</v>
      </c>
      <c r="I603" s="1">
        <v>2004</v>
      </c>
      <c r="J603" s="1">
        <v>2005</v>
      </c>
      <c r="K603" s="1">
        <v>2006</v>
      </c>
      <c r="L603" s="1">
        <v>2007</v>
      </c>
      <c r="M603" s="1">
        <v>2008</v>
      </c>
      <c r="N603" s="1">
        <v>2009</v>
      </c>
      <c r="O603" s="1">
        <v>2010</v>
      </c>
      <c r="P603" s="1">
        <v>2011</v>
      </c>
      <c r="Q603" s="1">
        <v>2012</v>
      </c>
      <c r="R603" s="1">
        <v>2013</v>
      </c>
      <c r="S603" s="1">
        <v>2014</v>
      </c>
      <c r="T603" s="1">
        <v>2015</v>
      </c>
      <c r="U603" s="1">
        <v>2016</v>
      </c>
      <c r="V603" s="1">
        <v>2017</v>
      </c>
      <c r="W603" s="1">
        <v>2018</v>
      </c>
      <c r="X603" s="1">
        <v>2019</v>
      </c>
      <c r="Y603" s="1">
        <v>2020</v>
      </c>
      <c r="Z603" s="1">
        <v>2021</v>
      </c>
      <c r="AA603" s="1">
        <v>2022</v>
      </c>
      <c r="AB603" s="1">
        <v>2023</v>
      </c>
      <c r="AC603" s="1">
        <v>2024</v>
      </c>
      <c r="AD603" s="1">
        <v>2025</v>
      </c>
      <c r="AE603" s="1">
        <v>2026</v>
      </c>
      <c r="AF603" s="1">
        <v>2027</v>
      </c>
      <c r="AG603" s="1">
        <v>2028</v>
      </c>
      <c r="AH603" s="1">
        <v>2029</v>
      </c>
      <c r="AI603" s="1">
        <v>2030</v>
      </c>
      <c r="AJ603" s="1">
        <v>2031</v>
      </c>
      <c r="AK603" s="1">
        <v>2032</v>
      </c>
      <c r="AL603" s="1">
        <v>2033</v>
      </c>
      <c r="AM603" s="1">
        <v>2034</v>
      </c>
      <c r="AN603" s="1">
        <v>2035</v>
      </c>
      <c r="AO603" s="1">
        <v>2036</v>
      </c>
      <c r="AP603" s="1">
        <v>2037</v>
      </c>
      <c r="AQ603" s="1">
        <v>2038</v>
      </c>
      <c r="AR603" s="1">
        <v>2039</v>
      </c>
      <c r="AS603" s="1">
        <v>2040</v>
      </c>
      <c r="AT603" s="1">
        <v>2041</v>
      </c>
      <c r="AU603" s="1">
        <v>2042</v>
      </c>
      <c r="AV603" s="1">
        <v>2043</v>
      </c>
      <c r="AW603" s="1">
        <v>2044</v>
      </c>
      <c r="AX603" s="1">
        <v>2045</v>
      </c>
      <c r="AY603" s="1">
        <v>2046</v>
      </c>
      <c r="AZ603" s="1">
        <v>2047</v>
      </c>
      <c r="BA603" s="1">
        <v>2048</v>
      </c>
      <c r="BB603" s="1">
        <v>2049</v>
      </c>
      <c r="BC603" s="1">
        <v>2050</v>
      </c>
    </row>
    <row r="604" spans="1:55">
      <c r="A604" s="1" t="str">
        <f>'Population Definitions'!$A$2</f>
        <v>PWID_males</v>
      </c>
      <c r="C604" t="s">
        <v>32</v>
      </c>
      <c r="D604" s="3"/>
      <c r="E604" s="3">
        <v>0</v>
      </c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</row>
    <row r="605" spans="1:55">
      <c r="A605" s="1" t="str">
        <f>'Population Definitions'!$A$3</f>
        <v>PWID_females</v>
      </c>
      <c r="C605" t="s">
        <v>32</v>
      </c>
      <c r="D605" s="3"/>
      <c r="E605" s="3">
        <v>0</v>
      </c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</row>
    <row r="606" spans="1:55">
      <c r="A606" s="1" t="str">
        <f>'Population Definitions'!$A$4</f>
        <v>0-9_males</v>
      </c>
      <c r="C606" t="s">
        <v>32</v>
      </c>
      <c r="D606" s="3"/>
      <c r="E606" s="3">
        <v>0</v>
      </c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</row>
    <row r="607" spans="1:55">
      <c r="A607" s="1" t="str">
        <f>'Population Definitions'!$A$5</f>
        <v>0-9_females</v>
      </c>
      <c r="C607" t="s">
        <v>32</v>
      </c>
      <c r="D607" s="3"/>
      <c r="E607" s="3">
        <v>0</v>
      </c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</row>
    <row r="608" spans="1:55">
      <c r="A608" s="1" t="str">
        <f>'Population Definitions'!$A$6</f>
        <v>10-17_males</v>
      </c>
      <c r="C608" t="s">
        <v>32</v>
      </c>
      <c r="D608" s="3"/>
      <c r="E608" s="3">
        <v>0</v>
      </c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</row>
    <row r="609" spans="1:55">
      <c r="A609" s="1" t="str">
        <f>'Population Definitions'!$A$7</f>
        <v>10-17_females</v>
      </c>
      <c r="C609" t="s">
        <v>32</v>
      </c>
      <c r="D609" s="3"/>
      <c r="E609" s="3">
        <v>0</v>
      </c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</row>
    <row r="610" spans="1:55">
      <c r="A610" s="1" t="str">
        <f>'Population Definitions'!$A$8</f>
        <v>18-64_males</v>
      </c>
      <c r="C610" t="s">
        <v>32</v>
      </c>
      <c r="D610" s="3"/>
      <c r="E610" s="3">
        <v>0</v>
      </c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</row>
    <row r="611" spans="1:55">
      <c r="A611" s="1" t="str">
        <f>'Population Definitions'!$A$9</f>
        <v>18-64_females</v>
      </c>
      <c r="C611" t="s">
        <v>32</v>
      </c>
      <c r="D611" s="3"/>
      <c r="E611" s="3">
        <v>0</v>
      </c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</row>
    <row r="612" spans="1:55">
      <c r="A612" s="1" t="str">
        <f>'Population Definitions'!$A$10</f>
        <v>65+_males</v>
      </c>
      <c r="C612" t="s">
        <v>32</v>
      </c>
      <c r="D612" s="3"/>
      <c r="E612" s="3">
        <v>0</v>
      </c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</row>
    <row r="613" spans="1:55">
      <c r="A613" s="1" t="str">
        <f>'Population Definitions'!$A$11</f>
        <v>65+_females</v>
      </c>
      <c r="C613" t="s">
        <v>32</v>
      </c>
      <c r="D613" s="3"/>
      <c r="E613" s="3">
        <v>0</v>
      </c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</row>
    <row r="614" spans="1:55">
      <c r="A614" s="1" t="str">
        <f>'Population Definitions'!$A$12</f>
        <v>Prisoners_males</v>
      </c>
      <c r="C614" t="s">
        <v>32</v>
      </c>
      <c r="D614" s="3"/>
      <c r="E614" s="3">
        <v>0</v>
      </c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</row>
    <row r="615" spans="1:55">
      <c r="A615" s="1" t="str">
        <f>'Population Definitions'!$A$13</f>
        <v>Prisoners_females</v>
      </c>
      <c r="C615" t="s">
        <v>32</v>
      </c>
      <c r="D615" s="3"/>
      <c r="E615" s="3">
        <v>0</v>
      </c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</row>
    <row r="617" spans="1:55">
      <c r="A617" s="1" t="s">
        <v>170</v>
      </c>
      <c r="B617" s="1" t="s">
        <v>29</v>
      </c>
      <c r="C617" s="1" t="s">
        <v>30</v>
      </c>
      <c r="D617" s="1" t="s">
        <v>31</v>
      </c>
      <c r="E617" s="1">
        <v>2000</v>
      </c>
      <c r="F617" s="1">
        <v>2001</v>
      </c>
      <c r="G617" s="1">
        <v>2002</v>
      </c>
      <c r="H617" s="1">
        <v>2003</v>
      </c>
      <c r="I617" s="1">
        <v>2004</v>
      </c>
      <c r="J617" s="1">
        <v>2005</v>
      </c>
      <c r="K617" s="1">
        <v>2006</v>
      </c>
      <c r="L617" s="1">
        <v>2007</v>
      </c>
      <c r="M617" s="1">
        <v>2008</v>
      </c>
      <c r="N617" s="1">
        <v>2009</v>
      </c>
      <c r="O617" s="1">
        <v>2010</v>
      </c>
      <c r="P617" s="1">
        <v>2011</v>
      </c>
      <c r="Q617" s="1">
        <v>2012</v>
      </c>
      <c r="R617" s="1">
        <v>2013</v>
      </c>
      <c r="S617" s="1">
        <v>2014</v>
      </c>
      <c r="T617" s="1">
        <v>2015</v>
      </c>
      <c r="U617" s="1">
        <v>2016</v>
      </c>
      <c r="V617" s="1">
        <v>2017</v>
      </c>
      <c r="W617" s="1">
        <v>2018</v>
      </c>
      <c r="X617" s="1">
        <v>2019</v>
      </c>
      <c r="Y617" s="1">
        <v>2020</v>
      </c>
      <c r="Z617" s="1">
        <v>2021</v>
      </c>
      <c r="AA617" s="1">
        <v>2022</v>
      </c>
      <c r="AB617" s="1">
        <v>2023</v>
      </c>
      <c r="AC617" s="1">
        <v>2024</v>
      </c>
      <c r="AD617" s="1">
        <v>2025</v>
      </c>
      <c r="AE617" s="1">
        <v>2026</v>
      </c>
      <c r="AF617" s="1">
        <v>2027</v>
      </c>
      <c r="AG617" s="1">
        <v>2028</v>
      </c>
      <c r="AH617" s="1">
        <v>2029</v>
      </c>
      <c r="AI617" s="1">
        <v>2030</v>
      </c>
      <c r="AJ617" s="1">
        <v>2031</v>
      </c>
      <c r="AK617" s="1">
        <v>2032</v>
      </c>
      <c r="AL617" s="1">
        <v>2033</v>
      </c>
      <c r="AM617" s="1">
        <v>2034</v>
      </c>
      <c r="AN617" s="1">
        <v>2035</v>
      </c>
      <c r="AO617" s="1">
        <v>2036</v>
      </c>
      <c r="AP617" s="1">
        <v>2037</v>
      </c>
      <c r="AQ617" s="1">
        <v>2038</v>
      </c>
      <c r="AR617" s="1">
        <v>2039</v>
      </c>
      <c r="AS617" s="1">
        <v>2040</v>
      </c>
      <c r="AT617" s="1">
        <v>2041</v>
      </c>
      <c r="AU617" s="1">
        <v>2042</v>
      </c>
      <c r="AV617" s="1">
        <v>2043</v>
      </c>
      <c r="AW617" s="1">
        <v>2044</v>
      </c>
      <c r="AX617" s="1">
        <v>2045</v>
      </c>
      <c r="AY617" s="1">
        <v>2046</v>
      </c>
      <c r="AZ617" s="1">
        <v>2047</v>
      </c>
      <c r="BA617" s="1">
        <v>2048</v>
      </c>
      <c r="BB617" s="1">
        <v>2049</v>
      </c>
      <c r="BC617" s="1">
        <v>2050</v>
      </c>
    </row>
    <row r="618" spans="1:55">
      <c r="A618" s="1" t="str">
        <f>'Population Definitions'!$A$2</f>
        <v>PWID_males</v>
      </c>
      <c r="C618" t="s">
        <v>32</v>
      </c>
      <c r="D618" s="3"/>
      <c r="E618" s="3">
        <v>0</v>
      </c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</row>
    <row r="619" spans="1:55">
      <c r="A619" s="1" t="str">
        <f>'Population Definitions'!$A$3</f>
        <v>PWID_females</v>
      </c>
      <c r="C619" t="s">
        <v>32</v>
      </c>
      <c r="D619" s="3"/>
      <c r="E619" s="3">
        <v>0</v>
      </c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</row>
    <row r="620" spans="1:55">
      <c r="A620" s="1" t="str">
        <f>'Population Definitions'!$A$4</f>
        <v>0-9_males</v>
      </c>
      <c r="C620" t="s">
        <v>32</v>
      </c>
      <c r="D620" s="3"/>
      <c r="E620" s="3">
        <v>0</v>
      </c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</row>
    <row r="621" spans="1:55">
      <c r="A621" s="1" t="str">
        <f>'Population Definitions'!$A$5</f>
        <v>0-9_females</v>
      </c>
      <c r="C621" t="s">
        <v>32</v>
      </c>
      <c r="D621" s="3"/>
      <c r="E621" s="3">
        <v>0</v>
      </c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</row>
    <row r="622" spans="1:55">
      <c r="A622" s="1" t="str">
        <f>'Population Definitions'!$A$6</f>
        <v>10-17_males</v>
      </c>
      <c r="C622" t="s">
        <v>32</v>
      </c>
      <c r="D622" s="3"/>
      <c r="E622" s="3">
        <v>0</v>
      </c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</row>
    <row r="623" spans="1:55">
      <c r="A623" s="1" t="str">
        <f>'Population Definitions'!$A$7</f>
        <v>10-17_females</v>
      </c>
      <c r="C623" t="s">
        <v>32</v>
      </c>
      <c r="D623" s="3"/>
      <c r="E623" s="3">
        <v>0</v>
      </c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</row>
    <row r="624" spans="1:55">
      <c r="A624" s="1" t="str">
        <f>'Population Definitions'!$A$8</f>
        <v>18-64_males</v>
      </c>
      <c r="C624" t="s">
        <v>32</v>
      </c>
      <c r="D624" s="3"/>
      <c r="E624" s="3">
        <v>0</v>
      </c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</row>
    <row r="625" spans="1:55">
      <c r="A625" s="1" t="str">
        <f>'Population Definitions'!$A$9</f>
        <v>18-64_females</v>
      </c>
      <c r="C625" t="s">
        <v>32</v>
      </c>
      <c r="D625" s="3"/>
      <c r="E625" s="3">
        <v>0</v>
      </c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</row>
    <row r="626" spans="1:55">
      <c r="A626" s="1" t="str">
        <f>'Population Definitions'!$A$10</f>
        <v>65+_males</v>
      </c>
      <c r="C626" t="s">
        <v>32</v>
      </c>
      <c r="D626" s="3"/>
      <c r="E626" s="3">
        <v>0</v>
      </c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</row>
    <row r="627" spans="1:55">
      <c r="A627" s="1" t="str">
        <f>'Population Definitions'!$A$11</f>
        <v>65+_females</v>
      </c>
      <c r="C627" t="s">
        <v>32</v>
      </c>
      <c r="D627" s="3"/>
      <c r="E627" s="3">
        <v>0</v>
      </c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</row>
    <row r="628" spans="1:55">
      <c r="A628" s="1" t="str">
        <f>'Population Definitions'!$A$12</f>
        <v>Prisoners_males</v>
      </c>
      <c r="C628" t="s">
        <v>32</v>
      </c>
      <c r="D628" s="3"/>
      <c r="E628" s="3">
        <v>0</v>
      </c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</row>
    <row r="629" spans="1:55">
      <c r="A629" s="1" t="str">
        <f>'Population Definitions'!$A$13</f>
        <v>Prisoners_females</v>
      </c>
      <c r="C629" t="s">
        <v>32</v>
      </c>
      <c r="D629" s="3"/>
      <c r="E629" s="3">
        <v>0</v>
      </c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</row>
    <row r="631" spans="1:55">
      <c r="A631" s="1" t="s">
        <v>171</v>
      </c>
      <c r="B631" s="1" t="s">
        <v>29</v>
      </c>
      <c r="C631" s="1" t="s">
        <v>30</v>
      </c>
      <c r="D631" s="1" t="s">
        <v>31</v>
      </c>
      <c r="E631" s="1">
        <v>2000</v>
      </c>
      <c r="F631" s="1">
        <v>2001</v>
      </c>
      <c r="G631" s="1">
        <v>2002</v>
      </c>
      <c r="H631" s="1">
        <v>2003</v>
      </c>
      <c r="I631" s="1">
        <v>2004</v>
      </c>
      <c r="J631" s="1">
        <v>2005</v>
      </c>
      <c r="K631" s="1">
        <v>2006</v>
      </c>
      <c r="L631" s="1">
        <v>2007</v>
      </c>
      <c r="M631" s="1">
        <v>2008</v>
      </c>
      <c r="N631" s="1">
        <v>2009</v>
      </c>
      <c r="O631" s="1">
        <v>2010</v>
      </c>
      <c r="P631" s="1">
        <v>2011</v>
      </c>
      <c r="Q631" s="1">
        <v>2012</v>
      </c>
      <c r="R631" s="1">
        <v>2013</v>
      </c>
      <c r="S631" s="1">
        <v>2014</v>
      </c>
      <c r="T631" s="1">
        <v>2015</v>
      </c>
      <c r="U631" s="1">
        <v>2016</v>
      </c>
      <c r="V631" s="1">
        <v>2017</v>
      </c>
      <c r="W631" s="1">
        <v>2018</v>
      </c>
      <c r="X631" s="1">
        <v>2019</v>
      </c>
      <c r="Y631" s="1">
        <v>2020</v>
      </c>
      <c r="Z631" s="1">
        <v>2021</v>
      </c>
      <c r="AA631" s="1">
        <v>2022</v>
      </c>
      <c r="AB631" s="1">
        <v>2023</v>
      </c>
      <c r="AC631" s="1">
        <v>2024</v>
      </c>
      <c r="AD631" s="1">
        <v>2025</v>
      </c>
      <c r="AE631" s="1">
        <v>2026</v>
      </c>
      <c r="AF631" s="1">
        <v>2027</v>
      </c>
      <c r="AG631" s="1">
        <v>2028</v>
      </c>
      <c r="AH631" s="1">
        <v>2029</v>
      </c>
      <c r="AI631" s="1">
        <v>2030</v>
      </c>
      <c r="AJ631" s="1">
        <v>2031</v>
      </c>
      <c r="AK631" s="1">
        <v>2032</v>
      </c>
      <c r="AL631" s="1">
        <v>2033</v>
      </c>
      <c r="AM631" s="1">
        <v>2034</v>
      </c>
      <c r="AN631" s="1">
        <v>2035</v>
      </c>
      <c r="AO631" s="1">
        <v>2036</v>
      </c>
      <c r="AP631" s="1">
        <v>2037</v>
      </c>
      <c r="AQ631" s="1">
        <v>2038</v>
      </c>
      <c r="AR631" s="1">
        <v>2039</v>
      </c>
      <c r="AS631" s="1">
        <v>2040</v>
      </c>
      <c r="AT631" s="1">
        <v>2041</v>
      </c>
      <c r="AU631" s="1">
        <v>2042</v>
      </c>
      <c r="AV631" s="1">
        <v>2043</v>
      </c>
      <c r="AW631" s="1">
        <v>2044</v>
      </c>
      <c r="AX631" s="1">
        <v>2045</v>
      </c>
      <c r="AY631" s="1">
        <v>2046</v>
      </c>
      <c r="AZ631" s="1">
        <v>2047</v>
      </c>
      <c r="BA631" s="1">
        <v>2048</v>
      </c>
      <c r="BB631" s="1">
        <v>2049</v>
      </c>
      <c r="BC631" s="1">
        <v>2050</v>
      </c>
    </row>
    <row r="632" spans="1:55">
      <c r="A632" s="1" t="str">
        <f>'Population Definitions'!$A$2</f>
        <v>PWID_males</v>
      </c>
      <c r="C632" t="s">
        <v>32</v>
      </c>
      <c r="D632" s="3"/>
      <c r="E632" s="3">
        <v>0</v>
      </c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</row>
    <row r="633" spans="1:55">
      <c r="A633" s="1" t="str">
        <f>'Population Definitions'!$A$3</f>
        <v>PWID_females</v>
      </c>
      <c r="C633" t="s">
        <v>32</v>
      </c>
      <c r="D633" s="3"/>
      <c r="E633" s="3">
        <v>0</v>
      </c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</row>
    <row r="634" spans="1:55">
      <c r="A634" s="1" t="str">
        <f>'Population Definitions'!$A$4</f>
        <v>0-9_males</v>
      </c>
      <c r="C634" t="s">
        <v>32</v>
      </c>
      <c r="D634" s="3"/>
      <c r="E634" s="3">
        <v>0</v>
      </c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</row>
    <row r="635" spans="1:55">
      <c r="A635" s="1" t="str">
        <f>'Population Definitions'!$A$5</f>
        <v>0-9_females</v>
      </c>
      <c r="C635" t="s">
        <v>32</v>
      </c>
      <c r="D635" s="3"/>
      <c r="E635" s="3">
        <v>0</v>
      </c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</row>
    <row r="636" spans="1:55">
      <c r="A636" s="1" t="str">
        <f>'Population Definitions'!$A$6</f>
        <v>10-17_males</v>
      </c>
      <c r="C636" t="s">
        <v>32</v>
      </c>
      <c r="D636" s="3"/>
      <c r="E636" s="3">
        <v>0</v>
      </c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</row>
    <row r="637" spans="1:55">
      <c r="A637" s="1" t="str">
        <f>'Population Definitions'!$A$7</f>
        <v>10-17_females</v>
      </c>
      <c r="C637" t="s">
        <v>32</v>
      </c>
      <c r="D637" s="3"/>
      <c r="E637" s="3">
        <v>0</v>
      </c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</row>
    <row r="638" spans="1:55">
      <c r="A638" s="1" t="str">
        <f>'Population Definitions'!$A$8</f>
        <v>18-64_males</v>
      </c>
      <c r="C638" t="s">
        <v>32</v>
      </c>
      <c r="D638" s="3"/>
      <c r="E638" s="3">
        <v>0</v>
      </c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</row>
    <row r="639" spans="1:55">
      <c r="A639" s="1" t="str">
        <f>'Population Definitions'!$A$9</f>
        <v>18-64_females</v>
      </c>
      <c r="C639" t="s">
        <v>32</v>
      </c>
      <c r="D639" s="3"/>
      <c r="E639" s="3">
        <v>0</v>
      </c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</row>
    <row r="640" spans="1:55">
      <c r="A640" s="1" t="str">
        <f>'Population Definitions'!$A$10</f>
        <v>65+_males</v>
      </c>
      <c r="C640" t="s">
        <v>32</v>
      </c>
      <c r="D640" s="3"/>
      <c r="E640" s="3">
        <v>0</v>
      </c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</row>
    <row r="641" spans="1:55">
      <c r="A641" s="1" t="str">
        <f>'Population Definitions'!$A$11</f>
        <v>65+_females</v>
      </c>
      <c r="C641" t="s">
        <v>32</v>
      </c>
      <c r="D641" s="3"/>
      <c r="E641" s="3">
        <v>0</v>
      </c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</row>
    <row r="642" spans="1:55">
      <c r="A642" s="1" t="str">
        <f>'Population Definitions'!$A$12</f>
        <v>Prisoners_males</v>
      </c>
      <c r="C642" t="s">
        <v>32</v>
      </c>
      <c r="D642" s="3"/>
      <c r="E642" s="3">
        <v>0</v>
      </c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</row>
    <row r="643" spans="1:55">
      <c r="A643" s="1" t="str">
        <f>'Population Definitions'!$A$13</f>
        <v>Prisoners_females</v>
      </c>
      <c r="C643" t="s">
        <v>32</v>
      </c>
      <c r="D643" s="3"/>
      <c r="E643" s="3">
        <v>0</v>
      </c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</row>
    <row r="645" spans="1:55">
      <c r="A645" s="1" t="s">
        <v>172</v>
      </c>
      <c r="B645" s="1" t="s">
        <v>29</v>
      </c>
      <c r="C645" s="1" t="s">
        <v>30</v>
      </c>
      <c r="D645" s="1" t="s">
        <v>31</v>
      </c>
      <c r="E645" s="1">
        <v>2000</v>
      </c>
      <c r="F645" s="1">
        <v>2001</v>
      </c>
      <c r="G645" s="1">
        <v>2002</v>
      </c>
      <c r="H645" s="1">
        <v>2003</v>
      </c>
      <c r="I645" s="1">
        <v>2004</v>
      </c>
      <c r="J645" s="1">
        <v>2005</v>
      </c>
      <c r="K645" s="1">
        <v>2006</v>
      </c>
      <c r="L645" s="1">
        <v>2007</v>
      </c>
      <c r="M645" s="1">
        <v>2008</v>
      </c>
      <c r="N645" s="1">
        <v>2009</v>
      </c>
      <c r="O645" s="1">
        <v>2010</v>
      </c>
      <c r="P645" s="1">
        <v>2011</v>
      </c>
      <c r="Q645" s="1">
        <v>2012</v>
      </c>
      <c r="R645" s="1">
        <v>2013</v>
      </c>
      <c r="S645" s="1">
        <v>2014</v>
      </c>
      <c r="T645" s="1">
        <v>2015</v>
      </c>
      <c r="U645" s="1">
        <v>2016</v>
      </c>
      <c r="V645" s="1">
        <v>2017</v>
      </c>
      <c r="W645" s="1">
        <v>2018</v>
      </c>
      <c r="X645" s="1">
        <v>2019</v>
      </c>
      <c r="Y645" s="1">
        <v>2020</v>
      </c>
      <c r="Z645" s="1">
        <v>2021</v>
      </c>
      <c r="AA645" s="1">
        <v>2022</v>
      </c>
      <c r="AB645" s="1">
        <v>2023</v>
      </c>
      <c r="AC645" s="1">
        <v>2024</v>
      </c>
      <c r="AD645" s="1">
        <v>2025</v>
      </c>
      <c r="AE645" s="1">
        <v>2026</v>
      </c>
      <c r="AF645" s="1">
        <v>2027</v>
      </c>
      <c r="AG645" s="1">
        <v>2028</v>
      </c>
      <c r="AH645" s="1">
        <v>2029</v>
      </c>
      <c r="AI645" s="1">
        <v>2030</v>
      </c>
      <c r="AJ645" s="1">
        <v>2031</v>
      </c>
      <c r="AK645" s="1">
        <v>2032</v>
      </c>
      <c r="AL645" s="1">
        <v>2033</v>
      </c>
      <c r="AM645" s="1">
        <v>2034</v>
      </c>
      <c r="AN645" s="1">
        <v>2035</v>
      </c>
      <c r="AO645" s="1">
        <v>2036</v>
      </c>
      <c r="AP645" s="1">
        <v>2037</v>
      </c>
      <c r="AQ645" s="1">
        <v>2038</v>
      </c>
      <c r="AR645" s="1">
        <v>2039</v>
      </c>
      <c r="AS645" s="1">
        <v>2040</v>
      </c>
      <c r="AT645" s="1">
        <v>2041</v>
      </c>
      <c r="AU645" s="1">
        <v>2042</v>
      </c>
      <c r="AV645" s="1">
        <v>2043</v>
      </c>
      <c r="AW645" s="1">
        <v>2044</v>
      </c>
      <c r="AX645" s="1">
        <v>2045</v>
      </c>
      <c r="AY645" s="1">
        <v>2046</v>
      </c>
      <c r="AZ645" s="1">
        <v>2047</v>
      </c>
      <c r="BA645" s="1">
        <v>2048</v>
      </c>
      <c r="BB645" s="1">
        <v>2049</v>
      </c>
      <c r="BC645" s="1">
        <v>2050</v>
      </c>
    </row>
    <row r="646" spans="1:55">
      <c r="A646" s="1" t="str">
        <f>'Population Definitions'!$A$2</f>
        <v>PWID_males</v>
      </c>
      <c r="C646" t="s">
        <v>32</v>
      </c>
      <c r="D646" s="3"/>
      <c r="E646" s="3">
        <v>0</v>
      </c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</row>
    <row r="647" spans="1:55">
      <c r="A647" s="1" t="str">
        <f>'Population Definitions'!$A$3</f>
        <v>PWID_females</v>
      </c>
      <c r="C647" t="s">
        <v>32</v>
      </c>
      <c r="D647" s="3"/>
      <c r="E647" s="3">
        <v>0</v>
      </c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</row>
    <row r="648" spans="1:55">
      <c r="A648" s="1" t="str">
        <f>'Population Definitions'!$A$4</f>
        <v>0-9_males</v>
      </c>
      <c r="C648" t="s">
        <v>32</v>
      </c>
      <c r="D648" s="3"/>
      <c r="E648" s="3">
        <v>0</v>
      </c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</row>
    <row r="649" spans="1:55">
      <c r="A649" s="1" t="str">
        <f>'Population Definitions'!$A$5</f>
        <v>0-9_females</v>
      </c>
      <c r="C649" t="s">
        <v>32</v>
      </c>
      <c r="D649" s="3"/>
      <c r="E649" s="3">
        <v>0</v>
      </c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</row>
    <row r="650" spans="1:55">
      <c r="A650" s="1" t="str">
        <f>'Population Definitions'!$A$6</f>
        <v>10-17_males</v>
      </c>
      <c r="C650" t="s">
        <v>32</v>
      </c>
      <c r="D650" s="3"/>
      <c r="E650" s="3">
        <v>0</v>
      </c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</row>
    <row r="651" spans="1:55">
      <c r="A651" s="1" t="str">
        <f>'Population Definitions'!$A$7</f>
        <v>10-17_females</v>
      </c>
      <c r="C651" t="s">
        <v>32</v>
      </c>
      <c r="D651" s="3"/>
      <c r="E651" s="3">
        <v>0</v>
      </c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</row>
    <row r="652" spans="1:55">
      <c r="A652" s="1" t="str">
        <f>'Population Definitions'!$A$8</f>
        <v>18-64_males</v>
      </c>
      <c r="C652" t="s">
        <v>32</v>
      </c>
      <c r="D652" s="3"/>
      <c r="E652" s="3">
        <v>0</v>
      </c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</row>
    <row r="653" spans="1:55">
      <c r="A653" s="1" t="str">
        <f>'Population Definitions'!$A$9</f>
        <v>18-64_females</v>
      </c>
      <c r="C653" t="s">
        <v>32</v>
      </c>
      <c r="D653" s="3"/>
      <c r="E653" s="3">
        <v>0</v>
      </c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</row>
    <row r="654" spans="1:55">
      <c r="A654" s="1" t="str">
        <f>'Population Definitions'!$A$10</f>
        <v>65+_males</v>
      </c>
      <c r="C654" t="s">
        <v>32</v>
      </c>
      <c r="D654" s="3"/>
      <c r="E654" s="3">
        <v>0</v>
      </c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</row>
    <row r="655" spans="1:55">
      <c r="A655" s="1" t="str">
        <f>'Population Definitions'!$A$11</f>
        <v>65+_females</v>
      </c>
      <c r="C655" t="s">
        <v>32</v>
      </c>
      <c r="D655" s="3"/>
      <c r="E655" s="3">
        <v>0</v>
      </c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</row>
    <row r="656" spans="1:55">
      <c r="A656" s="1" t="str">
        <f>'Population Definitions'!$A$12</f>
        <v>Prisoners_males</v>
      </c>
      <c r="C656" t="s">
        <v>32</v>
      </c>
      <c r="D656" s="3"/>
      <c r="E656" s="3">
        <v>0</v>
      </c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</row>
    <row r="657" spans="1:55">
      <c r="A657" s="1" t="str">
        <f>'Population Definitions'!$A$13</f>
        <v>Prisoners_females</v>
      </c>
      <c r="C657" t="s">
        <v>32</v>
      </c>
      <c r="D657" s="3"/>
      <c r="E657" s="3">
        <v>0</v>
      </c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</row>
    <row r="659" spans="1:55">
      <c r="A659" s="1" t="s">
        <v>173</v>
      </c>
      <c r="B659" s="1" t="s">
        <v>29</v>
      </c>
      <c r="C659" s="1" t="s">
        <v>30</v>
      </c>
      <c r="D659" s="1" t="s">
        <v>31</v>
      </c>
      <c r="E659" s="1">
        <v>2000</v>
      </c>
      <c r="F659" s="1">
        <v>2001</v>
      </c>
      <c r="G659" s="1">
        <v>2002</v>
      </c>
      <c r="H659" s="1">
        <v>2003</v>
      </c>
      <c r="I659" s="1">
        <v>2004</v>
      </c>
      <c r="J659" s="1">
        <v>2005</v>
      </c>
      <c r="K659" s="1">
        <v>2006</v>
      </c>
      <c r="L659" s="1">
        <v>2007</v>
      </c>
      <c r="M659" s="1">
        <v>2008</v>
      </c>
      <c r="N659" s="1">
        <v>2009</v>
      </c>
      <c r="O659" s="1">
        <v>2010</v>
      </c>
      <c r="P659" s="1">
        <v>2011</v>
      </c>
      <c r="Q659" s="1">
        <v>2012</v>
      </c>
      <c r="R659" s="1">
        <v>2013</v>
      </c>
      <c r="S659" s="1">
        <v>2014</v>
      </c>
      <c r="T659" s="1">
        <v>2015</v>
      </c>
      <c r="U659" s="1">
        <v>2016</v>
      </c>
      <c r="V659" s="1">
        <v>2017</v>
      </c>
      <c r="W659" s="1">
        <v>2018</v>
      </c>
      <c r="X659" s="1">
        <v>2019</v>
      </c>
      <c r="Y659" s="1">
        <v>2020</v>
      </c>
      <c r="Z659" s="1">
        <v>2021</v>
      </c>
      <c r="AA659" s="1">
        <v>2022</v>
      </c>
      <c r="AB659" s="1">
        <v>2023</v>
      </c>
      <c r="AC659" s="1">
        <v>2024</v>
      </c>
      <c r="AD659" s="1">
        <v>2025</v>
      </c>
      <c r="AE659" s="1">
        <v>2026</v>
      </c>
      <c r="AF659" s="1">
        <v>2027</v>
      </c>
      <c r="AG659" s="1">
        <v>2028</v>
      </c>
      <c r="AH659" s="1">
        <v>2029</v>
      </c>
      <c r="AI659" s="1">
        <v>2030</v>
      </c>
      <c r="AJ659" s="1">
        <v>2031</v>
      </c>
      <c r="AK659" s="1">
        <v>2032</v>
      </c>
      <c r="AL659" s="1">
        <v>2033</v>
      </c>
      <c r="AM659" s="1">
        <v>2034</v>
      </c>
      <c r="AN659" s="1">
        <v>2035</v>
      </c>
      <c r="AO659" s="1">
        <v>2036</v>
      </c>
      <c r="AP659" s="1">
        <v>2037</v>
      </c>
      <c r="AQ659" s="1">
        <v>2038</v>
      </c>
      <c r="AR659" s="1">
        <v>2039</v>
      </c>
      <c r="AS659" s="1">
        <v>2040</v>
      </c>
      <c r="AT659" s="1">
        <v>2041</v>
      </c>
      <c r="AU659" s="1">
        <v>2042</v>
      </c>
      <c r="AV659" s="1">
        <v>2043</v>
      </c>
      <c r="AW659" s="1">
        <v>2044</v>
      </c>
      <c r="AX659" s="1">
        <v>2045</v>
      </c>
      <c r="AY659" s="1">
        <v>2046</v>
      </c>
      <c r="AZ659" s="1">
        <v>2047</v>
      </c>
      <c r="BA659" s="1">
        <v>2048</v>
      </c>
      <c r="BB659" s="1">
        <v>2049</v>
      </c>
      <c r="BC659" s="1">
        <v>2050</v>
      </c>
    </row>
    <row r="660" spans="1:55">
      <c r="A660" s="1" t="str">
        <f>'Population Definitions'!$A$2</f>
        <v>PWID_males</v>
      </c>
      <c r="C660" t="s">
        <v>32</v>
      </c>
      <c r="D660" s="3"/>
      <c r="E660" s="3">
        <v>0</v>
      </c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</row>
    <row r="661" spans="1:55">
      <c r="A661" s="1" t="str">
        <f>'Population Definitions'!$A$3</f>
        <v>PWID_females</v>
      </c>
      <c r="C661" t="s">
        <v>32</v>
      </c>
      <c r="D661" s="3"/>
      <c r="E661" s="3">
        <v>0</v>
      </c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</row>
    <row r="662" spans="1:55">
      <c r="A662" s="1" t="str">
        <f>'Population Definitions'!$A$4</f>
        <v>0-9_males</v>
      </c>
      <c r="C662" t="s">
        <v>32</v>
      </c>
      <c r="D662" s="3"/>
      <c r="E662" s="3">
        <v>0</v>
      </c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</row>
    <row r="663" spans="1:55">
      <c r="A663" s="1" t="str">
        <f>'Population Definitions'!$A$5</f>
        <v>0-9_females</v>
      </c>
      <c r="C663" t="s">
        <v>32</v>
      </c>
      <c r="D663" s="3"/>
      <c r="E663" s="3">
        <v>0</v>
      </c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</row>
    <row r="664" spans="1:55">
      <c r="A664" s="1" t="str">
        <f>'Population Definitions'!$A$6</f>
        <v>10-17_males</v>
      </c>
      <c r="C664" t="s">
        <v>32</v>
      </c>
      <c r="D664" s="3"/>
      <c r="E664" s="3">
        <v>0</v>
      </c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</row>
    <row r="665" spans="1:55">
      <c r="A665" s="1" t="str">
        <f>'Population Definitions'!$A$7</f>
        <v>10-17_females</v>
      </c>
      <c r="C665" t="s">
        <v>32</v>
      </c>
      <c r="D665" s="3"/>
      <c r="E665" s="3">
        <v>0</v>
      </c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</row>
    <row r="666" spans="1:55">
      <c r="A666" s="1" t="str">
        <f>'Population Definitions'!$A$8</f>
        <v>18-64_males</v>
      </c>
      <c r="C666" t="s">
        <v>32</v>
      </c>
      <c r="D666" s="3"/>
      <c r="E666" s="3">
        <v>0</v>
      </c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</row>
    <row r="667" spans="1:55">
      <c r="A667" s="1" t="str">
        <f>'Population Definitions'!$A$9</f>
        <v>18-64_females</v>
      </c>
      <c r="C667" t="s">
        <v>32</v>
      </c>
      <c r="D667" s="3"/>
      <c r="E667" s="3">
        <v>0</v>
      </c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</row>
    <row r="668" spans="1:55">
      <c r="A668" s="1" t="str">
        <f>'Population Definitions'!$A$10</f>
        <v>65+_males</v>
      </c>
      <c r="C668" t="s">
        <v>32</v>
      </c>
      <c r="D668" s="3"/>
      <c r="E668" s="3">
        <v>0</v>
      </c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</row>
    <row r="669" spans="1:55">
      <c r="A669" s="1" t="str">
        <f>'Population Definitions'!$A$11</f>
        <v>65+_females</v>
      </c>
      <c r="C669" t="s">
        <v>32</v>
      </c>
      <c r="D669" s="3"/>
      <c r="E669" s="3">
        <v>0</v>
      </c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</row>
    <row r="670" spans="1:55">
      <c r="A670" s="1" t="str">
        <f>'Population Definitions'!$A$12</f>
        <v>Prisoners_males</v>
      </c>
      <c r="C670" t="s">
        <v>32</v>
      </c>
      <c r="D670" s="3"/>
      <c r="E670" s="3">
        <v>0</v>
      </c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</row>
    <row r="671" spans="1:55">
      <c r="A671" s="1" t="str">
        <f>'Population Definitions'!$A$13</f>
        <v>Prisoners_females</v>
      </c>
      <c r="C671" t="s">
        <v>32</v>
      </c>
      <c r="D671" s="3"/>
      <c r="E671" s="3">
        <v>0</v>
      </c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</row>
    <row r="673" spans="1:55">
      <c r="A673" s="1" t="s">
        <v>174</v>
      </c>
      <c r="B673" s="1" t="s">
        <v>29</v>
      </c>
      <c r="C673" s="1" t="s">
        <v>30</v>
      </c>
      <c r="D673" s="1" t="s">
        <v>31</v>
      </c>
      <c r="E673" s="1">
        <v>2000</v>
      </c>
      <c r="F673" s="1">
        <v>2001</v>
      </c>
      <c r="G673" s="1">
        <v>2002</v>
      </c>
      <c r="H673" s="1">
        <v>2003</v>
      </c>
      <c r="I673" s="1">
        <v>2004</v>
      </c>
      <c r="J673" s="1">
        <v>2005</v>
      </c>
      <c r="K673" s="1">
        <v>2006</v>
      </c>
      <c r="L673" s="1">
        <v>2007</v>
      </c>
      <c r="M673" s="1">
        <v>2008</v>
      </c>
      <c r="N673" s="1">
        <v>2009</v>
      </c>
      <c r="O673" s="1">
        <v>2010</v>
      </c>
      <c r="P673" s="1">
        <v>2011</v>
      </c>
      <c r="Q673" s="1">
        <v>2012</v>
      </c>
      <c r="R673" s="1">
        <v>2013</v>
      </c>
      <c r="S673" s="1">
        <v>2014</v>
      </c>
      <c r="T673" s="1">
        <v>2015</v>
      </c>
      <c r="U673" s="1">
        <v>2016</v>
      </c>
      <c r="V673" s="1">
        <v>2017</v>
      </c>
      <c r="W673" s="1">
        <v>2018</v>
      </c>
      <c r="X673" s="1">
        <v>2019</v>
      </c>
      <c r="Y673" s="1">
        <v>2020</v>
      </c>
      <c r="Z673" s="1">
        <v>2021</v>
      </c>
      <c r="AA673" s="1">
        <v>2022</v>
      </c>
      <c r="AB673" s="1">
        <v>2023</v>
      </c>
      <c r="AC673" s="1">
        <v>2024</v>
      </c>
      <c r="AD673" s="1">
        <v>2025</v>
      </c>
      <c r="AE673" s="1">
        <v>2026</v>
      </c>
      <c r="AF673" s="1">
        <v>2027</v>
      </c>
      <c r="AG673" s="1">
        <v>2028</v>
      </c>
      <c r="AH673" s="1">
        <v>2029</v>
      </c>
      <c r="AI673" s="1">
        <v>2030</v>
      </c>
      <c r="AJ673" s="1">
        <v>2031</v>
      </c>
      <c r="AK673" s="1">
        <v>2032</v>
      </c>
      <c r="AL673" s="1">
        <v>2033</v>
      </c>
      <c r="AM673" s="1">
        <v>2034</v>
      </c>
      <c r="AN673" s="1">
        <v>2035</v>
      </c>
      <c r="AO673" s="1">
        <v>2036</v>
      </c>
      <c r="AP673" s="1">
        <v>2037</v>
      </c>
      <c r="AQ673" s="1">
        <v>2038</v>
      </c>
      <c r="AR673" s="1">
        <v>2039</v>
      </c>
      <c r="AS673" s="1">
        <v>2040</v>
      </c>
      <c r="AT673" s="1">
        <v>2041</v>
      </c>
      <c r="AU673" s="1">
        <v>2042</v>
      </c>
      <c r="AV673" s="1">
        <v>2043</v>
      </c>
      <c r="AW673" s="1">
        <v>2044</v>
      </c>
      <c r="AX673" s="1">
        <v>2045</v>
      </c>
      <c r="AY673" s="1">
        <v>2046</v>
      </c>
      <c r="AZ673" s="1">
        <v>2047</v>
      </c>
      <c r="BA673" s="1">
        <v>2048</v>
      </c>
      <c r="BB673" s="1">
        <v>2049</v>
      </c>
      <c r="BC673" s="1">
        <v>2050</v>
      </c>
    </row>
    <row r="674" spans="1:55">
      <c r="A674" s="1" t="str">
        <f>'Population Definitions'!$A$2</f>
        <v>PWID_males</v>
      </c>
      <c r="C674" t="s">
        <v>32</v>
      </c>
      <c r="D674" s="3"/>
      <c r="E674" s="3">
        <v>0</v>
      </c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</row>
    <row r="675" spans="1:55">
      <c r="A675" s="1" t="str">
        <f>'Population Definitions'!$A$3</f>
        <v>PWID_females</v>
      </c>
      <c r="C675" t="s">
        <v>32</v>
      </c>
      <c r="D675" s="3"/>
      <c r="E675" s="3">
        <v>0</v>
      </c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</row>
    <row r="676" spans="1:55">
      <c r="A676" s="1" t="str">
        <f>'Population Definitions'!$A$4</f>
        <v>0-9_males</v>
      </c>
      <c r="C676" t="s">
        <v>32</v>
      </c>
      <c r="D676" s="3"/>
      <c r="E676" s="3">
        <v>0</v>
      </c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</row>
    <row r="677" spans="1:55">
      <c r="A677" s="1" t="str">
        <f>'Population Definitions'!$A$5</f>
        <v>0-9_females</v>
      </c>
      <c r="C677" t="s">
        <v>32</v>
      </c>
      <c r="D677" s="3"/>
      <c r="E677" s="3">
        <v>0</v>
      </c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</row>
    <row r="678" spans="1:55">
      <c r="A678" s="1" t="str">
        <f>'Population Definitions'!$A$6</f>
        <v>10-17_males</v>
      </c>
      <c r="C678" t="s">
        <v>32</v>
      </c>
      <c r="D678" s="3"/>
      <c r="E678" s="3">
        <v>0</v>
      </c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</row>
    <row r="679" spans="1:55">
      <c r="A679" s="1" t="str">
        <f>'Population Definitions'!$A$7</f>
        <v>10-17_females</v>
      </c>
      <c r="C679" t="s">
        <v>32</v>
      </c>
      <c r="D679" s="3"/>
      <c r="E679" s="3">
        <v>0</v>
      </c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</row>
    <row r="680" spans="1:55">
      <c r="A680" s="1" t="str">
        <f>'Population Definitions'!$A$8</f>
        <v>18-64_males</v>
      </c>
      <c r="C680" t="s">
        <v>32</v>
      </c>
      <c r="D680" s="3"/>
      <c r="E680" s="3">
        <v>0</v>
      </c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</row>
    <row r="681" spans="1:55">
      <c r="A681" s="1" t="str">
        <f>'Population Definitions'!$A$9</f>
        <v>18-64_females</v>
      </c>
      <c r="C681" t="s">
        <v>32</v>
      </c>
      <c r="D681" s="3"/>
      <c r="E681" s="3">
        <v>0</v>
      </c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</row>
    <row r="682" spans="1:55">
      <c r="A682" s="1" t="str">
        <f>'Population Definitions'!$A$10</f>
        <v>65+_males</v>
      </c>
      <c r="C682" t="s">
        <v>32</v>
      </c>
      <c r="D682" s="3"/>
      <c r="E682" s="3">
        <v>0</v>
      </c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</row>
    <row r="683" spans="1:55">
      <c r="A683" s="1" t="str">
        <f>'Population Definitions'!$A$11</f>
        <v>65+_females</v>
      </c>
      <c r="C683" t="s">
        <v>32</v>
      </c>
      <c r="D683" s="3"/>
      <c r="E683" s="3">
        <v>0</v>
      </c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</row>
    <row r="684" spans="1:55">
      <c r="A684" s="1" t="str">
        <f>'Population Definitions'!$A$12</f>
        <v>Prisoners_males</v>
      </c>
      <c r="C684" t="s">
        <v>32</v>
      </c>
      <c r="D684" s="3"/>
      <c r="E684" s="3">
        <v>0</v>
      </c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</row>
    <row r="685" spans="1:55">
      <c r="A685" s="1" t="str">
        <f>'Population Definitions'!$A$13</f>
        <v>Prisoners_females</v>
      </c>
      <c r="C685" t="s">
        <v>32</v>
      </c>
      <c r="D685" s="3"/>
      <c r="E685" s="3">
        <v>0</v>
      </c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</row>
    <row r="687" spans="1:55">
      <c r="A687" s="1" t="s">
        <v>175</v>
      </c>
      <c r="B687" s="1" t="s">
        <v>29</v>
      </c>
      <c r="C687" s="1" t="s">
        <v>30</v>
      </c>
      <c r="D687" s="1" t="s">
        <v>31</v>
      </c>
      <c r="E687" s="1">
        <v>2000</v>
      </c>
      <c r="F687" s="1">
        <v>2001</v>
      </c>
      <c r="G687" s="1">
        <v>2002</v>
      </c>
      <c r="H687" s="1">
        <v>2003</v>
      </c>
      <c r="I687" s="1">
        <v>2004</v>
      </c>
      <c r="J687" s="1">
        <v>2005</v>
      </c>
      <c r="K687" s="1">
        <v>2006</v>
      </c>
      <c r="L687" s="1">
        <v>2007</v>
      </c>
      <c r="M687" s="1">
        <v>2008</v>
      </c>
      <c r="N687" s="1">
        <v>2009</v>
      </c>
      <c r="O687" s="1">
        <v>2010</v>
      </c>
      <c r="P687" s="1">
        <v>2011</v>
      </c>
      <c r="Q687" s="1">
        <v>2012</v>
      </c>
      <c r="R687" s="1">
        <v>2013</v>
      </c>
      <c r="S687" s="1">
        <v>2014</v>
      </c>
      <c r="T687" s="1">
        <v>2015</v>
      </c>
      <c r="U687" s="1">
        <v>2016</v>
      </c>
      <c r="V687" s="1">
        <v>2017</v>
      </c>
      <c r="W687" s="1">
        <v>2018</v>
      </c>
      <c r="X687" s="1">
        <v>2019</v>
      </c>
      <c r="Y687" s="1">
        <v>2020</v>
      </c>
      <c r="Z687" s="1">
        <v>2021</v>
      </c>
      <c r="AA687" s="1">
        <v>2022</v>
      </c>
      <c r="AB687" s="1">
        <v>2023</v>
      </c>
      <c r="AC687" s="1">
        <v>2024</v>
      </c>
      <c r="AD687" s="1">
        <v>2025</v>
      </c>
      <c r="AE687" s="1">
        <v>2026</v>
      </c>
      <c r="AF687" s="1">
        <v>2027</v>
      </c>
      <c r="AG687" s="1">
        <v>2028</v>
      </c>
      <c r="AH687" s="1">
        <v>2029</v>
      </c>
      <c r="AI687" s="1">
        <v>2030</v>
      </c>
      <c r="AJ687" s="1">
        <v>2031</v>
      </c>
      <c r="AK687" s="1">
        <v>2032</v>
      </c>
      <c r="AL687" s="1">
        <v>2033</v>
      </c>
      <c r="AM687" s="1">
        <v>2034</v>
      </c>
      <c r="AN687" s="1">
        <v>2035</v>
      </c>
      <c r="AO687" s="1">
        <v>2036</v>
      </c>
      <c r="AP687" s="1">
        <v>2037</v>
      </c>
      <c r="AQ687" s="1">
        <v>2038</v>
      </c>
      <c r="AR687" s="1">
        <v>2039</v>
      </c>
      <c r="AS687" s="1">
        <v>2040</v>
      </c>
      <c r="AT687" s="1">
        <v>2041</v>
      </c>
      <c r="AU687" s="1">
        <v>2042</v>
      </c>
      <c r="AV687" s="1">
        <v>2043</v>
      </c>
      <c r="AW687" s="1">
        <v>2044</v>
      </c>
      <c r="AX687" s="1">
        <v>2045</v>
      </c>
      <c r="AY687" s="1">
        <v>2046</v>
      </c>
      <c r="AZ687" s="1">
        <v>2047</v>
      </c>
      <c r="BA687" s="1">
        <v>2048</v>
      </c>
      <c r="BB687" s="1">
        <v>2049</v>
      </c>
      <c r="BC687" s="1">
        <v>2050</v>
      </c>
    </row>
    <row r="688" spans="1:55">
      <c r="A688" s="1" t="str">
        <f>'Population Definitions'!$A$2</f>
        <v>PWID_males</v>
      </c>
      <c r="C688" t="s">
        <v>32</v>
      </c>
      <c r="D688" s="3"/>
      <c r="E688" s="3">
        <v>0</v>
      </c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</row>
    <row r="689" spans="1:55">
      <c r="A689" s="1" t="str">
        <f>'Population Definitions'!$A$3</f>
        <v>PWID_females</v>
      </c>
      <c r="C689" t="s">
        <v>32</v>
      </c>
      <c r="D689" s="3"/>
      <c r="E689" s="3">
        <v>0</v>
      </c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</row>
    <row r="690" spans="1:55">
      <c r="A690" s="1" t="str">
        <f>'Population Definitions'!$A$4</f>
        <v>0-9_males</v>
      </c>
      <c r="C690" t="s">
        <v>32</v>
      </c>
      <c r="D690" s="3"/>
      <c r="E690" s="3">
        <v>0</v>
      </c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</row>
    <row r="691" spans="1:55">
      <c r="A691" s="1" t="str">
        <f>'Population Definitions'!$A$5</f>
        <v>0-9_females</v>
      </c>
      <c r="C691" t="s">
        <v>32</v>
      </c>
      <c r="D691" s="3"/>
      <c r="E691" s="3">
        <v>0</v>
      </c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</row>
    <row r="692" spans="1:55">
      <c r="A692" s="1" t="str">
        <f>'Population Definitions'!$A$6</f>
        <v>10-17_males</v>
      </c>
      <c r="C692" t="s">
        <v>32</v>
      </c>
      <c r="D692" s="3"/>
      <c r="E692" s="3">
        <v>0</v>
      </c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</row>
    <row r="693" spans="1:55">
      <c r="A693" s="1" t="str">
        <f>'Population Definitions'!$A$7</f>
        <v>10-17_females</v>
      </c>
      <c r="C693" t="s">
        <v>32</v>
      </c>
      <c r="D693" s="3"/>
      <c r="E693" s="3">
        <v>0</v>
      </c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</row>
    <row r="694" spans="1:55">
      <c r="A694" s="1" t="str">
        <f>'Population Definitions'!$A$8</f>
        <v>18-64_males</v>
      </c>
      <c r="C694" t="s">
        <v>32</v>
      </c>
      <c r="D694" s="3"/>
      <c r="E694" s="3">
        <v>0</v>
      </c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</row>
    <row r="695" spans="1:55">
      <c r="A695" s="1" t="str">
        <f>'Population Definitions'!$A$9</f>
        <v>18-64_females</v>
      </c>
      <c r="C695" t="s">
        <v>32</v>
      </c>
      <c r="D695" s="3"/>
      <c r="E695" s="3">
        <v>0</v>
      </c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</row>
    <row r="696" spans="1:55">
      <c r="A696" s="1" t="str">
        <f>'Population Definitions'!$A$10</f>
        <v>65+_males</v>
      </c>
      <c r="C696" t="s">
        <v>32</v>
      </c>
      <c r="D696" s="3"/>
      <c r="E696" s="3">
        <v>0</v>
      </c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</row>
    <row r="697" spans="1:55">
      <c r="A697" s="1" t="str">
        <f>'Population Definitions'!$A$11</f>
        <v>65+_females</v>
      </c>
      <c r="C697" t="s">
        <v>32</v>
      </c>
      <c r="D697" s="3"/>
      <c r="E697" s="3">
        <v>0</v>
      </c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</row>
    <row r="698" spans="1:55">
      <c r="A698" s="1" t="str">
        <f>'Population Definitions'!$A$12</f>
        <v>Prisoners_males</v>
      </c>
      <c r="C698" t="s">
        <v>32</v>
      </c>
      <c r="D698" s="3"/>
      <c r="E698" s="3">
        <v>0</v>
      </c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</row>
    <row r="699" spans="1:55">
      <c r="A699" s="1" t="str">
        <f>'Population Definitions'!$A$13</f>
        <v>Prisoners_females</v>
      </c>
      <c r="C699" t="s">
        <v>32</v>
      </c>
      <c r="D699" s="3"/>
      <c r="E699" s="3">
        <v>0</v>
      </c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</row>
    <row r="701" spans="1:55">
      <c r="A701" s="1" t="s">
        <v>176</v>
      </c>
      <c r="B701" s="1" t="s">
        <v>29</v>
      </c>
      <c r="C701" s="1" t="s">
        <v>30</v>
      </c>
      <c r="D701" s="1" t="s">
        <v>31</v>
      </c>
      <c r="E701" s="1">
        <v>2000</v>
      </c>
      <c r="F701" s="1">
        <v>2001</v>
      </c>
      <c r="G701" s="1">
        <v>2002</v>
      </c>
      <c r="H701" s="1">
        <v>2003</v>
      </c>
      <c r="I701" s="1">
        <v>2004</v>
      </c>
      <c r="J701" s="1">
        <v>2005</v>
      </c>
      <c r="K701" s="1">
        <v>2006</v>
      </c>
      <c r="L701" s="1">
        <v>2007</v>
      </c>
      <c r="M701" s="1">
        <v>2008</v>
      </c>
      <c r="N701" s="1">
        <v>2009</v>
      </c>
      <c r="O701" s="1">
        <v>2010</v>
      </c>
      <c r="P701" s="1">
        <v>2011</v>
      </c>
      <c r="Q701" s="1">
        <v>2012</v>
      </c>
      <c r="R701" s="1">
        <v>2013</v>
      </c>
      <c r="S701" s="1">
        <v>2014</v>
      </c>
      <c r="T701" s="1">
        <v>2015</v>
      </c>
      <c r="U701" s="1">
        <v>2016</v>
      </c>
      <c r="V701" s="1">
        <v>2017</v>
      </c>
      <c r="W701" s="1">
        <v>2018</v>
      </c>
      <c r="X701" s="1">
        <v>2019</v>
      </c>
      <c r="Y701" s="1">
        <v>2020</v>
      </c>
      <c r="Z701" s="1">
        <v>2021</v>
      </c>
      <c r="AA701" s="1">
        <v>2022</v>
      </c>
      <c r="AB701" s="1">
        <v>2023</v>
      </c>
      <c r="AC701" s="1">
        <v>2024</v>
      </c>
      <c r="AD701" s="1">
        <v>2025</v>
      </c>
      <c r="AE701" s="1">
        <v>2026</v>
      </c>
      <c r="AF701" s="1">
        <v>2027</v>
      </c>
      <c r="AG701" s="1">
        <v>2028</v>
      </c>
      <c r="AH701" s="1">
        <v>2029</v>
      </c>
      <c r="AI701" s="1">
        <v>2030</v>
      </c>
      <c r="AJ701" s="1">
        <v>2031</v>
      </c>
      <c r="AK701" s="1">
        <v>2032</v>
      </c>
      <c r="AL701" s="1">
        <v>2033</v>
      </c>
      <c r="AM701" s="1">
        <v>2034</v>
      </c>
      <c r="AN701" s="1">
        <v>2035</v>
      </c>
      <c r="AO701" s="1">
        <v>2036</v>
      </c>
      <c r="AP701" s="1">
        <v>2037</v>
      </c>
      <c r="AQ701" s="1">
        <v>2038</v>
      </c>
      <c r="AR701" s="1">
        <v>2039</v>
      </c>
      <c r="AS701" s="1">
        <v>2040</v>
      </c>
      <c r="AT701" s="1">
        <v>2041</v>
      </c>
      <c r="AU701" s="1">
        <v>2042</v>
      </c>
      <c r="AV701" s="1">
        <v>2043</v>
      </c>
      <c r="AW701" s="1">
        <v>2044</v>
      </c>
      <c r="AX701" s="1">
        <v>2045</v>
      </c>
      <c r="AY701" s="1">
        <v>2046</v>
      </c>
      <c r="AZ701" s="1">
        <v>2047</v>
      </c>
      <c r="BA701" s="1">
        <v>2048</v>
      </c>
      <c r="BB701" s="1">
        <v>2049</v>
      </c>
      <c r="BC701" s="1">
        <v>2050</v>
      </c>
    </row>
    <row r="702" spans="1:55">
      <c r="A702" s="1" t="str">
        <f>'Population Definitions'!$A$2</f>
        <v>PWID_males</v>
      </c>
      <c r="C702" t="s">
        <v>32</v>
      </c>
      <c r="D702" s="3"/>
      <c r="E702" s="3">
        <v>0</v>
      </c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</row>
    <row r="703" spans="1:55">
      <c r="A703" s="1" t="str">
        <f>'Population Definitions'!$A$3</f>
        <v>PWID_females</v>
      </c>
      <c r="C703" t="s">
        <v>32</v>
      </c>
      <c r="D703" s="3"/>
      <c r="E703" s="3">
        <v>0</v>
      </c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</row>
    <row r="704" spans="1:55">
      <c r="A704" s="1" t="str">
        <f>'Population Definitions'!$A$4</f>
        <v>0-9_males</v>
      </c>
      <c r="C704" t="s">
        <v>32</v>
      </c>
      <c r="D704" s="3"/>
      <c r="E704" s="3">
        <v>0</v>
      </c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</row>
    <row r="705" spans="1:55">
      <c r="A705" s="1" t="str">
        <f>'Population Definitions'!$A$5</f>
        <v>0-9_females</v>
      </c>
      <c r="C705" t="s">
        <v>32</v>
      </c>
      <c r="D705" s="3"/>
      <c r="E705" s="3">
        <v>0</v>
      </c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</row>
    <row r="706" spans="1:55">
      <c r="A706" s="1" t="str">
        <f>'Population Definitions'!$A$6</f>
        <v>10-17_males</v>
      </c>
      <c r="C706" t="s">
        <v>32</v>
      </c>
      <c r="D706" s="3"/>
      <c r="E706" s="3">
        <v>0</v>
      </c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</row>
    <row r="707" spans="1:55">
      <c r="A707" s="1" t="str">
        <f>'Population Definitions'!$A$7</f>
        <v>10-17_females</v>
      </c>
      <c r="C707" t="s">
        <v>32</v>
      </c>
      <c r="D707" s="3"/>
      <c r="E707" s="3">
        <v>0</v>
      </c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</row>
    <row r="708" spans="1:55">
      <c r="A708" s="1" t="str">
        <f>'Population Definitions'!$A$8</f>
        <v>18-64_males</v>
      </c>
      <c r="C708" t="s">
        <v>32</v>
      </c>
      <c r="D708" s="3"/>
      <c r="E708" s="3">
        <v>0</v>
      </c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</row>
    <row r="709" spans="1:55">
      <c r="A709" s="1" t="str">
        <f>'Population Definitions'!$A$9</f>
        <v>18-64_females</v>
      </c>
      <c r="C709" t="s">
        <v>32</v>
      </c>
      <c r="D709" s="3"/>
      <c r="E709" s="3">
        <v>0</v>
      </c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</row>
    <row r="710" spans="1:55">
      <c r="A710" s="1" t="str">
        <f>'Population Definitions'!$A$10</f>
        <v>65+_males</v>
      </c>
      <c r="C710" t="s">
        <v>32</v>
      </c>
      <c r="D710" s="3"/>
      <c r="E710" s="3">
        <v>0</v>
      </c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</row>
    <row r="711" spans="1:55">
      <c r="A711" s="1" t="str">
        <f>'Population Definitions'!$A$11</f>
        <v>65+_females</v>
      </c>
      <c r="C711" t="s">
        <v>32</v>
      </c>
      <c r="D711" s="3"/>
      <c r="E711" s="3">
        <v>0</v>
      </c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</row>
    <row r="712" spans="1:55">
      <c r="A712" s="1" t="str">
        <f>'Population Definitions'!$A$12</f>
        <v>Prisoners_males</v>
      </c>
      <c r="C712" t="s">
        <v>32</v>
      </c>
      <c r="D712" s="3"/>
      <c r="E712" s="3">
        <v>0</v>
      </c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</row>
    <row r="713" spans="1:55">
      <c r="A713" s="1" t="str">
        <f>'Population Definitions'!$A$13</f>
        <v>Prisoners_females</v>
      </c>
      <c r="C713" t="s">
        <v>32</v>
      </c>
      <c r="D713" s="3"/>
      <c r="E713" s="3">
        <v>0</v>
      </c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</row>
    <row r="715" spans="1:55">
      <c r="A715" s="1" t="s">
        <v>177</v>
      </c>
      <c r="B715" s="1" t="s">
        <v>29</v>
      </c>
      <c r="C715" s="1" t="s">
        <v>30</v>
      </c>
      <c r="D715" s="1" t="s">
        <v>31</v>
      </c>
      <c r="E715" s="1">
        <v>2000</v>
      </c>
      <c r="F715" s="1">
        <v>2001</v>
      </c>
      <c r="G715" s="1">
        <v>2002</v>
      </c>
      <c r="H715" s="1">
        <v>2003</v>
      </c>
      <c r="I715" s="1">
        <v>2004</v>
      </c>
      <c r="J715" s="1">
        <v>2005</v>
      </c>
      <c r="K715" s="1">
        <v>2006</v>
      </c>
      <c r="L715" s="1">
        <v>2007</v>
      </c>
      <c r="M715" s="1">
        <v>2008</v>
      </c>
      <c r="N715" s="1">
        <v>2009</v>
      </c>
      <c r="O715" s="1">
        <v>2010</v>
      </c>
      <c r="P715" s="1">
        <v>2011</v>
      </c>
      <c r="Q715" s="1">
        <v>2012</v>
      </c>
      <c r="R715" s="1">
        <v>2013</v>
      </c>
      <c r="S715" s="1">
        <v>2014</v>
      </c>
      <c r="T715" s="1">
        <v>2015</v>
      </c>
      <c r="U715" s="1">
        <v>2016</v>
      </c>
      <c r="V715" s="1">
        <v>2017</v>
      </c>
      <c r="W715" s="1">
        <v>2018</v>
      </c>
      <c r="X715" s="1">
        <v>2019</v>
      </c>
      <c r="Y715" s="1">
        <v>2020</v>
      </c>
      <c r="Z715" s="1">
        <v>2021</v>
      </c>
      <c r="AA715" s="1">
        <v>2022</v>
      </c>
      <c r="AB715" s="1">
        <v>2023</v>
      </c>
      <c r="AC715" s="1">
        <v>2024</v>
      </c>
      <c r="AD715" s="1">
        <v>2025</v>
      </c>
      <c r="AE715" s="1">
        <v>2026</v>
      </c>
      <c r="AF715" s="1">
        <v>2027</v>
      </c>
      <c r="AG715" s="1">
        <v>2028</v>
      </c>
      <c r="AH715" s="1">
        <v>2029</v>
      </c>
      <c r="AI715" s="1">
        <v>2030</v>
      </c>
      <c r="AJ715" s="1">
        <v>2031</v>
      </c>
      <c r="AK715" s="1">
        <v>2032</v>
      </c>
      <c r="AL715" s="1">
        <v>2033</v>
      </c>
      <c r="AM715" s="1">
        <v>2034</v>
      </c>
      <c r="AN715" s="1">
        <v>2035</v>
      </c>
      <c r="AO715" s="1">
        <v>2036</v>
      </c>
      <c r="AP715" s="1">
        <v>2037</v>
      </c>
      <c r="AQ715" s="1">
        <v>2038</v>
      </c>
      <c r="AR715" s="1">
        <v>2039</v>
      </c>
      <c r="AS715" s="1">
        <v>2040</v>
      </c>
      <c r="AT715" s="1">
        <v>2041</v>
      </c>
      <c r="AU715" s="1">
        <v>2042</v>
      </c>
      <c r="AV715" s="1">
        <v>2043</v>
      </c>
      <c r="AW715" s="1">
        <v>2044</v>
      </c>
      <c r="AX715" s="1">
        <v>2045</v>
      </c>
      <c r="AY715" s="1">
        <v>2046</v>
      </c>
      <c r="AZ715" s="1">
        <v>2047</v>
      </c>
      <c r="BA715" s="1">
        <v>2048</v>
      </c>
      <c r="BB715" s="1">
        <v>2049</v>
      </c>
      <c r="BC715" s="1">
        <v>2050</v>
      </c>
    </row>
    <row r="716" spans="1:55">
      <c r="A716" s="1" t="str">
        <f>'Population Definitions'!$A$2</f>
        <v>PWID_males</v>
      </c>
      <c r="C716" t="s">
        <v>32</v>
      </c>
      <c r="D716" s="3"/>
      <c r="E716" s="3">
        <v>0</v>
      </c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</row>
    <row r="717" spans="1:55">
      <c r="A717" s="1" t="str">
        <f>'Population Definitions'!$A$3</f>
        <v>PWID_females</v>
      </c>
      <c r="C717" t="s">
        <v>32</v>
      </c>
      <c r="D717" s="3"/>
      <c r="E717" s="3">
        <v>0</v>
      </c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</row>
    <row r="718" spans="1:55">
      <c r="A718" s="1" t="str">
        <f>'Population Definitions'!$A$4</f>
        <v>0-9_males</v>
      </c>
      <c r="C718" t="s">
        <v>32</v>
      </c>
      <c r="D718" s="3"/>
      <c r="E718" s="3">
        <v>0</v>
      </c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</row>
    <row r="719" spans="1:55">
      <c r="A719" s="1" t="str">
        <f>'Population Definitions'!$A$5</f>
        <v>0-9_females</v>
      </c>
      <c r="C719" t="s">
        <v>32</v>
      </c>
      <c r="D719" s="3"/>
      <c r="E719" s="3">
        <v>0</v>
      </c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</row>
    <row r="720" spans="1:55">
      <c r="A720" s="1" t="str">
        <f>'Population Definitions'!$A$6</f>
        <v>10-17_males</v>
      </c>
      <c r="C720" t="s">
        <v>32</v>
      </c>
      <c r="D720" s="3"/>
      <c r="E720" s="3">
        <v>0</v>
      </c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</row>
    <row r="721" spans="1:55">
      <c r="A721" s="1" t="str">
        <f>'Population Definitions'!$A$7</f>
        <v>10-17_females</v>
      </c>
      <c r="C721" t="s">
        <v>32</v>
      </c>
      <c r="D721" s="3"/>
      <c r="E721" s="3">
        <v>0</v>
      </c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</row>
    <row r="722" spans="1:55">
      <c r="A722" s="1" t="str">
        <f>'Population Definitions'!$A$8</f>
        <v>18-64_males</v>
      </c>
      <c r="C722" t="s">
        <v>32</v>
      </c>
      <c r="D722" s="3"/>
      <c r="E722" s="3">
        <v>0</v>
      </c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</row>
    <row r="723" spans="1:55">
      <c r="A723" s="1" t="str">
        <f>'Population Definitions'!$A$9</f>
        <v>18-64_females</v>
      </c>
      <c r="C723" t="s">
        <v>32</v>
      </c>
      <c r="D723" s="3"/>
      <c r="E723" s="3">
        <v>0</v>
      </c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</row>
    <row r="724" spans="1:55">
      <c r="A724" s="1" t="str">
        <f>'Population Definitions'!$A$10</f>
        <v>65+_males</v>
      </c>
      <c r="C724" t="s">
        <v>32</v>
      </c>
      <c r="D724" s="3"/>
      <c r="E724" s="3">
        <v>0</v>
      </c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</row>
    <row r="725" spans="1:55">
      <c r="A725" s="1" t="str">
        <f>'Population Definitions'!$A$11</f>
        <v>65+_females</v>
      </c>
      <c r="C725" t="s">
        <v>32</v>
      </c>
      <c r="D725" s="3"/>
      <c r="E725" s="3">
        <v>0</v>
      </c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</row>
    <row r="726" spans="1:55">
      <c r="A726" s="1" t="str">
        <f>'Population Definitions'!$A$12</f>
        <v>Prisoners_males</v>
      </c>
      <c r="C726" t="s">
        <v>32</v>
      </c>
      <c r="D726" s="3"/>
      <c r="E726" s="3">
        <v>0</v>
      </c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</row>
    <row r="727" spans="1:55">
      <c r="A727" s="1" t="str">
        <f>'Population Definitions'!$A$13</f>
        <v>Prisoners_females</v>
      </c>
      <c r="C727" t="s">
        <v>32</v>
      </c>
      <c r="D727" s="3"/>
      <c r="E727" s="3">
        <v>0</v>
      </c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</row>
    <row r="729" spans="1:55">
      <c r="A729" s="1" t="s">
        <v>178</v>
      </c>
      <c r="B729" s="1" t="s">
        <v>29</v>
      </c>
      <c r="C729" s="1" t="s">
        <v>30</v>
      </c>
      <c r="D729" s="1" t="s">
        <v>31</v>
      </c>
      <c r="E729" s="1">
        <v>2000</v>
      </c>
      <c r="F729" s="1">
        <v>2001</v>
      </c>
      <c r="G729" s="1">
        <v>2002</v>
      </c>
      <c r="H729" s="1">
        <v>2003</v>
      </c>
      <c r="I729" s="1">
        <v>2004</v>
      </c>
      <c r="J729" s="1">
        <v>2005</v>
      </c>
      <c r="K729" s="1">
        <v>2006</v>
      </c>
      <c r="L729" s="1">
        <v>2007</v>
      </c>
      <c r="M729" s="1">
        <v>2008</v>
      </c>
      <c r="N729" s="1">
        <v>2009</v>
      </c>
      <c r="O729" s="1">
        <v>2010</v>
      </c>
      <c r="P729" s="1">
        <v>2011</v>
      </c>
      <c r="Q729" s="1">
        <v>2012</v>
      </c>
      <c r="R729" s="1">
        <v>2013</v>
      </c>
      <c r="S729" s="1">
        <v>2014</v>
      </c>
      <c r="T729" s="1">
        <v>2015</v>
      </c>
      <c r="U729" s="1">
        <v>2016</v>
      </c>
      <c r="V729" s="1">
        <v>2017</v>
      </c>
      <c r="W729" s="1">
        <v>2018</v>
      </c>
      <c r="X729" s="1">
        <v>2019</v>
      </c>
      <c r="Y729" s="1">
        <v>2020</v>
      </c>
      <c r="Z729" s="1">
        <v>2021</v>
      </c>
      <c r="AA729" s="1">
        <v>2022</v>
      </c>
      <c r="AB729" s="1">
        <v>2023</v>
      </c>
      <c r="AC729" s="1">
        <v>2024</v>
      </c>
      <c r="AD729" s="1">
        <v>2025</v>
      </c>
      <c r="AE729" s="1">
        <v>2026</v>
      </c>
      <c r="AF729" s="1">
        <v>2027</v>
      </c>
      <c r="AG729" s="1">
        <v>2028</v>
      </c>
      <c r="AH729" s="1">
        <v>2029</v>
      </c>
      <c r="AI729" s="1">
        <v>2030</v>
      </c>
      <c r="AJ729" s="1">
        <v>2031</v>
      </c>
      <c r="AK729" s="1">
        <v>2032</v>
      </c>
      <c r="AL729" s="1">
        <v>2033</v>
      </c>
      <c r="AM729" s="1">
        <v>2034</v>
      </c>
      <c r="AN729" s="1">
        <v>2035</v>
      </c>
      <c r="AO729" s="1">
        <v>2036</v>
      </c>
      <c r="AP729" s="1">
        <v>2037</v>
      </c>
      <c r="AQ729" s="1">
        <v>2038</v>
      </c>
      <c r="AR729" s="1">
        <v>2039</v>
      </c>
      <c r="AS729" s="1">
        <v>2040</v>
      </c>
      <c r="AT729" s="1">
        <v>2041</v>
      </c>
      <c r="AU729" s="1">
        <v>2042</v>
      </c>
      <c r="AV729" s="1">
        <v>2043</v>
      </c>
      <c r="AW729" s="1">
        <v>2044</v>
      </c>
      <c r="AX729" s="1">
        <v>2045</v>
      </c>
      <c r="AY729" s="1">
        <v>2046</v>
      </c>
      <c r="AZ729" s="1">
        <v>2047</v>
      </c>
      <c r="BA729" s="1">
        <v>2048</v>
      </c>
      <c r="BB729" s="1">
        <v>2049</v>
      </c>
      <c r="BC729" s="1">
        <v>2050</v>
      </c>
    </row>
    <row r="730" spans="1:55">
      <c r="A730" s="1" t="str">
        <f>'Population Definitions'!$A$2</f>
        <v>PWID_males</v>
      </c>
      <c r="C730" t="s">
        <v>32</v>
      </c>
      <c r="D730" s="3"/>
      <c r="E730" s="3">
        <v>0</v>
      </c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</row>
    <row r="731" spans="1:55">
      <c r="A731" s="1" t="str">
        <f>'Population Definitions'!$A$3</f>
        <v>PWID_females</v>
      </c>
      <c r="C731" t="s">
        <v>32</v>
      </c>
      <c r="D731" s="3"/>
      <c r="E731" s="3">
        <v>0</v>
      </c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</row>
    <row r="732" spans="1:55">
      <c r="A732" s="1" t="str">
        <f>'Population Definitions'!$A$4</f>
        <v>0-9_males</v>
      </c>
      <c r="C732" t="s">
        <v>32</v>
      </c>
      <c r="D732" s="3"/>
      <c r="E732" s="3">
        <v>0</v>
      </c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</row>
    <row r="733" spans="1:55">
      <c r="A733" s="1" t="str">
        <f>'Population Definitions'!$A$5</f>
        <v>0-9_females</v>
      </c>
      <c r="C733" t="s">
        <v>32</v>
      </c>
      <c r="D733" s="3"/>
      <c r="E733" s="3">
        <v>0</v>
      </c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</row>
    <row r="734" spans="1:55">
      <c r="A734" s="1" t="str">
        <f>'Population Definitions'!$A$6</f>
        <v>10-17_males</v>
      </c>
      <c r="C734" t="s">
        <v>32</v>
      </c>
      <c r="D734" s="3"/>
      <c r="E734" s="3">
        <v>0</v>
      </c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</row>
    <row r="735" spans="1:55">
      <c r="A735" s="1" t="str">
        <f>'Population Definitions'!$A$7</f>
        <v>10-17_females</v>
      </c>
      <c r="C735" t="s">
        <v>32</v>
      </c>
      <c r="D735" s="3"/>
      <c r="E735" s="3">
        <v>0</v>
      </c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</row>
    <row r="736" spans="1:55">
      <c r="A736" s="1" t="str">
        <f>'Population Definitions'!$A$8</f>
        <v>18-64_males</v>
      </c>
      <c r="C736" t="s">
        <v>32</v>
      </c>
      <c r="D736" s="3"/>
      <c r="E736" s="3">
        <v>0</v>
      </c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</row>
    <row r="737" spans="1:55">
      <c r="A737" s="1" t="str">
        <f>'Population Definitions'!$A$9</f>
        <v>18-64_females</v>
      </c>
      <c r="C737" t="s">
        <v>32</v>
      </c>
      <c r="D737" s="3"/>
      <c r="E737" s="3">
        <v>0</v>
      </c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</row>
    <row r="738" spans="1:55">
      <c r="A738" s="1" t="str">
        <f>'Population Definitions'!$A$10</f>
        <v>65+_males</v>
      </c>
      <c r="C738" t="s">
        <v>32</v>
      </c>
      <c r="D738" s="3"/>
      <c r="E738" s="3">
        <v>0</v>
      </c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</row>
    <row r="739" spans="1:55">
      <c r="A739" s="1" t="str">
        <f>'Population Definitions'!$A$11</f>
        <v>65+_females</v>
      </c>
      <c r="C739" t="s">
        <v>32</v>
      </c>
      <c r="D739" s="3"/>
      <c r="E739" s="3">
        <v>0</v>
      </c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</row>
    <row r="740" spans="1:55">
      <c r="A740" s="1" t="str">
        <f>'Population Definitions'!$A$12</f>
        <v>Prisoners_males</v>
      </c>
      <c r="C740" t="s">
        <v>32</v>
      </c>
      <c r="D740" s="3"/>
      <c r="E740" s="3">
        <v>0</v>
      </c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</row>
    <row r="741" spans="1:55">
      <c r="A741" s="1" t="str">
        <f>'Population Definitions'!$A$13</f>
        <v>Prisoners_females</v>
      </c>
      <c r="C741" t="s">
        <v>32</v>
      </c>
      <c r="D741" s="3"/>
      <c r="E741" s="3">
        <v>0</v>
      </c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</row>
    <row r="743" spans="1:55">
      <c r="A743" s="1" t="s">
        <v>179</v>
      </c>
      <c r="B743" s="1" t="s">
        <v>29</v>
      </c>
      <c r="C743" s="1" t="s">
        <v>30</v>
      </c>
      <c r="D743" s="1" t="s">
        <v>31</v>
      </c>
      <c r="E743" s="1">
        <v>2000</v>
      </c>
      <c r="F743" s="1">
        <v>2001</v>
      </c>
      <c r="G743" s="1">
        <v>2002</v>
      </c>
      <c r="H743" s="1">
        <v>2003</v>
      </c>
      <c r="I743" s="1">
        <v>2004</v>
      </c>
      <c r="J743" s="1">
        <v>2005</v>
      </c>
      <c r="K743" s="1">
        <v>2006</v>
      </c>
      <c r="L743" s="1">
        <v>2007</v>
      </c>
      <c r="M743" s="1">
        <v>2008</v>
      </c>
      <c r="N743" s="1">
        <v>2009</v>
      </c>
      <c r="O743" s="1">
        <v>2010</v>
      </c>
      <c r="P743" s="1">
        <v>2011</v>
      </c>
      <c r="Q743" s="1">
        <v>2012</v>
      </c>
      <c r="R743" s="1">
        <v>2013</v>
      </c>
      <c r="S743" s="1">
        <v>2014</v>
      </c>
      <c r="T743" s="1">
        <v>2015</v>
      </c>
      <c r="U743" s="1">
        <v>2016</v>
      </c>
      <c r="V743" s="1">
        <v>2017</v>
      </c>
      <c r="W743" s="1">
        <v>2018</v>
      </c>
      <c r="X743" s="1">
        <v>2019</v>
      </c>
      <c r="Y743" s="1">
        <v>2020</v>
      </c>
      <c r="Z743" s="1">
        <v>2021</v>
      </c>
      <c r="AA743" s="1">
        <v>2022</v>
      </c>
      <c r="AB743" s="1">
        <v>2023</v>
      </c>
      <c r="AC743" s="1">
        <v>2024</v>
      </c>
      <c r="AD743" s="1">
        <v>2025</v>
      </c>
      <c r="AE743" s="1">
        <v>2026</v>
      </c>
      <c r="AF743" s="1">
        <v>2027</v>
      </c>
      <c r="AG743" s="1">
        <v>2028</v>
      </c>
      <c r="AH743" s="1">
        <v>2029</v>
      </c>
      <c r="AI743" s="1">
        <v>2030</v>
      </c>
      <c r="AJ743" s="1">
        <v>2031</v>
      </c>
      <c r="AK743" s="1">
        <v>2032</v>
      </c>
      <c r="AL743" s="1">
        <v>2033</v>
      </c>
      <c r="AM743" s="1">
        <v>2034</v>
      </c>
      <c r="AN743" s="1">
        <v>2035</v>
      </c>
      <c r="AO743" s="1">
        <v>2036</v>
      </c>
      <c r="AP743" s="1">
        <v>2037</v>
      </c>
      <c r="AQ743" s="1">
        <v>2038</v>
      </c>
      <c r="AR743" s="1">
        <v>2039</v>
      </c>
      <c r="AS743" s="1">
        <v>2040</v>
      </c>
      <c r="AT743" s="1">
        <v>2041</v>
      </c>
      <c r="AU743" s="1">
        <v>2042</v>
      </c>
      <c r="AV743" s="1">
        <v>2043</v>
      </c>
      <c r="AW743" s="1">
        <v>2044</v>
      </c>
      <c r="AX743" s="1">
        <v>2045</v>
      </c>
      <c r="AY743" s="1">
        <v>2046</v>
      </c>
      <c r="AZ743" s="1">
        <v>2047</v>
      </c>
      <c r="BA743" s="1">
        <v>2048</v>
      </c>
      <c r="BB743" s="1">
        <v>2049</v>
      </c>
      <c r="BC743" s="1">
        <v>2050</v>
      </c>
    </row>
    <row r="744" spans="1:55">
      <c r="A744" s="1" t="str">
        <f>'Population Definitions'!$A$2</f>
        <v>PWID_males</v>
      </c>
      <c r="C744" t="s">
        <v>32</v>
      </c>
      <c r="D744" s="3"/>
      <c r="E744" s="3">
        <v>0</v>
      </c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</row>
    <row r="745" spans="1:55">
      <c r="A745" s="1" t="str">
        <f>'Population Definitions'!$A$3</f>
        <v>PWID_females</v>
      </c>
      <c r="C745" t="s">
        <v>32</v>
      </c>
      <c r="D745" s="3"/>
      <c r="E745" s="3">
        <v>0</v>
      </c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</row>
    <row r="746" spans="1:55">
      <c r="A746" s="1" t="str">
        <f>'Population Definitions'!$A$4</f>
        <v>0-9_males</v>
      </c>
      <c r="C746" t="s">
        <v>32</v>
      </c>
      <c r="D746" s="3"/>
      <c r="E746" s="3">
        <v>0</v>
      </c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</row>
    <row r="747" spans="1:55">
      <c r="A747" s="1" t="str">
        <f>'Population Definitions'!$A$5</f>
        <v>0-9_females</v>
      </c>
      <c r="C747" t="s">
        <v>32</v>
      </c>
      <c r="D747" s="3"/>
      <c r="E747" s="3">
        <v>0</v>
      </c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</row>
    <row r="748" spans="1:55">
      <c r="A748" s="1" t="str">
        <f>'Population Definitions'!$A$6</f>
        <v>10-17_males</v>
      </c>
      <c r="C748" t="s">
        <v>32</v>
      </c>
      <c r="D748" s="3"/>
      <c r="E748" s="3">
        <v>0</v>
      </c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</row>
    <row r="749" spans="1:55">
      <c r="A749" s="1" t="str">
        <f>'Population Definitions'!$A$7</f>
        <v>10-17_females</v>
      </c>
      <c r="C749" t="s">
        <v>32</v>
      </c>
      <c r="D749" s="3"/>
      <c r="E749" s="3">
        <v>0</v>
      </c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</row>
    <row r="750" spans="1:55">
      <c r="A750" s="1" t="str">
        <f>'Population Definitions'!$A$8</f>
        <v>18-64_males</v>
      </c>
      <c r="C750" t="s">
        <v>32</v>
      </c>
      <c r="D750" s="3"/>
      <c r="E750" s="3">
        <v>0</v>
      </c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</row>
    <row r="751" spans="1:55">
      <c r="A751" s="1" t="str">
        <f>'Population Definitions'!$A$9</f>
        <v>18-64_females</v>
      </c>
      <c r="C751" t="s">
        <v>32</v>
      </c>
      <c r="D751" s="3"/>
      <c r="E751" s="3">
        <v>0</v>
      </c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</row>
    <row r="752" spans="1:55">
      <c r="A752" s="1" t="str">
        <f>'Population Definitions'!$A$10</f>
        <v>65+_males</v>
      </c>
      <c r="C752" t="s">
        <v>32</v>
      </c>
      <c r="D752" s="3"/>
      <c r="E752" s="3">
        <v>0</v>
      </c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</row>
    <row r="753" spans="1:55">
      <c r="A753" s="1" t="str">
        <f>'Population Definitions'!$A$11</f>
        <v>65+_females</v>
      </c>
      <c r="C753" t="s">
        <v>32</v>
      </c>
      <c r="D753" s="3"/>
      <c r="E753" s="3">
        <v>0</v>
      </c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</row>
    <row r="754" spans="1:55">
      <c r="A754" s="1" t="str">
        <f>'Population Definitions'!$A$12</f>
        <v>Prisoners_males</v>
      </c>
      <c r="C754" t="s">
        <v>32</v>
      </c>
      <c r="D754" s="3"/>
      <c r="E754" s="3">
        <v>0</v>
      </c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</row>
    <row r="755" spans="1:55">
      <c r="A755" s="1" t="str">
        <f>'Population Definitions'!$A$13</f>
        <v>Prisoners_females</v>
      </c>
      <c r="C755" t="s">
        <v>32</v>
      </c>
      <c r="D755" s="3"/>
      <c r="E755" s="3">
        <v>0</v>
      </c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</row>
    <row r="757" spans="1:55">
      <c r="A757" s="1" t="s">
        <v>180</v>
      </c>
      <c r="B757" s="1" t="s">
        <v>29</v>
      </c>
      <c r="C757" s="1" t="s">
        <v>30</v>
      </c>
      <c r="D757" s="1" t="s">
        <v>31</v>
      </c>
      <c r="E757" s="1">
        <v>2000</v>
      </c>
      <c r="F757" s="1">
        <v>2001</v>
      </c>
      <c r="G757" s="1">
        <v>2002</v>
      </c>
      <c r="H757" s="1">
        <v>2003</v>
      </c>
      <c r="I757" s="1">
        <v>2004</v>
      </c>
      <c r="J757" s="1">
        <v>2005</v>
      </c>
      <c r="K757" s="1">
        <v>2006</v>
      </c>
      <c r="L757" s="1">
        <v>2007</v>
      </c>
      <c r="M757" s="1">
        <v>2008</v>
      </c>
      <c r="N757" s="1">
        <v>2009</v>
      </c>
      <c r="O757" s="1">
        <v>2010</v>
      </c>
      <c r="P757" s="1">
        <v>2011</v>
      </c>
      <c r="Q757" s="1">
        <v>2012</v>
      </c>
      <c r="R757" s="1">
        <v>2013</v>
      </c>
      <c r="S757" s="1">
        <v>2014</v>
      </c>
      <c r="T757" s="1">
        <v>2015</v>
      </c>
      <c r="U757" s="1">
        <v>2016</v>
      </c>
      <c r="V757" s="1">
        <v>2017</v>
      </c>
      <c r="W757" s="1">
        <v>2018</v>
      </c>
      <c r="X757" s="1">
        <v>2019</v>
      </c>
      <c r="Y757" s="1">
        <v>2020</v>
      </c>
      <c r="Z757" s="1">
        <v>2021</v>
      </c>
      <c r="AA757" s="1">
        <v>2022</v>
      </c>
      <c r="AB757" s="1">
        <v>2023</v>
      </c>
      <c r="AC757" s="1">
        <v>2024</v>
      </c>
      <c r="AD757" s="1">
        <v>2025</v>
      </c>
      <c r="AE757" s="1">
        <v>2026</v>
      </c>
      <c r="AF757" s="1">
        <v>2027</v>
      </c>
      <c r="AG757" s="1">
        <v>2028</v>
      </c>
      <c r="AH757" s="1">
        <v>2029</v>
      </c>
      <c r="AI757" s="1">
        <v>2030</v>
      </c>
      <c r="AJ757" s="1">
        <v>2031</v>
      </c>
      <c r="AK757" s="1">
        <v>2032</v>
      </c>
      <c r="AL757" s="1">
        <v>2033</v>
      </c>
      <c r="AM757" s="1">
        <v>2034</v>
      </c>
      <c r="AN757" s="1">
        <v>2035</v>
      </c>
      <c r="AO757" s="1">
        <v>2036</v>
      </c>
      <c r="AP757" s="1">
        <v>2037</v>
      </c>
      <c r="AQ757" s="1">
        <v>2038</v>
      </c>
      <c r="AR757" s="1">
        <v>2039</v>
      </c>
      <c r="AS757" s="1">
        <v>2040</v>
      </c>
      <c r="AT757" s="1">
        <v>2041</v>
      </c>
      <c r="AU757" s="1">
        <v>2042</v>
      </c>
      <c r="AV757" s="1">
        <v>2043</v>
      </c>
      <c r="AW757" s="1">
        <v>2044</v>
      </c>
      <c r="AX757" s="1">
        <v>2045</v>
      </c>
      <c r="AY757" s="1">
        <v>2046</v>
      </c>
      <c r="AZ757" s="1">
        <v>2047</v>
      </c>
      <c r="BA757" s="1">
        <v>2048</v>
      </c>
      <c r="BB757" s="1">
        <v>2049</v>
      </c>
      <c r="BC757" s="1">
        <v>2050</v>
      </c>
    </row>
    <row r="758" spans="1:55">
      <c r="A758" s="1" t="str">
        <f>'Population Definitions'!$A$2</f>
        <v>PWID_males</v>
      </c>
      <c r="C758" t="s">
        <v>32</v>
      </c>
      <c r="D758" s="3"/>
      <c r="E758" s="3">
        <v>0</v>
      </c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</row>
    <row r="759" spans="1:55">
      <c r="A759" s="1" t="str">
        <f>'Population Definitions'!$A$3</f>
        <v>PWID_females</v>
      </c>
      <c r="C759" t="s">
        <v>32</v>
      </c>
      <c r="D759" s="3"/>
      <c r="E759" s="3">
        <v>0</v>
      </c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</row>
    <row r="760" spans="1:55">
      <c r="A760" s="1" t="str">
        <f>'Population Definitions'!$A$4</f>
        <v>0-9_males</v>
      </c>
      <c r="C760" t="s">
        <v>32</v>
      </c>
      <c r="D760" s="3"/>
      <c r="E760" s="3">
        <v>0</v>
      </c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</row>
    <row r="761" spans="1:55">
      <c r="A761" s="1" t="str">
        <f>'Population Definitions'!$A$5</f>
        <v>0-9_females</v>
      </c>
      <c r="C761" t="s">
        <v>32</v>
      </c>
      <c r="D761" s="3"/>
      <c r="E761" s="3">
        <v>0</v>
      </c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</row>
    <row r="762" spans="1:55">
      <c r="A762" s="1" t="str">
        <f>'Population Definitions'!$A$6</f>
        <v>10-17_males</v>
      </c>
      <c r="C762" t="s">
        <v>32</v>
      </c>
      <c r="D762" s="3"/>
      <c r="E762" s="3">
        <v>0</v>
      </c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</row>
    <row r="763" spans="1:55">
      <c r="A763" s="1" t="str">
        <f>'Population Definitions'!$A$7</f>
        <v>10-17_females</v>
      </c>
      <c r="C763" t="s">
        <v>32</v>
      </c>
      <c r="D763" s="3"/>
      <c r="E763" s="3">
        <v>0</v>
      </c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</row>
    <row r="764" spans="1:55">
      <c r="A764" s="1" t="str">
        <f>'Population Definitions'!$A$8</f>
        <v>18-64_males</v>
      </c>
      <c r="C764" t="s">
        <v>32</v>
      </c>
      <c r="D764" s="3"/>
      <c r="E764" s="3">
        <v>0</v>
      </c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</row>
    <row r="765" spans="1:55">
      <c r="A765" s="1" t="str">
        <f>'Population Definitions'!$A$9</f>
        <v>18-64_females</v>
      </c>
      <c r="C765" t="s">
        <v>32</v>
      </c>
      <c r="D765" s="3"/>
      <c r="E765" s="3">
        <v>0</v>
      </c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</row>
    <row r="766" spans="1:55">
      <c r="A766" s="1" t="str">
        <f>'Population Definitions'!$A$10</f>
        <v>65+_males</v>
      </c>
      <c r="C766" t="s">
        <v>32</v>
      </c>
      <c r="D766" s="3"/>
      <c r="E766" s="3">
        <v>0</v>
      </c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</row>
    <row r="767" spans="1:55">
      <c r="A767" s="1" t="str">
        <f>'Population Definitions'!$A$11</f>
        <v>65+_females</v>
      </c>
      <c r="C767" t="s">
        <v>32</v>
      </c>
      <c r="D767" s="3"/>
      <c r="E767" s="3">
        <v>0</v>
      </c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</row>
    <row r="768" spans="1:55">
      <c r="A768" s="1" t="str">
        <f>'Population Definitions'!$A$12</f>
        <v>Prisoners_males</v>
      </c>
      <c r="C768" t="s">
        <v>32</v>
      </c>
      <c r="D768" s="3"/>
      <c r="E768" s="3">
        <v>0</v>
      </c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</row>
    <row r="769" spans="1:55">
      <c r="A769" s="1" t="str">
        <f>'Population Definitions'!$A$13</f>
        <v>Prisoners_females</v>
      </c>
      <c r="C769" t="s">
        <v>32</v>
      </c>
      <c r="D769" s="3"/>
      <c r="E769" s="3">
        <v>0</v>
      </c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</row>
    <row r="771" spans="1:55">
      <c r="A771" s="1" t="s">
        <v>181</v>
      </c>
      <c r="B771" s="1" t="s">
        <v>29</v>
      </c>
      <c r="C771" s="1" t="s">
        <v>30</v>
      </c>
      <c r="D771" s="1" t="s">
        <v>31</v>
      </c>
      <c r="E771" s="1">
        <v>2000</v>
      </c>
      <c r="F771" s="1">
        <v>2001</v>
      </c>
      <c r="G771" s="1">
        <v>2002</v>
      </c>
      <c r="H771" s="1">
        <v>2003</v>
      </c>
      <c r="I771" s="1">
        <v>2004</v>
      </c>
      <c r="J771" s="1">
        <v>2005</v>
      </c>
      <c r="K771" s="1">
        <v>2006</v>
      </c>
      <c r="L771" s="1">
        <v>2007</v>
      </c>
      <c r="M771" s="1">
        <v>2008</v>
      </c>
      <c r="N771" s="1">
        <v>2009</v>
      </c>
      <c r="O771" s="1">
        <v>2010</v>
      </c>
      <c r="P771" s="1">
        <v>2011</v>
      </c>
      <c r="Q771" s="1">
        <v>2012</v>
      </c>
      <c r="R771" s="1">
        <v>2013</v>
      </c>
      <c r="S771" s="1">
        <v>2014</v>
      </c>
      <c r="T771" s="1">
        <v>2015</v>
      </c>
      <c r="U771" s="1">
        <v>2016</v>
      </c>
      <c r="V771" s="1">
        <v>2017</v>
      </c>
      <c r="W771" s="1">
        <v>2018</v>
      </c>
      <c r="X771" s="1">
        <v>2019</v>
      </c>
      <c r="Y771" s="1">
        <v>2020</v>
      </c>
      <c r="Z771" s="1">
        <v>2021</v>
      </c>
      <c r="AA771" s="1">
        <v>2022</v>
      </c>
      <c r="AB771" s="1">
        <v>2023</v>
      </c>
      <c r="AC771" s="1">
        <v>2024</v>
      </c>
      <c r="AD771" s="1">
        <v>2025</v>
      </c>
      <c r="AE771" s="1">
        <v>2026</v>
      </c>
      <c r="AF771" s="1">
        <v>2027</v>
      </c>
      <c r="AG771" s="1">
        <v>2028</v>
      </c>
      <c r="AH771" s="1">
        <v>2029</v>
      </c>
      <c r="AI771" s="1">
        <v>2030</v>
      </c>
      <c r="AJ771" s="1">
        <v>2031</v>
      </c>
      <c r="AK771" s="1">
        <v>2032</v>
      </c>
      <c r="AL771" s="1">
        <v>2033</v>
      </c>
      <c r="AM771" s="1">
        <v>2034</v>
      </c>
      <c r="AN771" s="1">
        <v>2035</v>
      </c>
      <c r="AO771" s="1">
        <v>2036</v>
      </c>
      <c r="AP771" s="1">
        <v>2037</v>
      </c>
      <c r="AQ771" s="1">
        <v>2038</v>
      </c>
      <c r="AR771" s="1">
        <v>2039</v>
      </c>
      <c r="AS771" s="1">
        <v>2040</v>
      </c>
      <c r="AT771" s="1">
        <v>2041</v>
      </c>
      <c r="AU771" s="1">
        <v>2042</v>
      </c>
      <c r="AV771" s="1">
        <v>2043</v>
      </c>
      <c r="AW771" s="1">
        <v>2044</v>
      </c>
      <c r="AX771" s="1">
        <v>2045</v>
      </c>
      <c r="AY771" s="1">
        <v>2046</v>
      </c>
      <c r="AZ771" s="1">
        <v>2047</v>
      </c>
      <c r="BA771" s="1">
        <v>2048</v>
      </c>
      <c r="BB771" s="1">
        <v>2049</v>
      </c>
      <c r="BC771" s="1">
        <v>2050</v>
      </c>
    </row>
    <row r="772" spans="1:55">
      <c r="A772" s="1" t="str">
        <f>'Population Definitions'!$A$2</f>
        <v>PWID_males</v>
      </c>
      <c r="C772" t="s">
        <v>32</v>
      </c>
      <c r="D772" s="3"/>
      <c r="E772" s="3">
        <v>0</v>
      </c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</row>
    <row r="773" spans="1:55">
      <c r="A773" s="1" t="str">
        <f>'Population Definitions'!$A$3</f>
        <v>PWID_females</v>
      </c>
      <c r="C773" t="s">
        <v>32</v>
      </c>
      <c r="D773" s="3"/>
      <c r="E773" s="3">
        <v>0</v>
      </c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</row>
    <row r="774" spans="1:55">
      <c r="A774" s="1" t="str">
        <f>'Population Definitions'!$A$4</f>
        <v>0-9_males</v>
      </c>
      <c r="C774" t="s">
        <v>32</v>
      </c>
      <c r="D774" s="3"/>
      <c r="E774" s="3">
        <v>0</v>
      </c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</row>
    <row r="775" spans="1:55">
      <c r="A775" s="1" t="str">
        <f>'Population Definitions'!$A$5</f>
        <v>0-9_females</v>
      </c>
      <c r="C775" t="s">
        <v>32</v>
      </c>
      <c r="D775" s="3"/>
      <c r="E775" s="3">
        <v>0</v>
      </c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</row>
    <row r="776" spans="1:55">
      <c r="A776" s="1" t="str">
        <f>'Population Definitions'!$A$6</f>
        <v>10-17_males</v>
      </c>
      <c r="C776" t="s">
        <v>32</v>
      </c>
      <c r="D776" s="3"/>
      <c r="E776" s="3">
        <v>0</v>
      </c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</row>
    <row r="777" spans="1:55">
      <c r="A777" s="1" t="str">
        <f>'Population Definitions'!$A$7</f>
        <v>10-17_females</v>
      </c>
      <c r="C777" t="s">
        <v>32</v>
      </c>
      <c r="D777" s="3"/>
      <c r="E777" s="3">
        <v>0</v>
      </c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</row>
    <row r="778" spans="1:55">
      <c r="A778" s="1" t="str">
        <f>'Population Definitions'!$A$8</f>
        <v>18-64_males</v>
      </c>
      <c r="C778" t="s">
        <v>32</v>
      </c>
      <c r="D778" s="3"/>
      <c r="E778" s="3">
        <v>0</v>
      </c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</row>
    <row r="779" spans="1:55">
      <c r="A779" s="1" t="str">
        <f>'Population Definitions'!$A$9</f>
        <v>18-64_females</v>
      </c>
      <c r="C779" t="s">
        <v>32</v>
      </c>
      <c r="D779" s="3"/>
      <c r="E779" s="3">
        <v>0</v>
      </c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</row>
    <row r="780" spans="1:55">
      <c r="A780" s="1" t="str">
        <f>'Population Definitions'!$A$10</f>
        <v>65+_males</v>
      </c>
      <c r="C780" t="s">
        <v>32</v>
      </c>
      <c r="D780" s="3"/>
      <c r="E780" s="3">
        <v>0</v>
      </c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</row>
    <row r="781" spans="1:55">
      <c r="A781" s="1" t="str">
        <f>'Population Definitions'!$A$11</f>
        <v>65+_females</v>
      </c>
      <c r="C781" t="s">
        <v>32</v>
      </c>
      <c r="D781" s="3"/>
      <c r="E781" s="3">
        <v>0</v>
      </c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</row>
    <row r="782" spans="1:55">
      <c r="A782" s="1" t="str">
        <f>'Population Definitions'!$A$12</f>
        <v>Prisoners_males</v>
      </c>
      <c r="C782" t="s">
        <v>32</v>
      </c>
      <c r="D782" s="3"/>
      <c r="E782" s="3">
        <v>0</v>
      </c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</row>
    <row r="783" spans="1:55">
      <c r="A783" s="1" t="str">
        <f>'Population Definitions'!$A$13</f>
        <v>Prisoners_females</v>
      </c>
      <c r="C783" t="s">
        <v>32</v>
      </c>
      <c r="D783" s="3"/>
      <c r="E783" s="3">
        <v>0</v>
      </c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</row>
    <row r="785" spans="1:55">
      <c r="A785" s="1" t="s">
        <v>182</v>
      </c>
      <c r="B785" s="1" t="s">
        <v>29</v>
      </c>
      <c r="C785" s="1" t="s">
        <v>30</v>
      </c>
      <c r="D785" s="1" t="s">
        <v>31</v>
      </c>
      <c r="E785" s="1">
        <v>2000</v>
      </c>
      <c r="F785" s="1">
        <v>2001</v>
      </c>
      <c r="G785" s="1">
        <v>2002</v>
      </c>
      <c r="H785" s="1">
        <v>2003</v>
      </c>
      <c r="I785" s="1">
        <v>2004</v>
      </c>
      <c r="J785" s="1">
        <v>2005</v>
      </c>
      <c r="K785" s="1">
        <v>2006</v>
      </c>
      <c r="L785" s="1">
        <v>2007</v>
      </c>
      <c r="M785" s="1">
        <v>2008</v>
      </c>
      <c r="N785" s="1">
        <v>2009</v>
      </c>
      <c r="O785" s="1">
        <v>2010</v>
      </c>
      <c r="P785" s="1">
        <v>2011</v>
      </c>
      <c r="Q785" s="1">
        <v>2012</v>
      </c>
      <c r="R785" s="1">
        <v>2013</v>
      </c>
      <c r="S785" s="1">
        <v>2014</v>
      </c>
      <c r="T785" s="1">
        <v>2015</v>
      </c>
      <c r="U785" s="1">
        <v>2016</v>
      </c>
      <c r="V785" s="1">
        <v>2017</v>
      </c>
      <c r="W785" s="1">
        <v>2018</v>
      </c>
      <c r="X785" s="1">
        <v>2019</v>
      </c>
      <c r="Y785" s="1">
        <v>2020</v>
      </c>
      <c r="Z785" s="1">
        <v>2021</v>
      </c>
      <c r="AA785" s="1">
        <v>2022</v>
      </c>
      <c r="AB785" s="1">
        <v>2023</v>
      </c>
      <c r="AC785" s="1">
        <v>2024</v>
      </c>
      <c r="AD785" s="1">
        <v>2025</v>
      </c>
      <c r="AE785" s="1">
        <v>2026</v>
      </c>
      <c r="AF785" s="1">
        <v>2027</v>
      </c>
      <c r="AG785" s="1">
        <v>2028</v>
      </c>
      <c r="AH785" s="1">
        <v>2029</v>
      </c>
      <c r="AI785" s="1">
        <v>2030</v>
      </c>
      <c r="AJ785" s="1">
        <v>2031</v>
      </c>
      <c r="AK785" s="1">
        <v>2032</v>
      </c>
      <c r="AL785" s="1">
        <v>2033</v>
      </c>
      <c r="AM785" s="1">
        <v>2034</v>
      </c>
      <c r="AN785" s="1">
        <v>2035</v>
      </c>
      <c r="AO785" s="1">
        <v>2036</v>
      </c>
      <c r="AP785" s="1">
        <v>2037</v>
      </c>
      <c r="AQ785" s="1">
        <v>2038</v>
      </c>
      <c r="AR785" s="1">
        <v>2039</v>
      </c>
      <c r="AS785" s="1">
        <v>2040</v>
      </c>
      <c r="AT785" s="1">
        <v>2041</v>
      </c>
      <c r="AU785" s="1">
        <v>2042</v>
      </c>
      <c r="AV785" s="1">
        <v>2043</v>
      </c>
      <c r="AW785" s="1">
        <v>2044</v>
      </c>
      <c r="AX785" s="1">
        <v>2045</v>
      </c>
      <c r="AY785" s="1">
        <v>2046</v>
      </c>
      <c r="AZ785" s="1">
        <v>2047</v>
      </c>
      <c r="BA785" s="1">
        <v>2048</v>
      </c>
      <c r="BB785" s="1">
        <v>2049</v>
      </c>
      <c r="BC785" s="1">
        <v>2050</v>
      </c>
    </row>
    <row r="786" spans="1:55">
      <c r="A786" s="1" t="str">
        <f>'Population Definitions'!$A$2</f>
        <v>PWID_males</v>
      </c>
      <c r="C786" t="s">
        <v>32</v>
      </c>
      <c r="D786" s="3"/>
      <c r="E786" s="3">
        <v>0</v>
      </c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</row>
    <row r="787" spans="1:55">
      <c r="A787" s="1" t="str">
        <f>'Population Definitions'!$A$3</f>
        <v>PWID_females</v>
      </c>
      <c r="C787" t="s">
        <v>32</v>
      </c>
      <c r="D787" s="3"/>
      <c r="E787" s="3">
        <v>0</v>
      </c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</row>
    <row r="788" spans="1:55">
      <c r="A788" s="1" t="str">
        <f>'Population Definitions'!$A$4</f>
        <v>0-9_males</v>
      </c>
      <c r="C788" t="s">
        <v>32</v>
      </c>
      <c r="D788" s="3"/>
      <c r="E788" s="3">
        <v>0</v>
      </c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</row>
    <row r="789" spans="1:55">
      <c r="A789" s="1" t="str">
        <f>'Population Definitions'!$A$5</f>
        <v>0-9_females</v>
      </c>
      <c r="C789" t="s">
        <v>32</v>
      </c>
      <c r="D789" s="3"/>
      <c r="E789" s="3">
        <v>0</v>
      </c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</row>
    <row r="790" spans="1:55">
      <c r="A790" s="1" t="str">
        <f>'Population Definitions'!$A$6</f>
        <v>10-17_males</v>
      </c>
      <c r="C790" t="s">
        <v>32</v>
      </c>
      <c r="D790" s="3"/>
      <c r="E790" s="3">
        <v>0</v>
      </c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</row>
    <row r="791" spans="1:55">
      <c r="A791" s="1" t="str">
        <f>'Population Definitions'!$A$7</f>
        <v>10-17_females</v>
      </c>
      <c r="C791" t="s">
        <v>32</v>
      </c>
      <c r="D791" s="3"/>
      <c r="E791" s="3">
        <v>0</v>
      </c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</row>
    <row r="792" spans="1:55">
      <c r="A792" s="1" t="str">
        <f>'Population Definitions'!$A$8</f>
        <v>18-64_males</v>
      </c>
      <c r="C792" t="s">
        <v>32</v>
      </c>
      <c r="D792" s="3"/>
      <c r="E792" s="3">
        <v>0</v>
      </c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</row>
    <row r="793" spans="1:55">
      <c r="A793" s="1" t="str">
        <f>'Population Definitions'!$A$9</f>
        <v>18-64_females</v>
      </c>
      <c r="C793" t="s">
        <v>32</v>
      </c>
      <c r="D793" s="3"/>
      <c r="E793" s="3">
        <v>0</v>
      </c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</row>
    <row r="794" spans="1:55">
      <c r="A794" s="1" t="str">
        <f>'Population Definitions'!$A$10</f>
        <v>65+_males</v>
      </c>
      <c r="C794" t="s">
        <v>32</v>
      </c>
      <c r="D794" s="3"/>
      <c r="E794" s="3">
        <v>0</v>
      </c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</row>
    <row r="795" spans="1:55">
      <c r="A795" s="1" t="str">
        <f>'Population Definitions'!$A$11</f>
        <v>65+_females</v>
      </c>
      <c r="C795" t="s">
        <v>32</v>
      </c>
      <c r="D795" s="3"/>
      <c r="E795" s="3">
        <v>0</v>
      </c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</row>
    <row r="796" spans="1:55">
      <c r="A796" s="1" t="str">
        <f>'Population Definitions'!$A$12</f>
        <v>Prisoners_males</v>
      </c>
      <c r="C796" t="s">
        <v>32</v>
      </c>
      <c r="D796" s="3"/>
      <c r="E796" s="3">
        <v>0</v>
      </c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</row>
    <row r="797" spans="1:55">
      <c r="A797" s="1" t="str">
        <f>'Population Definitions'!$A$13</f>
        <v>Prisoners_females</v>
      </c>
      <c r="C797" t="s">
        <v>32</v>
      </c>
      <c r="D797" s="3"/>
      <c r="E797" s="3">
        <v>0</v>
      </c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</row>
    <row r="799" spans="1:55">
      <c r="A799" s="1" t="s">
        <v>183</v>
      </c>
      <c r="B799" s="1" t="s">
        <v>29</v>
      </c>
      <c r="C799" s="1" t="s">
        <v>30</v>
      </c>
      <c r="D799" s="1" t="s">
        <v>31</v>
      </c>
      <c r="E799" s="1">
        <v>2000</v>
      </c>
      <c r="F799" s="1">
        <v>2001</v>
      </c>
      <c r="G799" s="1">
        <v>2002</v>
      </c>
      <c r="H799" s="1">
        <v>2003</v>
      </c>
      <c r="I799" s="1">
        <v>2004</v>
      </c>
      <c r="J799" s="1">
        <v>2005</v>
      </c>
      <c r="K799" s="1">
        <v>2006</v>
      </c>
      <c r="L799" s="1">
        <v>2007</v>
      </c>
      <c r="M799" s="1">
        <v>2008</v>
      </c>
      <c r="N799" s="1">
        <v>2009</v>
      </c>
      <c r="O799" s="1">
        <v>2010</v>
      </c>
      <c r="P799" s="1">
        <v>2011</v>
      </c>
      <c r="Q799" s="1">
        <v>2012</v>
      </c>
      <c r="R799" s="1">
        <v>2013</v>
      </c>
      <c r="S799" s="1">
        <v>2014</v>
      </c>
      <c r="T799" s="1">
        <v>2015</v>
      </c>
      <c r="U799" s="1">
        <v>2016</v>
      </c>
      <c r="V799" s="1">
        <v>2017</v>
      </c>
      <c r="W799" s="1">
        <v>2018</v>
      </c>
      <c r="X799" s="1">
        <v>2019</v>
      </c>
      <c r="Y799" s="1">
        <v>2020</v>
      </c>
      <c r="Z799" s="1">
        <v>2021</v>
      </c>
      <c r="AA799" s="1">
        <v>2022</v>
      </c>
      <c r="AB799" s="1">
        <v>2023</v>
      </c>
      <c r="AC799" s="1">
        <v>2024</v>
      </c>
      <c r="AD799" s="1">
        <v>2025</v>
      </c>
      <c r="AE799" s="1">
        <v>2026</v>
      </c>
      <c r="AF799" s="1">
        <v>2027</v>
      </c>
      <c r="AG799" s="1">
        <v>2028</v>
      </c>
      <c r="AH799" s="1">
        <v>2029</v>
      </c>
      <c r="AI799" s="1">
        <v>2030</v>
      </c>
      <c r="AJ799" s="1">
        <v>2031</v>
      </c>
      <c r="AK799" s="1">
        <v>2032</v>
      </c>
      <c r="AL799" s="1">
        <v>2033</v>
      </c>
      <c r="AM799" s="1">
        <v>2034</v>
      </c>
      <c r="AN799" s="1">
        <v>2035</v>
      </c>
      <c r="AO799" s="1">
        <v>2036</v>
      </c>
      <c r="AP799" s="1">
        <v>2037</v>
      </c>
      <c r="AQ799" s="1">
        <v>2038</v>
      </c>
      <c r="AR799" s="1">
        <v>2039</v>
      </c>
      <c r="AS799" s="1">
        <v>2040</v>
      </c>
      <c r="AT799" s="1">
        <v>2041</v>
      </c>
      <c r="AU799" s="1">
        <v>2042</v>
      </c>
      <c r="AV799" s="1">
        <v>2043</v>
      </c>
      <c r="AW799" s="1">
        <v>2044</v>
      </c>
      <c r="AX799" s="1">
        <v>2045</v>
      </c>
      <c r="AY799" s="1">
        <v>2046</v>
      </c>
      <c r="AZ799" s="1">
        <v>2047</v>
      </c>
      <c r="BA799" s="1">
        <v>2048</v>
      </c>
      <c r="BB799" s="1">
        <v>2049</v>
      </c>
      <c r="BC799" s="1">
        <v>2050</v>
      </c>
    </row>
    <row r="800" spans="1:55">
      <c r="A800" s="1" t="str">
        <f>'Population Definitions'!$A$2</f>
        <v>PWID_males</v>
      </c>
      <c r="C800" t="s">
        <v>32</v>
      </c>
      <c r="D800" s="3"/>
      <c r="E800" s="3">
        <v>0</v>
      </c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</row>
    <row r="801" spans="1:55">
      <c r="A801" s="1" t="str">
        <f>'Population Definitions'!$A$3</f>
        <v>PWID_females</v>
      </c>
      <c r="C801" t="s">
        <v>32</v>
      </c>
      <c r="D801" s="3"/>
      <c r="E801" s="3">
        <v>0</v>
      </c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</row>
    <row r="802" spans="1:55">
      <c r="A802" s="1" t="str">
        <f>'Population Definitions'!$A$4</f>
        <v>0-9_males</v>
      </c>
      <c r="C802" t="s">
        <v>32</v>
      </c>
      <c r="D802" s="3"/>
      <c r="E802" s="3">
        <v>0</v>
      </c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</row>
    <row r="803" spans="1:55">
      <c r="A803" s="1" t="str">
        <f>'Population Definitions'!$A$5</f>
        <v>0-9_females</v>
      </c>
      <c r="C803" t="s">
        <v>32</v>
      </c>
      <c r="D803" s="3"/>
      <c r="E803" s="3">
        <v>0</v>
      </c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</row>
    <row r="804" spans="1:55">
      <c r="A804" s="1" t="str">
        <f>'Population Definitions'!$A$6</f>
        <v>10-17_males</v>
      </c>
      <c r="C804" t="s">
        <v>32</v>
      </c>
      <c r="D804" s="3"/>
      <c r="E804" s="3">
        <v>0</v>
      </c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</row>
    <row r="805" spans="1:55">
      <c r="A805" s="1" t="str">
        <f>'Population Definitions'!$A$7</f>
        <v>10-17_females</v>
      </c>
      <c r="C805" t="s">
        <v>32</v>
      </c>
      <c r="D805" s="3"/>
      <c r="E805" s="3">
        <v>0</v>
      </c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</row>
    <row r="806" spans="1:55">
      <c r="A806" s="1" t="str">
        <f>'Population Definitions'!$A$8</f>
        <v>18-64_males</v>
      </c>
      <c r="C806" t="s">
        <v>32</v>
      </c>
      <c r="D806" s="3"/>
      <c r="E806" s="3">
        <v>0</v>
      </c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</row>
    <row r="807" spans="1:55">
      <c r="A807" s="1" t="str">
        <f>'Population Definitions'!$A$9</f>
        <v>18-64_females</v>
      </c>
      <c r="C807" t="s">
        <v>32</v>
      </c>
      <c r="D807" s="3"/>
      <c r="E807" s="3">
        <v>0</v>
      </c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</row>
    <row r="808" spans="1:55">
      <c r="A808" s="1" t="str">
        <f>'Population Definitions'!$A$10</f>
        <v>65+_males</v>
      </c>
      <c r="C808" t="s">
        <v>32</v>
      </c>
      <c r="D808" s="3"/>
      <c r="E808" s="3">
        <v>0</v>
      </c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</row>
    <row r="809" spans="1:55">
      <c r="A809" s="1" t="str">
        <f>'Population Definitions'!$A$11</f>
        <v>65+_females</v>
      </c>
      <c r="C809" t="s">
        <v>32</v>
      </c>
      <c r="D809" s="3"/>
      <c r="E809" s="3">
        <v>0</v>
      </c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</row>
    <row r="810" spans="1:55">
      <c r="A810" s="1" t="str">
        <f>'Population Definitions'!$A$12</f>
        <v>Prisoners_males</v>
      </c>
      <c r="C810" t="s">
        <v>32</v>
      </c>
      <c r="D810" s="3"/>
      <c r="E810" s="3">
        <v>0</v>
      </c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</row>
    <row r="811" spans="1:55">
      <c r="A811" s="1" t="str">
        <f>'Population Definitions'!$A$13</f>
        <v>Prisoners_females</v>
      </c>
      <c r="C811" t="s">
        <v>32</v>
      </c>
      <c r="D811" s="3"/>
      <c r="E811" s="3">
        <v>0</v>
      </c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</row>
    <row r="813" spans="1:55">
      <c r="A813" s="1" t="s">
        <v>184</v>
      </c>
      <c r="B813" s="1" t="s">
        <v>29</v>
      </c>
      <c r="C813" s="1" t="s">
        <v>30</v>
      </c>
      <c r="D813" s="1" t="s">
        <v>31</v>
      </c>
      <c r="E813" s="1">
        <v>2000</v>
      </c>
      <c r="F813" s="1">
        <v>2001</v>
      </c>
      <c r="G813" s="1">
        <v>2002</v>
      </c>
      <c r="H813" s="1">
        <v>2003</v>
      </c>
      <c r="I813" s="1">
        <v>2004</v>
      </c>
      <c r="J813" s="1">
        <v>2005</v>
      </c>
      <c r="K813" s="1">
        <v>2006</v>
      </c>
      <c r="L813" s="1">
        <v>2007</v>
      </c>
      <c r="M813" s="1">
        <v>2008</v>
      </c>
      <c r="N813" s="1">
        <v>2009</v>
      </c>
      <c r="O813" s="1">
        <v>2010</v>
      </c>
      <c r="P813" s="1">
        <v>2011</v>
      </c>
      <c r="Q813" s="1">
        <v>2012</v>
      </c>
      <c r="R813" s="1">
        <v>2013</v>
      </c>
      <c r="S813" s="1">
        <v>2014</v>
      </c>
      <c r="T813" s="1">
        <v>2015</v>
      </c>
      <c r="U813" s="1">
        <v>2016</v>
      </c>
      <c r="V813" s="1">
        <v>2017</v>
      </c>
      <c r="W813" s="1">
        <v>2018</v>
      </c>
      <c r="X813" s="1">
        <v>2019</v>
      </c>
      <c r="Y813" s="1">
        <v>2020</v>
      </c>
      <c r="Z813" s="1">
        <v>2021</v>
      </c>
      <c r="AA813" s="1">
        <v>2022</v>
      </c>
      <c r="AB813" s="1">
        <v>2023</v>
      </c>
      <c r="AC813" s="1">
        <v>2024</v>
      </c>
      <c r="AD813" s="1">
        <v>2025</v>
      </c>
      <c r="AE813" s="1">
        <v>2026</v>
      </c>
      <c r="AF813" s="1">
        <v>2027</v>
      </c>
      <c r="AG813" s="1">
        <v>2028</v>
      </c>
      <c r="AH813" s="1">
        <v>2029</v>
      </c>
      <c r="AI813" s="1">
        <v>2030</v>
      </c>
      <c r="AJ813" s="1">
        <v>2031</v>
      </c>
      <c r="AK813" s="1">
        <v>2032</v>
      </c>
      <c r="AL813" s="1">
        <v>2033</v>
      </c>
      <c r="AM813" s="1">
        <v>2034</v>
      </c>
      <c r="AN813" s="1">
        <v>2035</v>
      </c>
      <c r="AO813" s="1">
        <v>2036</v>
      </c>
      <c r="AP813" s="1">
        <v>2037</v>
      </c>
      <c r="AQ813" s="1">
        <v>2038</v>
      </c>
      <c r="AR813" s="1">
        <v>2039</v>
      </c>
      <c r="AS813" s="1">
        <v>2040</v>
      </c>
      <c r="AT813" s="1">
        <v>2041</v>
      </c>
      <c r="AU813" s="1">
        <v>2042</v>
      </c>
      <c r="AV813" s="1">
        <v>2043</v>
      </c>
      <c r="AW813" s="1">
        <v>2044</v>
      </c>
      <c r="AX813" s="1">
        <v>2045</v>
      </c>
      <c r="AY813" s="1">
        <v>2046</v>
      </c>
      <c r="AZ813" s="1">
        <v>2047</v>
      </c>
      <c r="BA813" s="1">
        <v>2048</v>
      </c>
      <c r="BB813" s="1">
        <v>2049</v>
      </c>
      <c r="BC813" s="1">
        <v>2050</v>
      </c>
    </row>
    <row r="814" spans="1:55">
      <c r="A814" s="1" t="str">
        <f>'Population Definitions'!$A$2</f>
        <v>PWID_males</v>
      </c>
      <c r="C814" t="s">
        <v>32</v>
      </c>
      <c r="D814" s="3"/>
      <c r="E814" s="3">
        <v>0</v>
      </c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</row>
    <row r="815" spans="1:55">
      <c r="A815" s="1" t="str">
        <f>'Population Definitions'!$A$3</f>
        <v>PWID_females</v>
      </c>
      <c r="C815" t="s">
        <v>32</v>
      </c>
      <c r="D815" s="3"/>
      <c r="E815" s="3">
        <v>0</v>
      </c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</row>
    <row r="816" spans="1:55">
      <c r="A816" s="1" t="str">
        <f>'Population Definitions'!$A$4</f>
        <v>0-9_males</v>
      </c>
      <c r="C816" t="s">
        <v>32</v>
      </c>
      <c r="D816" s="3"/>
      <c r="E816" s="3">
        <v>0</v>
      </c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</row>
    <row r="817" spans="1:55">
      <c r="A817" s="1" t="str">
        <f>'Population Definitions'!$A$5</f>
        <v>0-9_females</v>
      </c>
      <c r="C817" t="s">
        <v>32</v>
      </c>
      <c r="D817" s="3"/>
      <c r="E817" s="3">
        <v>0</v>
      </c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</row>
    <row r="818" spans="1:55">
      <c r="A818" s="1" t="str">
        <f>'Population Definitions'!$A$6</f>
        <v>10-17_males</v>
      </c>
      <c r="C818" t="s">
        <v>32</v>
      </c>
      <c r="D818" s="3"/>
      <c r="E818" s="3">
        <v>0</v>
      </c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</row>
    <row r="819" spans="1:55">
      <c r="A819" s="1" t="str">
        <f>'Population Definitions'!$A$7</f>
        <v>10-17_females</v>
      </c>
      <c r="C819" t="s">
        <v>32</v>
      </c>
      <c r="D819" s="3"/>
      <c r="E819" s="3">
        <v>0</v>
      </c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</row>
    <row r="820" spans="1:55">
      <c r="A820" s="1" t="str">
        <f>'Population Definitions'!$A$8</f>
        <v>18-64_males</v>
      </c>
      <c r="C820" t="s">
        <v>32</v>
      </c>
      <c r="D820" s="3"/>
      <c r="E820" s="3">
        <v>0</v>
      </c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</row>
    <row r="821" spans="1:55">
      <c r="A821" s="1" t="str">
        <f>'Population Definitions'!$A$9</f>
        <v>18-64_females</v>
      </c>
      <c r="C821" t="s">
        <v>32</v>
      </c>
      <c r="D821" s="3"/>
      <c r="E821" s="3">
        <v>0</v>
      </c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</row>
    <row r="822" spans="1:55">
      <c r="A822" s="1" t="str">
        <f>'Population Definitions'!$A$10</f>
        <v>65+_males</v>
      </c>
      <c r="C822" t="s">
        <v>32</v>
      </c>
      <c r="D822" s="3"/>
      <c r="E822" s="3">
        <v>0</v>
      </c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</row>
    <row r="823" spans="1:55">
      <c r="A823" s="1" t="str">
        <f>'Population Definitions'!$A$11</f>
        <v>65+_females</v>
      </c>
      <c r="C823" t="s">
        <v>32</v>
      </c>
      <c r="D823" s="3"/>
      <c r="E823" s="3">
        <v>0</v>
      </c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</row>
    <row r="824" spans="1:55">
      <c r="A824" s="1" t="str">
        <f>'Population Definitions'!$A$12</f>
        <v>Prisoners_males</v>
      </c>
      <c r="C824" t="s">
        <v>32</v>
      </c>
      <c r="D824" s="3"/>
      <c r="E824" s="3">
        <v>0</v>
      </c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</row>
    <row r="825" spans="1:55">
      <c r="A825" s="1" t="str">
        <f>'Population Definitions'!$A$13</f>
        <v>Prisoners_females</v>
      </c>
      <c r="C825" t="s">
        <v>32</v>
      </c>
      <c r="D825" s="3"/>
      <c r="E825" s="3">
        <v>0</v>
      </c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</row>
    <row r="827" spans="1:55">
      <c r="A827" s="1" t="s">
        <v>185</v>
      </c>
      <c r="B827" s="1" t="s">
        <v>29</v>
      </c>
      <c r="C827" s="1" t="s">
        <v>30</v>
      </c>
      <c r="D827" s="1" t="s">
        <v>31</v>
      </c>
      <c r="E827" s="1">
        <v>2000</v>
      </c>
      <c r="F827" s="1">
        <v>2001</v>
      </c>
      <c r="G827" s="1">
        <v>2002</v>
      </c>
      <c r="H827" s="1">
        <v>2003</v>
      </c>
      <c r="I827" s="1">
        <v>2004</v>
      </c>
      <c r="J827" s="1">
        <v>2005</v>
      </c>
      <c r="K827" s="1">
        <v>2006</v>
      </c>
      <c r="L827" s="1">
        <v>2007</v>
      </c>
      <c r="M827" s="1">
        <v>2008</v>
      </c>
      <c r="N827" s="1">
        <v>2009</v>
      </c>
      <c r="O827" s="1">
        <v>2010</v>
      </c>
      <c r="P827" s="1">
        <v>2011</v>
      </c>
      <c r="Q827" s="1">
        <v>2012</v>
      </c>
      <c r="R827" s="1">
        <v>2013</v>
      </c>
      <c r="S827" s="1">
        <v>2014</v>
      </c>
      <c r="T827" s="1">
        <v>2015</v>
      </c>
      <c r="U827" s="1">
        <v>2016</v>
      </c>
      <c r="V827" s="1">
        <v>2017</v>
      </c>
      <c r="W827" s="1">
        <v>2018</v>
      </c>
      <c r="X827" s="1">
        <v>2019</v>
      </c>
      <c r="Y827" s="1">
        <v>2020</v>
      </c>
      <c r="Z827" s="1">
        <v>2021</v>
      </c>
      <c r="AA827" s="1">
        <v>2022</v>
      </c>
      <c r="AB827" s="1">
        <v>2023</v>
      </c>
      <c r="AC827" s="1">
        <v>2024</v>
      </c>
      <c r="AD827" s="1">
        <v>2025</v>
      </c>
      <c r="AE827" s="1">
        <v>2026</v>
      </c>
      <c r="AF827" s="1">
        <v>2027</v>
      </c>
      <c r="AG827" s="1">
        <v>2028</v>
      </c>
      <c r="AH827" s="1">
        <v>2029</v>
      </c>
      <c r="AI827" s="1">
        <v>2030</v>
      </c>
      <c r="AJ827" s="1">
        <v>2031</v>
      </c>
      <c r="AK827" s="1">
        <v>2032</v>
      </c>
      <c r="AL827" s="1">
        <v>2033</v>
      </c>
      <c r="AM827" s="1">
        <v>2034</v>
      </c>
      <c r="AN827" s="1">
        <v>2035</v>
      </c>
      <c r="AO827" s="1">
        <v>2036</v>
      </c>
      <c r="AP827" s="1">
        <v>2037</v>
      </c>
      <c r="AQ827" s="1">
        <v>2038</v>
      </c>
      <c r="AR827" s="1">
        <v>2039</v>
      </c>
      <c r="AS827" s="1">
        <v>2040</v>
      </c>
      <c r="AT827" s="1">
        <v>2041</v>
      </c>
      <c r="AU827" s="1">
        <v>2042</v>
      </c>
      <c r="AV827" s="1">
        <v>2043</v>
      </c>
      <c r="AW827" s="1">
        <v>2044</v>
      </c>
      <c r="AX827" s="1">
        <v>2045</v>
      </c>
      <c r="AY827" s="1">
        <v>2046</v>
      </c>
      <c r="AZ827" s="1">
        <v>2047</v>
      </c>
      <c r="BA827" s="1">
        <v>2048</v>
      </c>
      <c r="BB827" s="1">
        <v>2049</v>
      </c>
      <c r="BC827" s="1">
        <v>2050</v>
      </c>
    </row>
    <row r="828" spans="1:55">
      <c r="A828" s="1" t="str">
        <f>'Population Definitions'!$A$2</f>
        <v>PWID_males</v>
      </c>
      <c r="C828" t="s">
        <v>32</v>
      </c>
      <c r="D828" s="3"/>
      <c r="E828" s="3">
        <v>0</v>
      </c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</row>
    <row r="829" spans="1:55">
      <c r="A829" s="1" t="str">
        <f>'Population Definitions'!$A$3</f>
        <v>PWID_females</v>
      </c>
      <c r="C829" t="s">
        <v>32</v>
      </c>
      <c r="D829" s="3"/>
      <c r="E829" s="3">
        <v>0</v>
      </c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</row>
    <row r="830" spans="1:55">
      <c r="A830" s="1" t="str">
        <f>'Population Definitions'!$A$4</f>
        <v>0-9_males</v>
      </c>
      <c r="C830" t="s">
        <v>32</v>
      </c>
      <c r="D830" s="3"/>
      <c r="E830" s="3">
        <v>0</v>
      </c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</row>
    <row r="831" spans="1:55">
      <c r="A831" s="1" t="str">
        <f>'Population Definitions'!$A$5</f>
        <v>0-9_females</v>
      </c>
      <c r="C831" t="s">
        <v>32</v>
      </c>
      <c r="D831" s="3"/>
      <c r="E831" s="3">
        <v>0</v>
      </c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</row>
    <row r="832" spans="1:55">
      <c r="A832" s="1" t="str">
        <f>'Population Definitions'!$A$6</f>
        <v>10-17_males</v>
      </c>
      <c r="C832" t="s">
        <v>32</v>
      </c>
      <c r="D832" s="3"/>
      <c r="E832" s="3">
        <v>0</v>
      </c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</row>
    <row r="833" spans="1:55">
      <c r="A833" s="1" t="str">
        <f>'Population Definitions'!$A$7</f>
        <v>10-17_females</v>
      </c>
      <c r="C833" t="s">
        <v>32</v>
      </c>
      <c r="D833" s="3"/>
      <c r="E833" s="3">
        <v>0</v>
      </c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</row>
    <row r="834" spans="1:55">
      <c r="A834" s="1" t="str">
        <f>'Population Definitions'!$A$8</f>
        <v>18-64_males</v>
      </c>
      <c r="C834" t="s">
        <v>32</v>
      </c>
      <c r="D834" s="3"/>
      <c r="E834" s="3">
        <v>0</v>
      </c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</row>
    <row r="835" spans="1:55">
      <c r="A835" s="1" t="str">
        <f>'Population Definitions'!$A$9</f>
        <v>18-64_females</v>
      </c>
      <c r="C835" t="s">
        <v>32</v>
      </c>
      <c r="D835" s="3"/>
      <c r="E835" s="3">
        <v>0</v>
      </c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</row>
    <row r="836" spans="1:55">
      <c r="A836" s="1" t="str">
        <f>'Population Definitions'!$A$10</f>
        <v>65+_males</v>
      </c>
      <c r="C836" t="s">
        <v>32</v>
      </c>
      <c r="D836" s="3"/>
      <c r="E836" s="3">
        <v>0</v>
      </c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</row>
    <row r="837" spans="1:55">
      <c r="A837" s="1" t="str">
        <f>'Population Definitions'!$A$11</f>
        <v>65+_females</v>
      </c>
      <c r="C837" t="s">
        <v>32</v>
      </c>
      <c r="D837" s="3"/>
      <c r="E837" s="3">
        <v>0</v>
      </c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</row>
    <row r="838" spans="1:55">
      <c r="A838" s="1" t="str">
        <f>'Population Definitions'!$A$12</f>
        <v>Prisoners_males</v>
      </c>
      <c r="C838" t="s">
        <v>32</v>
      </c>
      <c r="D838" s="3"/>
      <c r="E838" s="3">
        <v>0</v>
      </c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</row>
    <row r="839" spans="1:55">
      <c r="A839" s="1" t="str">
        <f>'Population Definitions'!$A$13</f>
        <v>Prisoners_females</v>
      </c>
      <c r="C839" t="s">
        <v>32</v>
      </c>
      <c r="D839" s="3"/>
      <c r="E839" s="3">
        <v>0</v>
      </c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</row>
    <row r="841" spans="1:55">
      <c r="A841" s="1" t="s">
        <v>186</v>
      </c>
      <c r="B841" s="1" t="s">
        <v>29</v>
      </c>
      <c r="C841" s="1" t="s">
        <v>30</v>
      </c>
      <c r="D841" s="1" t="s">
        <v>31</v>
      </c>
      <c r="E841" s="1">
        <v>2000</v>
      </c>
      <c r="F841" s="1">
        <v>2001</v>
      </c>
      <c r="G841" s="1">
        <v>2002</v>
      </c>
      <c r="H841" s="1">
        <v>2003</v>
      </c>
      <c r="I841" s="1">
        <v>2004</v>
      </c>
      <c r="J841" s="1">
        <v>2005</v>
      </c>
      <c r="K841" s="1">
        <v>2006</v>
      </c>
      <c r="L841" s="1">
        <v>2007</v>
      </c>
      <c r="M841" s="1">
        <v>2008</v>
      </c>
      <c r="N841" s="1">
        <v>2009</v>
      </c>
      <c r="O841" s="1">
        <v>2010</v>
      </c>
      <c r="P841" s="1">
        <v>2011</v>
      </c>
      <c r="Q841" s="1">
        <v>2012</v>
      </c>
      <c r="R841" s="1">
        <v>2013</v>
      </c>
      <c r="S841" s="1">
        <v>2014</v>
      </c>
      <c r="T841" s="1">
        <v>2015</v>
      </c>
      <c r="U841" s="1">
        <v>2016</v>
      </c>
      <c r="V841" s="1">
        <v>2017</v>
      </c>
      <c r="W841" s="1">
        <v>2018</v>
      </c>
      <c r="X841" s="1">
        <v>2019</v>
      </c>
      <c r="Y841" s="1">
        <v>2020</v>
      </c>
      <c r="Z841" s="1">
        <v>2021</v>
      </c>
      <c r="AA841" s="1">
        <v>2022</v>
      </c>
      <c r="AB841" s="1">
        <v>2023</v>
      </c>
      <c r="AC841" s="1">
        <v>2024</v>
      </c>
      <c r="AD841" s="1">
        <v>2025</v>
      </c>
      <c r="AE841" s="1">
        <v>2026</v>
      </c>
      <c r="AF841" s="1">
        <v>2027</v>
      </c>
      <c r="AG841" s="1">
        <v>2028</v>
      </c>
      <c r="AH841" s="1">
        <v>2029</v>
      </c>
      <c r="AI841" s="1">
        <v>2030</v>
      </c>
      <c r="AJ841" s="1">
        <v>2031</v>
      </c>
      <c r="AK841" s="1">
        <v>2032</v>
      </c>
      <c r="AL841" s="1">
        <v>2033</v>
      </c>
      <c r="AM841" s="1">
        <v>2034</v>
      </c>
      <c r="AN841" s="1">
        <v>2035</v>
      </c>
      <c r="AO841" s="1">
        <v>2036</v>
      </c>
      <c r="AP841" s="1">
        <v>2037</v>
      </c>
      <c r="AQ841" s="1">
        <v>2038</v>
      </c>
      <c r="AR841" s="1">
        <v>2039</v>
      </c>
      <c r="AS841" s="1">
        <v>2040</v>
      </c>
      <c r="AT841" s="1">
        <v>2041</v>
      </c>
      <c r="AU841" s="1">
        <v>2042</v>
      </c>
      <c r="AV841" s="1">
        <v>2043</v>
      </c>
      <c r="AW841" s="1">
        <v>2044</v>
      </c>
      <c r="AX841" s="1">
        <v>2045</v>
      </c>
      <c r="AY841" s="1">
        <v>2046</v>
      </c>
      <c r="AZ841" s="1">
        <v>2047</v>
      </c>
      <c r="BA841" s="1">
        <v>2048</v>
      </c>
      <c r="BB841" s="1">
        <v>2049</v>
      </c>
      <c r="BC841" s="1">
        <v>2050</v>
      </c>
    </row>
    <row r="842" spans="1:55">
      <c r="A842" s="1" t="str">
        <f>'Population Definitions'!$A$2</f>
        <v>PWID_males</v>
      </c>
      <c r="C842" t="s">
        <v>32</v>
      </c>
      <c r="D842" s="3"/>
      <c r="E842" s="3">
        <v>0</v>
      </c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</row>
    <row r="843" spans="1:55">
      <c r="A843" s="1" t="str">
        <f>'Population Definitions'!$A$3</f>
        <v>PWID_females</v>
      </c>
      <c r="C843" t="s">
        <v>32</v>
      </c>
      <c r="D843" s="3"/>
      <c r="E843" s="3">
        <v>0</v>
      </c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</row>
    <row r="844" spans="1:55">
      <c r="A844" s="1" t="str">
        <f>'Population Definitions'!$A$4</f>
        <v>0-9_males</v>
      </c>
      <c r="C844" t="s">
        <v>32</v>
      </c>
      <c r="D844" s="3"/>
      <c r="E844" s="3">
        <v>0</v>
      </c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</row>
    <row r="845" spans="1:55">
      <c r="A845" s="1" t="str">
        <f>'Population Definitions'!$A$5</f>
        <v>0-9_females</v>
      </c>
      <c r="C845" t="s">
        <v>32</v>
      </c>
      <c r="D845" s="3"/>
      <c r="E845" s="3">
        <v>0</v>
      </c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</row>
    <row r="846" spans="1:55">
      <c r="A846" s="1" t="str">
        <f>'Population Definitions'!$A$6</f>
        <v>10-17_males</v>
      </c>
      <c r="C846" t="s">
        <v>32</v>
      </c>
      <c r="D846" s="3"/>
      <c r="E846" s="3">
        <v>0</v>
      </c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</row>
    <row r="847" spans="1:55">
      <c r="A847" s="1" t="str">
        <f>'Population Definitions'!$A$7</f>
        <v>10-17_females</v>
      </c>
      <c r="C847" t="s">
        <v>32</v>
      </c>
      <c r="D847" s="3"/>
      <c r="E847" s="3">
        <v>0</v>
      </c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</row>
    <row r="848" spans="1:55">
      <c r="A848" s="1" t="str">
        <f>'Population Definitions'!$A$8</f>
        <v>18-64_males</v>
      </c>
      <c r="C848" t="s">
        <v>32</v>
      </c>
      <c r="D848" s="3"/>
      <c r="E848" s="3">
        <v>0</v>
      </c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</row>
    <row r="849" spans="1:55">
      <c r="A849" s="1" t="str">
        <f>'Population Definitions'!$A$9</f>
        <v>18-64_females</v>
      </c>
      <c r="C849" t="s">
        <v>32</v>
      </c>
      <c r="D849" s="3"/>
      <c r="E849" s="3">
        <v>0</v>
      </c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</row>
    <row r="850" spans="1:55">
      <c r="A850" s="1" t="str">
        <f>'Population Definitions'!$A$10</f>
        <v>65+_males</v>
      </c>
      <c r="C850" t="s">
        <v>32</v>
      </c>
      <c r="D850" s="3"/>
      <c r="E850" s="3">
        <v>0</v>
      </c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</row>
    <row r="851" spans="1:55">
      <c r="A851" s="1" t="str">
        <f>'Population Definitions'!$A$11</f>
        <v>65+_females</v>
      </c>
      <c r="C851" t="s">
        <v>32</v>
      </c>
      <c r="D851" s="3"/>
      <c r="E851" s="3">
        <v>0</v>
      </c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</row>
    <row r="852" spans="1:55">
      <c r="A852" s="1" t="str">
        <f>'Population Definitions'!$A$12</f>
        <v>Prisoners_males</v>
      </c>
      <c r="C852" t="s">
        <v>32</v>
      </c>
      <c r="D852" s="3"/>
      <c r="E852" s="3">
        <v>0</v>
      </c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</row>
    <row r="853" spans="1:55">
      <c r="A853" s="1" t="str">
        <f>'Population Definitions'!$A$13</f>
        <v>Prisoners_females</v>
      </c>
      <c r="C853" t="s">
        <v>32</v>
      </c>
      <c r="D853" s="3"/>
      <c r="E853" s="3">
        <v>0</v>
      </c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</row>
    <row r="855" spans="1:55">
      <c r="A855" s="1" t="s">
        <v>187</v>
      </c>
      <c r="B855" s="1" t="s">
        <v>29</v>
      </c>
      <c r="C855" s="1" t="s">
        <v>30</v>
      </c>
      <c r="D855" s="1" t="s">
        <v>31</v>
      </c>
      <c r="E855" s="1">
        <v>2000</v>
      </c>
      <c r="F855" s="1">
        <v>2001</v>
      </c>
      <c r="G855" s="1">
        <v>2002</v>
      </c>
      <c r="H855" s="1">
        <v>2003</v>
      </c>
      <c r="I855" s="1">
        <v>2004</v>
      </c>
      <c r="J855" s="1">
        <v>2005</v>
      </c>
      <c r="K855" s="1">
        <v>2006</v>
      </c>
      <c r="L855" s="1">
        <v>2007</v>
      </c>
      <c r="M855" s="1">
        <v>2008</v>
      </c>
      <c r="N855" s="1">
        <v>2009</v>
      </c>
      <c r="O855" s="1">
        <v>2010</v>
      </c>
      <c r="P855" s="1">
        <v>2011</v>
      </c>
      <c r="Q855" s="1">
        <v>2012</v>
      </c>
      <c r="R855" s="1">
        <v>2013</v>
      </c>
      <c r="S855" s="1">
        <v>2014</v>
      </c>
      <c r="T855" s="1">
        <v>2015</v>
      </c>
      <c r="U855" s="1">
        <v>2016</v>
      </c>
      <c r="V855" s="1">
        <v>2017</v>
      </c>
      <c r="W855" s="1">
        <v>2018</v>
      </c>
      <c r="X855" s="1">
        <v>2019</v>
      </c>
      <c r="Y855" s="1">
        <v>2020</v>
      </c>
      <c r="Z855" s="1">
        <v>2021</v>
      </c>
      <c r="AA855" s="1">
        <v>2022</v>
      </c>
      <c r="AB855" s="1">
        <v>2023</v>
      </c>
      <c r="AC855" s="1">
        <v>2024</v>
      </c>
      <c r="AD855" s="1">
        <v>2025</v>
      </c>
      <c r="AE855" s="1">
        <v>2026</v>
      </c>
      <c r="AF855" s="1">
        <v>2027</v>
      </c>
      <c r="AG855" s="1">
        <v>2028</v>
      </c>
      <c r="AH855" s="1">
        <v>2029</v>
      </c>
      <c r="AI855" s="1">
        <v>2030</v>
      </c>
      <c r="AJ855" s="1">
        <v>2031</v>
      </c>
      <c r="AK855" s="1">
        <v>2032</v>
      </c>
      <c r="AL855" s="1">
        <v>2033</v>
      </c>
      <c r="AM855" s="1">
        <v>2034</v>
      </c>
      <c r="AN855" s="1">
        <v>2035</v>
      </c>
      <c r="AO855" s="1">
        <v>2036</v>
      </c>
      <c r="AP855" s="1">
        <v>2037</v>
      </c>
      <c r="AQ855" s="1">
        <v>2038</v>
      </c>
      <c r="AR855" s="1">
        <v>2039</v>
      </c>
      <c r="AS855" s="1">
        <v>2040</v>
      </c>
      <c r="AT855" s="1">
        <v>2041</v>
      </c>
      <c r="AU855" s="1">
        <v>2042</v>
      </c>
      <c r="AV855" s="1">
        <v>2043</v>
      </c>
      <c r="AW855" s="1">
        <v>2044</v>
      </c>
      <c r="AX855" s="1">
        <v>2045</v>
      </c>
      <c r="AY855" s="1">
        <v>2046</v>
      </c>
      <c r="AZ855" s="1">
        <v>2047</v>
      </c>
      <c r="BA855" s="1">
        <v>2048</v>
      </c>
      <c r="BB855" s="1">
        <v>2049</v>
      </c>
      <c r="BC855" s="1">
        <v>2050</v>
      </c>
    </row>
    <row r="856" spans="1:55">
      <c r="A856" s="1" t="str">
        <f>'Population Definitions'!$A$2</f>
        <v>PWID_males</v>
      </c>
      <c r="C856" t="s">
        <v>32</v>
      </c>
      <c r="D856" s="3"/>
      <c r="E856" s="3">
        <v>0</v>
      </c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</row>
    <row r="857" spans="1:55">
      <c r="A857" s="1" t="str">
        <f>'Population Definitions'!$A$3</f>
        <v>PWID_females</v>
      </c>
      <c r="C857" t="s">
        <v>32</v>
      </c>
      <c r="D857" s="3"/>
      <c r="E857" s="3">
        <v>0</v>
      </c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</row>
    <row r="858" spans="1:55">
      <c r="A858" s="1" t="str">
        <f>'Population Definitions'!$A$4</f>
        <v>0-9_males</v>
      </c>
      <c r="C858" t="s">
        <v>32</v>
      </c>
      <c r="D858" s="3"/>
      <c r="E858" s="3">
        <v>0</v>
      </c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</row>
    <row r="859" spans="1:55">
      <c r="A859" s="1" t="str">
        <f>'Population Definitions'!$A$5</f>
        <v>0-9_females</v>
      </c>
      <c r="C859" t="s">
        <v>32</v>
      </c>
      <c r="D859" s="3"/>
      <c r="E859" s="3">
        <v>0</v>
      </c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</row>
    <row r="860" spans="1:55">
      <c r="A860" s="1" t="str">
        <f>'Population Definitions'!$A$6</f>
        <v>10-17_males</v>
      </c>
      <c r="C860" t="s">
        <v>32</v>
      </c>
      <c r="D860" s="3"/>
      <c r="E860" s="3">
        <v>0</v>
      </c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</row>
    <row r="861" spans="1:55">
      <c r="A861" s="1" t="str">
        <f>'Population Definitions'!$A$7</f>
        <v>10-17_females</v>
      </c>
      <c r="C861" t="s">
        <v>32</v>
      </c>
      <c r="D861" s="3"/>
      <c r="E861" s="3">
        <v>0</v>
      </c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</row>
    <row r="862" spans="1:55">
      <c r="A862" s="1" t="str">
        <f>'Population Definitions'!$A$8</f>
        <v>18-64_males</v>
      </c>
      <c r="C862" t="s">
        <v>32</v>
      </c>
      <c r="D862" s="3"/>
      <c r="E862" s="3">
        <v>0</v>
      </c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</row>
    <row r="863" spans="1:55">
      <c r="A863" s="1" t="str">
        <f>'Population Definitions'!$A$9</f>
        <v>18-64_females</v>
      </c>
      <c r="C863" t="s">
        <v>32</v>
      </c>
      <c r="D863" s="3"/>
      <c r="E863" s="3">
        <v>0</v>
      </c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</row>
    <row r="864" spans="1:55">
      <c r="A864" s="1" t="str">
        <f>'Population Definitions'!$A$10</f>
        <v>65+_males</v>
      </c>
      <c r="C864" t="s">
        <v>32</v>
      </c>
      <c r="D864" s="3"/>
      <c r="E864" s="3">
        <v>0</v>
      </c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</row>
    <row r="865" spans="1:55">
      <c r="A865" s="1" t="str">
        <f>'Population Definitions'!$A$11</f>
        <v>65+_females</v>
      </c>
      <c r="C865" t="s">
        <v>32</v>
      </c>
      <c r="D865" s="3"/>
      <c r="E865" s="3">
        <v>0</v>
      </c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</row>
    <row r="866" spans="1:55">
      <c r="A866" s="1" t="str">
        <f>'Population Definitions'!$A$12</f>
        <v>Prisoners_males</v>
      </c>
      <c r="C866" t="s">
        <v>32</v>
      </c>
      <c r="D866" s="3"/>
      <c r="E866" s="3">
        <v>0</v>
      </c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</row>
    <row r="867" spans="1:55">
      <c r="A867" s="1" t="str">
        <f>'Population Definitions'!$A$13</f>
        <v>Prisoners_females</v>
      </c>
      <c r="C867" t="s">
        <v>32</v>
      </c>
      <c r="D867" s="3"/>
      <c r="E867" s="3">
        <v>0</v>
      </c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</row>
    <row r="869" spans="1:55">
      <c r="A869" s="1" t="s">
        <v>188</v>
      </c>
      <c r="B869" s="1" t="s">
        <v>29</v>
      </c>
      <c r="C869" s="1" t="s">
        <v>30</v>
      </c>
      <c r="D869" s="1" t="s">
        <v>31</v>
      </c>
      <c r="E869" s="1">
        <v>2000</v>
      </c>
      <c r="F869" s="1">
        <v>2001</v>
      </c>
      <c r="G869" s="1">
        <v>2002</v>
      </c>
      <c r="H869" s="1">
        <v>2003</v>
      </c>
      <c r="I869" s="1">
        <v>2004</v>
      </c>
      <c r="J869" s="1">
        <v>2005</v>
      </c>
      <c r="K869" s="1">
        <v>2006</v>
      </c>
      <c r="L869" s="1">
        <v>2007</v>
      </c>
      <c r="M869" s="1">
        <v>2008</v>
      </c>
      <c r="N869" s="1">
        <v>2009</v>
      </c>
      <c r="O869" s="1">
        <v>2010</v>
      </c>
      <c r="P869" s="1">
        <v>2011</v>
      </c>
      <c r="Q869" s="1">
        <v>2012</v>
      </c>
      <c r="R869" s="1">
        <v>2013</v>
      </c>
      <c r="S869" s="1">
        <v>2014</v>
      </c>
      <c r="T869" s="1">
        <v>2015</v>
      </c>
      <c r="U869" s="1">
        <v>2016</v>
      </c>
      <c r="V869" s="1">
        <v>2017</v>
      </c>
      <c r="W869" s="1">
        <v>2018</v>
      </c>
      <c r="X869" s="1">
        <v>2019</v>
      </c>
      <c r="Y869" s="1">
        <v>2020</v>
      </c>
      <c r="Z869" s="1">
        <v>2021</v>
      </c>
      <c r="AA869" s="1">
        <v>2022</v>
      </c>
      <c r="AB869" s="1">
        <v>2023</v>
      </c>
      <c r="AC869" s="1">
        <v>2024</v>
      </c>
      <c r="AD869" s="1">
        <v>2025</v>
      </c>
      <c r="AE869" s="1">
        <v>2026</v>
      </c>
      <c r="AF869" s="1">
        <v>2027</v>
      </c>
      <c r="AG869" s="1">
        <v>2028</v>
      </c>
      <c r="AH869" s="1">
        <v>2029</v>
      </c>
      <c r="AI869" s="1">
        <v>2030</v>
      </c>
      <c r="AJ869" s="1">
        <v>2031</v>
      </c>
      <c r="AK869" s="1">
        <v>2032</v>
      </c>
      <c r="AL869" s="1">
        <v>2033</v>
      </c>
      <c r="AM869" s="1">
        <v>2034</v>
      </c>
      <c r="AN869" s="1">
        <v>2035</v>
      </c>
      <c r="AO869" s="1">
        <v>2036</v>
      </c>
      <c r="AP869" s="1">
        <v>2037</v>
      </c>
      <c r="AQ869" s="1">
        <v>2038</v>
      </c>
      <c r="AR869" s="1">
        <v>2039</v>
      </c>
      <c r="AS869" s="1">
        <v>2040</v>
      </c>
      <c r="AT869" s="1">
        <v>2041</v>
      </c>
      <c r="AU869" s="1">
        <v>2042</v>
      </c>
      <c r="AV869" s="1">
        <v>2043</v>
      </c>
      <c r="AW869" s="1">
        <v>2044</v>
      </c>
      <c r="AX869" s="1">
        <v>2045</v>
      </c>
      <c r="AY869" s="1">
        <v>2046</v>
      </c>
      <c r="AZ869" s="1">
        <v>2047</v>
      </c>
      <c r="BA869" s="1">
        <v>2048</v>
      </c>
      <c r="BB869" s="1">
        <v>2049</v>
      </c>
      <c r="BC869" s="1">
        <v>2050</v>
      </c>
    </row>
    <row r="870" spans="1:55">
      <c r="A870" s="1" t="str">
        <f>'Population Definitions'!$A$2</f>
        <v>PWID_males</v>
      </c>
      <c r="C870" t="s">
        <v>32</v>
      </c>
      <c r="D870" s="3"/>
      <c r="E870" s="3">
        <v>0</v>
      </c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</row>
    <row r="871" spans="1:55">
      <c r="A871" s="1" t="str">
        <f>'Population Definitions'!$A$3</f>
        <v>PWID_females</v>
      </c>
      <c r="C871" t="s">
        <v>32</v>
      </c>
      <c r="D871" s="3"/>
      <c r="E871" s="3">
        <v>0</v>
      </c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</row>
    <row r="872" spans="1:55">
      <c r="A872" s="1" t="str">
        <f>'Population Definitions'!$A$4</f>
        <v>0-9_males</v>
      </c>
      <c r="C872" t="s">
        <v>32</v>
      </c>
      <c r="D872" s="3"/>
      <c r="E872" s="3">
        <v>0</v>
      </c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</row>
    <row r="873" spans="1:55">
      <c r="A873" s="1" t="str">
        <f>'Population Definitions'!$A$5</f>
        <v>0-9_females</v>
      </c>
      <c r="C873" t="s">
        <v>32</v>
      </c>
      <c r="D873" s="3"/>
      <c r="E873" s="3">
        <v>0</v>
      </c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</row>
    <row r="874" spans="1:55">
      <c r="A874" s="1" t="str">
        <f>'Population Definitions'!$A$6</f>
        <v>10-17_males</v>
      </c>
      <c r="C874" t="s">
        <v>32</v>
      </c>
      <c r="D874" s="3"/>
      <c r="E874" s="3">
        <v>0</v>
      </c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</row>
    <row r="875" spans="1:55">
      <c r="A875" s="1" t="str">
        <f>'Population Definitions'!$A$7</f>
        <v>10-17_females</v>
      </c>
      <c r="C875" t="s">
        <v>32</v>
      </c>
      <c r="D875" s="3"/>
      <c r="E875" s="3">
        <v>0</v>
      </c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</row>
    <row r="876" spans="1:55">
      <c r="A876" s="1" t="str">
        <f>'Population Definitions'!$A$8</f>
        <v>18-64_males</v>
      </c>
      <c r="C876" t="s">
        <v>32</v>
      </c>
      <c r="D876" s="3"/>
      <c r="E876" s="3">
        <v>0</v>
      </c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</row>
    <row r="877" spans="1:55">
      <c r="A877" s="1" t="str">
        <f>'Population Definitions'!$A$9</f>
        <v>18-64_females</v>
      </c>
      <c r="C877" t="s">
        <v>32</v>
      </c>
      <c r="D877" s="3"/>
      <c r="E877" s="3">
        <v>0</v>
      </c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</row>
    <row r="878" spans="1:55">
      <c r="A878" s="1" t="str">
        <f>'Population Definitions'!$A$10</f>
        <v>65+_males</v>
      </c>
      <c r="C878" t="s">
        <v>32</v>
      </c>
      <c r="D878" s="3"/>
      <c r="E878" s="3">
        <v>0</v>
      </c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</row>
    <row r="879" spans="1:55">
      <c r="A879" s="1" t="str">
        <f>'Population Definitions'!$A$11</f>
        <v>65+_females</v>
      </c>
      <c r="C879" t="s">
        <v>32</v>
      </c>
      <c r="D879" s="3"/>
      <c r="E879" s="3">
        <v>0</v>
      </c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</row>
    <row r="880" spans="1:55">
      <c r="A880" s="1" t="str">
        <f>'Population Definitions'!$A$12</f>
        <v>Prisoners_males</v>
      </c>
      <c r="C880" t="s">
        <v>32</v>
      </c>
      <c r="D880" s="3"/>
      <c r="E880" s="3">
        <v>0</v>
      </c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</row>
    <row r="881" spans="1:55">
      <c r="A881" s="1" t="str">
        <f>'Population Definitions'!$A$13</f>
        <v>Prisoners_females</v>
      </c>
      <c r="C881" t="s">
        <v>32</v>
      </c>
      <c r="D881" s="3"/>
      <c r="E881" s="3">
        <v>0</v>
      </c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</row>
    <row r="883" spans="1:55">
      <c r="A883" s="1" t="s">
        <v>189</v>
      </c>
      <c r="B883" s="1" t="s">
        <v>29</v>
      </c>
      <c r="C883" s="1" t="s">
        <v>30</v>
      </c>
      <c r="D883" s="1" t="s">
        <v>31</v>
      </c>
      <c r="E883" s="1">
        <v>2000</v>
      </c>
      <c r="F883" s="1">
        <v>2001</v>
      </c>
      <c r="G883" s="1">
        <v>2002</v>
      </c>
      <c r="H883" s="1">
        <v>2003</v>
      </c>
      <c r="I883" s="1">
        <v>2004</v>
      </c>
      <c r="J883" s="1">
        <v>2005</v>
      </c>
      <c r="K883" s="1">
        <v>2006</v>
      </c>
      <c r="L883" s="1">
        <v>2007</v>
      </c>
      <c r="M883" s="1">
        <v>2008</v>
      </c>
      <c r="N883" s="1">
        <v>2009</v>
      </c>
      <c r="O883" s="1">
        <v>2010</v>
      </c>
      <c r="P883" s="1">
        <v>2011</v>
      </c>
      <c r="Q883" s="1">
        <v>2012</v>
      </c>
      <c r="R883" s="1">
        <v>2013</v>
      </c>
      <c r="S883" s="1">
        <v>2014</v>
      </c>
      <c r="T883" s="1">
        <v>2015</v>
      </c>
      <c r="U883" s="1">
        <v>2016</v>
      </c>
      <c r="V883" s="1">
        <v>2017</v>
      </c>
      <c r="W883" s="1">
        <v>2018</v>
      </c>
      <c r="X883" s="1">
        <v>2019</v>
      </c>
      <c r="Y883" s="1">
        <v>2020</v>
      </c>
      <c r="Z883" s="1">
        <v>2021</v>
      </c>
      <c r="AA883" s="1">
        <v>2022</v>
      </c>
      <c r="AB883" s="1">
        <v>2023</v>
      </c>
      <c r="AC883" s="1">
        <v>2024</v>
      </c>
      <c r="AD883" s="1">
        <v>2025</v>
      </c>
      <c r="AE883" s="1">
        <v>2026</v>
      </c>
      <c r="AF883" s="1">
        <v>2027</v>
      </c>
      <c r="AG883" s="1">
        <v>2028</v>
      </c>
      <c r="AH883" s="1">
        <v>2029</v>
      </c>
      <c r="AI883" s="1">
        <v>2030</v>
      </c>
      <c r="AJ883" s="1">
        <v>2031</v>
      </c>
      <c r="AK883" s="1">
        <v>2032</v>
      </c>
      <c r="AL883" s="1">
        <v>2033</v>
      </c>
      <c r="AM883" s="1">
        <v>2034</v>
      </c>
      <c r="AN883" s="1">
        <v>2035</v>
      </c>
      <c r="AO883" s="1">
        <v>2036</v>
      </c>
      <c r="AP883" s="1">
        <v>2037</v>
      </c>
      <c r="AQ883" s="1">
        <v>2038</v>
      </c>
      <c r="AR883" s="1">
        <v>2039</v>
      </c>
      <c r="AS883" s="1">
        <v>2040</v>
      </c>
      <c r="AT883" s="1">
        <v>2041</v>
      </c>
      <c r="AU883" s="1">
        <v>2042</v>
      </c>
      <c r="AV883" s="1">
        <v>2043</v>
      </c>
      <c r="AW883" s="1">
        <v>2044</v>
      </c>
      <c r="AX883" s="1">
        <v>2045</v>
      </c>
      <c r="AY883" s="1">
        <v>2046</v>
      </c>
      <c r="AZ883" s="1">
        <v>2047</v>
      </c>
      <c r="BA883" s="1">
        <v>2048</v>
      </c>
      <c r="BB883" s="1">
        <v>2049</v>
      </c>
      <c r="BC883" s="1">
        <v>2050</v>
      </c>
    </row>
    <row r="884" spans="1:55">
      <c r="A884" s="1" t="str">
        <f>'Population Definitions'!$A$2</f>
        <v>PWID_males</v>
      </c>
      <c r="C884" t="s">
        <v>32</v>
      </c>
      <c r="D884" s="3"/>
      <c r="E884" s="3">
        <v>0</v>
      </c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</row>
    <row r="885" spans="1:55">
      <c r="A885" s="1" t="str">
        <f>'Population Definitions'!$A$3</f>
        <v>PWID_females</v>
      </c>
      <c r="C885" t="s">
        <v>32</v>
      </c>
      <c r="D885" s="3"/>
      <c r="E885" s="3">
        <v>0</v>
      </c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</row>
    <row r="886" spans="1:55">
      <c r="A886" s="1" t="str">
        <f>'Population Definitions'!$A$4</f>
        <v>0-9_males</v>
      </c>
      <c r="C886" t="s">
        <v>32</v>
      </c>
      <c r="D886" s="3"/>
      <c r="E886" s="3">
        <v>0</v>
      </c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</row>
    <row r="887" spans="1:55">
      <c r="A887" s="1" t="str">
        <f>'Population Definitions'!$A$5</f>
        <v>0-9_females</v>
      </c>
      <c r="C887" t="s">
        <v>32</v>
      </c>
      <c r="D887" s="3"/>
      <c r="E887" s="3">
        <v>0</v>
      </c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</row>
    <row r="888" spans="1:55">
      <c r="A888" s="1" t="str">
        <f>'Population Definitions'!$A$6</f>
        <v>10-17_males</v>
      </c>
      <c r="C888" t="s">
        <v>32</v>
      </c>
      <c r="D888" s="3"/>
      <c r="E888" s="3">
        <v>0</v>
      </c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</row>
    <row r="889" spans="1:55">
      <c r="A889" s="1" t="str">
        <f>'Population Definitions'!$A$7</f>
        <v>10-17_females</v>
      </c>
      <c r="C889" t="s">
        <v>32</v>
      </c>
      <c r="D889" s="3"/>
      <c r="E889" s="3">
        <v>0</v>
      </c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</row>
    <row r="890" spans="1:55">
      <c r="A890" s="1" t="str">
        <f>'Population Definitions'!$A$8</f>
        <v>18-64_males</v>
      </c>
      <c r="C890" t="s">
        <v>32</v>
      </c>
      <c r="D890" s="3"/>
      <c r="E890" s="3">
        <v>0</v>
      </c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</row>
    <row r="891" spans="1:55">
      <c r="A891" s="1" t="str">
        <f>'Population Definitions'!$A$9</f>
        <v>18-64_females</v>
      </c>
      <c r="C891" t="s">
        <v>32</v>
      </c>
      <c r="D891" s="3"/>
      <c r="E891" s="3">
        <v>0</v>
      </c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</row>
    <row r="892" spans="1:55">
      <c r="A892" s="1" t="str">
        <f>'Population Definitions'!$A$10</f>
        <v>65+_males</v>
      </c>
      <c r="C892" t="s">
        <v>32</v>
      </c>
      <c r="D892" s="3"/>
      <c r="E892" s="3">
        <v>0</v>
      </c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</row>
    <row r="893" spans="1:55">
      <c r="A893" s="1" t="str">
        <f>'Population Definitions'!$A$11</f>
        <v>65+_females</v>
      </c>
      <c r="C893" t="s">
        <v>32</v>
      </c>
      <c r="D893" s="3"/>
      <c r="E893" s="3">
        <v>0</v>
      </c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</row>
    <row r="894" spans="1:55">
      <c r="A894" s="1" t="str">
        <f>'Population Definitions'!$A$12</f>
        <v>Prisoners_males</v>
      </c>
      <c r="C894" t="s">
        <v>32</v>
      </c>
      <c r="D894" s="3"/>
      <c r="E894" s="3">
        <v>0</v>
      </c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</row>
    <row r="895" spans="1:55">
      <c r="A895" s="1" t="str">
        <f>'Population Definitions'!$A$13</f>
        <v>Prisoners_females</v>
      </c>
      <c r="C895" t="s">
        <v>32</v>
      </c>
      <c r="D895" s="3"/>
      <c r="E895" s="3">
        <v>0</v>
      </c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</row>
    <row r="897" spans="1:55">
      <c r="A897" s="1" t="s">
        <v>190</v>
      </c>
      <c r="B897" s="1" t="s">
        <v>29</v>
      </c>
      <c r="C897" s="1" t="s">
        <v>30</v>
      </c>
      <c r="D897" s="1" t="s">
        <v>31</v>
      </c>
      <c r="E897" s="1">
        <v>2000</v>
      </c>
      <c r="F897" s="1">
        <v>2001</v>
      </c>
      <c r="G897" s="1">
        <v>2002</v>
      </c>
      <c r="H897" s="1">
        <v>2003</v>
      </c>
      <c r="I897" s="1">
        <v>2004</v>
      </c>
      <c r="J897" s="1">
        <v>2005</v>
      </c>
      <c r="K897" s="1">
        <v>2006</v>
      </c>
      <c r="L897" s="1">
        <v>2007</v>
      </c>
      <c r="M897" s="1">
        <v>2008</v>
      </c>
      <c r="N897" s="1">
        <v>2009</v>
      </c>
      <c r="O897" s="1">
        <v>2010</v>
      </c>
      <c r="P897" s="1">
        <v>2011</v>
      </c>
      <c r="Q897" s="1">
        <v>2012</v>
      </c>
      <c r="R897" s="1">
        <v>2013</v>
      </c>
      <c r="S897" s="1">
        <v>2014</v>
      </c>
      <c r="T897" s="1">
        <v>2015</v>
      </c>
      <c r="U897" s="1">
        <v>2016</v>
      </c>
      <c r="V897" s="1">
        <v>2017</v>
      </c>
      <c r="W897" s="1">
        <v>2018</v>
      </c>
      <c r="X897" s="1">
        <v>2019</v>
      </c>
      <c r="Y897" s="1">
        <v>2020</v>
      </c>
      <c r="Z897" s="1">
        <v>2021</v>
      </c>
      <c r="AA897" s="1">
        <v>2022</v>
      </c>
      <c r="AB897" s="1">
        <v>2023</v>
      </c>
      <c r="AC897" s="1">
        <v>2024</v>
      </c>
      <c r="AD897" s="1">
        <v>2025</v>
      </c>
      <c r="AE897" s="1">
        <v>2026</v>
      </c>
      <c r="AF897" s="1">
        <v>2027</v>
      </c>
      <c r="AG897" s="1">
        <v>2028</v>
      </c>
      <c r="AH897" s="1">
        <v>2029</v>
      </c>
      <c r="AI897" s="1">
        <v>2030</v>
      </c>
      <c r="AJ897" s="1">
        <v>2031</v>
      </c>
      <c r="AK897" s="1">
        <v>2032</v>
      </c>
      <c r="AL897" s="1">
        <v>2033</v>
      </c>
      <c r="AM897" s="1">
        <v>2034</v>
      </c>
      <c r="AN897" s="1">
        <v>2035</v>
      </c>
      <c r="AO897" s="1">
        <v>2036</v>
      </c>
      <c r="AP897" s="1">
        <v>2037</v>
      </c>
      <c r="AQ897" s="1">
        <v>2038</v>
      </c>
      <c r="AR897" s="1">
        <v>2039</v>
      </c>
      <c r="AS897" s="1">
        <v>2040</v>
      </c>
      <c r="AT897" s="1">
        <v>2041</v>
      </c>
      <c r="AU897" s="1">
        <v>2042</v>
      </c>
      <c r="AV897" s="1">
        <v>2043</v>
      </c>
      <c r="AW897" s="1">
        <v>2044</v>
      </c>
      <c r="AX897" s="1">
        <v>2045</v>
      </c>
      <c r="AY897" s="1">
        <v>2046</v>
      </c>
      <c r="AZ897" s="1">
        <v>2047</v>
      </c>
      <c r="BA897" s="1">
        <v>2048</v>
      </c>
      <c r="BB897" s="1">
        <v>2049</v>
      </c>
      <c r="BC897" s="1">
        <v>2050</v>
      </c>
    </row>
    <row r="898" spans="1:55">
      <c r="A898" s="1" t="str">
        <f>'Population Definitions'!$A$2</f>
        <v>PWID_males</v>
      </c>
      <c r="C898" t="s">
        <v>32</v>
      </c>
      <c r="D898" s="3"/>
      <c r="E898" s="3">
        <v>0</v>
      </c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</row>
    <row r="899" spans="1:55">
      <c r="A899" s="1" t="str">
        <f>'Population Definitions'!$A$3</f>
        <v>PWID_females</v>
      </c>
      <c r="C899" t="s">
        <v>32</v>
      </c>
      <c r="D899" s="3"/>
      <c r="E899" s="3">
        <v>0</v>
      </c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</row>
    <row r="900" spans="1:55">
      <c r="A900" s="1" t="str">
        <f>'Population Definitions'!$A$4</f>
        <v>0-9_males</v>
      </c>
      <c r="C900" t="s">
        <v>32</v>
      </c>
      <c r="D900" s="3"/>
      <c r="E900" s="3">
        <v>0</v>
      </c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</row>
    <row r="901" spans="1:55">
      <c r="A901" s="1" t="str">
        <f>'Population Definitions'!$A$5</f>
        <v>0-9_females</v>
      </c>
      <c r="C901" t="s">
        <v>32</v>
      </c>
      <c r="D901" s="3"/>
      <c r="E901" s="3">
        <v>0</v>
      </c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</row>
    <row r="902" spans="1:55">
      <c r="A902" s="1" t="str">
        <f>'Population Definitions'!$A$6</f>
        <v>10-17_males</v>
      </c>
      <c r="C902" t="s">
        <v>32</v>
      </c>
      <c r="D902" s="3"/>
      <c r="E902" s="3">
        <v>0</v>
      </c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</row>
    <row r="903" spans="1:55">
      <c r="A903" s="1" t="str">
        <f>'Population Definitions'!$A$7</f>
        <v>10-17_females</v>
      </c>
      <c r="C903" t="s">
        <v>32</v>
      </c>
      <c r="D903" s="3"/>
      <c r="E903" s="3">
        <v>0</v>
      </c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</row>
    <row r="904" spans="1:55">
      <c r="A904" s="1" t="str">
        <f>'Population Definitions'!$A$8</f>
        <v>18-64_males</v>
      </c>
      <c r="C904" t="s">
        <v>32</v>
      </c>
      <c r="D904" s="3"/>
      <c r="E904" s="3">
        <v>0</v>
      </c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</row>
    <row r="905" spans="1:55">
      <c r="A905" s="1" t="str">
        <f>'Population Definitions'!$A$9</f>
        <v>18-64_females</v>
      </c>
      <c r="C905" t="s">
        <v>32</v>
      </c>
      <c r="D905" s="3"/>
      <c r="E905" s="3">
        <v>0</v>
      </c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</row>
    <row r="906" spans="1:55">
      <c r="A906" s="1" t="str">
        <f>'Population Definitions'!$A$10</f>
        <v>65+_males</v>
      </c>
      <c r="C906" t="s">
        <v>32</v>
      </c>
      <c r="D906" s="3"/>
      <c r="E906" s="3">
        <v>0</v>
      </c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</row>
    <row r="907" spans="1:55">
      <c r="A907" s="1" t="str">
        <f>'Population Definitions'!$A$11</f>
        <v>65+_females</v>
      </c>
      <c r="C907" t="s">
        <v>32</v>
      </c>
      <c r="D907" s="3"/>
      <c r="E907" s="3">
        <v>0</v>
      </c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</row>
    <row r="908" spans="1:55">
      <c r="A908" s="1" t="str">
        <f>'Population Definitions'!$A$12</f>
        <v>Prisoners_males</v>
      </c>
      <c r="C908" t="s">
        <v>32</v>
      </c>
      <c r="D908" s="3"/>
      <c r="E908" s="3">
        <v>0</v>
      </c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</row>
    <row r="909" spans="1:55">
      <c r="A909" s="1" t="str">
        <f>'Population Definitions'!$A$13</f>
        <v>Prisoners_females</v>
      </c>
      <c r="C909" t="s">
        <v>32</v>
      </c>
      <c r="D909" s="3"/>
      <c r="E909" s="3">
        <v>0</v>
      </c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</row>
    <row r="911" spans="1:55">
      <c r="A911" s="1" t="s">
        <v>191</v>
      </c>
      <c r="B911" s="1" t="s">
        <v>29</v>
      </c>
      <c r="C911" s="1" t="s">
        <v>30</v>
      </c>
      <c r="D911" s="1" t="s">
        <v>31</v>
      </c>
      <c r="E911" s="1">
        <v>2000</v>
      </c>
      <c r="F911" s="1">
        <v>2001</v>
      </c>
      <c r="G911" s="1">
        <v>2002</v>
      </c>
      <c r="H911" s="1">
        <v>2003</v>
      </c>
      <c r="I911" s="1">
        <v>2004</v>
      </c>
      <c r="J911" s="1">
        <v>2005</v>
      </c>
      <c r="K911" s="1">
        <v>2006</v>
      </c>
      <c r="L911" s="1">
        <v>2007</v>
      </c>
      <c r="M911" s="1">
        <v>2008</v>
      </c>
      <c r="N911" s="1">
        <v>2009</v>
      </c>
      <c r="O911" s="1">
        <v>2010</v>
      </c>
      <c r="P911" s="1">
        <v>2011</v>
      </c>
      <c r="Q911" s="1">
        <v>2012</v>
      </c>
      <c r="R911" s="1">
        <v>2013</v>
      </c>
      <c r="S911" s="1">
        <v>2014</v>
      </c>
      <c r="T911" s="1">
        <v>2015</v>
      </c>
      <c r="U911" s="1">
        <v>2016</v>
      </c>
      <c r="V911" s="1">
        <v>2017</v>
      </c>
      <c r="W911" s="1">
        <v>2018</v>
      </c>
      <c r="X911" s="1">
        <v>2019</v>
      </c>
      <c r="Y911" s="1">
        <v>2020</v>
      </c>
      <c r="Z911" s="1">
        <v>2021</v>
      </c>
      <c r="AA911" s="1">
        <v>2022</v>
      </c>
      <c r="AB911" s="1">
        <v>2023</v>
      </c>
      <c r="AC911" s="1">
        <v>2024</v>
      </c>
      <c r="AD911" s="1">
        <v>2025</v>
      </c>
      <c r="AE911" s="1">
        <v>2026</v>
      </c>
      <c r="AF911" s="1">
        <v>2027</v>
      </c>
      <c r="AG911" s="1">
        <v>2028</v>
      </c>
      <c r="AH911" s="1">
        <v>2029</v>
      </c>
      <c r="AI911" s="1">
        <v>2030</v>
      </c>
      <c r="AJ911" s="1">
        <v>2031</v>
      </c>
      <c r="AK911" s="1">
        <v>2032</v>
      </c>
      <c r="AL911" s="1">
        <v>2033</v>
      </c>
      <c r="AM911" s="1">
        <v>2034</v>
      </c>
      <c r="AN911" s="1">
        <v>2035</v>
      </c>
      <c r="AO911" s="1">
        <v>2036</v>
      </c>
      <c r="AP911" s="1">
        <v>2037</v>
      </c>
      <c r="AQ911" s="1">
        <v>2038</v>
      </c>
      <c r="AR911" s="1">
        <v>2039</v>
      </c>
      <c r="AS911" s="1">
        <v>2040</v>
      </c>
      <c r="AT911" s="1">
        <v>2041</v>
      </c>
      <c r="AU911" s="1">
        <v>2042</v>
      </c>
      <c r="AV911" s="1">
        <v>2043</v>
      </c>
      <c r="AW911" s="1">
        <v>2044</v>
      </c>
      <c r="AX911" s="1">
        <v>2045</v>
      </c>
      <c r="AY911" s="1">
        <v>2046</v>
      </c>
      <c r="AZ911" s="1">
        <v>2047</v>
      </c>
      <c r="BA911" s="1">
        <v>2048</v>
      </c>
      <c r="BB911" s="1">
        <v>2049</v>
      </c>
      <c r="BC911" s="1">
        <v>2050</v>
      </c>
    </row>
    <row r="912" spans="1:55">
      <c r="A912" s="1" t="str">
        <f>'Population Definitions'!$A$2</f>
        <v>PWID_males</v>
      </c>
      <c r="C912" t="s">
        <v>32</v>
      </c>
      <c r="D912" s="3"/>
      <c r="E912" s="3">
        <v>0</v>
      </c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</row>
    <row r="913" spans="1:55">
      <c r="A913" s="1" t="str">
        <f>'Population Definitions'!$A$3</f>
        <v>PWID_females</v>
      </c>
      <c r="C913" t="s">
        <v>32</v>
      </c>
      <c r="D913" s="3"/>
      <c r="E913" s="3">
        <v>0</v>
      </c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</row>
    <row r="914" spans="1:55">
      <c r="A914" s="1" t="str">
        <f>'Population Definitions'!$A$4</f>
        <v>0-9_males</v>
      </c>
      <c r="C914" t="s">
        <v>32</v>
      </c>
      <c r="D914" s="3"/>
      <c r="E914" s="3">
        <v>0</v>
      </c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</row>
    <row r="915" spans="1:55">
      <c r="A915" s="1" t="str">
        <f>'Population Definitions'!$A$5</f>
        <v>0-9_females</v>
      </c>
      <c r="C915" t="s">
        <v>32</v>
      </c>
      <c r="D915" s="3"/>
      <c r="E915" s="3">
        <v>0</v>
      </c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</row>
    <row r="916" spans="1:55">
      <c r="A916" s="1" t="str">
        <f>'Population Definitions'!$A$6</f>
        <v>10-17_males</v>
      </c>
      <c r="C916" t="s">
        <v>32</v>
      </c>
      <c r="D916" s="3"/>
      <c r="E916" s="3">
        <v>0</v>
      </c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</row>
    <row r="917" spans="1:55">
      <c r="A917" s="1" t="str">
        <f>'Population Definitions'!$A$7</f>
        <v>10-17_females</v>
      </c>
      <c r="C917" t="s">
        <v>32</v>
      </c>
      <c r="D917" s="3"/>
      <c r="E917" s="3">
        <v>0</v>
      </c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</row>
    <row r="918" spans="1:55">
      <c r="A918" s="1" t="str">
        <f>'Population Definitions'!$A$8</f>
        <v>18-64_males</v>
      </c>
      <c r="C918" t="s">
        <v>32</v>
      </c>
      <c r="D918" s="3"/>
      <c r="E918" s="3">
        <v>0</v>
      </c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</row>
    <row r="919" spans="1:55">
      <c r="A919" s="1" t="str">
        <f>'Population Definitions'!$A$9</f>
        <v>18-64_females</v>
      </c>
      <c r="C919" t="s">
        <v>32</v>
      </c>
      <c r="D919" s="3"/>
      <c r="E919" s="3">
        <v>0</v>
      </c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</row>
    <row r="920" spans="1:55">
      <c r="A920" s="1" t="str">
        <f>'Population Definitions'!$A$10</f>
        <v>65+_males</v>
      </c>
      <c r="C920" t="s">
        <v>32</v>
      </c>
      <c r="D920" s="3"/>
      <c r="E920" s="3">
        <v>0</v>
      </c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</row>
    <row r="921" spans="1:55">
      <c r="A921" s="1" t="str">
        <f>'Population Definitions'!$A$11</f>
        <v>65+_females</v>
      </c>
      <c r="C921" t="s">
        <v>32</v>
      </c>
      <c r="D921" s="3"/>
      <c r="E921" s="3">
        <v>0</v>
      </c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</row>
    <row r="922" spans="1:55">
      <c r="A922" s="1" t="str">
        <f>'Population Definitions'!$A$12</f>
        <v>Prisoners_males</v>
      </c>
      <c r="C922" t="s">
        <v>32</v>
      </c>
      <c r="D922" s="3"/>
      <c r="E922" s="3">
        <v>0</v>
      </c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</row>
    <row r="923" spans="1:55">
      <c r="A923" s="1" t="str">
        <f>'Population Definitions'!$A$13</f>
        <v>Prisoners_females</v>
      </c>
      <c r="C923" t="s">
        <v>32</v>
      </c>
      <c r="D923" s="3"/>
      <c r="E923" s="3">
        <v>0</v>
      </c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</row>
    <row r="925" spans="1:55">
      <c r="A925" s="1" t="s">
        <v>192</v>
      </c>
      <c r="B925" s="1" t="s">
        <v>29</v>
      </c>
      <c r="C925" s="1" t="s">
        <v>30</v>
      </c>
      <c r="D925" s="1" t="s">
        <v>31</v>
      </c>
      <c r="E925" s="1">
        <v>2000</v>
      </c>
      <c r="F925" s="1">
        <v>2001</v>
      </c>
      <c r="G925" s="1">
        <v>2002</v>
      </c>
      <c r="H925" s="1">
        <v>2003</v>
      </c>
      <c r="I925" s="1">
        <v>2004</v>
      </c>
      <c r="J925" s="1">
        <v>2005</v>
      </c>
      <c r="K925" s="1">
        <v>2006</v>
      </c>
      <c r="L925" s="1">
        <v>2007</v>
      </c>
      <c r="M925" s="1">
        <v>2008</v>
      </c>
      <c r="N925" s="1">
        <v>2009</v>
      </c>
      <c r="O925" s="1">
        <v>2010</v>
      </c>
      <c r="P925" s="1">
        <v>2011</v>
      </c>
      <c r="Q925" s="1">
        <v>2012</v>
      </c>
      <c r="R925" s="1">
        <v>2013</v>
      </c>
      <c r="S925" s="1">
        <v>2014</v>
      </c>
      <c r="T925" s="1">
        <v>2015</v>
      </c>
      <c r="U925" s="1">
        <v>2016</v>
      </c>
      <c r="V925" s="1">
        <v>2017</v>
      </c>
      <c r="W925" s="1">
        <v>2018</v>
      </c>
      <c r="X925" s="1">
        <v>2019</v>
      </c>
      <c r="Y925" s="1">
        <v>2020</v>
      </c>
      <c r="Z925" s="1">
        <v>2021</v>
      </c>
      <c r="AA925" s="1">
        <v>2022</v>
      </c>
      <c r="AB925" s="1">
        <v>2023</v>
      </c>
      <c r="AC925" s="1">
        <v>2024</v>
      </c>
      <c r="AD925" s="1">
        <v>2025</v>
      </c>
      <c r="AE925" s="1">
        <v>2026</v>
      </c>
      <c r="AF925" s="1">
        <v>2027</v>
      </c>
      <c r="AG925" s="1">
        <v>2028</v>
      </c>
      <c r="AH925" s="1">
        <v>2029</v>
      </c>
      <c r="AI925" s="1">
        <v>2030</v>
      </c>
      <c r="AJ925" s="1">
        <v>2031</v>
      </c>
      <c r="AK925" s="1">
        <v>2032</v>
      </c>
      <c r="AL925" s="1">
        <v>2033</v>
      </c>
      <c r="AM925" s="1">
        <v>2034</v>
      </c>
      <c r="AN925" s="1">
        <v>2035</v>
      </c>
      <c r="AO925" s="1">
        <v>2036</v>
      </c>
      <c r="AP925" s="1">
        <v>2037</v>
      </c>
      <c r="AQ925" s="1">
        <v>2038</v>
      </c>
      <c r="AR925" s="1">
        <v>2039</v>
      </c>
      <c r="AS925" s="1">
        <v>2040</v>
      </c>
      <c r="AT925" s="1">
        <v>2041</v>
      </c>
      <c r="AU925" s="1">
        <v>2042</v>
      </c>
      <c r="AV925" s="1">
        <v>2043</v>
      </c>
      <c r="AW925" s="1">
        <v>2044</v>
      </c>
      <c r="AX925" s="1">
        <v>2045</v>
      </c>
      <c r="AY925" s="1">
        <v>2046</v>
      </c>
      <c r="AZ925" s="1">
        <v>2047</v>
      </c>
      <c r="BA925" s="1">
        <v>2048</v>
      </c>
      <c r="BB925" s="1">
        <v>2049</v>
      </c>
      <c r="BC925" s="1">
        <v>2050</v>
      </c>
    </row>
    <row r="926" spans="1:55">
      <c r="A926" s="1" t="str">
        <f>'Population Definitions'!$A$2</f>
        <v>PWID_males</v>
      </c>
      <c r="C926" t="s">
        <v>32</v>
      </c>
      <c r="D926" s="3"/>
      <c r="E926" s="3">
        <v>0</v>
      </c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</row>
    <row r="927" spans="1:55">
      <c r="A927" s="1" t="str">
        <f>'Population Definitions'!$A$3</f>
        <v>PWID_females</v>
      </c>
      <c r="C927" t="s">
        <v>32</v>
      </c>
      <c r="D927" s="3"/>
      <c r="E927" s="3">
        <v>0</v>
      </c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</row>
    <row r="928" spans="1:55">
      <c r="A928" s="1" t="str">
        <f>'Population Definitions'!$A$4</f>
        <v>0-9_males</v>
      </c>
      <c r="C928" t="s">
        <v>32</v>
      </c>
      <c r="D928" s="3"/>
      <c r="E928" s="3">
        <v>0</v>
      </c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</row>
    <row r="929" spans="1:55">
      <c r="A929" s="1" t="str">
        <f>'Population Definitions'!$A$5</f>
        <v>0-9_females</v>
      </c>
      <c r="C929" t="s">
        <v>32</v>
      </c>
      <c r="D929" s="3"/>
      <c r="E929" s="3">
        <v>0</v>
      </c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</row>
    <row r="930" spans="1:55">
      <c r="A930" s="1" t="str">
        <f>'Population Definitions'!$A$6</f>
        <v>10-17_males</v>
      </c>
      <c r="C930" t="s">
        <v>32</v>
      </c>
      <c r="D930" s="3"/>
      <c r="E930" s="3">
        <v>0</v>
      </c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</row>
    <row r="931" spans="1:55">
      <c r="A931" s="1" t="str">
        <f>'Population Definitions'!$A$7</f>
        <v>10-17_females</v>
      </c>
      <c r="C931" t="s">
        <v>32</v>
      </c>
      <c r="D931" s="3"/>
      <c r="E931" s="3">
        <v>0</v>
      </c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</row>
    <row r="932" spans="1:55">
      <c r="A932" s="1" t="str">
        <f>'Population Definitions'!$A$8</f>
        <v>18-64_males</v>
      </c>
      <c r="C932" t="s">
        <v>32</v>
      </c>
      <c r="D932" s="3"/>
      <c r="E932" s="3">
        <v>0</v>
      </c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</row>
    <row r="933" spans="1:55">
      <c r="A933" s="1" t="str">
        <f>'Population Definitions'!$A$9</f>
        <v>18-64_females</v>
      </c>
      <c r="C933" t="s">
        <v>32</v>
      </c>
      <c r="D933" s="3"/>
      <c r="E933" s="3">
        <v>0</v>
      </c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</row>
    <row r="934" spans="1:55">
      <c r="A934" s="1" t="str">
        <f>'Population Definitions'!$A$10</f>
        <v>65+_males</v>
      </c>
      <c r="C934" t="s">
        <v>32</v>
      </c>
      <c r="D934" s="3"/>
      <c r="E934" s="3">
        <v>0</v>
      </c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</row>
    <row r="935" spans="1:55">
      <c r="A935" s="1" t="str">
        <f>'Population Definitions'!$A$11</f>
        <v>65+_females</v>
      </c>
      <c r="C935" t="s">
        <v>32</v>
      </c>
      <c r="D935" s="3"/>
      <c r="E935" s="3">
        <v>0</v>
      </c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</row>
    <row r="936" spans="1:55">
      <c r="A936" s="1" t="str">
        <f>'Population Definitions'!$A$12</f>
        <v>Prisoners_males</v>
      </c>
      <c r="C936" t="s">
        <v>32</v>
      </c>
      <c r="D936" s="3"/>
      <c r="E936" s="3">
        <v>0</v>
      </c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</row>
    <row r="937" spans="1:55">
      <c r="A937" s="1" t="str">
        <f>'Population Definitions'!$A$13</f>
        <v>Prisoners_females</v>
      </c>
      <c r="C937" t="s">
        <v>32</v>
      </c>
      <c r="D937" s="3"/>
      <c r="E937" s="3">
        <v>0</v>
      </c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</row>
    <row r="939" spans="1:55">
      <c r="A939" s="1" t="s">
        <v>193</v>
      </c>
      <c r="B939" s="1" t="s">
        <v>29</v>
      </c>
      <c r="C939" s="1" t="s">
        <v>30</v>
      </c>
      <c r="D939" s="1" t="s">
        <v>31</v>
      </c>
      <c r="E939" s="1">
        <v>2000</v>
      </c>
      <c r="F939" s="1">
        <v>2001</v>
      </c>
      <c r="G939" s="1">
        <v>2002</v>
      </c>
      <c r="H939" s="1">
        <v>2003</v>
      </c>
      <c r="I939" s="1">
        <v>2004</v>
      </c>
      <c r="J939" s="1">
        <v>2005</v>
      </c>
      <c r="K939" s="1">
        <v>2006</v>
      </c>
      <c r="L939" s="1">
        <v>2007</v>
      </c>
      <c r="M939" s="1">
        <v>2008</v>
      </c>
      <c r="N939" s="1">
        <v>2009</v>
      </c>
      <c r="O939" s="1">
        <v>2010</v>
      </c>
      <c r="P939" s="1">
        <v>2011</v>
      </c>
      <c r="Q939" s="1">
        <v>2012</v>
      </c>
      <c r="R939" s="1">
        <v>2013</v>
      </c>
      <c r="S939" s="1">
        <v>2014</v>
      </c>
      <c r="T939" s="1">
        <v>2015</v>
      </c>
      <c r="U939" s="1">
        <v>2016</v>
      </c>
      <c r="V939" s="1">
        <v>2017</v>
      </c>
      <c r="W939" s="1">
        <v>2018</v>
      </c>
      <c r="X939" s="1">
        <v>2019</v>
      </c>
      <c r="Y939" s="1">
        <v>2020</v>
      </c>
      <c r="Z939" s="1">
        <v>2021</v>
      </c>
      <c r="AA939" s="1">
        <v>2022</v>
      </c>
      <c r="AB939" s="1">
        <v>2023</v>
      </c>
      <c r="AC939" s="1">
        <v>2024</v>
      </c>
      <c r="AD939" s="1">
        <v>2025</v>
      </c>
      <c r="AE939" s="1">
        <v>2026</v>
      </c>
      <c r="AF939" s="1">
        <v>2027</v>
      </c>
      <c r="AG939" s="1">
        <v>2028</v>
      </c>
      <c r="AH939" s="1">
        <v>2029</v>
      </c>
      <c r="AI939" s="1">
        <v>2030</v>
      </c>
      <c r="AJ939" s="1">
        <v>2031</v>
      </c>
      <c r="AK939" s="1">
        <v>2032</v>
      </c>
      <c r="AL939" s="1">
        <v>2033</v>
      </c>
      <c r="AM939" s="1">
        <v>2034</v>
      </c>
      <c r="AN939" s="1">
        <v>2035</v>
      </c>
      <c r="AO939" s="1">
        <v>2036</v>
      </c>
      <c r="AP939" s="1">
        <v>2037</v>
      </c>
      <c r="AQ939" s="1">
        <v>2038</v>
      </c>
      <c r="AR939" s="1">
        <v>2039</v>
      </c>
      <c r="AS939" s="1">
        <v>2040</v>
      </c>
      <c r="AT939" s="1">
        <v>2041</v>
      </c>
      <c r="AU939" s="1">
        <v>2042</v>
      </c>
      <c r="AV939" s="1">
        <v>2043</v>
      </c>
      <c r="AW939" s="1">
        <v>2044</v>
      </c>
      <c r="AX939" s="1">
        <v>2045</v>
      </c>
      <c r="AY939" s="1">
        <v>2046</v>
      </c>
      <c r="AZ939" s="1">
        <v>2047</v>
      </c>
      <c r="BA939" s="1">
        <v>2048</v>
      </c>
      <c r="BB939" s="1">
        <v>2049</v>
      </c>
      <c r="BC939" s="1">
        <v>2050</v>
      </c>
    </row>
    <row r="940" spans="1:55">
      <c r="A940" s="1" t="str">
        <f>'Population Definitions'!$A$2</f>
        <v>PWID_males</v>
      </c>
      <c r="C940" t="s">
        <v>32</v>
      </c>
      <c r="D940" s="3"/>
      <c r="E940" s="3">
        <v>0</v>
      </c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</row>
    <row r="941" spans="1:55">
      <c r="A941" s="1" t="str">
        <f>'Population Definitions'!$A$3</f>
        <v>PWID_females</v>
      </c>
      <c r="C941" t="s">
        <v>32</v>
      </c>
      <c r="D941" s="3"/>
      <c r="E941" s="3">
        <v>0</v>
      </c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</row>
    <row r="942" spans="1:55">
      <c r="A942" s="1" t="str">
        <f>'Population Definitions'!$A$4</f>
        <v>0-9_males</v>
      </c>
      <c r="C942" t="s">
        <v>32</v>
      </c>
      <c r="D942" s="3"/>
      <c r="E942" s="3">
        <v>0</v>
      </c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</row>
    <row r="943" spans="1:55">
      <c r="A943" s="1" t="str">
        <f>'Population Definitions'!$A$5</f>
        <v>0-9_females</v>
      </c>
      <c r="C943" t="s">
        <v>32</v>
      </c>
      <c r="D943" s="3"/>
      <c r="E943" s="3">
        <v>0</v>
      </c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</row>
    <row r="944" spans="1:55">
      <c r="A944" s="1" t="str">
        <f>'Population Definitions'!$A$6</f>
        <v>10-17_males</v>
      </c>
      <c r="C944" t="s">
        <v>32</v>
      </c>
      <c r="D944" s="3"/>
      <c r="E944" s="3">
        <v>0</v>
      </c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</row>
    <row r="945" spans="1:55">
      <c r="A945" s="1" t="str">
        <f>'Population Definitions'!$A$7</f>
        <v>10-17_females</v>
      </c>
      <c r="C945" t="s">
        <v>32</v>
      </c>
      <c r="D945" s="3"/>
      <c r="E945" s="3">
        <v>0</v>
      </c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</row>
    <row r="946" spans="1:55">
      <c r="A946" s="1" t="str">
        <f>'Population Definitions'!$A$8</f>
        <v>18-64_males</v>
      </c>
      <c r="C946" t="s">
        <v>32</v>
      </c>
      <c r="D946" s="3"/>
      <c r="E946" s="3">
        <v>0</v>
      </c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</row>
    <row r="947" spans="1:55">
      <c r="A947" s="1" t="str">
        <f>'Population Definitions'!$A$9</f>
        <v>18-64_females</v>
      </c>
      <c r="C947" t="s">
        <v>32</v>
      </c>
      <c r="D947" s="3"/>
      <c r="E947" s="3">
        <v>0</v>
      </c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</row>
    <row r="948" spans="1:55">
      <c r="A948" s="1" t="str">
        <f>'Population Definitions'!$A$10</f>
        <v>65+_males</v>
      </c>
      <c r="C948" t="s">
        <v>32</v>
      </c>
      <c r="D948" s="3"/>
      <c r="E948" s="3">
        <v>0</v>
      </c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</row>
    <row r="949" spans="1:55">
      <c r="A949" s="1" t="str">
        <f>'Population Definitions'!$A$11</f>
        <v>65+_females</v>
      </c>
      <c r="C949" t="s">
        <v>32</v>
      </c>
      <c r="D949" s="3"/>
      <c r="E949" s="3">
        <v>0</v>
      </c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</row>
    <row r="950" spans="1:55">
      <c r="A950" s="1" t="str">
        <f>'Population Definitions'!$A$12</f>
        <v>Prisoners_males</v>
      </c>
      <c r="C950" t="s">
        <v>32</v>
      </c>
      <c r="D950" s="3"/>
      <c r="E950" s="3">
        <v>0</v>
      </c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</row>
    <row r="951" spans="1:55">
      <c r="A951" s="1" t="str">
        <f>'Population Definitions'!$A$13</f>
        <v>Prisoners_females</v>
      </c>
      <c r="C951" t="s">
        <v>32</v>
      </c>
      <c r="D951" s="3"/>
      <c r="E951" s="3">
        <v>0</v>
      </c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</row>
    <row r="953" spans="1:55">
      <c r="A953" s="1" t="s">
        <v>194</v>
      </c>
      <c r="B953" s="1" t="s">
        <v>29</v>
      </c>
      <c r="C953" s="1" t="s">
        <v>30</v>
      </c>
      <c r="D953" s="1" t="s">
        <v>31</v>
      </c>
      <c r="E953" s="1">
        <v>2000</v>
      </c>
      <c r="F953" s="1">
        <v>2001</v>
      </c>
      <c r="G953" s="1">
        <v>2002</v>
      </c>
      <c r="H953" s="1">
        <v>2003</v>
      </c>
      <c r="I953" s="1">
        <v>2004</v>
      </c>
      <c r="J953" s="1">
        <v>2005</v>
      </c>
      <c r="K953" s="1">
        <v>2006</v>
      </c>
      <c r="L953" s="1">
        <v>2007</v>
      </c>
      <c r="M953" s="1">
        <v>2008</v>
      </c>
      <c r="N953" s="1">
        <v>2009</v>
      </c>
      <c r="O953" s="1">
        <v>2010</v>
      </c>
      <c r="P953" s="1">
        <v>2011</v>
      </c>
      <c r="Q953" s="1">
        <v>2012</v>
      </c>
      <c r="R953" s="1">
        <v>2013</v>
      </c>
      <c r="S953" s="1">
        <v>2014</v>
      </c>
      <c r="T953" s="1">
        <v>2015</v>
      </c>
      <c r="U953" s="1">
        <v>2016</v>
      </c>
      <c r="V953" s="1">
        <v>2017</v>
      </c>
      <c r="W953" s="1">
        <v>2018</v>
      </c>
      <c r="X953" s="1">
        <v>2019</v>
      </c>
      <c r="Y953" s="1">
        <v>2020</v>
      </c>
      <c r="Z953" s="1">
        <v>2021</v>
      </c>
      <c r="AA953" s="1">
        <v>2022</v>
      </c>
      <c r="AB953" s="1">
        <v>2023</v>
      </c>
      <c r="AC953" s="1">
        <v>2024</v>
      </c>
      <c r="AD953" s="1">
        <v>2025</v>
      </c>
      <c r="AE953" s="1">
        <v>2026</v>
      </c>
      <c r="AF953" s="1">
        <v>2027</v>
      </c>
      <c r="AG953" s="1">
        <v>2028</v>
      </c>
      <c r="AH953" s="1">
        <v>2029</v>
      </c>
      <c r="AI953" s="1">
        <v>2030</v>
      </c>
      <c r="AJ953" s="1">
        <v>2031</v>
      </c>
      <c r="AK953" s="1">
        <v>2032</v>
      </c>
      <c r="AL953" s="1">
        <v>2033</v>
      </c>
      <c r="AM953" s="1">
        <v>2034</v>
      </c>
      <c r="AN953" s="1">
        <v>2035</v>
      </c>
      <c r="AO953" s="1">
        <v>2036</v>
      </c>
      <c r="AP953" s="1">
        <v>2037</v>
      </c>
      <c r="AQ953" s="1">
        <v>2038</v>
      </c>
      <c r="AR953" s="1">
        <v>2039</v>
      </c>
      <c r="AS953" s="1">
        <v>2040</v>
      </c>
      <c r="AT953" s="1">
        <v>2041</v>
      </c>
      <c r="AU953" s="1">
        <v>2042</v>
      </c>
      <c r="AV953" s="1">
        <v>2043</v>
      </c>
      <c r="AW953" s="1">
        <v>2044</v>
      </c>
      <c r="AX953" s="1">
        <v>2045</v>
      </c>
      <c r="AY953" s="1">
        <v>2046</v>
      </c>
      <c r="AZ953" s="1">
        <v>2047</v>
      </c>
      <c r="BA953" s="1">
        <v>2048</v>
      </c>
      <c r="BB953" s="1">
        <v>2049</v>
      </c>
      <c r="BC953" s="1">
        <v>2050</v>
      </c>
    </row>
    <row r="954" spans="1:55">
      <c r="A954" s="1" t="str">
        <f>'Population Definitions'!$A$2</f>
        <v>PWID_males</v>
      </c>
      <c r="C954" t="s">
        <v>32</v>
      </c>
      <c r="D954" s="3"/>
      <c r="E954" s="3">
        <v>0</v>
      </c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</row>
    <row r="955" spans="1:55">
      <c r="A955" s="1" t="str">
        <f>'Population Definitions'!$A$3</f>
        <v>PWID_females</v>
      </c>
      <c r="C955" t="s">
        <v>32</v>
      </c>
      <c r="D955" s="3"/>
      <c r="E955" s="3">
        <v>0</v>
      </c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</row>
    <row r="956" spans="1:55">
      <c r="A956" s="1" t="str">
        <f>'Population Definitions'!$A$4</f>
        <v>0-9_males</v>
      </c>
      <c r="C956" t="s">
        <v>32</v>
      </c>
      <c r="D956" s="3"/>
      <c r="E956" s="3">
        <v>0</v>
      </c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</row>
    <row r="957" spans="1:55">
      <c r="A957" s="1" t="str">
        <f>'Population Definitions'!$A$5</f>
        <v>0-9_females</v>
      </c>
      <c r="C957" t="s">
        <v>32</v>
      </c>
      <c r="D957" s="3"/>
      <c r="E957" s="3">
        <v>0</v>
      </c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</row>
    <row r="958" spans="1:55">
      <c r="A958" s="1" t="str">
        <f>'Population Definitions'!$A$6</f>
        <v>10-17_males</v>
      </c>
      <c r="C958" t="s">
        <v>32</v>
      </c>
      <c r="D958" s="3"/>
      <c r="E958" s="3">
        <v>0</v>
      </c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</row>
    <row r="959" spans="1:55">
      <c r="A959" s="1" t="str">
        <f>'Population Definitions'!$A$7</f>
        <v>10-17_females</v>
      </c>
      <c r="C959" t="s">
        <v>32</v>
      </c>
      <c r="D959" s="3"/>
      <c r="E959" s="3">
        <v>0</v>
      </c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</row>
    <row r="960" spans="1:55">
      <c r="A960" s="1" t="str">
        <f>'Population Definitions'!$A$8</f>
        <v>18-64_males</v>
      </c>
      <c r="C960" t="s">
        <v>32</v>
      </c>
      <c r="D960" s="3"/>
      <c r="E960" s="3">
        <v>0</v>
      </c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</row>
    <row r="961" spans="1:55">
      <c r="A961" s="1" t="str">
        <f>'Population Definitions'!$A$9</f>
        <v>18-64_females</v>
      </c>
      <c r="C961" t="s">
        <v>32</v>
      </c>
      <c r="D961" s="3"/>
      <c r="E961" s="3">
        <v>0</v>
      </c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</row>
    <row r="962" spans="1:55">
      <c r="A962" s="1" t="str">
        <f>'Population Definitions'!$A$10</f>
        <v>65+_males</v>
      </c>
      <c r="C962" t="s">
        <v>32</v>
      </c>
      <c r="D962" s="3"/>
      <c r="E962" s="3">
        <v>0</v>
      </c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</row>
    <row r="963" spans="1:55">
      <c r="A963" s="1" t="str">
        <f>'Population Definitions'!$A$11</f>
        <v>65+_females</v>
      </c>
      <c r="C963" t="s">
        <v>32</v>
      </c>
      <c r="D963" s="3"/>
      <c r="E963" s="3">
        <v>0</v>
      </c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</row>
    <row r="964" spans="1:55">
      <c r="A964" s="1" t="str">
        <f>'Population Definitions'!$A$12</f>
        <v>Prisoners_males</v>
      </c>
      <c r="C964" t="s">
        <v>32</v>
      </c>
      <c r="D964" s="3"/>
      <c r="E964" s="3">
        <v>0</v>
      </c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</row>
    <row r="965" spans="1:55">
      <c r="A965" s="1" t="str">
        <f>'Population Definitions'!$A$13</f>
        <v>Prisoners_females</v>
      </c>
      <c r="C965" t="s">
        <v>32</v>
      </c>
      <c r="D965" s="3"/>
      <c r="E965" s="3">
        <v>0</v>
      </c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</row>
    <row r="967" spans="1:55">
      <c r="A967" s="1" t="s">
        <v>195</v>
      </c>
      <c r="B967" s="1" t="s">
        <v>29</v>
      </c>
      <c r="C967" s="1" t="s">
        <v>30</v>
      </c>
      <c r="D967" s="1" t="s">
        <v>31</v>
      </c>
      <c r="E967" s="1">
        <v>2000</v>
      </c>
      <c r="F967" s="1">
        <v>2001</v>
      </c>
      <c r="G967" s="1">
        <v>2002</v>
      </c>
      <c r="H967" s="1">
        <v>2003</v>
      </c>
      <c r="I967" s="1">
        <v>2004</v>
      </c>
      <c r="J967" s="1">
        <v>2005</v>
      </c>
      <c r="K967" s="1">
        <v>2006</v>
      </c>
      <c r="L967" s="1">
        <v>2007</v>
      </c>
      <c r="M967" s="1">
        <v>2008</v>
      </c>
      <c r="N967" s="1">
        <v>2009</v>
      </c>
      <c r="O967" s="1">
        <v>2010</v>
      </c>
      <c r="P967" s="1">
        <v>2011</v>
      </c>
      <c r="Q967" s="1">
        <v>2012</v>
      </c>
      <c r="R967" s="1">
        <v>2013</v>
      </c>
      <c r="S967" s="1">
        <v>2014</v>
      </c>
      <c r="T967" s="1">
        <v>2015</v>
      </c>
      <c r="U967" s="1">
        <v>2016</v>
      </c>
      <c r="V967" s="1">
        <v>2017</v>
      </c>
      <c r="W967" s="1">
        <v>2018</v>
      </c>
      <c r="X967" s="1">
        <v>2019</v>
      </c>
      <c r="Y967" s="1">
        <v>2020</v>
      </c>
      <c r="Z967" s="1">
        <v>2021</v>
      </c>
      <c r="AA967" s="1">
        <v>2022</v>
      </c>
      <c r="AB967" s="1">
        <v>2023</v>
      </c>
      <c r="AC967" s="1">
        <v>2024</v>
      </c>
      <c r="AD967" s="1">
        <v>2025</v>
      </c>
      <c r="AE967" s="1">
        <v>2026</v>
      </c>
      <c r="AF967" s="1">
        <v>2027</v>
      </c>
      <c r="AG967" s="1">
        <v>2028</v>
      </c>
      <c r="AH967" s="1">
        <v>2029</v>
      </c>
      <c r="AI967" s="1">
        <v>2030</v>
      </c>
      <c r="AJ967" s="1">
        <v>2031</v>
      </c>
      <c r="AK967" s="1">
        <v>2032</v>
      </c>
      <c r="AL967" s="1">
        <v>2033</v>
      </c>
      <c r="AM967" s="1">
        <v>2034</v>
      </c>
      <c r="AN967" s="1">
        <v>2035</v>
      </c>
      <c r="AO967" s="1">
        <v>2036</v>
      </c>
      <c r="AP967" s="1">
        <v>2037</v>
      </c>
      <c r="AQ967" s="1">
        <v>2038</v>
      </c>
      <c r="AR967" s="1">
        <v>2039</v>
      </c>
      <c r="AS967" s="1">
        <v>2040</v>
      </c>
      <c r="AT967" s="1">
        <v>2041</v>
      </c>
      <c r="AU967" s="1">
        <v>2042</v>
      </c>
      <c r="AV967" s="1">
        <v>2043</v>
      </c>
      <c r="AW967" s="1">
        <v>2044</v>
      </c>
      <c r="AX967" s="1">
        <v>2045</v>
      </c>
      <c r="AY967" s="1">
        <v>2046</v>
      </c>
      <c r="AZ967" s="1">
        <v>2047</v>
      </c>
      <c r="BA967" s="1">
        <v>2048</v>
      </c>
      <c r="BB967" s="1">
        <v>2049</v>
      </c>
      <c r="BC967" s="1">
        <v>2050</v>
      </c>
    </row>
    <row r="968" spans="1:55">
      <c r="A968" s="1" t="str">
        <f>'Population Definitions'!$A$2</f>
        <v>PWID_males</v>
      </c>
      <c r="C968" t="s">
        <v>32</v>
      </c>
      <c r="D968" s="3"/>
      <c r="E968" s="3">
        <v>0</v>
      </c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</row>
    <row r="969" spans="1:55">
      <c r="A969" s="1" t="str">
        <f>'Population Definitions'!$A$3</f>
        <v>PWID_females</v>
      </c>
      <c r="C969" t="s">
        <v>32</v>
      </c>
      <c r="D969" s="3"/>
      <c r="E969" s="3">
        <v>0</v>
      </c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</row>
    <row r="970" spans="1:55">
      <c r="A970" s="1" t="str">
        <f>'Population Definitions'!$A$4</f>
        <v>0-9_males</v>
      </c>
      <c r="C970" t="s">
        <v>32</v>
      </c>
      <c r="D970" s="3"/>
      <c r="E970" s="3">
        <v>0</v>
      </c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</row>
    <row r="971" spans="1:55">
      <c r="A971" s="1" t="str">
        <f>'Population Definitions'!$A$5</f>
        <v>0-9_females</v>
      </c>
      <c r="C971" t="s">
        <v>32</v>
      </c>
      <c r="D971" s="3"/>
      <c r="E971" s="3">
        <v>0</v>
      </c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</row>
    <row r="972" spans="1:55">
      <c r="A972" s="1" t="str">
        <f>'Population Definitions'!$A$6</f>
        <v>10-17_males</v>
      </c>
      <c r="C972" t="s">
        <v>32</v>
      </c>
      <c r="D972" s="3"/>
      <c r="E972" s="3">
        <v>0</v>
      </c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</row>
    <row r="973" spans="1:55">
      <c r="A973" s="1" t="str">
        <f>'Population Definitions'!$A$7</f>
        <v>10-17_females</v>
      </c>
      <c r="C973" t="s">
        <v>32</v>
      </c>
      <c r="D973" s="3"/>
      <c r="E973" s="3">
        <v>0</v>
      </c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</row>
    <row r="974" spans="1:55">
      <c r="A974" s="1" t="str">
        <f>'Population Definitions'!$A$8</f>
        <v>18-64_males</v>
      </c>
      <c r="C974" t="s">
        <v>32</v>
      </c>
      <c r="D974" s="3"/>
      <c r="E974" s="3">
        <v>0</v>
      </c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</row>
    <row r="975" spans="1:55">
      <c r="A975" s="1" t="str">
        <f>'Population Definitions'!$A$9</f>
        <v>18-64_females</v>
      </c>
      <c r="C975" t="s">
        <v>32</v>
      </c>
      <c r="D975" s="3"/>
      <c r="E975" s="3">
        <v>0</v>
      </c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</row>
    <row r="976" spans="1:55">
      <c r="A976" s="1" t="str">
        <f>'Population Definitions'!$A$10</f>
        <v>65+_males</v>
      </c>
      <c r="C976" t="s">
        <v>32</v>
      </c>
      <c r="D976" s="3"/>
      <c r="E976" s="3">
        <v>0</v>
      </c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</row>
    <row r="977" spans="1:55">
      <c r="A977" s="1" t="str">
        <f>'Population Definitions'!$A$11</f>
        <v>65+_females</v>
      </c>
      <c r="C977" t="s">
        <v>32</v>
      </c>
      <c r="D977" s="3"/>
      <c r="E977" s="3">
        <v>0</v>
      </c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</row>
    <row r="978" spans="1:55">
      <c r="A978" s="1" t="str">
        <f>'Population Definitions'!$A$12</f>
        <v>Prisoners_males</v>
      </c>
      <c r="C978" t="s">
        <v>32</v>
      </c>
      <c r="D978" s="3"/>
      <c r="E978" s="3">
        <v>0</v>
      </c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</row>
    <row r="979" spans="1:55">
      <c r="A979" s="1" t="str">
        <f>'Population Definitions'!$A$13</f>
        <v>Prisoners_females</v>
      </c>
      <c r="C979" t="s">
        <v>32</v>
      </c>
      <c r="D979" s="3"/>
      <c r="E979" s="3">
        <v>0</v>
      </c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</row>
    <row r="981" spans="1:55">
      <c r="A981" s="1" t="s">
        <v>196</v>
      </c>
      <c r="B981" s="1" t="s">
        <v>29</v>
      </c>
      <c r="C981" s="1" t="s">
        <v>30</v>
      </c>
      <c r="D981" s="1" t="s">
        <v>31</v>
      </c>
      <c r="E981" s="1">
        <v>2000</v>
      </c>
      <c r="F981" s="1">
        <v>2001</v>
      </c>
      <c r="G981" s="1">
        <v>2002</v>
      </c>
      <c r="H981" s="1">
        <v>2003</v>
      </c>
      <c r="I981" s="1">
        <v>2004</v>
      </c>
      <c r="J981" s="1">
        <v>2005</v>
      </c>
      <c r="K981" s="1">
        <v>2006</v>
      </c>
      <c r="L981" s="1">
        <v>2007</v>
      </c>
      <c r="M981" s="1">
        <v>2008</v>
      </c>
      <c r="N981" s="1">
        <v>2009</v>
      </c>
      <c r="O981" s="1">
        <v>2010</v>
      </c>
      <c r="P981" s="1">
        <v>2011</v>
      </c>
      <c r="Q981" s="1">
        <v>2012</v>
      </c>
      <c r="R981" s="1">
        <v>2013</v>
      </c>
      <c r="S981" s="1">
        <v>2014</v>
      </c>
      <c r="T981" s="1">
        <v>2015</v>
      </c>
      <c r="U981" s="1">
        <v>2016</v>
      </c>
      <c r="V981" s="1">
        <v>2017</v>
      </c>
      <c r="W981" s="1">
        <v>2018</v>
      </c>
      <c r="X981" s="1">
        <v>2019</v>
      </c>
      <c r="Y981" s="1">
        <v>2020</v>
      </c>
      <c r="Z981" s="1">
        <v>2021</v>
      </c>
      <c r="AA981" s="1">
        <v>2022</v>
      </c>
      <c r="AB981" s="1">
        <v>2023</v>
      </c>
      <c r="AC981" s="1">
        <v>2024</v>
      </c>
      <c r="AD981" s="1">
        <v>2025</v>
      </c>
      <c r="AE981" s="1">
        <v>2026</v>
      </c>
      <c r="AF981" s="1">
        <v>2027</v>
      </c>
      <c r="AG981" s="1">
        <v>2028</v>
      </c>
      <c r="AH981" s="1">
        <v>2029</v>
      </c>
      <c r="AI981" s="1">
        <v>2030</v>
      </c>
      <c r="AJ981" s="1">
        <v>2031</v>
      </c>
      <c r="AK981" s="1">
        <v>2032</v>
      </c>
      <c r="AL981" s="1">
        <v>2033</v>
      </c>
      <c r="AM981" s="1">
        <v>2034</v>
      </c>
      <c r="AN981" s="1">
        <v>2035</v>
      </c>
      <c r="AO981" s="1">
        <v>2036</v>
      </c>
      <c r="AP981" s="1">
        <v>2037</v>
      </c>
      <c r="AQ981" s="1">
        <v>2038</v>
      </c>
      <c r="AR981" s="1">
        <v>2039</v>
      </c>
      <c r="AS981" s="1">
        <v>2040</v>
      </c>
      <c r="AT981" s="1">
        <v>2041</v>
      </c>
      <c r="AU981" s="1">
        <v>2042</v>
      </c>
      <c r="AV981" s="1">
        <v>2043</v>
      </c>
      <c r="AW981" s="1">
        <v>2044</v>
      </c>
      <c r="AX981" s="1">
        <v>2045</v>
      </c>
      <c r="AY981" s="1">
        <v>2046</v>
      </c>
      <c r="AZ981" s="1">
        <v>2047</v>
      </c>
      <c r="BA981" s="1">
        <v>2048</v>
      </c>
      <c r="BB981" s="1">
        <v>2049</v>
      </c>
      <c r="BC981" s="1">
        <v>2050</v>
      </c>
    </row>
    <row r="982" spans="1:55">
      <c r="A982" s="1" t="str">
        <f>'Population Definitions'!$A$2</f>
        <v>PWID_males</v>
      </c>
      <c r="C982" t="s">
        <v>32</v>
      </c>
      <c r="D982" s="3"/>
      <c r="E982" s="3">
        <v>0</v>
      </c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</row>
    <row r="983" spans="1:55">
      <c r="A983" s="1" t="str">
        <f>'Population Definitions'!$A$3</f>
        <v>PWID_females</v>
      </c>
      <c r="C983" t="s">
        <v>32</v>
      </c>
      <c r="D983" s="3"/>
      <c r="E983" s="3">
        <v>0</v>
      </c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</row>
    <row r="984" spans="1:55">
      <c r="A984" s="1" t="str">
        <f>'Population Definitions'!$A$4</f>
        <v>0-9_males</v>
      </c>
      <c r="C984" t="s">
        <v>32</v>
      </c>
      <c r="D984" s="3"/>
      <c r="E984" s="3">
        <v>0</v>
      </c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</row>
    <row r="985" spans="1:55">
      <c r="A985" s="1" t="str">
        <f>'Population Definitions'!$A$5</f>
        <v>0-9_females</v>
      </c>
      <c r="C985" t="s">
        <v>32</v>
      </c>
      <c r="D985" s="3"/>
      <c r="E985" s="3">
        <v>0</v>
      </c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</row>
    <row r="986" spans="1:55">
      <c r="A986" s="1" t="str">
        <f>'Population Definitions'!$A$6</f>
        <v>10-17_males</v>
      </c>
      <c r="C986" t="s">
        <v>32</v>
      </c>
      <c r="D986" s="3"/>
      <c r="E986" s="3">
        <v>0</v>
      </c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</row>
    <row r="987" spans="1:55">
      <c r="A987" s="1" t="str">
        <f>'Population Definitions'!$A$7</f>
        <v>10-17_females</v>
      </c>
      <c r="C987" t="s">
        <v>32</v>
      </c>
      <c r="D987" s="3"/>
      <c r="E987" s="3">
        <v>0</v>
      </c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</row>
    <row r="988" spans="1:55">
      <c r="A988" s="1" t="str">
        <f>'Population Definitions'!$A$8</f>
        <v>18-64_males</v>
      </c>
      <c r="C988" t="s">
        <v>32</v>
      </c>
      <c r="D988" s="3"/>
      <c r="E988" s="3">
        <v>0</v>
      </c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</row>
    <row r="989" spans="1:55">
      <c r="A989" s="1" t="str">
        <f>'Population Definitions'!$A$9</f>
        <v>18-64_females</v>
      </c>
      <c r="C989" t="s">
        <v>32</v>
      </c>
      <c r="D989" s="3"/>
      <c r="E989" s="3">
        <v>0</v>
      </c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</row>
    <row r="990" spans="1:55">
      <c r="A990" s="1" t="str">
        <f>'Population Definitions'!$A$10</f>
        <v>65+_males</v>
      </c>
      <c r="C990" t="s">
        <v>32</v>
      </c>
      <c r="D990" s="3"/>
      <c r="E990" s="3">
        <v>0</v>
      </c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</row>
    <row r="991" spans="1:55">
      <c r="A991" s="1" t="str">
        <f>'Population Definitions'!$A$11</f>
        <v>65+_females</v>
      </c>
      <c r="C991" t="s">
        <v>32</v>
      </c>
      <c r="D991" s="3"/>
      <c r="E991" s="3">
        <v>0</v>
      </c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</row>
    <row r="992" spans="1:55">
      <c r="A992" s="1" t="str">
        <f>'Population Definitions'!$A$12</f>
        <v>Prisoners_males</v>
      </c>
      <c r="C992" t="s">
        <v>32</v>
      </c>
      <c r="D992" s="3"/>
      <c r="E992" s="3">
        <v>0</v>
      </c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</row>
    <row r="993" spans="1:55">
      <c r="A993" s="1" t="str">
        <f>'Population Definitions'!$A$13</f>
        <v>Prisoners_females</v>
      </c>
      <c r="C993" t="s">
        <v>32</v>
      </c>
      <c r="D993" s="3"/>
      <c r="E993" s="3">
        <v>0</v>
      </c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</row>
    <row r="995" spans="1:55">
      <c r="A995" s="1" t="s">
        <v>197</v>
      </c>
      <c r="B995" s="1" t="s">
        <v>29</v>
      </c>
      <c r="C995" s="1" t="s">
        <v>30</v>
      </c>
      <c r="D995" s="1" t="s">
        <v>31</v>
      </c>
      <c r="E995" s="1">
        <v>2000</v>
      </c>
      <c r="F995" s="1">
        <v>2001</v>
      </c>
      <c r="G995" s="1">
        <v>2002</v>
      </c>
      <c r="H995" s="1">
        <v>2003</v>
      </c>
      <c r="I995" s="1">
        <v>2004</v>
      </c>
      <c r="J995" s="1">
        <v>2005</v>
      </c>
      <c r="K995" s="1">
        <v>2006</v>
      </c>
      <c r="L995" s="1">
        <v>2007</v>
      </c>
      <c r="M995" s="1">
        <v>2008</v>
      </c>
      <c r="N995" s="1">
        <v>2009</v>
      </c>
      <c r="O995" s="1">
        <v>2010</v>
      </c>
      <c r="P995" s="1">
        <v>2011</v>
      </c>
      <c r="Q995" s="1">
        <v>2012</v>
      </c>
      <c r="R995" s="1">
        <v>2013</v>
      </c>
      <c r="S995" s="1">
        <v>2014</v>
      </c>
      <c r="T995" s="1">
        <v>2015</v>
      </c>
      <c r="U995" s="1">
        <v>2016</v>
      </c>
      <c r="V995" s="1">
        <v>2017</v>
      </c>
      <c r="W995" s="1">
        <v>2018</v>
      </c>
      <c r="X995" s="1">
        <v>2019</v>
      </c>
      <c r="Y995" s="1">
        <v>2020</v>
      </c>
      <c r="Z995" s="1">
        <v>2021</v>
      </c>
      <c r="AA995" s="1">
        <v>2022</v>
      </c>
      <c r="AB995" s="1">
        <v>2023</v>
      </c>
      <c r="AC995" s="1">
        <v>2024</v>
      </c>
      <c r="AD995" s="1">
        <v>2025</v>
      </c>
      <c r="AE995" s="1">
        <v>2026</v>
      </c>
      <c r="AF995" s="1">
        <v>2027</v>
      </c>
      <c r="AG995" s="1">
        <v>2028</v>
      </c>
      <c r="AH995" s="1">
        <v>2029</v>
      </c>
      <c r="AI995" s="1">
        <v>2030</v>
      </c>
      <c r="AJ995" s="1">
        <v>2031</v>
      </c>
      <c r="AK995" s="1">
        <v>2032</v>
      </c>
      <c r="AL995" s="1">
        <v>2033</v>
      </c>
      <c r="AM995" s="1">
        <v>2034</v>
      </c>
      <c r="AN995" s="1">
        <v>2035</v>
      </c>
      <c r="AO995" s="1">
        <v>2036</v>
      </c>
      <c r="AP995" s="1">
        <v>2037</v>
      </c>
      <c r="AQ995" s="1">
        <v>2038</v>
      </c>
      <c r="AR995" s="1">
        <v>2039</v>
      </c>
      <c r="AS995" s="1">
        <v>2040</v>
      </c>
      <c r="AT995" s="1">
        <v>2041</v>
      </c>
      <c r="AU995" s="1">
        <v>2042</v>
      </c>
      <c r="AV995" s="1">
        <v>2043</v>
      </c>
      <c r="AW995" s="1">
        <v>2044</v>
      </c>
      <c r="AX995" s="1">
        <v>2045</v>
      </c>
      <c r="AY995" s="1">
        <v>2046</v>
      </c>
      <c r="AZ995" s="1">
        <v>2047</v>
      </c>
      <c r="BA995" s="1">
        <v>2048</v>
      </c>
      <c r="BB995" s="1">
        <v>2049</v>
      </c>
      <c r="BC995" s="1">
        <v>2050</v>
      </c>
    </row>
    <row r="996" spans="1:55">
      <c r="A996" s="1" t="str">
        <f>'Population Definitions'!$A$2</f>
        <v>PWID_males</v>
      </c>
      <c r="C996" t="s">
        <v>32</v>
      </c>
      <c r="D996" s="3"/>
      <c r="E996" s="3">
        <v>0</v>
      </c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</row>
    <row r="997" spans="1:55">
      <c r="A997" s="1" t="str">
        <f>'Population Definitions'!$A$3</f>
        <v>PWID_females</v>
      </c>
      <c r="C997" t="s">
        <v>32</v>
      </c>
      <c r="D997" s="3"/>
      <c r="E997" s="3">
        <v>0</v>
      </c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</row>
    <row r="998" spans="1:55">
      <c r="A998" s="1" t="str">
        <f>'Population Definitions'!$A$4</f>
        <v>0-9_males</v>
      </c>
      <c r="C998" t="s">
        <v>32</v>
      </c>
      <c r="D998" s="3"/>
      <c r="E998" s="3">
        <v>0</v>
      </c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</row>
    <row r="999" spans="1:55">
      <c r="A999" s="1" t="str">
        <f>'Population Definitions'!$A$5</f>
        <v>0-9_females</v>
      </c>
      <c r="C999" t="s">
        <v>32</v>
      </c>
      <c r="D999" s="3"/>
      <c r="E999" s="3">
        <v>0</v>
      </c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</row>
    <row r="1000" spans="1:55">
      <c r="A1000" s="1" t="str">
        <f>'Population Definitions'!$A$6</f>
        <v>10-17_males</v>
      </c>
      <c r="C1000" t="s">
        <v>32</v>
      </c>
      <c r="D1000" s="3"/>
      <c r="E1000" s="3">
        <v>0</v>
      </c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</row>
    <row r="1001" spans="1:55">
      <c r="A1001" s="1" t="str">
        <f>'Population Definitions'!$A$7</f>
        <v>10-17_females</v>
      </c>
      <c r="C1001" t="s">
        <v>32</v>
      </c>
      <c r="D1001" s="3"/>
      <c r="E1001" s="3">
        <v>0</v>
      </c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</row>
    <row r="1002" spans="1:55">
      <c r="A1002" s="1" t="str">
        <f>'Population Definitions'!$A$8</f>
        <v>18-64_males</v>
      </c>
      <c r="C1002" t="s">
        <v>32</v>
      </c>
      <c r="D1002" s="3"/>
      <c r="E1002" s="3">
        <v>0</v>
      </c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</row>
    <row r="1003" spans="1:55">
      <c r="A1003" s="1" t="str">
        <f>'Population Definitions'!$A$9</f>
        <v>18-64_females</v>
      </c>
      <c r="C1003" t="s">
        <v>32</v>
      </c>
      <c r="D1003" s="3"/>
      <c r="E1003" s="3">
        <v>0</v>
      </c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</row>
    <row r="1004" spans="1:55">
      <c r="A1004" s="1" t="str">
        <f>'Population Definitions'!$A$10</f>
        <v>65+_males</v>
      </c>
      <c r="C1004" t="s">
        <v>32</v>
      </c>
      <c r="D1004" s="3"/>
      <c r="E1004" s="3">
        <v>0</v>
      </c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</row>
    <row r="1005" spans="1:55">
      <c r="A1005" s="1" t="str">
        <f>'Population Definitions'!$A$11</f>
        <v>65+_females</v>
      </c>
      <c r="C1005" t="s">
        <v>32</v>
      </c>
      <c r="D1005" s="3"/>
      <c r="E1005" s="3">
        <v>0</v>
      </c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</row>
    <row r="1006" spans="1:55">
      <c r="A1006" s="1" t="str">
        <f>'Population Definitions'!$A$12</f>
        <v>Prisoners_males</v>
      </c>
      <c r="C1006" t="s">
        <v>32</v>
      </c>
      <c r="D1006" s="3"/>
      <c r="E1006" s="3">
        <v>0</v>
      </c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</row>
    <row r="1007" spans="1:55">
      <c r="A1007" s="1" t="str">
        <f>'Population Definitions'!$A$13</f>
        <v>Prisoners_females</v>
      </c>
      <c r="C1007" t="s">
        <v>32</v>
      </c>
      <c r="D1007" s="3"/>
      <c r="E1007" s="3">
        <v>0</v>
      </c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</row>
    <row r="1009" spans="1:55">
      <c r="A1009" s="1" t="s">
        <v>198</v>
      </c>
      <c r="B1009" s="1" t="s">
        <v>29</v>
      </c>
      <c r="C1009" s="1" t="s">
        <v>30</v>
      </c>
      <c r="D1009" s="1" t="s">
        <v>31</v>
      </c>
      <c r="E1009" s="1">
        <v>2000</v>
      </c>
      <c r="F1009" s="1">
        <v>2001</v>
      </c>
      <c r="G1009" s="1">
        <v>2002</v>
      </c>
      <c r="H1009" s="1">
        <v>2003</v>
      </c>
      <c r="I1009" s="1">
        <v>2004</v>
      </c>
      <c r="J1009" s="1">
        <v>2005</v>
      </c>
      <c r="K1009" s="1">
        <v>2006</v>
      </c>
      <c r="L1009" s="1">
        <v>2007</v>
      </c>
      <c r="M1009" s="1">
        <v>2008</v>
      </c>
      <c r="N1009" s="1">
        <v>2009</v>
      </c>
      <c r="O1009" s="1">
        <v>2010</v>
      </c>
      <c r="P1009" s="1">
        <v>2011</v>
      </c>
      <c r="Q1009" s="1">
        <v>2012</v>
      </c>
      <c r="R1009" s="1">
        <v>2013</v>
      </c>
      <c r="S1009" s="1">
        <v>2014</v>
      </c>
      <c r="T1009" s="1">
        <v>2015</v>
      </c>
      <c r="U1009" s="1">
        <v>2016</v>
      </c>
      <c r="V1009" s="1">
        <v>2017</v>
      </c>
      <c r="W1009" s="1">
        <v>2018</v>
      </c>
      <c r="X1009" s="1">
        <v>2019</v>
      </c>
      <c r="Y1009" s="1">
        <v>2020</v>
      </c>
      <c r="Z1009" s="1">
        <v>2021</v>
      </c>
      <c r="AA1009" s="1">
        <v>2022</v>
      </c>
      <c r="AB1009" s="1">
        <v>2023</v>
      </c>
      <c r="AC1009" s="1">
        <v>2024</v>
      </c>
      <c r="AD1009" s="1">
        <v>2025</v>
      </c>
      <c r="AE1009" s="1">
        <v>2026</v>
      </c>
      <c r="AF1009" s="1">
        <v>2027</v>
      </c>
      <c r="AG1009" s="1">
        <v>2028</v>
      </c>
      <c r="AH1009" s="1">
        <v>2029</v>
      </c>
      <c r="AI1009" s="1">
        <v>2030</v>
      </c>
      <c r="AJ1009" s="1">
        <v>2031</v>
      </c>
      <c r="AK1009" s="1">
        <v>2032</v>
      </c>
      <c r="AL1009" s="1">
        <v>2033</v>
      </c>
      <c r="AM1009" s="1">
        <v>2034</v>
      </c>
      <c r="AN1009" s="1">
        <v>2035</v>
      </c>
      <c r="AO1009" s="1">
        <v>2036</v>
      </c>
      <c r="AP1009" s="1">
        <v>2037</v>
      </c>
      <c r="AQ1009" s="1">
        <v>2038</v>
      </c>
      <c r="AR1009" s="1">
        <v>2039</v>
      </c>
      <c r="AS1009" s="1">
        <v>2040</v>
      </c>
      <c r="AT1009" s="1">
        <v>2041</v>
      </c>
      <c r="AU1009" s="1">
        <v>2042</v>
      </c>
      <c r="AV1009" s="1">
        <v>2043</v>
      </c>
      <c r="AW1009" s="1">
        <v>2044</v>
      </c>
      <c r="AX1009" s="1">
        <v>2045</v>
      </c>
      <c r="AY1009" s="1">
        <v>2046</v>
      </c>
      <c r="AZ1009" s="1">
        <v>2047</v>
      </c>
      <c r="BA1009" s="1">
        <v>2048</v>
      </c>
      <c r="BB1009" s="1">
        <v>2049</v>
      </c>
      <c r="BC1009" s="1">
        <v>2050</v>
      </c>
    </row>
    <row r="1010" spans="1:55">
      <c r="A1010" s="1" t="str">
        <f>'Population Definitions'!$A$2</f>
        <v>PWID_males</v>
      </c>
      <c r="C1010" t="s">
        <v>32</v>
      </c>
      <c r="D1010" s="3"/>
      <c r="E1010" s="3">
        <v>0</v>
      </c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</row>
    <row r="1011" spans="1:55">
      <c r="A1011" s="1" t="str">
        <f>'Population Definitions'!$A$3</f>
        <v>PWID_females</v>
      </c>
      <c r="C1011" t="s">
        <v>32</v>
      </c>
      <c r="D1011" s="3"/>
      <c r="E1011" s="3">
        <v>0</v>
      </c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</row>
    <row r="1012" spans="1:55">
      <c r="A1012" s="1" t="str">
        <f>'Population Definitions'!$A$4</f>
        <v>0-9_males</v>
      </c>
      <c r="C1012" t="s">
        <v>32</v>
      </c>
      <c r="D1012" s="3"/>
      <c r="E1012" s="3">
        <v>0</v>
      </c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</row>
    <row r="1013" spans="1:55">
      <c r="A1013" s="1" t="str">
        <f>'Population Definitions'!$A$5</f>
        <v>0-9_females</v>
      </c>
      <c r="C1013" t="s">
        <v>32</v>
      </c>
      <c r="D1013" s="3"/>
      <c r="E1013" s="3">
        <v>0</v>
      </c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</row>
    <row r="1014" spans="1:55">
      <c r="A1014" s="1" t="str">
        <f>'Population Definitions'!$A$6</f>
        <v>10-17_males</v>
      </c>
      <c r="C1014" t="s">
        <v>32</v>
      </c>
      <c r="D1014" s="3"/>
      <c r="E1014" s="3">
        <v>0</v>
      </c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</row>
    <row r="1015" spans="1:55">
      <c r="A1015" s="1" t="str">
        <f>'Population Definitions'!$A$7</f>
        <v>10-17_females</v>
      </c>
      <c r="C1015" t="s">
        <v>32</v>
      </c>
      <c r="D1015" s="3"/>
      <c r="E1015" s="3">
        <v>0</v>
      </c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</row>
    <row r="1016" spans="1:55">
      <c r="A1016" s="1" t="str">
        <f>'Population Definitions'!$A$8</f>
        <v>18-64_males</v>
      </c>
      <c r="C1016" t="s">
        <v>32</v>
      </c>
      <c r="D1016" s="3"/>
      <c r="E1016" s="3">
        <v>0</v>
      </c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</row>
    <row r="1017" spans="1:55">
      <c r="A1017" s="1" t="str">
        <f>'Population Definitions'!$A$9</f>
        <v>18-64_females</v>
      </c>
      <c r="C1017" t="s">
        <v>32</v>
      </c>
      <c r="D1017" s="3"/>
      <c r="E1017" s="3">
        <v>0</v>
      </c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</row>
    <row r="1018" spans="1:55">
      <c r="A1018" s="1" t="str">
        <f>'Population Definitions'!$A$10</f>
        <v>65+_males</v>
      </c>
      <c r="C1018" t="s">
        <v>32</v>
      </c>
      <c r="D1018" s="3"/>
      <c r="E1018" s="3">
        <v>0</v>
      </c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</row>
    <row r="1019" spans="1:55">
      <c r="A1019" s="1" t="str">
        <f>'Population Definitions'!$A$11</f>
        <v>65+_females</v>
      </c>
      <c r="C1019" t="s">
        <v>32</v>
      </c>
      <c r="D1019" s="3"/>
      <c r="E1019" s="3">
        <v>0</v>
      </c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</row>
    <row r="1020" spans="1:55">
      <c r="A1020" s="1" t="str">
        <f>'Population Definitions'!$A$12</f>
        <v>Prisoners_males</v>
      </c>
      <c r="C1020" t="s">
        <v>32</v>
      </c>
      <c r="D1020" s="3"/>
      <c r="E1020" s="3">
        <v>0</v>
      </c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</row>
    <row r="1021" spans="1:55">
      <c r="A1021" s="1" t="str">
        <f>'Population Definitions'!$A$13</f>
        <v>Prisoners_females</v>
      </c>
      <c r="C1021" t="s">
        <v>32</v>
      </c>
      <c r="D1021" s="3"/>
      <c r="E1021" s="3">
        <v>0</v>
      </c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</row>
    <row r="1023" spans="1:55">
      <c r="A1023" s="1" t="s">
        <v>199</v>
      </c>
      <c r="B1023" s="1" t="s">
        <v>29</v>
      </c>
      <c r="C1023" s="1" t="s">
        <v>30</v>
      </c>
      <c r="D1023" s="1" t="s">
        <v>31</v>
      </c>
      <c r="E1023" s="1">
        <v>2000</v>
      </c>
      <c r="F1023" s="1">
        <v>2001</v>
      </c>
      <c r="G1023" s="1">
        <v>2002</v>
      </c>
      <c r="H1023" s="1">
        <v>2003</v>
      </c>
      <c r="I1023" s="1">
        <v>2004</v>
      </c>
      <c r="J1023" s="1">
        <v>2005</v>
      </c>
      <c r="K1023" s="1">
        <v>2006</v>
      </c>
      <c r="L1023" s="1">
        <v>2007</v>
      </c>
      <c r="M1023" s="1">
        <v>2008</v>
      </c>
      <c r="N1023" s="1">
        <v>2009</v>
      </c>
      <c r="O1023" s="1">
        <v>2010</v>
      </c>
      <c r="P1023" s="1">
        <v>2011</v>
      </c>
      <c r="Q1023" s="1">
        <v>2012</v>
      </c>
      <c r="R1023" s="1">
        <v>2013</v>
      </c>
      <c r="S1023" s="1">
        <v>2014</v>
      </c>
      <c r="T1023" s="1">
        <v>2015</v>
      </c>
      <c r="U1023" s="1">
        <v>2016</v>
      </c>
      <c r="V1023" s="1">
        <v>2017</v>
      </c>
      <c r="W1023" s="1">
        <v>2018</v>
      </c>
      <c r="X1023" s="1">
        <v>2019</v>
      </c>
      <c r="Y1023" s="1">
        <v>2020</v>
      </c>
      <c r="Z1023" s="1">
        <v>2021</v>
      </c>
      <c r="AA1023" s="1">
        <v>2022</v>
      </c>
      <c r="AB1023" s="1">
        <v>2023</v>
      </c>
      <c r="AC1023" s="1">
        <v>2024</v>
      </c>
      <c r="AD1023" s="1">
        <v>2025</v>
      </c>
      <c r="AE1023" s="1">
        <v>2026</v>
      </c>
      <c r="AF1023" s="1">
        <v>2027</v>
      </c>
      <c r="AG1023" s="1">
        <v>2028</v>
      </c>
      <c r="AH1023" s="1">
        <v>2029</v>
      </c>
      <c r="AI1023" s="1">
        <v>2030</v>
      </c>
      <c r="AJ1023" s="1">
        <v>2031</v>
      </c>
      <c r="AK1023" s="1">
        <v>2032</v>
      </c>
      <c r="AL1023" s="1">
        <v>2033</v>
      </c>
      <c r="AM1023" s="1">
        <v>2034</v>
      </c>
      <c r="AN1023" s="1">
        <v>2035</v>
      </c>
      <c r="AO1023" s="1">
        <v>2036</v>
      </c>
      <c r="AP1023" s="1">
        <v>2037</v>
      </c>
      <c r="AQ1023" s="1">
        <v>2038</v>
      </c>
      <c r="AR1023" s="1">
        <v>2039</v>
      </c>
      <c r="AS1023" s="1">
        <v>2040</v>
      </c>
      <c r="AT1023" s="1">
        <v>2041</v>
      </c>
      <c r="AU1023" s="1">
        <v>2042</v>
      </c>
      <c r="AV1023" s="1">
        <v>2043</v>
      </c>
      <c r="AW1023" s="1">
        <v>2044</v>
      </c>
      <c r="AX1023" s="1">
        <v>2045</v>
      </c>
      <c r="AY1023" s="1">
        <v>2046</v>
      </c>
      <c r="AZ1023" s="1">
        <v>2047</v>
      </c>
      <c r="BA1023" s="1">
        <v>2048</v>
      </c>
      <c r="BB1023" s="1">
        <v>2049</v>
      </c>
      <c r="BC1023" s="1">
        <v>2050</v>
      </c>
    </row>
    <row r="1024" spans="1:55">
      <c r="A1024" s="1" t="str">
        <f>'Population Definitions'!$A$2</f>
        <v>PWID_males</v>
      </c>
      <c r="C1024" t="s">
        <v>32</v>
      </c>
      <c r="D1024" s="3"/>
      <c r="E1024" s="3">
        <v>0</v>
      </c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</row>
    <row r="1025" spans="1:55">
      <c r="A1025" s="1" t="str">
        <f>'Population Definitions'!$A$3</f>
        <v>PWID_females</v>
      </c>
      <c r="C1025" t="s">
        <v>32</v>
      </c>
      <c r="D1025" s="3"/>
      <c r="E1025" s="3">
        <v>0</v>
      </c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</row>
    <row r="1026" spans="1:55">
      <c r="A1026" s="1" t="str">
        <f>'Population Definitions'!$A$4</f>
        <v>0-9_males</v>
      </c>
      <c r="C1026" t="s">
        <v>32</v>
      </c>
      <c r="D1026" s="3"/>
      <c r="E1026" s="3">
        <v>0</v>
      </c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</row>
    <row r="1027" spans="1:55">
      <c r="A1027" s="1" t="str">
        <f>'Population Definitions'!$A$5</f>
        <v>0-9_females</v>
      </c>
      <c r="C1027" t="s">
        <v>32</v>
      </c>
      <c r="D1027" s="3"/>
      <c r="E1027" s="3">
        <v>0</v>
      </c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</row>
    <row r="1028" spans="1:55">
      <c r="A1028" s="1" t="str">
        <f>'Population Definitions'!$A$6</f>
        <v>10-17_males</v>
      </c>
      <c r="C1028" t="s">
        <v>32</v>
      </c>
      <c r="D1028" s="3"/>
      <c r="E1028" s="3">
        <v>0</v>
      </c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</row>
    <row r="1029" spans="1:55">
      <c r="A1029" s="1" t="str">
        <f>'Population Definitions'!$A$7</f>
        <v>10-17_females</v>
      </c>
      <c r="C1029" t="s">
        <v>32</v>
      </c>
      <c r="D1029" s="3"/>
      <c r="E1029" s="3">
        <v>0</v>
      </c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</row>
    <row r="1030" spans="1:55">
      <c r="A1030" s="1" t="str">
        <f>'Population Definitions'!$A$8</f>
        <v>18-64_males</v>
      </c>
      <c r="C1030" t="s">
        <v>32</v>
      </c>
      <c r="D1030" s="3"/>
      <c r="E1030" s="3">
        <v>0</v>
      </c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</row>
    <row r="1031" spans="1:55">
      <c r="A1031" s="1" t="str">
        <f>'Population Definitions'!$A$9</f>
        <v>18-64_females</v>
      </c>
      <c r="C1031" t="s">
        <v>32</v>
      </c>
      <c r="D1031" s="3"/>
      <c r="E1031" s="3">
        <v>0</v>
      </c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</row>
    <row r="1032" spans="1:55">
      <c r="A1032" s="1" t="str">
        <f>'Population Definitions'!$A$10</f>
        <v>65+_males</v>
      </c>
      <c r="C1032" t="s">
        <v>32</v>
      </c>
      <c r="D1032" s="3"/>
      <c r="E1032" s="3">
        <v>0</v>
      </c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</row>
    <row r="1033" spans="1:55">
      <c r="A1033" s="1" t="str">
        <f>'Population Definitions'!$A$11</f>
        <v>65+_females</v>
      </c>
      <c r="C1033" t="s">
        <v>32</v>
      </c>
      <c r="D1033" s="3"/>
      <c r="E1033" s="3">
        <v>0</v>
      </c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</row>
    <row r="1034" spans="1:55">
      <c r="A1034" s="1" t="str">
        <f>'Population Definitions'!$A$12</f>
        <v>Prisoners_males</v>
      </c>
      <c r="C1034" t="s">
        <v>32</v>
      </c>
      <c r="D1034" s="3"/>
      <c r="E1034" s="3">
        <v>0</v>
      </c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</row>
    <row r="1035" spans="1:55">
      <c r="A1035" s="1" t="str">
        <f>'Population Definitions'!$A$13</f>
        <v>Prisoners_females</v>
      </c>
      <c r="C1035" t="s">
        <v>32</v>
      </c>
      <c r="D1035" s="3"/>
      <c r="E1035" s="3">
        <v>0</v>
      </c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</row>
    <row r="1037" spans="1:55">
      <c r="A1037" s="1" t="s">
        <v>200</v>
      </c>
      <c r="B1037" s="1" t="s">
        <v>29</v>
      </c>
      <c r="C1037" s="1" t="s">
        <v>30</v>
      </c>
      <c r="D1037" s="1" t="s">
        <v>31</v>
      </c>
      <c r="E1037" s="1">
        <v>2000</v>
      </c>
      <c r="F1037" s="1">
        <v>2001</v>
      </c>
      <c r="G1037" s="1">
        <v>2002</v>
      </c>
      <c r="H1037" s="1">
        <v>2003</v>
      </c>
      <c r="I1037" s="1">
        <v>2004</v>
      </c>
      <c r="J1037" s="1">
        <v>2005</v>
      </c>
      <c r="K1037" s="1">
        <v>2006</v>
      </c>
      <c r="L1037" s="1">
        <v>2007</v>
      </c>
      <c r="M1037" s="1">
        <v>2008</v>
      </c>
      <c r="N1037" s="1">
        <v>2009</v>
      </c>
      <c r="O1037" s="1">
        <v>2010</v>
      </c>
      <c r="P1037" s="1">
        <v>2011</v>
      </c>
      <c r="Q1037" s="1">
        <v>2012</v>
      </c>
      <c r="R1037" s="1">
        <v>2013</v>
      </c>
      <c r="S1037" s="1">
        <v>2014</v>
      </c>
      <c r="T1037" s="1">
        <v>2015</v>
      </c>
      <c r="U1037" s="1">
        <v>2016</v>
      </c>
      <c r="V1037" s="1">
        <v>2017</v>
      </c>
      <c r="W1037" s="1">
        <v>2018</v>
      </c>
      <c r="X1037" s="1">
        <v>2019</v>
      </c>
      <c r="Y1037" s="1">
        <v>2020</v>
      </c>
      <c r="Z1037" s="1">
        <v>2021</v>
      </c>
      <c r="AA1037" s="1">
        <v>2022</v>
      </c>
      <c r="AB1037" s="1">
        <v>2023</v>
      </c>
      <c r="AC1037" s="1">
        <v>2024</v>
      </c>
      <c r="AD1037" s="1">
        <v>2025</v>
      </c>
      <c r="AE1037" s="1">
        <v>2026</v>
      </c>
      <c r="AF1037" s="1">
        <v>2027</v>
      </c>
      <c r="AG1037" s="1">
        <v>2028</v>
      </c>
      <c r="AH1037" s="1">
        <v>2029</v>
      </c>
      <c r="AI1037" s="1">
        <v>2030</v>
      </c>
      <c r="AJ1037" s="1">
        <v>2031</v>
      </c>
      <c r="AK1037" s="1">
        <v>2032</v>
      </c>
      <c r="AL1037" s="1">
        <v>2033</v>
      </c>
      <c r="AM1037" s="1">
        <v>2034</v>
      </c>
      <c r="AN1037" s="1">
        <v>2035</v>
      </c>
      <c r="AO1037" s="1">
        <v>2036</v>
      </c>
      <c r="AP1037" s="1">
        <v>2037</v>
      </c>
      <c r="AQ1037" s="1">
        <v>2038</v>
      </c>
      <c r="AR1037" s="1">
        <v>2039</v>
      </c>
      <c r="AS1037" s="1">
        <v>2040</v>
      </c>
      <c r="AT1037" s="1">
        <v>2041</v>
      </c>
      <c r="AU1037" s="1">
        <v>2042</v>
      </c>
      <c r="AV1037" s="1">
        <v>2043</v>
      </c>
      <c r="AW1037" s="1">
        <v>2044</v>
      </c>
      <c r="AX1037" s="1">
        <v>2045</v>
      </c>
      <c r="AY1037" s="1">
        <v>2046</v>
      </c>
      <c r="AZ1037" s="1">
        <v>2047</v>
      </c>
      <c r="BA1037" s="1">
        <v>2048</v>
      </c>
      <c r="BB1037" s="1">
        <v>2049</v>
      </c>
      <c r="BC1037" s="1">
        <v>2050</v>
      </c>
    </row>
    <row r="1038" spans="1:55">
      <c r="A1038" s="1" t="str">
        <f>'Population Definitions'!$A$2</f>
        <v>PWID_males</v>
      </c>
      <c r="C1038" t="s">
        <v>32</v>
      </c>
      <c r="D1038" s="3"/>
      <c r="E1038" s="3">
        <v>0</v>
      </c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</row>
    <row r="1039" spans="1:55">
      <c r="A1039" s="1" t="str">
        <f>'Population Definitions'!$A$3</f>
        <v>PWID_females</v>
      </c>
      <c r="C1039" t="s">
        <v>32</v>
      </c>
      <c r="D1039" s="3"/>
      <c r="E1039" s="3">
        <v>0</v>
      </c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</row>
    <row r="1040" spans="1:55">
      <c r="A1040" s="1" t="str">
        <f>'Population Definitions'!$A$4</f>
        <v>0-9_males</v>
      </c>
      <c r="C1040" t="s">
        <v>32</v>
      </c>
      <c r="D1040" s="3"/>
      <c r="E1040" s="3">
        <v>0</v>
      </c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</row>
    <row r="1041" spans="1:55">
      <c r="A1041" s="1" t="str">
        <f>'Population Definitions'!$A$5</f>
        <v>0-9_females</v>
      </c>
      <c r="C1041" t="s">
        <v>32</v>
      </c>
      <c r="D1041" s="3"/>
      <c r="E1041" s="3">
        <v>0</v>
      </c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</row>
    <row r="1042" spans="1:55">
      <c r="A1042" s="1" t="str">
        <f>'Population Definitions'!$A$6</f>
        <v>10-17_males</v>
      </c>
      <c r="C1042" t="s">
        <v>32</v>
      </c>
      <c r="D1042" s="3"/>
      <c r="E1042" s="3">
        <v>0</v>
      </c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</row>
    <row r="1043" spans="1:55">
      <c r="A1043" s="1" t="str">
        <f>'Population Definitions'!$A$7</f>
        <v>10-17_females</v>
      </c>
      <c r="C1043" t="s">
        <v>32</v>
      </c>
      <c r="D1043" s="3"/>
      <c r="E1043" s="3">
        <v>0</v>
      </c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</row>
    <row r="1044" spans="1:55">
      <c r="A1044" s="1" t="str">
        <f>'Population Definitions'!$A$8</f>
        <v>18-64_males</v>
      </c>
      <c r="C1044" t="s">
        <v>32</v>
      </c>
      <c r="D1044" s="3"/>
      <c r="E1044" s="3">
        <v>0</v>
      </c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</row>
    <row r="1045" spans="1:55">
      <c r="A1045" s="1" t="str">
        <f>'Population Definitions'!$A$9</f>
        <v>18-64_females</v>
      </c>
      <c r="C1045" t="s">
        <v>32</v>
      </c>
      <c r="D1045" s="3"/>
      <c r="E1045" s="3">
        <v>0</v>
      </c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</row>
    <row r="1046" spans="1:55">
      <c r="A1046" s="1" t="str">
        <f>'Population Definitions'!$A$10</f>
        <v>65+_males</v>
      </c>
      <c r="C1046" t="s">
        <v>32</v>
      </c>
      <c r="D1046" s="3"/>
      <c r="E1046" s="3">
        <v>0</v>
      </c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</row>
    <row r="1047" spans="1:55">
      <c r="A1047" s="1" t="str">
        <f>'Population Definitions'!$A$11</f>
        <v>65+_females</v>
      </c>
      <c r="C1047" t="s">
        <v>32</v>
      </c>
      <c r="D1047" s="3"/>
      <c r="E1047" s="3">
        <v>0</v>
      </c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</row>
    <row r="1048" spans="1:55">
      <c r="A1048" s="1" t="str">
        <f>'Population Definitions'!$A$12</f>
        <v>Prisoners_males</v>
      </c>
      <c r="C1048" t="s">
        <v>32</v>
      </c>
      <c r="D1048" s="3"/>
      <c r="E1048" s="3">
        <v>0</v>
      </c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</row>
    <row r="1049" spans="1:55">
      <c r="A1049" s="1" t="str">
        <f>'Population Definitions'!$A$13</f>
        <v>Prisoners_females</v>
      </c>
      <c r="C1049" t="s">
        <v>32</v>
      </c>
      <c r="D1049" s="3"/>
      <c r="E1049" s="3">
        <v>0</v>
      </c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</row>
    <row r="1051" spans="1:55">
      <c r="A1051" s="1" t="s">
        <v>201</v>
      </c>
      <c r="B1051" s="1" t="s">
        <v>29</v>
      </c>
      <c r="C1051" s="1" t="s">
        <v>30</v>
      </c>
      <c r="D1051" s="1" t="s">
        <v>31</v>
      </c>
      <c r="E1051" s="1">
        <v>2000</v>
      </c>
      <c r="F1051" s="1">
        <v>2001</v>
      </c>
      <c r="G1051" s="1">
        <v>2002</v>
      </c>
      <c r="H1051" s="1">
        <v>2003</v>
      </c>
      <c r="I1051" s="1">
        <v>2004</v>
      </c>
      <c r="J1051" s="1">
        <v>2005</v>
      </c>
      <c r="K1051" s="1">
        <v>2006</v>
      </c>
      <c r="L1051" s="1">
        <v>2007</v>
      </c>
      <c r="M1051" s="1">
        <v>2008</v>
      </c>
      <c r="N1051" s="1">
        <v>2009</v>
      </c>
      <c r="O1051" s="1">
        <v>2010</v>
      </c>
      <c r="P1051" s="1">
        <v>2011</v>
      </c>
      <c r="Q1051" s="1">
        <v>2012</v>
      </c>
      <c r="R1051" s="1">
        <v>2013</v>
      </c>
      <c r="S1051" s="1">
        <v>2014</v>
      </c>
      <c r="T1051" s="1">
        <v>2015</v>
      </c>
      <c r="U1051" s="1">
        <v>2016</v>
      </c>
      <c r="V1051" s="1">
        <v>2017</v>
      </c>
      <c r="W1051" s="1">
        <v>2018</v>
      </c>
      <c r="X1051" s="1">
        <v>2019</v>
      </c>
      <c r="Y1051" s="1">
        <v>2020</v>
      </c>
      <c r="Z1051" s="1">
        <v>2021</v>
      </c>
      <c r="AA1051" s="1">
        <v>2022</v>
      </c>
      <c r="AB1051" s="1">
        <v>2023</v>
      </c>
      <c r="AC1051" s="1">
        <v>2024</v>
      </c>
      <c r="AD1051" s="1">
        <v>2025</v>
      </c>
      <c r="AE1051" s="1">
        <v>2026</v>
      </c>
      <c r="AF1051" s="1">
        <v>2027</v>
      </c>
      <c r="AG1051" s="1">
        <v>2028</v>
      </c>
      <c r="AH1051" s="1">
        <v>2029</v>
      </c>
      <c r="AI1051" s="1">
        <v>2030</v>
      </c>
      <c r="AJ1051" s="1">
        <v>2031</v>
      </c>
      <c r="AK1051" s="1">
        <v>2032</v>
      </c>
      <c r="AL1051" s="1">
        <v>2033</v>
      </c>
      <c r="AM1051" s="1">
        <v>2034</v>
      </c>
      <c r="AN1051" s="1">
        <v>2035</v>
      </c>
      <c r="AO1051" s="1">
        <v>2036</v>
      </c>
      <c r="AP1051" s="1">
        <v>2037</v>
      </c>
      <c r="AQ1051" s="1">
        <v>2038</v>
      </c>
      <c r="AR1051" s="1">
        <v>2039</v>
      </c>
      <c r="AS1051" s="1">
        <v>2040</v>
      </c>
      <c r="AT1051" s="1">
        <v>2041</v>
      </c>
      <c r="AU1051" s="1">
        <v>2042</v>
      </c>
      <c r="AV1051" s="1">
        <v>2043</v>
      </c>
      <c r="AW1051" s="1">
        <v>2044</v>
      </c>
      <c r="AX1051" s="1">
        <v>2045</v>
      </c>
      <c r="AY1051" s="1">
        <v>2046</v>
      </c>
      <c r="AZ1051" s="1">
        <v>2047</v>
      </c>
      <c r="BA1051" s="1">
        <v>2048</v>
      </c>
      <c r="BB1051" s="1">
        <v>2049</v>
      </c>
      <c r="BC1051" s="1">
        <v>2050</v>
      </c>
    </row>
    <row r="1052" spans="1:55">
      <c r="A1052" s="1" t="str">
        <f>'Population Definitions'!$A$2</f>
        <v>PWID_males</v>
      </c>
      <c r="C1052" t="s">
        <v>32</v>
      </c>
      <c r="D1052" s="3"/>
      <c r="E1052" s="3">
        <v>0</v>
      </c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</row>
    <row r="1053" spans="1:55">
      <c r="A1053" s="1" t="str">
        <f>'Population Definitions'!$A$3</f>
        <v>PWID_females</v>
      </c>
      <c r="C1053" t="s">
        <v>32</v>
      </c>
      <c r="D1053" s="3"/>
      <c r="E1053" s="3">
        <v>0</v>
      </c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</row>
    <row r="1054" spans="1:55">
      <c r="A1054" s="1" t="str">
        <f>'Population Definitions'!$A$4</f>
        <v>0-9_males</v>
      </c>
      <c r="C1054" t="s">
        <v>32</v>
      </c>
      <c r="D1054" s="3"/>
      <c r="E1054" s="3">
        <v>0</v>
      </c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</row>
    <row r="1055" spans="1:55">
      <c r="A1055" s="1" t="str">
        <f>'Population Definitions'!$A$5</f>
        <v>0-9_females</v>
      </c>
      <c r="C1055" t="s">
        <v>32</v>
      </c>
      <c r="D1055" s="3"/>
      <c r="E1055" s="3">
        <v>0</v>
      </c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</row>
    <row r="1056" spans="1:55">
      <c r="A1056" s="1" t="str">
        <f>'Population Definitions'!$A$6</f>
        <v>10-17_males</v>
      </c>
      <c r="C1056" t="s">
        <v>32</v>
      </c>
      <c r="D1056" s="3"/>
      <c r="E1056" s="3">
        <v>0</v>
      </c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</row>
    <row r="1057" spans="1:55">
      <c r="A1057" s="1" t="str">
        <f>'Population Definitions'!$A$7</f>
        <v>10-17_females</v>
      </c>
      <c r="C1057" t="s">
        <v>32</v>
      </c>
      <c r="D1057" s="3"/>
      <c r="E1057" s="3">
        <v>0</v>
      </c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</row>
    <row r="1058" spans="1:55">
      <c r="A1058" s="1" t="str">
        <f>'Population Definitions'!$A$8</f>
        <v>18-64_males</v>
      </c>
      <c r="C1058" t="s">
        <v>32</v>
      </c>
      <c r="D1058" s="3"/>
      <c r="E1058" s="3">
        <v>0</v>
      </c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</row>
    <row r="1059" spans="1:55">
      <c r="A1059" s="1" t="str">
        <f>'Population Definitions'!$A$9</f>
        <v>18-64_females</v>
      </c>
      <c r="C1059" t="s">
        <v>32</v>
      </c>
      <c r="D1059" s="3"/>
      <c r="E1059" s="3">
        <v>0</v>
      </c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</row>
    <row r="1060" spans="1:55">
      <c r="A1060" s="1" t="str">
        <f>'Population Definitions'!$A$10</f>
        <v>65+_males</v>
      </c>
      <c r="C1060" t="s">
        <v>32</v>
      </c>
      <c r="D1060" s="3"/>
      <c r="E1060" s="3">
        <v>0</v>
      </c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</row>
    <row r="1061" spans="1:55">
      <c r="A1061" s="1" t="str">
        <f>'Population Definitions'!$A$11</f>
        <v>65+_females</v>
      </c>
      <c r="C1061" t="s">
        <v>32</v>
      </c>
      <c r="D1061" s="3"/>
      <c r="E1061" s="3">
        <v>0</v>
      </c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</row>
    <row r="1062" spans="1:55">
      <c r="A1062" s="1" t="str">
        <f>'Population Definitions'!$A$12</f>
        <v>Prisoners_males</v>
      </c>
      <c r="C1062" t="s">
        <v>32</v>
      </c>
      <c r="D1062" s="3"/>
      <c r="E1062" s="3">
        <v>0</v>
      </c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</row>
    <row r="1063" spans="1:55">
      <c r="A1063" s="1" t="str">
        <f>'Population Definitions'!$A$13</f>
        <v>Prisoners_females</v>
      </c>
      <c r="C1063" t="s">
        <v>32</v>
      </c>
      <c r="D1063" s="3"/>
      <c r="E1063" s="3">
        <v>0</v>
      </c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</row>
    <row r="1065" spans="1:55">
      <c r="A1065" s="1" t="s">
        <v>202</v>
      </c>
      <c r="B1065" s="1" t="s">
        <v>29</v>
      </c>
      <c r="C1065" s="1" t="s">
        <v>30</v>
      </c>
      <c r="D1065" s="1" t="s">
        <v>31</v>
      </c>
      <c r="E1065" s="1">
        <v>2000</v>
      </c>
      <c r="F1065" s="1">
        <v>2001</v>
      </c>
      <c r="G1065" s="1">
        <v>2002</v>
      </c>
      <c r="H1065" s="1">
        <v>2003</v>
      </c>
      <c r="I1065" s="1">
        <v>2004</v>
      </c>
      <c r="J1065" s="1">
        <v>2005</v>
      </c>
      <c r="K1065" s="1">
        <v>2006</v>
      </c>
      <c r="L1065" s="1">
        <v>2007</v>
      </c>
      <c r="M1065" s="1">
        <v>2008</v>
      </c>
      <c r="N1065" s="1">
        <v>2009</v>
      </c>
      <c r="O1065" s="1">
        <v>2010</v>
      </c>
      <c r="P1065" s="1">
        <v>2011</v>
      </c>
      <c r="Q1065" s="1">
        <v>2012</v>
      </c>
      <c r="R1065" s="1">
        <v>2013</v>
      </c>
      <c r="S1065" s="1">
        <v>2014</v>
      </c>
      <c r="T1065" s="1">
        <v>2015</v>
      </c>
      <c r="U1065" s="1">
        <v>2016</v>
      </c>
      <c r="V1065" s="1">
        <v>2017</v>
      </c>
      <c r="W1065" s="1">
        <v>2018</v>
      </c>
      <c r="X1065" s="1">
        <v>2019</v>
      </c>
      <c r="Y1065" s="1">
        <v>2020</v>
      </c>
      <c r="Z1065" s="1">
        <v>2021</v>
      </c>
      <c r="AA1065" s="1">
        <v>2022</v>
      </c>
      <c r="AB1065" s="1">
        <v>2023</v>
      </c>
      <c r="AC1065" s="1">
        <v>2024</v>
      </c>
      <c r="AD1065" s="1">
        <v>2025</v>
      </c>
      <c r="AE1065" s="1">
        <v>2026</v>
      </c>
      <c r="AF1065" s="1">
        <v>2027</v>
      </c>
      <c r="AG1065" s="1">
        <v>2028</v>
      </c>
      <c r="AH1065" s="1">
        <v>2029</v>
      </c>
      <c r="AI1065" s="1">
        <v>2030</v>
      </c>
      <c r="AJ1065" s="1">
        <v>2031</v>
      </c>
      <c r="AK1065" s="1">
        <v>2032</v>
      </c>
      <c r="AL1065" s="1">
        <v>2033</v>
      </c>
      <c r="AM1065" s="1">
        <v>2034</v>
      </c>
      <c r="AN1065" s="1">
        <v>2035</v>
      </c>
      <c r="AO1065" s="1">
        <v>2036</v>
      </c>
      <c r="AP1065" s="1">
        <v>2037</v>
      </c>
      <c r="AQ1065" s="1">
        <v>2038</v>
      </c>
      <c r="AR1065" s="1">
        <v>2039</v>
      </c>
      <c r="AS1065" s="1">
        <v>2040</v>
      </c>
      <c r="AT1065" s="1">
        <v>2041</v>
      </c>
      <c r="AU1065" s="1">
        <v>2042</v>
      </c>
      <c r="AV1065" s="1">
        <v>2043</v>
      </c>
      <c r="AW1065" s="1">
        <v>2044</v>
      </c>
      <c r="AX1065" s="1">
        <v>2045</v>
      </c>
      <c r="AY1065" s="1">
        <v>2046</v>
      </c>
      <c r="AZ1065" s="1">
        <v>2047</v>
      </c>
      <c r="BA1065" s="1">
        <v>2048</v>
      </c>
      <c r="BB1065" s="1">
        <v>2049</v>
      </c>
      <c r="BC1065" s="1">
        <v>2050</v>
      </c>
    </row>
    <row r="1066" spans="1:55">
      <c r="A1066" s="1" t="str">
        <f>'Population Definitions'!$A$2</f>
        <v>PWID_males</v>
      </c>
      <c r="C1066" t="s">
        <v>32</v>
      </c>
      <c r="D1066" s="3"/>
      <c r="E1066" s="3">
        <v>0</v>
      </c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</row>
    <row r="1067" spans="1:55">
      <c r="A1067" s="1" t="str">
        <f>'Population Definitions'!$A$3</f>
        <v>PWID_females</v>
      </c>
      <c r="C1067" t="s">
        <v>32</v>
      </c>
      <c r="D1067" s="3"/>
      <c r="E1067" s="3">
        <v>0</v>
      </c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</row>
    <row r="1068" spans="1:55">
      <c r="A1068" s="1" t="str">
        <f>'Population Definitions'!$A$4</f>
        <v>0-9_males</v>
      </c>
      <c r="C1068" t="s">
        <v>32</v>
      </c>
      <c r="D1068" s="3"/>
      <c r="E1068" s="3">
        <v>0</v>
      </c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</row>
    <row r="1069" spans="1:55">
      <c r="A1069" s="1" t="str">
        <f>'Population Definitions'!$A$5</f>
        <v>0-9_females</v>
      </c>
      <c r="C1069" t="s">
        <v>32</v>
      </c>
      <c r="D1069" s="3"/>
      <c r="E1069" s="3">
        <v>0</v>
      </c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</row>
    <row r="1070" spans="1:55">
      <c r="A1070" s="1" t="str">
        <f>'Population Definitions'!$A$6</f>
        <v>10-17_males</v>
      </c>
      <c r="C1070" t="s">
        <v>32</v>
      </c>
      <c r="D1070" s="3"/>
      <c r="E1070" s="3">
        <v>0</v>
      </c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</row>
    <row r="1071" spans="1:55">
      <c r="A1071" s="1" t="str">
        <f>'Population Definitions'!$A$7</f>
        <v>10-17_females</v>
      </c>
      <c r="C1071" t="s">
        <v>32</v>
      </c>
      <c r="D1071" s="3"/>
      <c r="E1071" s="3">
        <v>0</v>
      </c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</row>
    <row r="1072" spans="1:55">
      <c r="A1072" s="1" t="str">
        <f>'Population Definitions'!$A$8</f>
        <v>18-64_males</v>
      </c>
      <c r="C1072" t="s">
        <v>32</v>
      </c>
      <c r="D1072" s="3"/>
      <c r="E1072" s="3">
        <v>0</v>
      </c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</row>
    <row r="1073" spans="1:55">
      <c r="A1073" s="1" t="str">
        <f>'Population Definitions'!$A$9</f>
        <v>18-64_females</v>
      </c>
      <c r="C1073" t="s">
        <v>32</v>
      </c>
      <c r="D1073" s="3"/>
      <c r="E1073" s="3">
        <v>0</v>
      </c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</row>
    <row r="1074" spans="1:55">
      <c r="A1074" s="1" t="str">
        <f>'Population Definitions'!$A$10</f>
        <v>65+_males</v>
      </c>
      <c r="C1074" t="s">
        <v>32</v>
      </c>
      <c r="D1074" s="3"/>
      <c r="E1074" s="3">
        <v>0</v>
      </c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</row>
    <row r="1075" spans="1:55">
      <c r="A1075" s="1" t="str">
        <f>'Population Definitions'!$A$11</f>
        <v>65+_females</v>
      </c>
      <c r="C1075" t="s">
        <v>32</v>
      </c>
      <c r="D1075" s="3"/>
      <c r="E1075" s="3">
        <v>0</v>
      </c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</row>
    <row r="1076" spans="1:55">
      <c r="A1076" s="1" t="str">
        <f>'Population Definitions'!$A$12</f>
        <v>Prisoners_males</v>
      </c>
      <c r="C1076" t="s">
        <v>32</v>
      </c>
      <c r="D1076" s="3"/>
      <c r="E1076" s="3">
        <v>0</v>
      </c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</row>
    <row r="1077" spans="1:55">
      <c r="A1077" s="1" t="str">
        <f>'Population Definitions'!$A$13</f>
        <v>Prisoners_females</v>
      </c>
      <c r="C1077" t="s">
        <v>32</v>
      </c>
      <c r="D1077" s="3"/>
      <c r="E1077" s="3">
        <v>0</v>
      </c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</row>
    <row r="1079" spans="1:55">
      <c r="A1079" s="1" t="s">
        <v>203</v>
      </c>
      <c r="B1079" s="1" t="s">
        <v>29</v>
      </c>
      <c r="C1079" s="1" t="s">
        <v>30</v>
      </c>
      <c r="D1079" s="1" t="s">
        <v>31</v>
      </c>
      <c r="E1079" s="1">
        <v>2000</v>
      </c>
      <c r="F1079" s="1">
        <v>2001</v>
      </c>
      <c r="G1079" s="1">
        <v>2002</v>
      </c>
      <c r="H1079" s="1">
        <v>2003</v>
      </c>
      <c r="I1079" s="1">
        <v>2004</v>
      </c>
      <c r="J1079" s="1">
        <v>2005</v>
      </c>
      <c r="K1079" s="1">
        <v>2006</v>
      </c>
      <c r="L1079" s="1">
        <v>2007</v>
      </c>
      <c r="M1079" s="1">
        <v>2008</v>
      </c>
      <c r="N1079" s="1">
        <v>2009</v>
      </c>
      <c r="O1079" s="1">
        <v>2010</v>
      </c>
      <c r="P1079" s="1">
        <v>2011</v>
      </c>
      <c r="Q1079" s="1">
        <v>2012</v>
      </c>
      <c r="R1079" s="1">
        <v>2013</v>
      </c>
      <c r="S1079" s="1">
        <v>2014</v>
      </c>
      <c r="T1079" s="1">
        <v>2015</v>
      </c>
      <c r="U1079" s="1">
        <v>2016</v>
      </c>
      <c r="V1079" s="1">
        <v>2017</v>
      </c>
      <c r="W1079" s="1">
        <v>2018</v>
      </c>
      <c r="X1079" s="1">
        <v>2019</v>
      </c>
      <c r="Y1079" s="1">
        <v>2020</v>
      </c>
      <c r="Z1079" s="1">
        <v>2021</v>
      </c>
      <c r="AA1079" s="1">
        <v>2022</v>
      </c>
      <c r="AB1079" s="1">
        <v>2023</v>
      </c>
      <c r="AC1079" s="1">
        <v>2024</v>
      </c>
      <c r="AD1079" s="1">
        <v>2025</v>
      </c>
      <c r="AE1079" s="1">
        <v>2026</v>
      </c>
      <c r="AF1079" s="1">
        <v>2027</v>
      </c>
      <c r="AG1079" s="1">
        <v>2028</v>
      </c>
      <c r="AH1079" s="1">
        <v>2029</v>
      </c>
      <c r="AI1079" s="1">
        <v>2030</v>
      </c>
      <c r="AJ1079" s="1">
        <v>2031</v>
      </c>
      <c r="AK1079" s="1">
        <v>2032</v>
      </c>
      <c r="AL1079" s="1">
        <v>2033</v>
      </c>
      <c r="AM1079" s="1">
        <v>2034</v>
      </c>
      <c r="AN1079" s="1">
        <v>2035</v>
      </c>
      <c r="AO1079" s="1">
        <v>2036</v>
      </c>
      <c r="AP1079" s="1">
        <v>2037</v>
      </c>
      <c r="AQ1079" s="1">
        <v>2038</v>
      </c>
      <c r="AR1079" s="1">
        <v>2039</v>
      </c>
      <c r="AS1079" s="1">
        <v>2040</v>
      </c>
      <c r="AT1079" s="1">
        <v>2041</v>
      </c>
      <c r="AU1079" s="1">
        <v>2042</v>
      </c>
      <c r="AV1079" s="1">
        <v>2043</v>
      </c>
      <c r="AW1079" s="1">
        <v>2044</v>
      </c>
      <c r="AX1079" s="1">
        <v>2045</v>
      </c>
      <c r="AY1079" s="1">
        <v>2046</v>
      </c>
      <c r="AZ1079" s="1">
        <v>2047</v>
      </c>
      <c r="BA1079" s="1">
        <v>2048</v>
      </c>
      <c r="BB1079" s="1">
        <v>2049</v>
      </c>
      <c r="BC1079" s="1">
        <v>2050</v>
      </c>
    </row>
    <row r="1080" spans="1:55">
      <c r="A1080" s="1" t="str">
        <f>'Population Definitions'!$A$2</f>
        <v>PWID_males</v>
      </c>
      <c r="C1080" t="s">
        <v>32</v>
      </c>
      <c r="D1080" s="3"/>
      <c r="E1080" s="3">
        <v>0</v>
      </c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</row>
    <row r="1081" spans="1:55">
      <c r="A1081" s="1" t="str">
        <f>'Population Definitions'!$A$3</f>
        <v>PWID_females</v>
      </c>
      <c r="C1081" t="s">
        <v>32</v>
      </c>
      <c r="D1081" s="3"/>
      <c r="E1081" s="3">
        <v>0</v>
      </c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</row>
    <row r="1082" spans="1:55">
      <c r="A1082" s="1" t="str">
        <f>'Population Definitions'!$A$4</f>
        <v>0-9_males</v>
      </c>
      <c r="C1082" t="s">
        <v>32</v>
      </c>
      <c r="D1082" s="3"/>
      <c r="E1082" s="3">
        <v>0</v>
      </c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</row>
    <row r="1083" spans="1:55">
      <c r="A1083" s="1" t="str">
        <f>'Population Definitions'!$A$5</f>
        <v>0-9_females</v>
      </c>
      <c r="C1083" t="s">
        <v>32</v>
      </c>
      <c r="D1083" s="3"/>
      <c r="E1083" s="3">
        <v>0</v>
      </c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</row>
    <row r="1084" spans="1:55">
      <c r="A1084" s="1" t="str">
        <f>'Population Definitions'!$A$6</f>
        <v>10-17_males</v>
      </c>
      <c r="C1084" t="s">
        <v>32</v>
      </c>
      <c r="D1084" s="3"/>
      <c r="E1084" s="3">
        <v>0</v>
      </c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</row>
    <row r="1085" spans="1:55">
      <c r="A1085" s="1" t="str">
        <f>'Population Definitions'!$A$7</f>
        <v>10-17_females</v>
      </c>
      <c r="C1085" t="s">
        <v>32</v>
      </c>
      <c r="D1085" s="3"/>
      <c r="E1085" s="3">
        <v>0</v>
      </c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</row>
    <row r="1086" spans="1:55">
      <c r="A1086" s="1" t="str">
        <f>'Population Definitions'!$A$8</f>
        <v>18-64_males</v>
      </c>
      <c r="C1086" t="s">
        <v>32</v>
      </c>
      <c r="D1086" s="3"/>
      <c r="E1086" s="3">
        <v>0</v>
      </c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</row>
    <row r="1087" spans="1:55">
      <c r="A1087" s="1" t="str">
        <f>'Population Definitions'!$A$9</f>
        <v>18-64_females</v>
      </c>
      <c r="C1087" t="s">
        <v>32</v>
      </c>
      <c r="D1087" s="3"/>
      <c r="E1087" s="3">
        <v>0</v>
      </c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</row>
    <row r="1088" spans="1:55">
      <c r="A1088" s="1" t="str">
        <f>'Population Definitions'!$A$10</f>
        <v>65+_males</v>
      </c>
      <c r="C1088" t="s">
        <v>32</v>
      </c>
      <c r="D1088" s="3"/>
      <c r="E1088" s="3">
        <v>0</v>
      </c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</row>
    <row r="1089" spans="1:55">
      <c r="A1089" s="1" t="str">
        <f>'Population Definitions'!$A$11</f>
        <v>65+_females</v>
      </c>
      <c r="C1089" t="s">
        <v>32</v>
      </c>
      <c r="D1089" s="3"/>
      <c r="E1089" s="3">
        <v>0</v>
      </c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</row>
    <row r="1090" spans="1:55">
      <c r="A1090" s="1" t="str">
        <f>'Population Definitions'!$A$12</f>
        <v>Prisoners_males</v>
      </c>
      <c r="C1090" t="s">
        <v>32</v>
      </c>
      <c r="D1090" s="3"/>
      <c r="E1090" s="3">
        <v>0</v>
      </c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</row>
    <row r="1091" spans="1:55">
      <c r="A1091" s="1" t="str">
        <f>'Population Definitions'!$A$13</f>
        <v>Prisoners_females</v>
      </c>
      <c r="C1091" t="s">
        <v>32</v>
      </c>
      <c r="D1091" s="3"/>
      <c r="E1091" s="3">
        <v>0</v>
      </c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</row>
    <row r="1093" spans="1:55">
      <c r="A1093" s="1" t="s">
        <v>204</v>
      </c>
      <c r="B1093" s="1" t="s">
        <v>29</v>
      </c>
      <c r="C1093" s="1" t="s">
        <v>30</v>
      </c>
      <c r="D1093" s="1" t="s">
        <v>31</v>
      </c>
      <c r="E1093" s="1">
        <v>2000</v>
      </c>
      <c r="F1093" s="1">
        <v>2001</v>
      </c>
      <c r="G1093" s="1">
        <v>2002</v>
      </c>
      <c r="H1093" s="1">
        <v>2003</v>
      </c>
      <c r="I1093" s="1">
        <v>2004</v>
      </c>
      <c r="J1093" s="1">
        <v>2005</v>
      </c>
      <c r="K1093" s="1">
        <v>2006</v>
      </c>
      <c r="L1093" s="1">
        <v>2007</v>
      </c>
      <c r="M1093" s="1">
        <v>2008</v>
      </c>
      <c r="N1093" s="1">
        <v>2009</v>
      </c>
      <c r="O1093" s="1">
        <v>2010</v>
      </c>
      <c r="P1093" s="1">
        <v>2011</v>
      </c>
      <c r="Q1093" s="1">
        <v>2012</v>
      </c>
      <c r="R1093" s="1">
        <v>2013</v>
      </c>
      <c r="S1093" s="1">
        <v>2014</v>
      </c>
      <c r="T1093" s="1">
        <v>2015</v>
      </c>
      <c r="U1093" s="1">
        <v>2016</v>
      </c>
      <c r="V1093" s="1">
        <v>2017</v>
      </c>
      <c r="W1093" s="1">
        <v>2018</v>
      </c>
      <c r="X1093" s="1">
        <v>2019</v>
      </c>
      <c r="Y1093" s="1">
        <v>2020</v>
      </c>
      <c r="Z1093" s="1">
        <v>2021</v>
      </c>
      <c r="AA1093" s="1">
        <v>2022</v>
      </c>
      <c r="AB1093" s="1">
        <v>2023</v>
      </c>
      <c r="AC1093" s="1">
        <v>2024</v>
      </c>
      <c r="AD1093" s="1">
        <v>2025</v>
      </c>
      <c r="AE1093" s="1">
        <v>2026</v>
      </c>
      <c r="AF1093" s="1">
        <v>2027</v>
      </c>
      <c r="AG1093" s="1">
        <v>2028</v>
      </c>
      <c r="AH1093" s="1">
        <v>2029</v>
      </c>
      <c r="AI1093" s="1">
        <v>2030</v>
      </c>
      <c r="AJ1093" s="1">
        <v>2031</v>
      </c>
      <c r="AK1093" s="1">
        <v>2032</v>
      </c>
      <c r="AL1093" s="1">
        <v>2033</v>
      </c>
      <c r="AM1093" s="1">
        <v>2034</v>
      </c>
      <c r="AN1093" s="1">
        <v>2035</v>
      </c>
      <c r="AO1093" s="1">
        <v>2036</v>
      </c>
      <c r="AP1093" s="1">
        <v>2037</v>
      </c>
      <c r="AQ1093" s="1">
        <v>2038</v>
      </c>
      <c r="AR1093" s="1">
        <v>2039</v>
      </c>
      <c r="AS1093" s="1">
        <v>2040</v>
      </c>
      <c r="AT1093" s="1">
        <v>2041</v>
      </c>
      <c r="AU1093" s="1">
        <v>2042</v>
      </c>
      <c r="AV1093" s="1">
        <v>2043</v>
      </c>
      <c r="AW1093" s="1">
        <v>2044</v>
      </c>
      <c r="AX1093" s="1">
        <v>2045</v>
      </c>
      <c r="AY1093" s="1">
        <v>2046</v>
      </c>
      <c r="AZ1093" s="1">
        <v>2047</v>
      </c>
      <c r="BA1093" s="1">
        <v>2048</v>
      </c>
      <c r="BB1093" s="1">
        <v>2049</v>
      </c>
      <c r="BC1093" s="1">
        <v>2050</v>
      </c>
    </row>
    <row r="1094" spans="1:55">
      <c r="A1094" s="1" t="str">
        <f>'Population Definitions'!$A$2</f>
        <v>PWID_males</v>
      </c>
      <c r="C1094" t="s">
        <v>32</v>
      </c>
      <c r="D1094" s="3"/>
      <c r="E1094" s="3">
        <v>0</v>
      </c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</row>
    <row r="1095" spans="1:55">
      <c r="A1095" s="1" t="str">
        <f>'Population Definitions'!$A$3</f>
        <v>PWID_females</v>
      </c>
      <c r="C1095" t="s">
        <v>32</v>
      </c>
      <c r="D1095" s="3"/>
      <c r="E1095" s="3">
        <v>0</v>
      </c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</row>
    <row r="1096" spans="1:55">
      <c r="A1096" s="1" t="str">
        <f>'Population Definitions'!$A$4</f>
        <v>0-9_males</v>
      </c>
      <c r="C1096" t="s">
        <v>32</v>
      </c>
      <c r="D1096" s="3"/>
      <c r="E1096" s="3">
        <v>0</v>
      </c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</row>
    <row r="1097" spans="1:55">
      <c r="A1097" s="1" t="str">
        <f>'Population Definitions'!$A$5</f>
        <v>0-9_females</v>
      </c>
      <c r="C1097" t="s">
        <v>32</v>
      </c>
      <c r="D1097" s="3"/>
      <c r="E1097" s="3">
        <v>0</v>
      </c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</row>
    <row r="1098" spans="1:55">
      <c r="A1098" s="1" t="str">
        <f>'Population Definitions'!$A$6</f>
        <v>10-17_males</v>
      </c>
      <c r="C1098" t="s">
        <v>32</v>
      </c>
      <c r="D1098" s="3"/>
      <c r="E1098" s="3">
        <v>0</v>
      </c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</row>
    <row r="1099" spans="1:55">
      <c r="A1099" s="1" t="str">
        <f>'Population Definitions'!$A$7</f>
        <v>10-17_females</v>
      </c>
      <c r="C1099" t="s">
        <v>32</v>
      </c>
      <c r="D1099" s="3"/>
      <c r="E1099" s="3">
        <v>0</v>
      </c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</row>
    <row r="1100" spans="1:55">
      <c r="A1100" s="1" t="str">
        <f>'Population Definitions'!$A$8</f>
        <v>18-64_males</v>
      </c>
      <c r="C1100" t="s">
        <v>32</v>
      </c>
      <c r="D1100" s="3"/>
      <c r="E1100" s="3">
        <v>0</v>
      </c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</row>
    <row r="1101" spans="1:55">
      <c r="A1101" s="1" t="str">
        <f>'Population Definitions'!$A$9</f>
        <v>18-64_females</v>
      </c>
      <c r="C1101" t="s">
        <v>32</v>
      </c>
      <c r="D1101" s="3"/>
      <c r="E1101" s="3">
        <v>0</v>
      </c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</row>
    <row r="1102" spans="1:55">
      <c r="A1102" s="1" t="str">
        <f>'Population Definitions'!$A$10</f>
        <v>65+_males</v>
      </c>
      <c r="C1102" t="s">
        <v>32</v>
      </c>
      <c r="D1102" s="3"/>
      <c r="E1102" s="3">
        <v>0</v>
      </c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</row>
    <row r="1103" spans="1:55">
      <c r="A1103" s="1" t="str">
        <f>'Population Definitions'!$A$11</f>
        <v>65+_females</v>
      </c>
      <c r="C1103" t="s">
        <v>32</v>
      </c>
      <c r="D1103" s="3"/>
      <c r="E1103" s="3">
        <v>0</v>
      </c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</row>
    <row r="1104" spans="1:55">
      <c r="A1104" s="1" t="str">
        <f>'Population Definitions'!$A$12</f>
        <v>Prisoners_males</v>
      </c>
      <c r="C1104" t="s">
        <v>32</v>
      </c>
      <c r="D1104" s="3"/>
      <c r="E1104" s="3">
        <v>0</v>
      </c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</row>
    <row r="1105" spans="1:55">
      <c r="A1105" s="1" t="str">
        <f>'Population Definitions'!$A$13</f>
        <v>Prisoners_females</v>
      </c>
      <c r="C1105" t="s">
        <v>32</v>
      </c>
      <c r="D1105" s="3"/>
      <c r="E1105" s="3">
        <v>0</v>
      </c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</row>
    <row r="1107" spans="1:55">
      <c r="A1107" s="1" t="s">
        <v>205</v>
      </c>
      <c r="B1107" s="1" t="s">
        <v>29</v>
      </c>
      <c r="C1107" s="1" t="s">
        <v>30</v>
      </c>
      <c r="D1107" s="1" t="s">
        <v>31</v>
      </c>
      <c r="E1107" s="1">
        <v>2000</v>
      </c>
      <c r="F1107" s="1">
        <v>2001</v>
      </c>
      <c r="G1107" s="1">
        <v>2002</v>
      </c>
      <c r="H1107" s="1">
        <v>2003</v>
      </c>
      <c r="I1107" s="1">
        <v>2004</v>
      </c>
      <c r="J1107" s="1">
        <v>2005</v>
      </c>
      <c r="K1107" s="1">
        <v>2006</v>
      </c>
      <c r="L1107" s="1">
        <v>2007</v>
      </c>
      <c r="M1107" s="1">
        <v>2008</v>
      </c>
      <c r="N1107" s="1">
        <v>2009</v>
      </c>
      <c r="O1107" s="1">
        <v>2010</v>
      </c>
      <c r="P1107" s="1">
        <v>2011</v>
      </c>
      <c r="Q1107" s="1">
        <v>2012</v>
      </c>
      <c r="R1107" s="1">
        <v>2013</v>
      </c>
      <c r="S1107" s="1">
        <v>2014</v>
      </c>
      <c r="T1107" s="1">
        <v>2015</v>
      </c>
      <c r="U1107" s="1">
        <v>2016</v>
      </c>
      <c r="V1107" s="1">
        <v>2017</v>
      </c>
      <c r="W1107" s="1">
        <v>2018</v>
      </c>
      <c r="X1107" s="1">
        <v>2019</v>
      </c>
      <c r="Y1107" s="1">
        <v>2020</v>
      </c>
      <c r="Z1107" s="1">
        <v>2021</v>
      </c>
      <c r="AA1107" s="1">
        <v>2022</v>
      </c>
      <c r="AB1107" s="1">
        <v>2023</v>
      </c>
      <c r="AC1107" s="1">
        <v>2024</v>
      </c>
      <c r="AD1107" s="1">
        <v>2025</v>
      </c>
      <c r="AE1107" s="1">
        <v>2026</v>
      </c>
      <c r="AF1107" s="1">
        <v>2027</v>
      </c>
      <c r="AG1107" s="1">
        <v>2028</v>
      </c>
      <c r="AH1107" s="1">
        <v>2029</v>
      </c>
      <c r="AI1107" s="1">
        <v>2030</v>
      </c>
      <c r="AJ1107" s="1">
        <v>2031</v>
      </c>
      <c r="AK1107" s="1">
        <v>2032</v>
      </c>
      <c r="AL1107" s="1">
        <v>2033</v>
      </c>
      <c r="AM1107" s="1">
        <v>2034</v>
      </c>
      <c r="AN1107" s="1">
        <v>2035</v>
      </c>
      <c r="AO1107" s="1">
        <v>2036</v>
      </c>
      <c r="AP1107" s="1">
        <v>2037</v>
      </c>
      <c r="AQ1107" s="1">
        <v>2038</v>
      </c>
      <c r="AR1107" s="1">
        <v>2039</v>
      </c>
      <c r="AS1107" s="1">
        <v>2040</v>
      </c>
      <c r="AT1107" s="1">
        <v>2041</v>
      </c>
      <c r="AU1107" s="1">
        <v>2042</v>
      </c>
      <c r="AV1107" s="1">
        <v>2043</v>
      </c>
      <c r="AW1107" s="1">
        <v>2044</v>
      </c>
      <c r="AX1107" s="1">
        <v>2045</v>
      </c>
      <c r="AY1107" s="1">
        <v>2046</v>
      </c>
      <c r="AZ1107" s="1">
        <v>2047</v>
      </c>
      <c r="BA1107" s="1">
        <v>2048</v>
      </c>
      <c r="BB1107" s="1">
        <v>2049</v>
      </c>
      <c r="BC1107" s="1">
        <v>2050</v>
      </c>
    </row>
    <row r="1108" spans="1:55">
      <c r="A1108" s="1" t="str">
        <f>'Population Definitions'!$A$2</f>
        <v>PWID_males</v>
      </c>
      <c r="C1108" t="s">
        <v>32</v>
      </c>
      <c r="D1108" s="3"/>
      <c r="E1108" s="3">
        <v>0</v>
      </c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</row>
    <row r="1109" spans="1:55">
      <c r="A1109" s="1" t="str">
        <f>'Population Definitions'!$A$3</f>
        <v>PWID_females</v>
      </c>
      <c r="C1109" t="s">
        <v>32</v>
      </c>
      <c r="D1109" s="3"/>
      <c r="E1109" s="3">
        <v>0</v>
      </c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</row>
    <row r="1110" spans="1:55">
      <c r="A1110" s="1" t="str">
        <f>'Population Definitions'!$A$4</f>
        <v>0-9_males</v>
      </c>
      <c r="C1110" t="s">
        <v>32</v>
      </c>
      <c r="D1110" s="3"/>
      <c r="E1110" s="3">
        <v>0</v>
      </c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</row>
    <row r="1111" spans="1:55">
      <c r="A1111" s="1" t="str">
        <f>'Population Definitions'!$A$5</f>
        <v>0-9_females</v>
      </c>
      <c r="C1111" t="s">
        <v>32</v>
      </c>
      <c r="D1111" s="3"/>
      <c r="E1111" s="3">
        <v>0</v>
      </c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</row>
    <row r="1112" spans="1:55">
      <c r="A1112" s="1" t="str">
        <f>'Population Definitions'!$A$6</f>
        <v>10-17_males</v>
      </c>
      <c r="C1112" t="s">
        <v>32</v>
      </c>
      <c r="D1112" s="3"/>
      <c r="E1112" s="3">
        <v>0</v>
      </c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</row>
    <row r="1113" spans="1:55">
      <c r="A1113" s="1" t="str">
        <f>'Population Definitions'!$A$7</f>
        <v>10-17_females</v>
      </c>
      <c r="C1113" t="s">
        <v>32</v>
      </c>
      <c r="D1113" s="3"/>
      <c r="E1113" s="3">
        <v>0</v>
      </c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</row>
    <row r="1114" spans="1:55">
      <c r="A1114" s="1" t="str">
        <f>'Population Definitions'!$A$8</f>
        <v>18-64_males</v>
      </c>
      <c r="C1114" t="s">
        <v>32</v>
      </c>
      <c r="D1114" s="3"/>
      <c r="E1114" s="3">
        <v>0</v>
      </c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</row>
    <row r="1115" spans="1:55">
      <c r="A1115" s="1" t="str">
        <f>'Population Definitions'!$A$9</f>
        <v>18-64_females</v>
      </c>
      <c r="C1115" t="s">
        <v>32</v>
      </c>
      <c r="D1115" s="3"/>
      <c r="E1115" s="3">
        <v>0</v>
      </c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</row>
    <row r="1116" spans="1:55">
      <c r="A1116" s="1" t="str">
        <f>'Population Definitions'!$A$10</f>
        <v>65+_males</v>
      </c>
      <c r="C1116" t="s">
        <v>32</v>
      </c>
      <c r="D1116" s="3"/>
      <c r="E1116" s="3">
        <v>0</v>
      </c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</row>
    <row r="1117" spans="1:55">
      <c r="A1117" s="1" t="str">
        <f>'Population Definitions'!$A$11</f>
        <v>65+_females</v>
      </c>
      <c r="C1117" t="s">
        <v>32</v>
      </c>
      <c r="D1117" s="3"/>
      <c r="E1117" s="3">
        <v>0</v>
      </c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</row>
    <row r="1118" spans="1:55">
      <c r="A1118" s="1" t="str">
        <f>'Population Definitions'!$A$12</f>
        <v>Prisoners_males</v>
      </c>
      <c r="C1118" t="s">
        <v>32</v>
      </c>
      <c r="D1118" s="3"/>
      <c r="E1118" s="3">
        <v>0</v>
      </c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</row>
    <row r="1119" spans="1:55">
      <c r="A1119" s="1" t="str">
        <f>'Population Definitions'!$A$13</f>
        <v>Prisoners_females</v>
      </c>
      <c r="C1119" t="s">
        <v>32</v>
      </c>
      <c r="D1119" s="3"/>
      <c r="E1119" s="3">
        <v>0</v>
      </c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</row>
    <row r="1121" spans="1:55">
      <c r="A1121" s="1" t="s">
        <v>206</v>
      </c>
      <c r="B1121" s="1" t="s">
        <v>29</v>
      </c>
      <c r="C1121" s="1" t="s">
        <v>30</v>
      </c>
      <c r="D1121" s="1" t="s">
        <v>31</v>
      </c>
      <c r="E1121" s="1">
        <v>2000</v>
      </c>
      <c r="F1121" s="1">
        <v>2001</v>
      </c>
      <c r="G1121" s="1">
        <v>2002</v>
      </c>
      <c r="H1121" s="1">
        <v>2003</v>
      </c>
      <c r="I1121" s="1">
        <v>2004</v>
      </c>
      <c r="J1121" s="1">
        <v>2005</v>
      </c>
      <c r="K1121" s="1">
        <v>2006</v>
      </c>
      <c r="L1121" s="1">
        <v>2007</v>
      </c>
      <c r="M1121" s="1">
        <v>2008</v>
      </c>
      <c r="N1121" s="1">
        <v>2009</v>
      </c>
      <c r="O1121" s="1">
        <v>2010</v>
      </c>
      <c r="P1121" s="1">
        <v>2011</v>
      </c>
      <c r="Q1121" s="1">
        <v>2012</v>
      </c>
      <c r="R1121" s="1">
        <v>2013</v>
      </c>
      <c r="S1121" s="1">
        <v>2014</v>
      </c>
      <c r="T1121" s="1">
        <v>2015</v>
      </c>
      <c r="U1121" s="1">
        <v>2016</v>
      </c>
      <c r="V1121" s="1">
        <v>2017</v>
      </c>
      <c r="W1121" s="1">
        <v>2018</v>
      </c>
      <c r="X1121" s="1">
        <v>2019</v>
      </c>
      <c r="Y1121" s="1">
        <v>2020</v>
      </c>
      <c r="Z1121" s="1">
        <v>2021</v>
      </c>
      <c r="AA1121" s="1">
        <v>2022</v>
      </c>
      <c r="AB1121" s="1">
        <v>2023</v>
      </c>
      <c r="AC1121" s="1">
        <v>2024</v>
      </c>
      <c r="AD1121" s="1">
        <v>2025</v>
      </c>
      <c r="AE1121" s="1">
        <v>2026</v>
      </c>
      <c r="AF1121" s="1">
        <v>2027</v>
      </c>
      <c r="AG1121" s="1">
        <v>2028</v>
      </c>
      <c r="AH1121" s="1">
        <v>2029</v>
      </c>
      <c r="AI1121" s="1">
        <v>2030</v>
      </c>
      <c r="AJ1121" s="1">
        <v>2031</v>
      </c>
      <c r="AK1121" s="1">
        <v>2032</v>
      </c>
      <c r="AL1121" s="1">
        <v>2033</v>
      </c>
      <c r="AM1121" s="1">
        <v>2034</v>
      </c>
      <c r="AN1121" s="1">
        <v>2035</v>
      </c>
      <c r="AO1121" s="1">
        <v>2036</v>
      </c>
      <c r="AP1121" s="1">
        <v>2037</v>
      </c>
      <c r="AQ1121" s="1">
        <v>2038</v>
      </c>
      <c r="AR1121" s="1">
        <v>2039</v>
      </c>
      <c r="AS1121" s="1">
        <v>2040</v>
      </c>
      <c r="AT1121" s="1">
        <v>2041</v>
      </c>
      <c r="AU1121" s="1">
        <v>2042</v>
      </c>
      <c r="AV1121" s="1">
        <v>2043</v>
      </c>
      <c r="AW1121" s="1">
        <v>2044</v>
      </c>
      <c r="AX1121" s="1">
        <v>2045</v>
      </c>
      <c r="AY1121" s="1">
        <v>2046</v>
      </c>
      <c r="AZ1121" s="1">
        <v>2047</v>
      </c>
      <c r="BA1121" s="1">
        <v>2048</v>
      </c>
      <c r="BB1121" s="1">
        <v>2049</v>
      </c>
      <c r="BC1121" s="1">
        <v>2050</v>
      </c>
    </row>
    <row r="1122" spans="1:55">
      <c r="A1122" s="1" t="str">
        <f>'Population Definitions'!$A$2</f>
        <v>PWID_males</v>
      </c>
      <c r="C1122" t="s">
        <v>32</v>
      </c>
      <c r="D1122" s="3"/>
      <c r="E1122" s="3">
        <v>0</v>
      </c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</row>
    <row r="1123" spans="1:55">
      <c r="A1123" s="1" t="str">
        <f>'Population Definitions'!$A$3</f>
        <v>PWID_females</v>
      </c>
      <c r="C1123" t="s">
        <v>32</v>
      </c>
      <c r="D1123" s="3"/>
      <c r="E1123" s="3">
        <v>0</v>
      </c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</row>
    <row r="1124" spans="1:55">
      <c r="A1124" s="1" t="str">
        <f>'Population Definitions'!$A$4</f>
        <v>0-9_males</v>
      </c>
      <c r="C1124" t="s">
        <v>32</v>
      </c>
      <c r="D1124" s="3"/>
      <c r="E1124" s="3">
        <v>0</v>
      </c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</row>
    <row r="1125" spans="1:55">
      <c r="A1125" s="1" t="str">
        <f>'Population Definitions'!$A$5</f>
        <v>0-9_females</v>
      </c>
      <c r="C1125" t="s">
        <v>32</v>
      </c>
      <c r="D1125" s="3"/>
      <c r="E1125" s="3">
        <v>0</v>
      </c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</row>
    <row r="1126" spans="1:55">
      <c r="A1126" s="1" t="str">
        <f>'Population Definitions'!$A$6</f>
        <v>10-17_males</v>
      </c>
      <c r="C1126" t="s">
        <v>32</v>
      </c>
      <c r="D1126" s="3"/>
      <c r="E1126" s="3">
        <v>0</v>
      </c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</row>
    <row r="1127" spans="1:55">
      <c r="A1127" s="1" t="str">
        <f>'Population Definitions'!$A$7</f>
        <v>10-17_females</v>
      </c>
      <c r="C1127" t="s">
        <v>32</v>
      </c>
      <c r="D1127" s="3"/>
      <c r="E1127" s="3">
        <v>0</v>
      </c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</row>
    <row r="1128" spans="1:55">
      <c r="A1128" s="1" t="str">
        <f>'Population Definitions'!$A$8</f>
        <v>18-64_males</v>
      </c>
      <c r="C1128" t="s">
        <v>32</v>
      </c>
      <c r="D1128" s="3"/>
      <c r="E1128" s="3">
        <v>0</v>
      </c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</row>
    <row r="1129" spans="1:55">
      <c r="A1129" s="1" t="str">
        <f>'Population Definitions'!$A$9</f>
        <v>18-64_females</v>
      </c>
      <c r="C1129" t="s">
        <v>32</v>
      </c>
      <c r="D1129" s="3"/>
      <c r="E1129" s="3">
        <v>0</v>
      </c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</row>
    <row r="1130" spans="1:55">
      <c r="A1130" s="1" t="str">
        <f>'Population Definitions'!$A$10</f>
        <v>65+_males</v>
      </c>
      <c r="C1130" t="s">
        <v>32</v>
      </c>
      <c r="D1130" s="3"/>
      <c r="E1130" s="3">
        <v>0</v>
      </c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</row>
    <row r="1131" spans="1:55">
      <c r="A1131" s="1" t="str">
        <f>'Population Definitions'!$A$11</f>
        <v>65+_females</v>
      </c>
      <c r="C1131" t="s">
        <v>32</v>
      </c>
      <c r="D1131" s="3"/>
      <c r="E1131" s="3">
        <v>0</v>
      </c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</row>
    <row r="1132" spans="1:55">
      <c r="A1132" s="1" t="str">
        <f>'Population Definitions'!$A$12</f>
        <v>Prisoners_males</v>
      </c>
      <c r="C1132" t="s">
        <v>32</v>
      </c>
      <c r="D1132" s="3"/>
      <c r="E1132" s="3">
        <v>0</v>
      </c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</row>
    <row r="1133" spans="1:55">
      <c r="A1133" s="1" t="str">
        <f>'Population Definitions'!$A$13</f>
        <v>Prisoners_females</v>
      </c>
      <c r="C1133" t="s">
        <v>32</v>
      </c>
      <c r="D1133" s="3"/>
      <c r="E1133" s="3">
        <v>0</v>
      </c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</row>
    <row r="1135" spans="1:55">
      <c r="A1135" s="1" t="s">
        <v>207</v>
      </c>
      <c r="B1135" s="1" t="s">
        <v>29</v>
      </c>
      <c r="C1135" s="1" t="s">
        <v>30</v>
      </c>
      <c r="D1135" s="1" t="s">
        <v>31</v>
      </c>
      <c r="E1135" s="1">
        <v>2000</v>
      </c>
      <c r="F1135" s="1">
        <v>2001</v>
      </c>
      <c r="G1135" s="1">
        <v>2002</v>
      </c>
      <c r="H1135" s="1">
        <v>2003</v>
      </c>
      <c r="I1135" s="1">
        <v>2004</v>
      </c>
      <c r="J1135" s="1">
        <v>2005</v>
      </c>
      <c r="K1135" s="1">
        <v>2006</v>
      </c>
      <c r="L1135" s="1">
        <v>2007</v>
      </c>
      <c r="M1135" s="1">
        <v>2008</v>
      </c>
      <c r="N1135" s="1">
        <v>2009</v>
      </c>
      <c r="O1135" s="1">
        <v>2010</v>
      </c>
      <c r="P1135" s="1">
        <v>2011</v>
      </c>
      <c r="Q1135" s="1">
        <v>2012</v>
      </c>
      <c r="R1135" s="1">
        <v>2013</v>
      </c>
      <c r="S1135" s="1">
        <v>2014</v>
      </c>
      <c r="T1135" s="1">
        <v>2015</v>
      </c>
      <c r="U1135" s="1">
        <v>2016</v>
      </c>
      <c r="V1135" s="1">
        <v>2017</v>
      </c>
      <c r="W1135" s="1">
        <v>2018</v>
      </c>
      <c r="X1135" s="1">
        <v>2019</v>
      </c>
      <c r="Y1135" s="1">
        <v>2020</v>
      </c>
      <c r="Z1135" s="1">
        <v>2021</v>
      </c>
      <c r="AA1135" s="1">
        <v>2022</v>
      </c>
      <c r="AB1135" s="1">
        <v>2023</v>
      </c>
      <c r="AC1135" s="1">
        <v>2024</v>
      </c>
      <c r="AD1135" s="1">
        <v>2025</v>
      </c>
      <c r="AE1135" s="1">
        <v>2026</v>
      </c>
      <c r="AF1135" s="1">
        <v>2027</v>
      </c>
      <c r="AG1135" s="1">
        <v>2028</v>
      </c>
      <c r="AH1135" s="1">
        <v>2029</v>
      </c>
      <c r="AI1135" s="1">
        <v>2030</v>
      </c>
      <c r="AJ1135" s="1">
        <v>2031</v>
      </c>
      <c r="AK1135" s="1">
        <v>2032</v>
      </c>
      <c r="AL1135" s="1">
        <v>2033</v>
      </c>
      <c r="AM1135" s="1">
        <v>2034</v>
      </c>
      <c r="AN1135" s="1">
        <v>2035</v>
      </c>
      <c r="AO1135" s="1">
        <v>2036</v>
      </c>
      <c r="AP1135" s="1">
        <v>2037</v>
      </c>
      <c r="AQ1135" s="1">
        <v>2038</v>
      </c>
      <c r="AR1135" s="1">
        <v>2039</v>
      </c>
      <c r="AS1135" s="1">
        <v>2040</v>
      </c>
      <c r="AT1135" s="1">
        <v>2041</v>
      </c>
      <c r="AU1135" s="1">
        <v>2042</v>
      </c>
      <c r="AV1135" s="1">
        <v>2043</v>
      </c>
      <c r="AW1135" s="1">
        <v>2044</v>
      </c>
      <c r="AX1135" s="1">
        <v>2045</v>
      </c>
      <c r="AY1135" s="1">
        <v>2046</v>
      </c>
      <c r="AZ1135" s="1">
        <v>2047</v>
      </c>
      <c r="BA1135" s="1">
        <v>2048</v>
      </c>
      <c r="BB1135" s="1">
        <v>2049</v>
      </c>
      <c r="BC1135" s="1">
        <v>2050</v>
      </c>
    </row>
    <row r="1136" spans="1:55">
      <c r="A1136" s="1" t="str">
        <f>'Population Definitions'!$A$2</f>
        <v>PWID_males</v>
      </c>
      <c r="C1136" t="s">
        <v>32</v>
      </c>
      <c r="D1136" s="3"/>
      <c r="E1136" s="3">
        <v>0</v>
      </c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</row>
    <row r="1137" spans="1:55">
      <c r="A1137" s="1" t="str">
        <f>'Population Definitions'!$A$3</f>
        <v>PWID_females</v>
      </c>
      <c r="C1137" t="s">
        <v>32</v>
      </c>
      <c r="D1137" s="3"/>
      <c r="E1137" s="3">
        <v>0</v>
      </c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</row>
    <row r="1138" spans="1:55">
      <c r="A1138" s="1" t="str">
        <f>'Population Definitions'!$A$4</f>
        <v>0-9_males</v>
      </c>
      <c r="C1138" t="s">
        <v>32</v>
      </c>
      <c r="D1138" s="3"/>
      <c r="E1138" s="3">
        <v>0</v>
      </c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</row>
    <row r="1139" spans="1:55">
      <c r="A1139" s="1" t="str">
        <f>'Population Definitions'!$A$5</f>
        <v>0-9_females</v>
      </c>
      <c r="C1139" t="s">
        <v>32</v>
      </c>
      <c r="D1139" s="3"/>
      <c r="E1139" s="3">
        <v>0</v>
      </c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</row>
    <row r="1140" spans="1:55">
      <c r="A1140" s="1" t="str">
        <f>'Population Definitions'!$A$6</f>
        <v>10-17_males</v>
      </c>
      <c r="C1140" t="s">
        <v>32</v>
      </c>
      <c r="D1140" s="3"/>
      <c r="E1140" s="3">
        <v>0</v>
      </c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</row>
    <row r="1141" spans="1:55">
      <c r="A1141" s="1" t="str">
        <f>'Population Definitions'!$A$7</f>
        <v>10-17_females</v>
      </c>
      <c r="C1141" t="s">
        <v>32</v>
      </c>
      <c r="D1141" s="3"/>
      <c r="E1141" s="3">
        <v>0</v>
      </c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</row>
    <row r="1142" spans="1:55">
      <c r="A1142" s="1" t="str">
        <f>'Population Definitions'!$A$8</f>
        <v>18-64_males</v>
      </c>
      <c r="C1142" t="s">
        <v>32</v>
      </c>
      <c r="D1142" s="3"/>
      <c r="E1142" s="3">
        <v>0</v>
      </c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</row>
    <row r="1143" spans="1:55">
      <c r="A1143" s="1" t="str">
        <f>'Population Definitions'!$A$9</f>
        <v>18-64_females</v>
      </c>
      <c r="C1143" t="s">
        <v>32</v>
      </c>
      <c r="D1143" s="3"/>
      <c r="E1143" s="3">
        <v>0</v>
      </c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</row>
    <row r="1144" spans="1:55">
      <c r="A1144" s="1" t="str">
        <f>'Population Definitions'!$A$10</f>
        <v>65+_males</v>
      </c>
      <c r="C1144" t="s">
        <v>32</v>
      </c>
      <c r="D1144" s="3"/>
      <c r="E1144" s="3">
        <v>0</v>
      </c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</row>
    <row r="1145" spans="1:55">
      <c r="A1145" s="1" t="str">
        <f>'Population Definitions'!$A$11</f>
        <v>65+_females</v>
      </c>
      <c r="C1145" t="s">
        <v>32</v>
      </c>
      <c r="D1145" s="3"/>
      <c r="E1145" s="3">
        <v>0</v>
      </c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</row>
    <row r="1146" spans="1:55">
      <c r="A1146" s="1" t="str">
        <f>'Population Definitions'!$A$12</f>
        <v>Prisoners_males</v>
      </c>
      <c r="C1146" t="s">
        <v>32</v>
      </c>
      <c r="D1146" s="3"/>
      <c r="E1146" s="3">
        <v>0</v>
      </c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</row>
    <row r="1147" spans="1:55">
      <c r="A1147" s="1" t="str">
        <f>'Population Definitions'!$A$13</f>
        <v>Prisoners_females</v>
      </c>
      <c r="C1147" t="s">
        <v>32</v>
      </c>
      <c r="D1147" s="3"/>
      <c r="E1147" s="3">
        <v>0</v>
      </c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</row>
    <row r="1149" spans="1:55">
      <c r="A1149" s="1" t="s">
        <v>208</v>
      </c>
      <c r="B1149" s="1" t="s">
        <v>29</v>
      </c>
      <c r="C1149" s="1" t="s">
        <v>30</v>
      </c>
      <c r="D1149" s="1" t="s">
        <v>31</v>
      </c>
      <c r="E1149" s="1">
        <v>2000</v>
      </c>
      <c r="F1149" s="1">
        <v>2001</v>
      </c>
      <c r="G1149" s="1">
        <v>2002</v>
      </c>
      <c r="H1149" s="1">
        <v>2003</v>
      </c>
      <c r="I1149" s="1">
        <v>2004</v>
      </c>
      <c r="J1149" s="1">
        <v>2005</v>
      </c>
      <c r="K1149" s="1">
        <v>2006</v>
      </c>
      <c r="L1149" s="1">
        <v>2007</v>
      </c>
      <c r="M1149" s="1">
        <v>2008</v>
      </c>
      <c r="N1149" s="1">
        <v>2009</v>
      </c>
      <c r="O1149" s="1">
        <v>2010</v>
      </c>
      <c r="P1149" s="1">
        <v>2011</v>
      </c>
      <c r="Q1149" s="1">
        <v>2012</v>
      </c>
      <c r="R1149" s="1">
        <v>2013</v>
      </c>
      <c r="S1149" s="1">
        <v>2014</v>
      </c>
      <c r="T1149" s="1">
        <v>2015</v>
      </c>
      <c r="U1149" s="1">
        <v>2016</v>
      </c>
      <c r="V1149" s="1">
        <v>2017</v>
      </c>
      <c r="W1149" s="1">
        <v>2018</v>
      </c>
      <c r="X1149" s="1">
        <v>2019</v>
      </c>
      <c r="Y1149" s="1">
        <v>2020</v>
      </c>
      <c r="Z1149" s="1">
        <v>2021</v>
      </c>
      <c r="AA1149" s="1">
        <v>2022</v>
      </c>
      <c r="AB1149" s="1">
        <v>2023</v>
      </c>
      <c r="AC1149" s="1">
        <v>2024</v>
      </c>
      <c r="AD1149" s="1">
        <v>2025</v>
      </c>
      <c r="AE1149" s="1">
        <v>2026</v>
      </c>
      <c r="AF1149" s="1">
        <v>2027</v>
      </c>
      <c r="AG1149" s="1">
        <v>2028</v>
      </c>
      <c r="AH1149" s="1">
        <v>2029</v>
      </c>
      <c r="AI1149" s="1">
        <v>2030</v>
      </c>
      <c r="AJ1149" s="1">
        <v>2031</v>
      </c>
      <c r="AK1149" s="1">
        <v>2032</v>
      </c>
      <c r="AL1149" s="1">
        <v>2033</v>
      </c>
      <c r="AM1149" s="1">
        <v>2034</v>
      </c>
      <c r="AN1149" s="1">
        <v>2035</v>
      </c>
      <c r="AO1149" s="1">
        <v>2036</v>
      </c>
      <c r="AP1149" s="1">
        <v>2037</v>
      </c>
      <c r="AQ1149" s="1">
        <v>2038</v>
      </c>
      <c r="AR1149" s="1">
        <v>2039</v>
      </c>
      <c r="AS1149" s="1">
        <v>2040</v>
      </c>
      <c r="AT1149" s="1">
        <v>2041</v>
      </c>
      <c r="AU1149" s="1">
        <v>2042</v>
      </c>
      <c r="AV1149" s="1">
        <v>2043</v>
      </c>
      <c r="AW1149" s="1">
        <v>2044</v>
      </c>
      <c r="AX1149" s="1">
        <v>2045</v>
      </c>
      <c r="AY1149" s="1">
        <v>2046</v>
      </c>
      <c r="AZ1149" s="1">
        <v>2047</v>
      </c>
      <c r="BA1149" s="1">
        <v>2048</v>
      </c>
      <c r="BB1149" s="1">
        <v>2049</v>
      </c>
      <c r="BC1149" s="1">
        <v>2050</v>
      </c>
    </row>
    <row r="1150" spans="1:55">
      <c r="A1150" s="1" t="str">
        <f>'Population Definitions'!$A$2</f>
        <v>PWID_males</v>
      </c>
      <c r="C1150" t="s">
        <v>32</v>
      </c>
      <c r="D1150" s="3"/>
      <c r="E1150" s="3">
        <v>0</v>
      </c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</row>
    <row r="1151" spans="1:55">
      <c r="A1151" s="1" t="str">
        <f>'Population Definitions'!$A$3</f>
        <v>PWID_females</v>
      </c>
      <c r="C1151" t="s">
        <v>32</v>
      </c>
      <c r="D1151" s="3"/>
      <c r="E1151" s="3">
        <v>0</v>
      </c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</row>
    <row r="1152" spans="1:55">
      <c r="A1152" s="1" t="str">
        <f>'Population Definitions'!$A$4</f>
        <v>0-9_males</v>
      </c>
      <c r="C1152" t="s">
        <v>32</v>
      </c>
      <c r="D1152" s="3"/>
      <c r="E1152" s="3">
        <v>0</v>
      </c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</row>
    <row r="1153" spans="1:55">
      <c r="A1153" s="1" t="str">
        <f>'Population Definitions'!$A$5</f>
        <v>0-9_females</v>
      </c>
      <c r="C1153" t="s">
        <v>32</v>
      </c>
      <c r="D1153" s="3"/>
      <c r="E1153" s="3">
        <v>0</v>
      </c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</row>
    <row r="1154" spans="1:55">
      <c r="A1154" s="1" t="str">
        <f>'Population Definitions'!$A$6</f>
        <v>10-17_males</v>
      </c>
      <c r="C1154" t="s">
        <v>32</v>
      </c>
      <c r="D1154" s="3"/>
      <c r="E1154" s="3">
        <v>0</v>
      </c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</row>
    <row r="1155" spans="1:55">
      <c r="A1155" s="1" t="str">
        <f>'Population Definitions'!$A$7</f>
        <v>10-17_females</v>
      </c>
      <c r="C1155" t="s">
        <v>32</v>
      </c>
      <c r="D1155" s="3"/>
      <c r="E1155" s="3">
        <v>0</v>
      </c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</row>
    <row r="1156" spans="1:55">
      <c r="A1156" s="1" t="str">
        <f>'Population Definitions'!$A$8</f>
        <v>18-64_males</v>
      </c>
      <c r="C1156" t="s">
        <v>32</v>
      </c>
      <c r="D1156" s="3"/>
      <c r="E1156" s="3">
        <v>0</v>
      </c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</row>
    <row r="1157" spans="1:55">
      <c r="A1157" s="1" t="str">
        <f>'Population Definitions'!$A$9</f>
        <v>18-64_females</v>
      </c>
      <c r="C1157" t="s">
        <v>32</v>
      </c>
      <c r="D1157" s="3"/>
      <c r="E1157" s="3">
        <v>0</v>
      </c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</row>
    <row r="1158" spans="1:55">
      <c r="A1158" s="1" t="str">
        <f>'Population Definitions'!$A$10</f>
        <v>65+_males</v>
      </c>
      <c r="C1158" t="s">
        <v>32</v>
      </c>
      <c r="D1158" s="3"/>
      <c r="E1158" s="3">
        <v>0</v>
      </c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</row>
    <row r="1159" spans="1:55">
      <c r="A1159" s="1" t="str">
        <f>'Population Definitions'!$A$11</f>
        <v>65+_females</v>
      </c>
      <c r="C1159" t="s">
        <v>32</v>
      </c>
      <c r="D1159" s="3"/>
      <c r="E1159" s="3">
        <v>0</v>
      </c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</row>
    <row r="1160" spans="1:55">
      <c r="A1160" s="1" t="str">
        <f>'Population Definitions'!$A$12</f>
        <v>Prisoners_males</v>
      </c>
      <c r="C1160" t="s">
        <v>32</v>
      </c>
      <c r="D1160" s="3"/>
      <c r="E1160" s="3">
        <v>0</v>
      </c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</row>
    <row r="1161" spans="1:55">
      <c r="A1161" s="1" t="str">
        <f>'Population Definitions'!$A$13</f>
        <v>Prisoners_females</v>
      </c>
      <c r="C1161" t="s">
        <v>32</v>
      </c>
      <c r="D1161" s="3"/>
      <c r="E1161" s="3">
        <v>0</v>
      </c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</row>
  </sheetData>
  <conditionalFormatting sqref="E100">
    <cfRule type="expression" dxfId="0" priority="145">
      <formula>COUNTIF(G100:BE100,"&lt;&gt;" &amp; "")&gt;0</formula>
    </cfRule>
    <cfRule type="expression" dxfId="1" priority="146">
      <formula>AND(COUNTIF(G100:BE100,"&lt;&gt;" &amp; "")&gt;0,NOT(ISBLANK(E100)))</formula>
    </cfRule>
  </conditionalFormatting>
  <conditionalFormatting sqref="E101">
    <cfRule type="expression" dxfId="0" priority="147">
      <formula>COUNTIF(G101:BE101,"&lt;&gt;" &amp; "")&gt;0</formula>
    </cfRule>
    <cfRule type="expression" dxfId="1" priority="148">
      <formula>AND(COUNTIF(G101:BE101,"&lt;&gt;" &amp; "")&gt;0,NOT(ISBLANK(E101)))</formula>
    </cfRule>
  </conditionalFormatting>
  <conditionalFormatting sqref="E102">
    <cfRule type="expression" dxfId="0" priority="149">
      <formula>COUNTIF(G102:BE102,"&lt;&gt;" &amp; "")&gt;0</formula>
    </cfRule>
    <cfRule type="expression" dxfId="1" priority="150">
      <formula>AND(COUNTIF(G102:BE102,"&lt;&gt;" &amp; "")&gt;0,NOT(ISBLANK(E102)))</formula>
    </cfRule>
  </conditionalFormatting>
  <conditionalFormatting sqref="E103">
    <cfRule type="expression" dxfId="0" priority="151">
      <formula>COUNTIF(G103:BE103,"&lt;&gt;" &amp; "")&gt;0</formula>
    </cfRule>
    <cfRule type="expression" dxfId="1" priority="152">
      <formula>AND(COUNTIF(G103:BE103,"&lt;&gt;" &amp; "")&gt;0,NOT(ISBLANK(E103)))</formula>
    </cfRule>
  </conditionalFormatting>
  <conditionalFormatting sqref="E104">
    <cfRule type="expression" dxfId="0" priority="153">
      <formula>COUNTIF(G104:BE104,"&lt;&gt;" &amp; "")&gt;0</formula>
    </cfRule>
    <cfRule type="expression" dxfId="1" priority="154">
      <formula>AND(COUNTIF(G104:BE104,"&lt;&gt;" &amp; "")&gt;0,NOT(ISBLANK(E104)))</formula>
    </cfRule>
  </conditionalFormatting>
  <conditionalFormatting sqref="E105">
    <cfRule type="expression" dxfId="0" priority="155">
      <formula>COUNTIF(G105:BE105,"&lt;&gt;" &amp; "")&gt;0</formula>
    </cfRule>
    <cfRule type="expression" dxfId="1" priority="156">
      <formula>AND(COUNTIF(G105:BE105,"&lt;&gt;" &amp; "")&gt;0,NOT(ISBLANK(E105)))</formula>
    </cfRule>
  </conditionalFormatting>
  <conditionalFormatting sqref="E106">
    <cfRule type="expression" dxfId="0" priority="157">
      <formula>COUNTIF(G106:BE106,"&lt;&gt;" &amp; "")&gt;0</formula>
    </cfRule>
    <cfRule type="expression" dxfId="1" priority="158">
      <formula>AND(COUNTIF(G106:BE106,"&lt;&gt;" &amp; "")&gt;0,NOT(ISBLANK(E106)))</formula>
    </cfRule>
  </conditionalFormatting>
  <conditionalFormatting sqref="E107">
    <cfRule type="expression" dxfId="0" priority="159">
      <formula>COUNTIF(G107:BE107,"&lt;&gt;" &amp; "")&gt;0</formula>
    </cfRule>
    <cfRule type="expression" dxfId="1" priority="160">
      <formula>AND(COUNTIF(G107:BE107,"&lt;&gt;" &amp; "")&gt;0,NOT(ISBLANK(E107)))</formula>
    </cfRule>
  </conditionalFormatting>
  <conditionalFormatting sqref="E108">
    <cfRule type="expression" dxfId="0" priority="161">
      <formula>COUNTIF(G108:BE108,"&lt;&gt;" &amp; "")&gt;0</formula>
    </cfRule>
    <cfRule type="expression" dxfId="1" priority="162">
      <formula>AND(COUNTIF(G108:BE108,"&lt;&gt;" &amp; "")&gt;0,NOT(ISBLANK(E108)))</formula>
    </cfRule>
  </conditionalFormatting>
  <conditionalFormatting sqref="E109">
    <cfRule type="expression" dxfId="0" priority="163">
      <formula>COUNTIF(G109:BE109,"&lt;&gt;" &amp; "")&gt;0</formula>
    </cfRule>
    <cfRule type="expression" dxfId="1" priority="164">
      <formula>AND(COUNTIF(G109:BE109,"&lt;&gt;" &amp; "")&gt;0,NOT(ISBLANK(E109)))</formula>
    </cfRule>
  </conditionalFormatting>
  <conditionalFormatting sqref="E110">
    <cfRule type="expression" dxfId="0" priority="165">
      <formula>COUNTIF(G110:BE110,"&lt;&gt;" &amp; "")&gt;0</formula>
    </cfRule>
    <cfRule type="expression" dxfId="1" priority="166">
      <formula>AND(COUNTIF(G110:BE110,"&lt;&gt;" &amp; "")&gt;0,NOT(ISBLANK(E110)))</formula>
    </cfRule>
  </conditionalFormatting>
  <conditionalFormatting sqref="E111">
    <cfRule type="expression" dxfId="0" priority="167">
      <formula>COUNTIF(G111:BE111,"&lt;&gt;" &amp; "")&gt;0</formula>
    </cfRule>
    <cfRule type="expression" dxfId="1" priority="168">
      <formula>AND(COUNTIF(G111:BE111,"&lt;&gt;" &amp; "")&gt;0,NOT(ISBLANK(E111)))</formula>
    </cfRule>
  </conditionalFormatting>
  <conditionalFormatting sqref="E114">
    <cfRule type="expression" dxfId="0" priority="169">
      <formula>COUNTIF(G114:BE114,"&lt;&gt;" &amp; "")&gt;0</formula>
    </cfRule>
    <cfRule type="expression" dxfId="1" priority="170">
      <formula>AND(COUNTIF(G114:BE114,"&lt;&gt;" &amp; "")&gt;0,NOT(ISBLANK(E114)))</formula>
    </cfRule>
  </conditionalFormatting>
  <conditionalFormatting sqref="E115">
    <cfRule type="expression" dxfId="0" priority="171">
      <formula>COUNTIF(G115:BE115,"&lt;&gt;" &amp; "")&gt;0</formula>
    </cfRule>
    <cfRule type="expression" dxfId="1" priority="172">
      <formula>AND(COUNTIF(G115:BE115,"&lt;&gt;" &amp; "")&gt;0,NOT(ISBLANK(E115)))</formula>
    </cfRule>
  </conditionalFormatting>
  <conditionalFormatting sqref="E116">
    <cfRule type="expression" dxfId="0" priority="173">
      <formula>COUNTIF(G116:BE116,"&lt;&gt;" &amp; "")&gt;0</formula>
    </cfRule>
    <cfRule type="expression" dxfId="1" priority="174">
      <formula>AND(COUNTIF(G116:BE116,"&lt;&gt;" &amp; "")&gt;0,NOT(ISBLANK(E116)))</formula>
    </cfRule>
  </conditionalFormatting>
  <conditionalFormatting sqref="E117">
    <cfRule type="expression" dxfId="0" priority="175">
      <formula>COUNTIF(G117:BE117,"&lt;&gt;" &amp; "")&gt;0</formula>
    </cfRule>
    <cfRule type="expression" dxfId="1" priority="176">
      <formula>AND(COUNTIF(G117:BE117,"&lt;&gt;" &amp; "")&gt;0,NOT(ISBLANK(E117)))</formula>
    </cfRule>
  </conditionalFormatting>
  <conditionalFormatting sqref="E118">
    <cfRule type="expression" dxfId="0" priority="177">
      <formula>COUNTIF(G118:BE118,"&lt;&gt;" &amp; "")&gt;0</formula>
    </cfRule>
    <cfRule type="expression" dxfId="1" priority="178">
      <formula>AND(COUNTIF(G118:BE118,"&lt;&gt;" &amp; "")&gt;0,NOT(ISBLANK(E118)))</formula>
    </cfRule>
  </conditionalFormatting>
  <conditionalFormatting sqref="E119">
    <cfRule type="expression" dxfId="0" priority="179">
      <formula>COUNTIF(G119:BE119,"&lt;&gt;" &amp; "")&gt;0</formula>
    </cfRule>
    <cfRule type="expression" dxfId="1" priority="180">
      <formula>AND(COUNTIF(G119:BE119,"&lt;&gt;" &amp; "")&gt;0,NOT(ISBLANK(E119)))</formula>
    </cfRule>
  </conditionalFormatting>
  <conditionalFormatting sqref="E120">
    <cfRule type="expression" dxfId="0" priority="181">
      <formula>COUNTIF(G120:BE120,"&lt;&gt;" &amp; "")&gt;0</formula>
    </cfRule>
    <cfRule type="expression" dxfId="1" priority="182">
      <formula>AND(COUNTIF(G120:BE120,"&lt;&gt;" &amp; "")&gt;0,NOT(ISBLANK(E120)))</formula>
    </cfRule>
  </conditionalFormatting>
  <conditionalFormatting sqref="E121">
    <cfRule type="expression" dxfId="0" priority="183">
      <formula>COUNTIF(G121:BE121,"&lt;&gt;" &amp; "")&gt;0</formula>
    </cfRule>
    <cfRule type="expression" dxfId="1" priority="184">
      <formula>AND(COUNTIF(G121:BE121,"&lt;&gt;" &amp; "")&gt;0,NOT(ISBLANK(E121)))</formula>
    </cfRule>
  </conditionalFormatting>
  <conditionalFormatting sqref="E122">
    <cfRule type="expression" dxfId="0" priority="185">
      <formula>COUNTIF(G122:BE122,"&lt;&gt;" &amp; "")&gt;0</formula>
    </cfRule>
    <cfRule type="expression" dxfId="1" priority="186">
      <formula>AND(COUNTIF(G122:BE122,"&lt;&gt;" &amp; "")&gt;0,NOT(ISBLANK(E122)))</formula>
    </cfRule>
  </conditionalFormatting>
  <conditionalFormatting sqref="E123">
    <cfRule type="expression" dxfId="0" priority="187">
      <formula>COUNTIF(G123:BE123,"&lt;&gt;" &amp; "")&gt;0</formula>
    </cfRule>
    <cfRule type="expression" dxfId="1" priority="188">
      <formula>AND(COUNTIF(G123:BE123,"&lt;&gt;" &amp; "")&gt;0,NOT(ISBLANK(E123)))</formula>
    </cfRule>
  </conditionalFormatting>
  <conditionalFormatting sqref="E124">
    <cfRule type="expression" dxfId="0" priority="189">
      <formula>COUNTIF(G124:BE124,"&lt;&gt;" &amp; "")&gt;0</formula>
    </cfRule>
    <cfRule type="expression" dxfId="1" priority="190">
      <formula>AND(COUNTIF(G124:BE124,"&lt;&gt;" &amp; "")&gt;0,NOT(ISBLANK(E124)))</formula>
    </cfRule>
  </conditionalFormatting>
  <conditionalFormatting sqref="E125">
    <cfRule type="expression" dxfId="0" priority="191">
      <formula>COUNTIF(G125:BE125,"&lt;&gt;" &amp; "")&gt;0</formula>
    </cfRule>
    <cfRule type="expression" dxfId="1" priority="192">
      <formula>AND(COUNTIF(G125:BE125,"&lt;&gt;" &amp; "")&gt;0,NOT(ISBLANK(E125)))</formula>
    </cfRule>
  </conditionalFormatting>
  <conditionalFormatting sqref="E128">
    <cfRule type="expression" dxfId="0" priority="193">
      <formula>COUNTIF(G128:BE128,"&lt;&gt;" &amp; "")&gt;0</formula>
    </cfRule>
    <cfRule type="expression" dxfId="1" priority="194">
      <formula>AND(COUNTIF(G128:BE128,"&lt;&gt;" &amp; "")&gt;0,NOT(ISBLANK(E128)))</formula>
    </cfRule>
  </conditionalFormatting>
  <conditionalFormatting sqref="E129">
    <cfRule type="expression" dxfId="0" priority="195">
      <formula>COUNTIF(G129:BE129,"&lt;&gt;" &amp; "")&gt;0</formula>
    </cfRule>
    <cfRule type="expression" dxfId="1" priority="196">
      <formula>AND(COUNTIF(G129:BE129,"&lt;&gt;" &amp; "")&gt;0,NOT(ISBLANK(E129)))</formula>
    </cfRule>
  </conditionalFormatting>
  <conditionalFormatting sqref="E130">
    <cfRule type="expression" dxfId="0" priority="197">
      <formula>COUNTIF(G130:BE130,"&lt;&gt;" &amp; "")&gt;0</formula>
    </cfRule>
    <cfRule type="expression" dxfId="1" priority="198">
      <formula>AND(COUNTIF(G130:BE130,"&lt;&gt;" &amp; "")&gt;0,NOT(ISBLANK(E130)))</formula>
    </cfRule>
  </conditionalFormatting>
  <conditionalFormatting sqref="E131">
    <cfRule type="expression" dxfId="0" priority="199">
      <formula>COUNTIF(G131:BE131,"&lt;&gt;" &amp; "")&gt;0</formula>
    </cfRule>
    <cfRule type="expression" dxfId="1" priority="200">
      <formula>AND(COUNTIF(G131:BE131,"&lt;&gt;" &amp; "")&gt;0,NOT(ISBLANK(E131)))</formula>
    </cfRule>
  </conditionalFormatting>
  <conditionalFormatting sqref="E132">
    <cfRule type="expression" dxfId="0" priority="201">
      <formula>COUNTIF(G132:BE132,"&lt;&gt;" &amp; "")&gt;0</formula>
    </cfRule>
    <cfRule type="expression" dxfId="1" priority="202">
      <formula>AND(COUNTIF(G132:BE132,"&lt;&gt;" &amp; "")&gt;0,NOT(ISBLANK(E132)))</formula>
    </cfRule>
  </conditionalFormatting>
  <conditionalFormatting sqref="E133">
    <cfRule type="expression" dxfId="0" priority="203">
      <formula>COUNTIF(G133:BE133,"&lt;&gt;" &amp; "")&gt;0</formula>
    </cfRule>
    <cfRule type="expression" dxfId="1" priority="204">
      <formula>AND(COUNTIF(G133:BE133,"&lt;&gt;" &amp; "")&gt;0,NOT(ISBLANK(E133)))</formula>
    </cfRule>
  </conditionalFormatting>
  <conditionalFormatting sqref="E134">
    <cfRule type="expression" dxfId="0" priority="205">
      <formula>COUNTIF(G134:BE134,"&lt;&gt;" &amp; "")&gt;0</formula>
    </cfRule>
    <cfRule type="expression" dxfId="1" priority="206">
      <formula>AND(COUNTIF(G134:BE134,"&lt;&gt;" &amp; "")&gt;0,NOT(ISBLANK(E134)))</formula>
    </cfRule>
  </conditionalFormatting>
  <conditionalFormatting sqref="E135">
    <cfRule type="expression" dxfId="0" priority="207">
      <formula>COUNTIF(G135:BE135,"&lt;&gt;" &amp; "")&gt;0</formula>
    </cfRule>
    <cfRule type="expression" dxfId="1" priority="208">
      <formula>AND(COUNTIF(G135:BE135,"&lt;&gt;" &amp; "")&gt;0,NOT(ISBLANK(E135)))</formula>
    </cfRule>
  </conditionalFormatting>
  <conditionalFormatting sqref="E136">
    <cfRule type="expression" dxfId="0" priority="209">
      <formula>COUNTIF(G136:BE136,"&lt;&gt;" &amp; "")&gt;0</formula>
    </cfRule>
    <cfRule type="expression" dxfId="1" priority="210">
      <formula>AND(COUNTIF(G136:BE136,"&lt;&gt;" &amp; "")&gt;0,NOT(ISBLANK(E136)))</formula>
    </cfRule>
  </conditionalFormatting>
  <conditionalFormatting sqref="E137">
    <cfRule type="expression" dxfId="0" priority="211">
      <formula>COUNTIF(G137:BE137,"&lt;&gt;" &amp; "")&gt;0</formula>
    </cfRule>
    <cfRule type="expression" dxfId="1" priority="212">
      <formula>AND(COUNTIF(G137:BE137,"&lt;&gt;" &amp; "")&gt;0,NOT(ISBLANK(E137)))</formula>
    </cfRule>
  </conditionalFormatting>
  <conditionalFormatting sqref="E138">
    <cfRule type="expression" dxfId="0" priority="213">
      <formula>COUNTIF(G138:BE138,"&lt;&gt;" &amp; "")&gt;0</formula>
    </cfRule>
    <cfRule type="expression" dxfId="1" priority="214">
      <formula>AND(COUNTIF(G138:BE138,"&lt;&gt;" &amp; "")&gt;0,NOT(ISBLANK(E138)))</formula>
    </cfRule>
  </conditionalFormatting>
  <conditionalFormatting sqref="E139">
    <cfRule type="expression" dxfId="0" priority="215">
      <formula>COUNTIF(G139:BE139,"&lt;&gt;" &amp; "")&gt;0</formula>
    </cfRule>
    <cfRule type="expression" dxfId="1" priority="216">
      <formula>AND(COUNTIF(G139:BE139,"&lt;&gt;" &amp; "")&gt;0,NOT(ISBLANK(E139)))</formula>
    </cfRule>
  </conditionalFormatting>
  <conditionalFormatting sqref="E142">
    <cfRule type="expression" dxfId="0" priority="217">
      <formula>COUNTIF(G142:BE142,"&lt;&gt;" &amp; "")&gt;0</formula>
    </cfRule>
    <cfRule type="expression" dxfId="1" priority="218">
      <formula>AND(COUNTIF(G142:BE142,"&lt;&gt;" &amp; "")&gt;0,NOT(ISBLANK(E142)))</formula>
    </cfRule>
  </conditionalFormatting>
  <conditionalFormatting sqref="E143">
    <cfRule type="expression" dxfId="0" priority="219">
      <formula>COUNTIF(G143:BE143,"&lt;&gt;" &amp; "")&gt;0</formula>
    </cfRule>
    <cfRule type="expression" dxfId="1" priority="220">
      <formula>AND(COUNTIF(G143:BE143,"&lt;&gt;" &amp; "")&gt;0,NOT(ISBLANK(E143)))</formula>
    </cfRule>
  </conditionalFormatting>
  <conditionalFormatting sqref="E144">
    <cfRule type="expression" dxfId="0" priority="221">
      <formula>COUNTIF(G144:BE144,"&lt;&gt;" &amp; "")&gt;0</formula>
    </cfRule>
    <cfRule type="expression" dxfId="1" priority="222">
      <formula>AND(COUNTIF(G144:BE144,"&lt;&gt;" &amp; "")&gt;0,NOT(ISBLANK(E144)))</formula>
    </cfRule>
  </conditionalFormatting>
  <conditionalFormatting sqref="E145">
    <cfRule type="expression" dxfId="0" priority="223">
      <formula>COUNTIF(G145:BE145,"&lt;&gt;" &amp; "")&gt;0</formula>
    </cfRule>
    <cfRule type="expression" dxfId="1" priority="224">
      <formula>AND(COUNTIF(G145:BE145,"&lt;&gt;" &amp; "")&gt;0,NOT(ISBLANK(E145)))</formula>
    </cfRule>
  </conditionalFormatting>
  <conditionalFormatting sqref="E146">
    <cfRule type="expression" dxfId="0" priority="225">
      <formula>COUNTIF(G146:BE146,"&lt;&gt;" &amp; "")&gt;0</formula>
    </cfRule>
    <cfRule type="expression" dxfId="1" priority="226">
      <formula>AND(COUNTIF(G146:BE146,"&lt;&gt;" &amp; "")&gt;0,NOT(ISBLANK(E146)))</formula>
    </cfRule>
  </conditionalFormatting>
  <conditionalFormatting sqref="E147">
    <cfRule type="expression" dxfId="0" priority="227">
      <formula>COUNTIF(G147:BE147,"&lt;&gt;" &amp; "")&gt;0</formula>
    </cfRule>
    <cfRule type="expression" dxfId="1" priority="228">
      <formula>AND(COUNTIF(G147:BE147,"&lt;&gt;" &amp; "")&gt;0,NOT(ISBLANK(E147)))</formula>
    </cfRule>
  </conditionalFormatting>
  <conditionalFormatting sqref="E148">
    <cfRule type="expression" dxfId="0" priority="229">
      <formula>COUNTIF(G148:BE148,"&lt;&gt;" &amp; "")&gt;0</formula>
    </cfRule>
    <cfRule type="expression" dxfId="1" priority="230">
      <formula>AND(COUNTIF(G148:BE148,"&lt;&gt;" &amp; "")&gt;0,NOT(ISBLANK(E148)))</formula>
    </cfRule>
  </conditionalFormatting>
  <conditionalFormatting sqref="E149">
    <cfRule type="expression" dxfId="0" priority="231">
      <formula>COUNTIF(G149:BE149,"&lt;&gt;" &amp; "")&gt;0</formula>
    </cfRule>
    <cfRule type="expression" dxfId="1" priority="232">
      <formula>AND(COUNTIF(G149:BE149,"&lt;&gt;" &amp; "")&gt;0,NOT(ISBLANK(E149)))</formula>
    </cfRule>
  </conditionalFormatting>
  <conditionalFormatting sqref="E150">
    <cfRule type="expression" dxfId="0" priority="233">
      <formula>COUNTIF(G150:BE150,"&lt;&gt;" &amp; "")&gt;0</formula>
    </cfRule>
    <cfRule type="expression" dxfId="1" priority="234">
      <formula>AND(COUNTIF(G150:BE150,"&lt;&gt;" &amp; "")&gt;0,NOT(ISBLANK(E150)))</formula>
    </cfRule>
  </conditionalFormatting>
  <conditionalFormatting sqref="E151">
    <cfRule type="expression" dxfId="0" priority="235">
      <formula>COUNTIF(G151:BE151,"&lt;&gt;" &amp; "")&gt;0</formula>
    </cfRule>
    <cfRule type="expression" dxfId="1" priority="236">
      <formula>AND(COUNTIF(G151:BE151,"&lt;&gt;" &amp; "")&gt;0,NOT(ISBLANK(E151)))</formula>
    </cfRule>
  </conditionalFormatting>
  <conditionalFormatting sqref="E152">
    <cfRule type="expression" dxfId="0" priority="237">
      <formula>COUNTIF(G152:BE152,"&lt;&gt;" &amp; "")&gt;0</formula>
    </cfRule>
    <cfRule type="expression" dxfId="1" priority="238">
      <formula>AND(COUNTIF(G152:BE152,"&lt;&gt;" &amp; "")&gt;0,NOT(ISBLANK(E152)))</formula>
    </cfRule>
  </conditionalFormatting>
  <conditionalFormatting sqref="E153">
    <cfRule type="expression" dxfId="0" priority="239">
      <formula>COUNTIF(G153:BE153,"&lt;&gt;" &amp; "")&gt;0</formula>
    </cfRule>
    <cfRule type="expression" dxfId="1" priority="240">
      <formula>AND(COUNTIF(G153:BE153,"&lt;&gt;" &amp; "")&gt;0,NOT(ISBLANK(E153)))</formula>
    </cfRule>
  </conditionalFormatting>
  <conditionalFormatting sqref="E156">
    <cfRule type="expression" dxfId="0" priority="241">
      <formula>COUNTIF(G156:BE156,"&lt;&gt;" &amp; "")&gt;0</formula>
    </cfRule>
    <cfRule type="expression" dxfId="1" priority="242">
      <formula>AND(COUNTIF(G156:BE156,"&lt;&gt;" &amp; "")&gt;0,NOT(ISBLANK(E156)))</formula>
    </cfRule>
  </conditionalFormatting>
  <conditionalFormatting sqref="E157">
    <cfRule type="expression" dxfId="0" priority="243">
      <formula>COUNTIF(G157:BE157,"&lt;&gt;" &amp; "")&gt;0</formula>
    </cfRule>
    <cfRule type="expression" dxfId="1" priority="244">
      <formula>AND(COUNTIF(G157:BE157,"&lt;&gt;" &amp; "")&gt;0,NOT(ISBLANK(E157)))</formula>
    </cfRule>
  </conditionalFormatting>
  <conditionalFormatting sqref="E158">
    <cfRule type="expression" dxfId="0" priority="245">
      <formula>COUNTIF(G158:BE158,"&lt;&gt;" &amp; "")&gt;0</formula>
    </cfRule>
    <cfRule type="expression" dxfId="1" priority="246">
      <formula>AND(COUNTIF(G158:BE158,"&lt;&gt;" &amp; "")&gt;0,NOT(ISBLANK(E158)))</formula>
    </cfRule>
  </conditionalFormatting>
  <conditionalFormatting sqref="E159">
    <cfRule type="expression" dxfId="0" priority="247">
      <formula>COUNTIF(G159:BE159,"&lt;&gt;" &amp; "")&gt;0</formula>
    </cfRule>
    <cfRule type="expression" dxfId="1" priority="248">
      <formula>AND(COUNTIF(G159:BE159,"&lt;&gt;" &amp; "")&gt;0,NOT(ISBLANK(E159)))</formula>
    </cfRule>
  </conditionalFormatting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60">
    <cfRule type="expression" dxfId="0" priority="249">
      <formula>COUNTIF(G160:BE160,"&lt;&gt;" &amp; "")&gt;0</formula>
    </cfRule>
    <cfRule type="expression" dxfId="1" priority="250">
      <formula>AND(COUNTIF(G160:BE160,"&lt;&gt;" &amp; "")&gt;0,NOT(ISBLANK(E160)))</formula>
    </cfRule>
  </conditionalFormatting>
  <conditionalFormatting sqref="E161">
    <cfRule type="expression" dxfId="0" priority="251">
      <formula>COUNTIF(G161:BE161,"&lt;&gt;" &amp; "")&gt;0</formula>
    </cfRule>
    <cfRule type="expression" dxfId="1" priority="252">
      <formula>AND(COUNTIF(G161:BE161,"&lt;&gt;" &amp; "")&gt;0,NOT(ISBLANK(E161)))</formula>
    </cfRule>
  </conditionalFormatting>
  <conditionalFormatting sqref="E162">
    <cfRule type="expression" dxfId="0" priority="253">
      <formula>COUNTIF(G162:BE162,"&lt;&gt;" &amp; "")&gt;0</formula>
    </cfRule>
    <cfRule type="expression" dxfId="1" priority="254">
      <formula>AND(COUNTIF(G162:BE162,"&lt;&gt;" &amp; "")&gt;0,NOT(ISBLANK(E162)))</formula>
    </cfRule>
  </conditionalFormatting>
  <conditionalFormatting sqref="E163">
    <cfRule type="expression" dxfId="0" priority="255">
      <formula>COUNTIF(G163:BE163,"&lt;&gt;" &amp; "")&gt;0</formula>
    </cfRule>
    <cfRule type="expression" dxfId="1" priority="256">
      <formula>AND(COUNTIF(G163:BE163,"&lt;&gt;" &amp; "")&gt;0,NOT(ISBLANK(E163)))</formula>
    </cfRule>
  </conditionalFormatting>
  <conditionalFormatting sqref="E164">
    <cfRule type="expression" dxfId="0" priority="257">
      <formula>COUNTIF(G164:BE164,"&lt;&gt;" &amp; "")&gt;0</formula>
    </cfRule>
    <cfRule type="expression" dxfId="1" priority="258">
      <formula>AND(COUNTIF(G164:BE164,"&lt;&gt;" &amp; "")&gt;0,NOT(ISBLANK(E164)))</formula>
    </cfRule>
  </conditionalFormatting>
  <conditionalFormatting sqref="E165">
    <cfRule type="expression" dxfId="0" priority="259">
      <formula>COUNTIF(G165:BE165,"&lt;&gt;" &amp; "")&gt;0</formula>
    </cfRule>
    <cfRule type="expression" dxfId="1" priority="260">
      <formula>AND(COUNTIF(G165:BE165,"&lt;&gt;" &amp; "")&gt;0,NOT(ISBLANK(E165)))</formula>
    </cfRule>
  </conditionalFormatting>
  <conditionalFormatting sqref="E166">
    <cfRule type="expression" dxfId="0" priority="261">
      <formula>COUNTIF(G166:BE166,"&lt;&gt;" &amp; "")&gt;0</formula>
    </cfRule>
    <cfRule type="expression" dxfId="1" priority="262">
      <formula>AND(COUNTIF(G166:BE166,"&lt;&gt;" &amp; "")&gt;0,NOT(ISBLANK(E166)))</formula>
    </cfRule>
  </conditionalFormatting>
  <conditionalFormatting sqref="E167">
    <cfRule type="expression" dxfId="0" priority="263">
      <formula>COUNTIF(G167:BE167,"&lt;&gt;" &amp; "")&gt;0</formula>
    </cfRule>
    <cfRule type="expression" dxfId="1" priority="264">
      <formula>AND(COUNTIF(G167:BE167,"&lt;&gt;" &amp; "")&gt;0,NOT(ISBLANK(E167)))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70">
    <cfRule type="expression" dxfId="0" priority="265">
      <formula>COUNTIF(G170:BE170,"&lt;&gt;" &amp; "")&gt;0</formula>
    </cfRule>
    <cfRule type="expression" dxfId="1" priority="266">
      <formula>AND(COUNTIF(G170:BE170,"&lt;&gt;" &amp; "")&gt;0,NOT(ISBLANK(E170)))</formula>
    </cfRule>
  </conditionalFormatting>
  <conditionalFormatting sqref="E171">
    <cfRule type="expression" dxfId="0" priority="267">
      <formula>COUNTIF(G171:BE171,"&lt;&gt;" &amp; "")&gt;0</formula>
    </cfRule>
    <cfRule type="expression" dxfId="1" priority="268">
      <formula>AND(COUNTIF(G171:BE171,"&lt;&gt;" &amp; "")&gt;0,NOT(ISBLANK(E171)))</formula>
    </cfRule>
  </conditionalFormatting>
  <conditionalFormatting sqref="E172">
    <cfRule type="expression" dxfId="0" priority="269">
      <formula>COUNTIF(G172:BE172,"&lt;&gt;" &amp; "")&gt;0</formula>
    </cfRule>
    <cfRule type="expression" dxfId="1" priority="270">
      <formula>AND(COUNTIF(G172:BE172,"&lt;&gt;" &amp; "")&gt;0,NOT(ISBLANK(E172)))</formula>
    </cfRule>
  </conditionalFormatting>
  <conditionalFormatting sqref="E173">
    <cfRule type="expression" dxfId="0" priority="271">
      <formula>COUNTIF(G173:BE173,"&lt;&gt;" &amp; "")&gt;0</formula>
    </cfRule>
    <cfRule type="expression" dxfId="1" priority="272">
      <formula>AND(COUNTIF(G173:BE173,"&lt;&gt;" &amp; "")&gt;0,NOT(ISBLANK(E173)))</formula>
    </cfRule>
  </conditionalFormatting>
  <conditionalFormatting sqref="E174">
    <cfRule type="expression" dxfId="0" priority="273">
      <formula>COUNTIF(G174:BE174,"&lt;&gt;" &amp; "")&gt;0</formula>
    </cfRule>
    <cfRule type="expression" dxfId="1" priority="274">
      <formula>AND(COUNTIF(G174:BE174,"&lt;&gt;" &amp; "")&gt;0,NOT(ISBLANK(E174)))</formula>
    </cfRule>
  </conditionalFormatting>
  <conditionalFormatting sqref="E175">
    <cfRule type="expression" dxfId="0" priority="275">
      <formula>COUNTIF(G175:BE175,"&lt;&gt;" &amp; "")&gt;0</formula>
    </cfRule>
    <cfRule type="expression" dxfId="1" priority="276">
      <formula>AND(COUNTIF(G175:BE175,"&lt;&gt;" &amp; "")&gt;0,NOT(ISBLANK(E175)))</formula>
    </cfRule>
  </conditionalFormatting>
  <conditionalFormatting sqref="E176">
    <cfRule type="expression" dxfId="0" priority="277">
      <formula>COUNTIF(G176:BE176,"&lt;&gt;" &amp; "")&gt;0</formula>
    </cfRule>
    <cfRule type="expression" dxfId="1" priority="278">
      <formula>AND(COUNTIF(G176:BE176,"&lt;&gt;" &amp; "")&gt;0,NOT(ISBLANK(E176)))</formula>
    </cfRule>
  </conditionalFormatting>
  <conditionalFormatting sqref="E177">
    <cfRule type="expression" dxfId="0" priority="279">
      <formula>COUNTIF(G177:BE177,"&lt;&gt;" &amp; "")&gt;0</formula>
    </cfRule>
    <cfRule type="expression" dxfId="1" priority="280">
      <formula>AND(COUNTIF(G177:BE177,"&lt;&gt;" &amp; "")&gt;0,NOT(ISBLANK(E177)))</formula>
    </cfRule>
  </conditionalFormatting>
  <conditionalFormatting sqref="E178">
    <cfRule type="expression" dxfId="0" priority="281">
      <formula>COUNTIF(G178:BE178,"&lt;&gt;" &amp; "")&gt;0</formula>
    </cfRule>
    <cfRule type="expression" dxfId="1" priority="282">
      <formula>AND(COUNTIF(G178:BE178,"&lt;&gt;" &amp; "")&gt;0,NOT(ISBLANK(E178)))</formula>
    </cfRule>
  </conditionalFormatting>
  <conditionalFormatting sqref="E179">
    <cfRule type="expression" dxfId="0" priority="283">
      <formula>COUNTIF(G179:BE179,"&lt;&gt;" &amp; "")&gt;0</formula>
    </cfRule>
    <cfRule type="expression" dxfId="1" priority="284">
      <formula>AND(COUNTIF(G179:BE179,"&lt;&gt;" &amp; "")&gt;0,NOT(ISBLANK(E179)))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80">
    <cfRule type="expression" dxfId="0" priority="285">
      <formula>COUNTIF(G180:BE180,"&lt;&gt;" &amp; "")&gt;0</formula>
    </cfRule>
    <cfRule type="expression" dxfId="1" priority="286">
      <formula>AND(COUNTIF(G180:BE180,"&lt;&gt;" &amp; "")&gt;0,NOT(ISBLANK(E180)))</formula>
    </cfRule>
  </conditionalFormatting>
  <conditionalFormatting sqref="E181">
    <cfRule type="expression" dxfId="0" priority="287">
      <formula>COUNTIF(G181:BE181,"&lt;&gt;" &amp; "")&gt;0</formula>
    </cfRule>
    <cfRule type="expression" dxfId="1" priority="288">
      <formula>AND(COUNTIF(G181:BE181,"&lt;&gt;" &amp; "")&gt;0,NOT(ISBLANK(E181)))</formula>
    </cfRule>
  </conditionalFormatting>
  <conditionalFormatting sqref="E184">
    <cfRule type="expression" dxfId="0" priority="289">
      <formula>COUNTIF(G184:BE184,"&lt;&gt;" &amp; "")&gt;0</formula>
    </cfRule>
    <cfRule type="expression" dxfId="1" priority="290">
      <formula>AND(COUNTIF(G184:BE184,"&lt;&gt;" &amp; "")&gt;0,NOT(ISBLANK(E184)))</formula>
    </cfRule>
  </conditionalFormatting>
  <conditionalFormatting sqref="E185">
    <cfRule type="expression" dxfId="0" priority="291">
      <formula>COUNTIF(G185:BE185,"&lt;&gt;" &amp; "")&gt;0</formula>
    </cfRule>
    <cfRule type="expression" dxfId="1" priority="292">
      <formula>AND(COUNTIF(G185:BE185,"&lt;&gt;" &amp; "")&gt;0,NOT(ISBLANK(E185)))</formula>
    </cfRule>
  </conditionalFormatting>
  <conditionalFormatting sqref="E186">
    <cfRule type="expression" dxfId="0" priority="293">
      <formula>COUNTIF(G186:BE186,"&lt;&gt;" &amp; "")&gt;0</formula>
    </cfRule>
    <cfRule type="expression" dxfId="1" priority="294">
      <formula>AND(COUNTIF(G186:BE186,"&lt;&gt;" &amp; "")&gt;0,NOT(ISBLANK(E186)))</formula>
    </cfRule>
  </conditionalFormatting>
  <conditionalFormatting sqref="E187">
    <cfRule type="expression" dxfId="0" priority="295">
      <formula>COUNTIF(G187:BE187,"&lt;&gt;" &amp; "")&gt;0</formula>
    </cfRule>
    <cfRule type="expression" dxfId="1" priority="296">
      <formula>AND(COUNTIF(G187:BE187,"&lt;&gt;" &amp; "")&gt;0,NOT(ISBLANK(E187)))</formula>
    </cfRule>
  </conditionalFormatting>
  <conditionalFormatting sqref="E188">
    <cfRule type="expression" dxfId="0" priority="297">
      <formula>COUNTIF(G188:BE188,"&lt;&gt;" &amp; "")&gt;0</formula>
    </cfRule>
    <cfRule type="expression" dxfId="1" priority="298">
      <formula>AND(COUNTIF(G188:BE188,"&lt;&gt;" &amp; "")&gt;0,NOT(ISBLANK(E188)))</formula>
    </cfRule>
  </conditionalFormatting>
  <conditionalFormatting sqref="E189">
    <cfRule type="expression" dxfId="0" priority="299">
      <formula>COUNTIF(G189:BE189,"&lt;&gt;" &amp; "")&gt;0</formula>
    </cfRule>
    <cfRule type="expression" dxfId="1" priority="300">
      <formula>AND(COUNTIF(G189:BE189,"&lt;&gt;" &amp; "")&gt;0,NOT(ISBLANK(E189)))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190">
    <cfRule type="expression" dxfId="0" priority="301">
      <formula>COUNTIF(G190:BE190,"&lt;&gt;" &amp; "")&gt;0</formula>
    </cfRule>
    <cfRule type="expression" dxfId="1" priority="302">
      <formula>AND(COUNTIF(G190:BE190,"&lt;&gt;" &amp; "")&gt;0,NOT(ISBLANK(E190)))</formula>
    </cfRule>
  </conditionalFormatting>
  <conditionalFormatting sqref="E191">
    <cfRule type="expression" dxfId="0" priority="303">
      <formula>COUNTIF(G191:BE191,"&lt;&gt;" &amp; "")&gt;0</formula>
    </cfRule>
    <cfRule type="expression" dxfId="1" priority="304">
      <formula>AND(COUNTIF(G191:BE191,"&lt;&gt;" &amp; "")&gt;0,NOT(ISBLANK(E191)))</formula>
    </cfRule>
  </conditionalFormatting>
  <conditionalFormatting sqref="E192">
    <cfRule type="expression" dxfId="0" priority="305">
      <formula>COUNTIF(G192:BE192,"&lt;&gt;" &amp; "")&gt;0</formula>
    </cfRule>
    <cfRule type="expression" dxfId="1" priority="306">
      <formula>AND(COUNTIF(G192:BE192,"&lt;&gt;" &amp; "")&gt;0,NOT(ISBLANK(E192)))</formula>
    </cfRule>
  </conditionalFormatting>
  <conditionalFormatting sqref="E193">
    <cfRule type="expression" dxfId="0" priority="307">
      <formula>COUNTIF(G193:BE193,"&lt;&gt;" &amp; "")&gt;0</formula>
    </cfRule>
    <cfRule type="expression" dxfId="1" priority="308">
      <formula>AND(COUNTIF(G193:BE193,"&lt;&gt;" &amp; "")&gt;0,NOT(ISBLANK(E193)))</formula>
    </cfRule>
  </conditionalFormatting>
  <conditionalFormatting sqref="E194">
    <cfRule type="expression" dxfId="0" priority="309">
      <formula>COUNTIF(G194:BE194,"&lt;&gt;" &amp; "")&gt;0</formula>
    </cfRule>
    <cfRule type="expression" dxfId="1" priority="310">
      <formula>AND(COUNTIF(G194:BE194,"&lt;&gt;" &amp; "")&gt;0,NOT(ISBLANK(E194)))</formula>
    </cfRule>
  </conditionalFormatting>
  <conditionalFormatting sqref="E195">
    <cfRule type="expression" dxfId="0" priority="311">
      <formula>COUNTIF(G195:BE195,"&lt;&gt;" &amp; "")&gt;0</formula>
    </cfRule>
    <cfRule type="expression" dxfId="1" priority="312">
      <formula>AND(COUNTIF(G195:BE195,"&lt;&gt;" &amp; "")&gt;0,NOT(ISBLANK(E195)))</formula>
    </cfRule>
  </conditionalFormatting>
  <conditionalFormatting sqref="E198">
    <cfRule type="expression" dxfId="0" priority="313">
      <formula>COUNTIF(G198:BE198,"&lt;&gt;" &amp; "")&gt;0</formula>
    </cfRule>
    <cfRule type="expression" dxfId="1" priority="314">
      <formula>AND(COUNTIF(G198:BE198,"&lt;&gt;" &amp; "")&gt;0,NOT(ISBLANK(E198)))</formula>
    </cfRule>
  </conditionalFormatting>
  <conditionalFormatting sqref="E199">
    <cfRule type="expression" dxfId="0" priority="315">
      <formula>COUNTIF(G199:BE199,"&lt;&gt;" &amp; "")&gt;0</formula>
    </cfRule>
    <cfRule type="expression" dxfId="1" priority="316">
      <formula>AND(COUNTIF(G199:BE199,"&lt;&gt;" &amp; "")&gt;0,NOT(ISBLANK(E199)))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00">
    <cfRule type="expression" dxfId="0" priority="317">
      <formula>COUNTIF(G200:BE200,"&lt;&gt;" &amp; "")&gt;0</formula>
    </cfRule>
    <cfRule type="expression" dxfId="1" priority="318">
      <formula>AND(COUNTIF(G200:BE200,"&lt;&gt;" &amp; "")&gt;0,NOT(ISBLANK(E200)))</formula>
    </cfRule>
  </conditionalFormatting>
  <conditionalFormatting sqref="E201">
    <cfRule type="expression" dxfId="0" priority="319">
      <formula>COUNTIF(G201:BE201,"&lt;&gt;" &amp; "")&gt;0</formula>
    </cfRule>
    <cfRule type="expression" dxfId="1" priority="320">
      <formula>AND(COUNTIF(G201:BE201,"&lt;&gt;" &amp; "")&gt;0,NOT(ISBLANK(E201)))</formula>
    </cfRule>
  </conditionalFormatting>
  <conditionalFormatting sqref="E202">
    <cfRule type="expression" dxfId="0" priority="321">
      <formula>COUNTIF(G202:BE202,"&lt;&gt;" &amp; "")&gt;0</formula>
    </cfRule>
    <cfRule type="expression" dxfId="1" priority="322">
      <formula>AND(COUNTIF(G202:BE202,"&lt;&gt;" &amp; "")&gt;0,NOT(ISBLANK(E202)))</formula>
    </cfRule>
  </conditionalFormatting>
  <conditionalFormatting sqref="E203">
    <cfRule type="expression" dxfId="0" priority="323">
      <formula>COUNTIF(G203:BE203,"&lt;&gt;" &amp; "")&gt;0</formula>
    </cfRule>
    <cfRule type="expression" dxfId="1" priority="324">
      <formula>AND(COUNTIF(G203:BE203,"&lt;&gt;" &amp; "")&gt;0,NOT(ISBLANK(E203)))</formula>
    </cfRule>
  </conditionalFormatting>
  <conditionalFormatting sqref="E204">
    <cfRule type="expression" dxfId="0" priority="325">
      <formula>COUNTIF(G204:BE204,"&lt;&gt;" &amp; "")&gt;0</formula>
    </cfRule>
    <cfRule type="expression" dxfId="1" priority="326">
      <formula>AND(COUNTIF(G204:BE204,"&lt;&gt;" &amp; "")&gt;0,NOT(ISBLANK(E204)))</formula>
    </cfRule>
  </conditionalFormatting>
  <conditionalFormatting sqref="E205">
    <cfRule type="expression" dxfId="0" priority="327">
      <formula>COUNTIF(G205:BE205,"&lt;&gt;" &amp; "")&gt;0</formula>
    </cfRule>
    <cfRule type="expression" dxfId="1" priority="328">
      <formula>AND(COUNTIF(G205:BE205,"&lt;&gt;" &amp; "")&gt;0,NOT(ISBLANK(E205)))</formula>
    </cfRule>
  </conditionalFormatting>
  <conditionalFormatting sqref="E206">
    <cfRule type="expression" dxfId="0" priority="329">
      <formula>COUNTIF(G206:BE206,"&lt;&gt;" &amp; "")&gt;0</formula>
    </cfRule>
    <cfRule type="expression" dxfId="1" priority="330">
      <formula>AND(COUNTIF(G206:BE206,"&lt;&gt;" &amp; "")&gt;0,NOT(ISBLANK(E206)))</formula>
    </cfRule>
  </conditionalFormatting>
  <conditionalFormatting sqref="E207">
    <cfRule type="expression" dxfId="0" priority="331">
      <formula>COUNTIF(G207:BE207,"&lt;&gt;" &amp; "")&gt;0</formula>
    </cfRule>
    <cfRule type="expression" dxfId="1" priority="332">
      <formula>AND(COUNTIF(G207:BE207,"&lt;&gt;" &amp; "")&gt;0,NOT(ISBLANK(E207)))</formula>
    </cfRule>
  </conditionalFormatting>
  <conditionalFormatting sqref="E208">
    <cfRule type="expression" dxfId="0" priority="333">
      <formula>COUNTIF(G208:BE208,"&lt;&gt;" &amp; "")&gt;0</formula>
    </cfRule>
    <cfRule type="expression" dxfId="1" priority="334">
      <formula>AND(COUNTIF(G208:BE208,"&lt;&gt;" &amp; "")&gt;0,NOT(ISBLANK(E208)))</formula>
    </cfRule>
  </conditionalFormatting>
  <conditionalFormatting sqref="E209">
    <cfRule type="expression" dxfId="0" priority="335">
      <formula>COUNTIF(G209:BE209,"&lt;&gt;" &amp; "")&gt;0</formula>
    </cfRule>
    <cfRule type="expression" dxfId="1" priority="336">
      <formula>AND(COUNTIF(G209:BE209,"&lt;&gt;" &amp; "")&gt;0,NOT(ISBLANK(E209)))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12">
    <cfRule type="expression" dxfId="0" priority="337">
      <formula>COUNTIF(G212:BE212,"&lt;&gt;" &amp; "")&gt;0</formula>
    </cfRule>
    <cfRule type="expression" dxfId="1" priority="338">
      <formula>AND(COUNTIF(G212:BE212,"&lt;&gt;" &amp; "")&gt;0,NOT(ISBLANK(E212)))</formula>
    </cfRule>
  </conditionalFormatting>
  <conditionalFormatting sqref="E213">
    <cfRule type="expression" dxfId="0" priority="339">
      <formula>COUNTIF(G213:BE213,"&lt;&gt;" &amp; "")&gt;0</formula>
    </cfRule>
    <cfRule type="expression" dxfId="1" priority="340">
      <formula>AND(COUNTIF(G213:BE213,"&lt;&gt;" &amp; "")&gt;0,NOT(ISBLANK(E213)))</formula>
    </cfRule>
  </conditionalFormatting>
  <conditionalFormatting sqref="E214">
    <cfRule type="expression" dxfId="0" priority="341">
      <formula>COUNTIF(G214:BE214,"&lt;&gt;" &amp; "")&gt;0</formula>
    </cfRule>
    <cfRule type="expression" dxfId="1" priority="342">
      <formula>AND(COUNTIF(G214:BE214,"&lt;&gt;" &amp; "")&gt;0,NOT(ISBLANK(E214)))</formula>
    </cfRule>
  </conditionalFormatting>
  <conditionalFormatting sqref="E215">
    <cfRule type="expression" dxfId="0" priority="343">
      <formula>COUNTIF(G215:BE215,"&lt;&gt;" &amp; "")&gt;0</formula>
    </cfRule>
    <cfRule type="expression" dxfId="1" priority="344">
      <formula>AND(COUNTIF(G215:BE215,"&lt;&gt;" &amp; "")&gt;0,NOT(ISBLANK(E215)))</formula>
    </cfRule>
  </conditionalFormatting>
  <conditionalFormatting sqref="E216">
    <cfRule type="expression" dxfId="0" priority="345">
      <formula>COUNTIF(G216:BE216,"&lt;&gt;" &amp; "")&gt;0</formula>
    </cfRule>
    <cfRule type="expression" dxfId="1" priority="346">
      <formula>AND(COUNTIF(G216:BE216,"&lt;&gt;" &amp; "")&gt;0,NOT(ISBLANK(E216)))</formula>
    </cfRule>
  </conditionalFormatting>
  <conditionalFormatting sqref="E217">
    <cfRule type="expression" dxfId="0" priority="347">
      <formula>COUNTIF(G217:BE217,"&lt;&gt;" &amp; "")&gt;0</formula>
    </cfRule>
    <cfRule type="expression" dxfId="1" priority="348">
      <formula>AND(COUNTIF(G217:BE217,"&lt;&gt;" &amp; "")&gt;0,NOT(ISBLANK(E217)))</formula>
    </cfRule>
  </conditionalFormatting>
  <conditionalFormatting sqref="E218">
    <cfRule type="expression" dxfId="0" priority="349">
      <formula>COUNTIF(G218:BE218,"&lt;&gt;" &amp; "")&gt;0</formula>
    </cfRule>
    <cfRule type="expression" dxfId="1" priority="350">
      <formula>AND(COUNTIF(G218:BE218,"&lt;&gt;" &amp; "")&gt;0,NOT(ISBLANK(E218)))</formula>
    </cfRule>
  </conditionalFormatting>
  <conditionalFormatting sqref="E219">
    <cfRule type="expression" dxfId="0" priority="351">
      <formula>COUNTIF(G219:BE219,"&lt;&gt;" &amp; "")&gt;0</formula>
    </cfRule>
    <cfRule type="expression" dxfId="1" priority="352">
      <formula>AND(COUNTIF(G219:BE219,"&lt;&gt;" &amp; "")&gt;0,NOT(ISBLANK(E219)))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20">
    <cfRule type="expression" dxfId="0" priority="353">
      <formula>COUNTIF(G220:BE220,"&lt;&gt;" &amp; "")&gt;0</formula>
    </cfRule>
    <cfRule type="expression" dxfId="1" priority="354">
      <formula>AND(COUNTIF(G220:BE220,"&lt;&gt;" &amp; "")&gt;0,NOT(ISBLANK(E220)))</formula>
    </cfRule>
  </conditionalFormatting>
  <conditionalFormatting sqref="E221">
    <cfRule type="expression" dxfId="0" priority="355">
      <formula>COUNTIF(G221:BE221,"&lt;&gt;" &amp; "")&gt;0</formula>
    </cfRule>
    <cfRule type="expression" dxfId="1" priority="356">
      <formula>AND(COUNTIF(G221:BE221,"&lt;&gt;" &amp; "")&gt;0,NOT(ISBLANK(E221)))</formula>
    </cfRule>
  </conditionalFormatting>
  <conditionalFormatting sqref="E222">
    <cfRule type="expression" dxfId="0" priority="357">
      <formula>COUNTIF(G222:BE222,"&lt;&gt;" &amp; "")&gt;0</formula>
    </cfRule>
    <cfRule type="expression" dxfId="1" priority="358">
      <formula>AND(COUNTIF(G222:BE222,"&lt;&gt;" &amp; "")&gt;0,NOT(ISBLANK(E222)))</formula>
    </cfRule>
  </conditionalFormatting>
  <conditionalFormatting sqref="E223">
    <cfRule type="expression" dxfId="0" priority="359">
      <formula>COUNTIF(G223:BE223,"&lt;&gt;" &amp; "")&gt;0</formula>
    </cfRule>
    <cfRule type="expression" dxfId="1" priority="360">
      <formula>AND(COUNTIF(G223:BE223,"&lt;&gt;" &amp; "")&gt;0,NOT(ISBLANK(E223)))</formula>
    </cfRule>
  </conditionalFormatting>
  <conditionalFormatting sqref="E226">
    <cfRule type="expression" dxfId="0" priority="361">
      <formula>COUNTIF(G226:BE226,"&lt;&gt;" &amp; "")&gt;0</formula>
    </cfRule>
    <cfRule type="expression" dxfId="1" priority="362">
      <formula>AND(COUNTIF(G226:BE226,"&lt;&gt;" &amp; "")&gt;0,NOT(ISBLANK(E226)))</formula>
    </cfRule>
  </conditionalFormatting>
  <conditionalFormatting sqref="E227">
    <cfRule type="expression" dxfId="0" priority="363">
      <formula>COUNTIF(G227:BE227,"&lt;&gt;" &amp; "")&gt;0</formula>
    </cfRule>
    <cfRule type="expression" dxfId="1" priority="364">
      <formula>AND(COUNTIF(G227:BE227,"&lt;&gt;" &amp; "")&gt;0,NOT(ISBLANK(E227)))</formula>
    </cfRule>
  </conditionalFormatting>
  <conditionalFormatting sqref="E228">
    <cfRule type="expression" dxfId="0" priority="365">
      <formula>COUNTIF(G228:BE228,"&lt;&gt;" &amp; "")&gt;0</formula>
    </cfRule>
    <cfRule type="expression" dxfId="1" priority="366">
      <formula>AND(COUNTIF(G228:BE228,"&lt;&gt;" &amp; "")&gt;0,NOT(ISBLANK(E228)))</formula>
    </cfRule>
  </conditionalFormatting>
  <conditionalFormatting sqref="E229">
    <cfRule type="expression" dxfId="0" priority="367">
      <formula>COUNTIF(G229:BE229,"&lt;&gt;" &amp; "")&gt;0</formula>
    </cfRule>
    <cfRule type="expression" dxfId="1" priority="368">
      <formula>AND(COUNTIF(G229:BE229,"&lt;&gt;" &amp; "")&gt;0,NOT(ISBLANK(E229)))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30">
    <cfRule type="expression" dxfId="0" priority="369">
      <formula>COUNTIF(G230:BE230,"&lt;&gt;" &amp; "")&gt;0</formula>
    </cfRule>
    <cfRule type="expression" dxfId="1" priority="370">
      <formula>AND(COUNTIF(G230:BE230,"&lt;&gt;" &amp; "")&gt;0,NOT(ISBLANK(E230)))</formula>
    </cfRule>
  </conditionalFormatting>
  <conditionalFormatting sqref="E231">
    <cfRule type="expression" dxfId="0" priority="371">
      <formula>COUNTIF(G231:BE231,"&lt;&gt;" &amp; "")&gt;0</formula>
    </cfRule>
    <cfRule type="expression" dxfId="1" priority="372">
      <formula>AND(COUNTIF(G231:BE231,"&lt;&gt;" &amp; "")&gt;0,NOT(ISBLANK(E231)))</formula>
    </cfRule>
  </conditionalFormatting>
  <conditionalFormatting sqref="E232">
    <cfRule type="expression" dxfId="0" priority="373">
      <formula>COUNTIF(G232:BE232,"&lt;&gt;" &amp; "")&gt;0</formula>
    </cfRule>
    <cfRule type="expression" dxfId="1" priority="374">
      <formula>AND(COUNTIF(G232:BE232,"&lt;&gt;" &amp; "")&gt;0,NOT(ISBLANK(E232)))</formula>
    </cfRule>
  </conditionalFormatting>
  <conditionalFormatting sqref="E233">
    <cfRule type="expression" dxfId="0" priority="375">
      <formula>COUNTIF(G233:BE233,"&lt;&gt;" &amp; "")&gt;0</formula>
    </cfRule>
    <cfRule type="expression" dxfId="1" priority="376">
      <formula>AND(COUNTIF(G233:BE233,"&lt;&gt;" &amp; "")&gt;0,NOT(ISBLANK(E233)))</formula>
    </cfRule>
  </conditionalFormatting>
  <conditionalFormatting sqref="E234">
    <cfRule type="expression" dxfId="0" priority="377">
      <formula>COUNTIF(G234:BE234,"&lt;&gt;" &amp; "")&gt;0</formula>
    </cfRule>
    <cfRule type="expression" dxfId="1" priority="378">
      <formula>AND(COUNTIF(G234:BE234,"&lt;&gt;" &amp; "")&gt;0,NOT(ISBLANK(E234)))</formula>
    </cfRule>
  </conditionalFormatting>
  <conditionalFormatting sqref="E235">
    <cfRule type="expression" dxfId="0" priority="379">
      <formula>COUNTIF(G235:BE235,"&lt;&gt;" &amp; "")&gt;0</formula>
    </cfRule>
    <cfRule type="expression" dxfId="1" priority="380">
      <formula>AND(COUNTIF(G235:BE235,"&lt;&gt;" &amp; "")&gt;0,NOT(ISBLANK(E235)))</formula>
    </cfRule>
  </conditionalFormatting>
  <conditionalFormatting sqref="E236">
    <cfRule type="expression" dxfId="0" priority="381">
      <formula>COUNTIF(G236:BE236,"&lt;&gt;" &amp; "")&gt;0</formula>
    </cfRule>
    <cfRule type="expression" dxfId="1" priority="382">
      <formula>AND(COUNTIF(G236:BE236,"&lt;&gt;" &amp; "")&gt;0,NOT(ISBLANK(E236)))</formula>
    </cfRule>
  </conditionalFormatting>
  <conditionalFormatting sqref="E237">
    <cfRule type="expression" dxfId="0" priority="383">
      <formula>COUNTIF(G237:BE237,"&lt;&gt;" &amp; "")&gt;0</formula>
    </cfRule>
    <cfRule type="expression" dxfId="1" priority="384">
      <formula>AND(COUNTIF(G237:BE237,"&lt;&gt;" &amp; "")&gt;0,NOT(ISBLANK(E237)))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40">
    <cfRule type="expression" dxfId="0" priority="385">
      <formula>COUNTIF(G240:BE240,"&lt;&gt;" &amp; "")&gt;0</formula>
    </cfRule>
    <cfRule type="expression" dxfId="1" priority="386">
      <formula>AND(COUNTIF(G240:BE240,"&lt;&gt;" &amp; "")&gt;0,NOT(ISBLANK(E240)))</formula>
    </cfRule>
  </conditionalFormatting>
  <conditionalFormatting sqref="E241">
    <cfRule type="expression" dxfId="0" priority="387">
      <formula>COUNTIF(G241:BE241,"&lt;&gt;" &amp; "")&gt;0</formula>
    </cfRule>
    <cfRule type="expression" dxfId="1" priority="388">
      <formula>AND(COUNTIF(G241:BE241,"&lt;&gt;" &amp; "")&gt;0,NOT(ISBLANK(E241)))</formula>
    </cfRule>
  </conditionalFormatting>
  <conditionalFormatting sqref="E242">
    <cfRule type="expression" dxfId="0" priority="389">
      <formula>COUNTIF(G242:BE242,"&lt;&gt;" &amp; "")&gt;0</formula>
    </cfRule>
    <cfRule type="expression" dxfId="1" priority="390">
      <formula>AND(COUNTIF(G242:BE242,"&lt;&gt;" &amp; "")&gt;0,NOT(ISBLANK(E242)))</formula>
    </cfRule>
  </conditionalFormatting>
  <conditionalFormatting sqref="E243">
    <cfRule type="expression" dxfId="0" priority="391">
      <formula>COUNTIF(G243:BE243,"&lt;&gt;" &amp; "")&gt;0</formula>
    </cfRule>
    <cfRule type="expression" dxfId="1" priority="392">
      <formula>AND(COUNTIF(G243:BE243,"&lt;&gt;" &amp; "")&gt;0,NOT(ISBLANK(E243)))</formula>
    </cfRule>
  </conditionalFormatting>
  <conditionalFormatting sqref="E244">
    <cfRule type="expression" dxfId="0" priority="393">
      <formula>COUNTIF(G244:BE244,"&lt;&gt;" &amp; "")&gt;0</formula>
    </cfRule>
    <cfRule type="expression" dxfId="1" priority="394">
      <formula>AND(COUNTIF(G244:BE244,"&lt;&gt;" &amp; "")&gt;0,NOT(ISBLANK(E244)))</formula>
    </cfRule>
  </conditionalFormatting>
  <conditionalFormatting sqref="E245">
    <cfRule type="expression" dxfId="0" priority="395">
      <formula>COUNTIF(G245:BE245,"&lt;&gt;" &amp; "")&gt;0</formula>
    </cfRule>
    <cfRule type="expression" dxfId="1" priority="396">
      <formula>AND(COUNTIF(G245:BE245,"&lt;&gt;" &amp; "")&gt;0,NOT(ISBLANK(E245)))</formula>
    </cfRule>
  </conditionalFormatting>
  <conditionalFormatting sqref="E246">
    <cfRule type="expression" dxfId="0" priority="397">
      <formula>COUNTIF(G246:BE246,"&lt;&gt;" &amp; "")&gt;0</formula>
    </cfRule>
    <cfRule type="expression" dxfId="1" priority="398">
      <formula>AND(COUNTIF(G246:BE246,"&lt;&gt;" &amp; "")&gt;0,NOT(ISBLANK(E246)))</formula>
    </cfRule>
  </conditionalFormatting>
  <conditionalFormatting sqref="E247">
    <cfRule type="expression" dxfId="0" priority="399">
      <formula>COUNTIF(G247:BE247,"&lt;&gt;" &amp; "")&gt;0</formula>
    </cfRule>
    <cfRule type="expression" dxfId="1" priority="400">
      <formula>AND(COUNTIF(G247:BE247,"&lt;&gt;" &amp; "")&gt;0,NOT(ISBLANK(E247)))</formula>
    </cfRule>
  </conditionalFormatting>
  <conditionalFormatting sqref="E248">
    <cfRule type="expression" dxfId="0" priority="401">
      <formula>COUNTIF(G248:BE248,"&lt;&gt;" &amp; "")&gt;0</formula>
    </cfRule>
    <cfRule type="expression" dxfId="1" priority="402">
      <formula>AND(COUNTIF(G248:BE248,"&lt;&gt;" &amp; "")&gt;0,NOT(ISBLANK(E248)))</formula>
    </cfRule>
  </conditionalFormatting>
  <conditionalFormatting sqref="E249">
    <cfRule type="expression" dxfId="0" priority="403">
      <formula>COUNTIF(G249:BE249,"&lt;&gt;" &amp; "")&gt;0</formula>
    </cfRule>
    <cfRule type="expression" dxfId="1" priority="404">
      <formula>AND(COUNTIF(G249:BE249,"&lt;&gt;" &amp; "")&gt;0,NOT(ISBLANK(E249)))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50">
    <cfRule type="expression" dxfId="0" priority="405">
      <formula>COUNTIF(G250:BE250,"&lt;&gt;" &amp; "")&gt;0</formula>
    </cfRule>
    <cfRule type="expression" dxfId="1" priority="406">
      <formula>AND(COUNTIF(G250:BE250,"&lt;&gt;" &amp; "")&gt;0,NOT(ISBLANK(E250)))</formula>
    </cfRule>
  </conditionalFormatting>
  <conditionalFormatting sqref="E251">
    <cfRule type="expression" dxfId="0" priority="407">
      <formula>COUNTIF(G251:BE251,"&lt;&gt;" &amp; "")&gt;0</formula>
    </cfRule>
    <cfRule type="expression" dxfId="1" priority="408">
      <formula>AND(COUNTIF(G251:BE251,"&lt;&gt;" &amp; "")&gt;0,NOT(ISBLANK(E251)))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conditionalFormatting sqref="E562">
    <cfRule type="expression" dxfId="0" priority="409">
      <formula>COUNTIF(G562:BE562,"&lt;&gt;" &amp; "")&gt;0</formula>
    </cfRule>
    <cfRule type="expression" dxfId="1" priority="410">
      <formula>AND(COUNTIF(G562:BE562,"&lt;&gt;" &amp; "")&gt;0,NOT(ISBLANK(E562)))</formula>
    </cfRule>
  </conditionalFormatting>
  <conditionalFormatting sqref="E563">
    <cfRule type="expression" dxfId="0" priority="411">
      <formula>COUNTIF(G563:BE563,"&lt;&gt;" &amp; "")&gt;0</formula>
    </cfRule>
    <cfRule type="expression" dxfId="1" priority="412">
      <formula>AND(COUNTIF(G563:BE563,"&lt;&gt;" &amp; "")&gt;0,NOT(ISBLANK(E563)))</formula>
    </cfRule>
  </conditionalFormatting>
  <conditionalFormatting sqref="E564">
    <cfRule type="expression" dxfId="0" priority="413">
      <formula>COUNTIF(G564:BE564,"&lt;&gt;" &amp; "")&gt;0</formula>
    </cfRule>
    <cfRule type="expression" dxfId="1" priority="414">
      <formula>AND(COUNTIF(G564:BE564,"&lt;&gt;" &amp; "")&gt;0,NOT(ISBLANK(E564)))</formula>
    </cfRule>
  </conditionalFormatting>
  <conditionalFormatting sqref="E565">
    <cfRule type="expression" dxfId="0" priority="415">
      <formula>COUNTIF(G565:BE565,"&lt;&gt;" &amp; "")&gt;0</formula>
    </cfRule>
    <cfRule type="expression" dxfId="1" priority="416">
      <formula>AND(COUNTIF(G565:BE565,"&lt;&gt;" &amp; "")&gt;0,NOT(ISBLANK(E565)))</formula>
    </cfRule>
  </conditionalFormatting>
  <conditionalFormatting sqref="E566">
    <cfRule type="expression" dxfId="0" priority="417">
      <formula>COUNTIF(G566:BE566,"&lt;&gt;" &amp; "")&gt;0</formula>
    </cfRule>
    <cfRule type="expression" dxfId="1" priority="418">
      <formula>AND(COUNTIF(G566:BE566,"&lt;&gt;" &amp; "")&gt;0,NOT(ISBLANK(E566)))</formula>
    </cfRule>
  </conditionalFormatting>
  <conditionalFormatting sqref="E567">
    <cfRule type="expression" dxfId="0" priority="419">
      <formula>COUNTIF(G567:BE567,"&lt;&gt;" &amp; "")&gt;0</formula>
    </cfRule>
    <cfRule type="expression" dxfId="1" priority="420">
      <formula>AND(COUNTIF(G567:BE567,"&lt;&gt;" &amp; "")&gt;0,NOT(ISBLANK(E567)))</formula>
    </cfRule>
  </conditionalFormatting>
  <conditionalFormatting sqref="E568">
    <cfRule type="expression" dxfId="0" priority="421">
      <formula>COUNTIF(G568:BE568,"&lt;&gt;" &amp; "")&gt;0</formula>
    </cfRule>
    <cfRule type="expression" dxfId="1" priority="422">
      <formula>AND(COUNTIF(G568:BE568,"&lt;&gt;" &amp; "")&gt;0,NOT(ISBLANK(E568)))</formula>
    </cfRule>
  </conditionalFormatting>
  <conditionalFormatting sqref="E569">
    <cfRule type="expression" dxfId="0" priority="423">
      <formula>COUNTIF(G569:BE569,"&lt;&gt;" &amp; "")&gt;0</formula>
    </cfRule>
    <cfRule type="expression" dxfId="1" priority="424">
      <formula>AND(COUNTIF(G569:BE569,"&lt;&gt;" &amp; "")&gt;0,NOT(ISBLANK(E569)))</formula>
    </cfRule>
  </conditionalFormatting>
  <conditionalFormatting sqref="E570">
    <cfRule type="expression" dxfId="0" priority="425">
      <formula>COUNTIF(G570:BE570,"&lt;&gt;" &amp; "")&gt;0</formula>
    </cfRule>
    <cfRule type="expression" dxfId="1" priority="426">
      <formula>AND(COUNTIF(G570:BE570,"&lt;&gt;" &amp; "")&gt;0,NOT(ISBLANK(E570)))</formula>
    </cfRule>
  </conditionalFormatting>
  <conditionalFormatting sqref="E571">
    <cfRule type="expression" dxfId="0" priority="427">
      <formula>COUNTIF(G571:BE571,"&lt;&gt;" &amp; "")&gt;0</formula>
    </cfRule>
    <cfRule type="expression" dxfId="1" priority="428">
      <formula>AND(COUNTIF(G571:BE571,"&lt;&gt;" &amp; "")&gt;0,NOT(ISBLANK(E571)))</formula>
    </cfRule>
  </conditionalFormatting>
  <conditionalFormatting sqref="E572">
    <cfRule type="expression" dxfId="0" priority="429">
      <formula>COUNTIF(G572:BE572,"&lt;&gt;" &amp; "")&gt;0</formula>
    </cfRule>
    <cfRule type="expression" dxfId="1" priority="430">
      <formula>AND(COUNTIF(G572:BE572,"&lt;&gt;" &amp; "")&gt;0,NOT(ISBLANK(E572)))</formula>
    </cfRule>
  </conditionalFormatting>
  <conditionalFormatting sqref="E573">
    <cfRule type="expression" dxfId="0" priority="431">
      <formula>COUNTIF(G573:BE573,"&lt;&gt;" &amp; "")&gt;0</formula>
    </cfRule>
    <cfRule type="expression" dxfId="1" priority="432">
      <formula>AND(COUNTIF(G573:BE573,"&lt;&gt;" &amp; "")&gt;0,NOT(ISBLANK(E573)))</formula>
    </cfRule>
  </conditionalFormatting>
  <conditionalFormatting sqref="E58">
    <cfRule type="expression" dxfId="0" priority="73">
      <formula>COUNTIF(G58:BE58,"&lt;&gt;" &amp; "")&gt;0</formula>
    </cfRule>
    <cfRule type="expression" dxfId="1" priority="74">
      <formula>AND(COUNTIF(G58:BE58,"&lt;&gt;" &amp; "")&gt;0,NOT(ISBLANK(E58)))</formula>
    </cfRule>
  </conditionalFormatting>
  <conditionalFormatting sqref="E59">
    <cfRule type="expression" dxfId="0" priority="75">
      <formula>COUNTIF(G59:BE59,"&lt;&gt;" &amp; "")&gt;0</formula>
    </cfRule>
    <cfRule type="expression" dxfId="1" priority="76">
      <formula>AND(COUNTIF(G59:BE59,"&lt;&gt;" &amp; "")&gt;0,NOT(ISBLANK(E59)))</formula>
    </cfRule>
  </conditionalFormatting>
  <conditionalFormatting sqref="E60">
    <cfRule type="expression" dxfId="0" priority="77">
      <formula>COUNTIF(G60:BE60,"&lt;&gt;" &amp; "")&gt;0</formula>
    </cfRule>
    <cfRule type="expression" dxfId="1" priority="78">
      <formula>AND(COUNTIF(G60:BE60,"&lt;&gt;" &amp; "")&gt;0,NOT(ISBLANK(E60)))</formula>
    </cfRule>
  </conditionalFormatting>
  <conditionalFormatting sqref="E61">
    <cfRule type="expression" dxfId="0" priority="79">
      <formula>COUNTIF(G61:BE61,"&lt;&gt;" &amp; "")&gt;0</formula>
    </cfRule>
    <cfRule type="expression" dxfId="1" priority="80">
      <formula>AND(COUNTIF(G61:BE61,"&lt;&gt;" &amp; "")&gt;0,NOT(ISBLANK(E61)))</formula>
    </cfRule>
  </conditionalFormatting>
  <conditionalFormatting sqref="E62">
    <cfRule type="expression" dxfId="0" priority="81">
      <formula>COUNTIF(G62:BE62,"&lt;&gt;" &amp; "")&gt;0</formula>
    </cfRule>
    <cfRule type="expression" dxfId="1" priority="82">
      <formula>AND(COUNTIF(G62:BE62,"&lt;&gt;" &amp; "")&gt;0,NOT(ISBLANK(E62)))</formula>
    </cfRule>
  </conditionalFormatting>
  <conditionalFormatting sqref="E63">
    <cfRule type="expression" dxfId="0" priority="83">
      <formula>COUNTIF(G63:BE63,"&lt;&gt;" &amp; "")&gt;0</formula>
    </cfRule>
    <cfRule type="expression" dxfId="1" priority="84">
      <formula>AND(COUNTIF(G63:BE63,"&lt;&gt;" &amp; "")&gt;0,NOT(ISBLANK(E63)))</formula>
    </cfRule>
  </conditionalFormatting>
  <conditionalFormatting sqref="E64">
    <cfRule type="expression" dxfId="0" priority="85">
      <formula>COUNTIF(G64:BE64,"&lt;&gt;" &amp; "")&gt;0</formula>
    </cfRule>
    <cfRule type="expression" dxfId="1" priority="86">
      <formula>AND(COUNTIF(G64:BE64,"&lt;&gt;" &amp; "")&gt;0,NOT(ISBLANK(E64)))</formula>
    </cfRule>
  </conditionalFormatting>
  <conditionalFormatting sqref="E65">
    <cfRule type="expression" dxfId="0" priority="87">
      <formula>COUNTIF(G65:BE65,"&lt;&gt;" &amp; "")&gt;0</formula>
    </cfRule>
    <cfRule type="expression" dxfId="1" priority="88">
      <formula>AND(COUNTIF(G65:BE65,"&lt;&gt;" &amp; "")&gt;0,NOT(ISBLANK(E65)))</formula>
    </cfRule>
  </conditionalFormatting>
  <conditionalFormatting sqref="E66">
    <cfRule type="expression" dxfId="0" priority="89">
      <formula>COUNTIF(G66:BE66,"&lt;&gt;" &amp; "")&gt;0</formula>
    </cfRule>
    <cfRule type="expression" dxfId="1" priority="90">
      <formula>AND(COUNTIF(G66:BE66,"&lt;&gt;" &amp; "")&gt;0,NOT(ISBLANK(E66)))</formula>
    </cfRule>
  </conditionalFormatting>
  <conditionalFormatting sqref="E67">
    <cfRule type="expression" dxfId="0" priority="91">
      <formula>COUNTIF(G67:BE67,"&lt;&gt;" &amp; "")&gt;0</formula>
    </cfRule>
    <cfRule type="expression" dxfId="1" priority="92">
      <formula>AND(COUNTIF(G67:BE67,"&lt;&gt;" &amp; "")&gt;0,NOT(ISBLANK(E67)))</formula>
    </cfRule>
  </conditionalFormatting>
  <conditionalFormatting sqref="E68">
    <cfRule type="expression" dxfId="0" priority="93">
      <formula>COUNTIF(G68:BE68,"&lt;&gt;" &amp; "")&gt;0</formula>
    </cfRule>
    <cfRule type="expression" dxfId="1" priority="94">
      <formula>AND(COUNTIF(G68:BE68,"&lt;&gt;" &amp; "")&gt;0,NOT(ISBLANK(E68)))</formula>
    </cfRule>
  </conditionalFormatting>
  <conditionalFormatting sqref="E69">
    <cfRule type="expression" dxfId="0" priority="95">
      <formula>COUNTIF(G69:BE69,"&lt;&gt;" &amp; "")&gt;0</formula>
    </cfRule>
    <cfRule type="expression" dxfId="1" priority="96">
      <formula>AND(COUNTIF(G69:BE69,"&lt;&gt;" &amp; "")&gt;0,NOT(ISBLANK(E69)))</formula>
    </cfRule>
  </conditionalFormatting>
  <conditionalFormatting sqref="E72">
    <cfRule type="expression" dxfId="0" priority="97">
      <formula>COUNTIF(G72:BE72,"&lt;&gt;" &amp; "")&gt;0</formula>
    </cfRule>
    <cfRule type="expression" dxfId="1" priority="98">
      <formula>AND(COUNTIF(G72:BE72,"&lt;&gt;" &amp; "")&gt;0,NOT(ISBLANK(E72)))</formula>
    </cfRule>
  </conditionalFormatting>
  <conditionalFormatting sqref="E73">
    <cfRule type="expression" dxfId="0" priority="99">
      <formula>COUNTIF(G73:BE73,"&lt;&gt;" &amp; "")&gt;0</formula>
    </cfRule>
    <cfRule type="expression" dxfId="1" priority="100">
      <formula>AND(COUNTIF(G73:BE73,"&lt;&gt;" &amp; "")&gt;0,NOT(ISBLANK(E73)))</formula>
    </cfRule>
  </conditionalFormatting>
  <conditionalFormatting sqref="E74">
    <cfRule type="expression" dxfId="0" priority="101">
      <formula>COUNTIF(G74:BE74,"&lt;&gt;" &amp; "")&gt;0</formula>
    </cfRule>
    <cfRule type="expression" dxfId="1" priority="102">
      <formula>AND(COUNTIF(G74:BE74,"&lt;&gt;" &amp; "")&gt;0,NOT(ISBLANK(E74)))</formula>
    </cfRule>
  </conditionalFormatting>
  <conditionalFormatting sqref="E75">
    <cfRule type="expression" dxfId="0" priority="103">
      <formula>COUNTIF(G75:BE75,"&lt;&gt;" &amp; "")&gt;0</formula>
    </cfRule>
    <cfRule type="expression" dxfId="1" priority="104">
      <formula>AND(COUNTIF(G75:BE75,"&lt;&gt;" &amp; "")&gt;0,NOT(ISBLANK(E75)))</formula>
    </cfRule>
  </conditionalFormatting>
  <conditionalFormatting sqref="E76">
    <cfRule type="expression" dxfId="0" priority="105">
      <formula>COUNTIF(G76:BE76,"&lt;&gt;" &amp; "")&gt;0</formula>
    </cfRule>
    <cfRule type="expression" dxfId="1" priority="106">
      <formula>AND(COUNTIF(G76:BE76,"&lt;&gt;" &amp; "")&gt;0,NOT(ISBLANK(E76)))</formula>
    </cfRule>
  </conditionalFormatting>
  <conditionalFormatting sqref="E77">
    <cfRule type="expression" dxfId="0" priority="107">
      <formula>COUNTIF(G77:BE77,"&lt;&gt;" &amp; "")&gt;0</formula>
    </cfRule>
    <cfRule type="expression" dxfId="1" priority="108">
      <formula>AND(COUNTIF(G77:BE77,"&lt;&gt;" &amp; "")&gt;0,NOT(ISBLANK(E77)))</formula>
    </cfRule>
  </conditionalFormatting>
  <conditionalFormatting sqref="E78">
    <cfRule type="expression" dxfId="0" priority="109">
      <formula>COUNTIF(G78:BE78,"&lt;&gt;" &amp; "")&gt;0</formula>
    </cfRule>
    <cfRule type="expression" dxfId="1" priority="110">
      <formula>AND(COUNTIF(G78:BE78,"&lt;&gt;" &amp; "")&gt;0,NOT(ISBLANK(E78)))</formula>
    </cfRule>
  </conditionalFormatting>
  <conditionalFormatting sqref="E79">
    <cfRule type="expression" dxfId="0" priority="111">
      <formula>COUNTIF(G79:BE79,"&lt;&gt;" &amp; "")&gt;0</formula>
    </cfRule>
    <cfRule type="expression" dxfId="1" priority="112">
      <formula>AND(COUNTIF(G79:BE79,"&lt;&gt;" &amp; "")&gt;0,NOT(ISBLANK(E79)))</formula>
    </cfRule>
  </conditionalFormatting>
  <conditionalFormatting sqref="E80">
    <cfRule type="expression" dxfId="0" priority="113">
      <formula>COUNTIF(G80:BE80,"&lt;&gt;" &amp; "")&gt;0</formula>
    </cfRule>
    <cfRule type="expression" dxfId="1" priority="114">
      <formula>AND(COUNTIF(G80:BE80,"&lt;&gt;" &amp; "")&gt;0,NOT(ISBLANK(E80)))</formula>
    </cfRule>
  </conditionalFormatting>
  <conditionalFormatting sqref="E81">
    <cfRule type="expression" dxfId="0" priority="115">
      <formula>COUNTIF(G81:BE81,"&lt;&gt;" &amp; "")&gt;0</formula>
    </cfRule>
    <cfRule type="expression" dxfId="1" priority="116">
      <formula>AND(COUNTIF(G81:BE81,"&lt;&gt;" &amp; "")&gt;0,NOT(ISBLANK(E81)))</formula>
    </cfRule>
  </conditionalFormatting>
  <conditionalFormatting sqref="E82">
    <cfRule type="expression" dxfId="0" priority="117">
      <formula>COUNTIF(G82:BE82,"&lt;&gt;" &amp; "")&gt;0</formula>
    </cfRule>
    <cfRule type="expression" dxfId="1" priority="118">
      <formula>AND(COUNTIF(G82:BE82,"&lt;&gt;" &amp; "")&gt;0,NOT(ISBLANK(E82)))</formula>
    </cfRule>
  </conditionalFormatting>
  <conditionalFormatting sqref="E83">
    <cfRule type="expression" dxfId="0" priority="119">
      <formula>COUNTIF(G83:BE83,"&lt;&gt;" &amp; "")&gt;0</formula>
    </cfRule>
    <cfRule type="expression" dxfId="1" priority="120">
      <formula>AND(COUNTIF(G83:BE83,"&lt;&gt;" &amp; "")&gt;0,NOT(ISBLANK(E83)))</formula>
    </cfRule>
  </conditionalFormatting>
  <conditionalFormatting sqref="E86">
    <cfRule type="expression" dxfId="0" priority="121">
      <formula>COUNTIF(G86:BE86,"&lt;&gt;" &amp; "")&gt;0</formula>
    </cfRule>
    <cfRule type="expression" dxfId="1" priority="122">
      <formula>AND(COUNTIF(G86:BE86,"&lt;&gt;" &amp; "")&gt;0,NOT(ISBLANK(E86)))</formula>
    </cfRule>
  </conditionalFormatting>
  <conditionalFormatting sqref="E87">
    <cfRule type="expression" dxfId="0" priority="123">
      <formula>COUNTIF(G87:BE87,"&lt;&gt;" &amp; "")&gt;0</formula>
    </cfRule>
    <cfRule type="expression" dxfId="1" priority="124">
      <formula>AND(COUNTIF(G87:BE87,"&lt;&gt;" &amp; "")&gt;0,NOT(ISBLANK(E87)))</formula>
    </cfRule>
  </conditionalFormatting>
  <conditionalFormatting sqref="E88">
    <cfRule type="expression" dxfId="0" priority="125">
      <formula>COUNTIF(G88:BE88,"&lt;&gt;" &amp; "")&gt;0</formula>
    </cfRule>
    <cfRule type="expression" dxfId="1" priority="126">
      <formula>AND(COUNTIF(G88:BE88,"&lt;&gt;" &amp; "")&gt;0,NOT(ISBLANK(E88)))</formula>
    </cfRule>
  </conditionalFormatting>
  <conditionalFormatting sqref="E89">
    <cfRule type="expression" dxfId="0" priority="127">
      <formula>COUNTIF(G89:BE89,"&lt;&gt;" &amp; "")&gt;0</formula>
    </cfRule>
    <cfRule type="expression" dxfId="1" priority="128">
      <formula>AND(COUNTIF(G89:BE89,"&lt;&gt;" &amp; "")&gt;0,NOT(ISBLANK(E89)))</formula>
    </cfRule>
  </conditionalFormatting>
  <conditionalFormatting sqref="E90">
    <cfRule type="expression" dxfId="0" priority="129">
      <formula>COUNTIF(G90:BE90,"&lt;&gt;" &amp; "")&gt;0</formula>
    </cfRule>
    <cfRule type="expression" dxfId="1" priority="130">
      <formula>AND(COUNTIF(G90:BE90,"&lt;&gt;" &amp; "")&gt;0,NOT(ISBLANK(E90)))</formula>
    </cfRule>
  </conditionalFormatting>
  <conditionalFormatting sqref="E91">
    <cfRule type="expression" dxfId="0" priority="131">
      <formula>COUNTIF(G91:BE91,"&lt;&gt;" &amp; "")&gt;0</formula>
    </cfRule>
    <cfRule type="expression" dxfId="1" priority="132">
      <formula>AND(COUNTIF(G91:BE91,"&lt;&gt;" &amp; "")&gt;0,NOT(ISBLANK(E91)))</formula>
    </cfRule>
  </conditionalFormatting>
  <conditionalFormatting sqref="E92">
    <cfRule type="expression" dxfId="0" priority="133">
      <formula>COUNTIF(G92:BE92,"&lt;&gt;" &amp; "")&gt;0</formula>
    </cfRule>
    <cfRule type="expression" dxfId="1" priority="134">
      <formula>AND(COUNTIF(G92:BE92,"&lt;&gt;" &amp; "")&gt;0,NOT(ISBLANK(E92)))</formula>
    </cfRule>
  </conditionalFormatting>
  <conditionalFormatting sqref="E93">
    <cfRule type="expression" dxfId="0" priority="135">
      <formula>COUNTIF(G93:BE93,"&lt;&gt;" &amp; "")&gt;0</formula>
    </cfRule>
    <cfRule type="expression" dxfId="1" priority="136">
      <formula>AND(COUNTIF(G93:BE93,"&lt;&gt;" &amp; "")&gt;0,NOT(ISBLANK(E93)))</formula>
    </cfRule>
  </conditionalFormatting>
  <conditionalFormatting sqref="E94">
    <cfRule type="expression" dxfId="0" priority="137">
      <formula>COUNTIF(G94:BE94,"&lt;&gt;" &amp; "")&gt;0</formula>
    </cfRule>
    <cfRule type="expression" dxfId="1" priority="138">
      <formula>AND(COUNTIF(G94:BE94,"&lt;&gt;" &amp; "")&gt;0,NOT(ISBLANK(E94)))</formula>
    </cfRule>
  </conditionalFormatting>
  <conditionalFormatting sqref="E95">
    <cfRule type="expression" dxfId="0" priority="139">
      <formula>COUNTIF(G95:BE95,"&lt;&gt;" &amp; "")&gt;0</formula>
    </cfRule>
    <cfRule type="expression" dxfId="1" priority="140">
      <formula>AND(COUNTIF(G95:BE95,"&lt;&gt;" &amp; "")&gt;0,NOT(ISBLANK(E95)))</formula>
    </cfRule>
  </conditionalFormatting>
  <conditionalFormatting sqref="E96">
    <cfRule type="expression" dxfId="0" priority="141">
      <formula>COUNTIF(G96:BE96,"&lt;&gt;" &amp; "")&gt;0</formula>
    </cfRule>
    <cfRule type="expression" dxfId="1" priority="142">
      <formula>AND(COUNTIF(G96:BE96,"&lt;&gt;" &amp; "")&gt;0,NOT(ISBLANK(E96)))</formula>
    </cfRule>
  </conditionalFormatting>
  <conditionalFormatting sqref="E97">
    <cfRule type="expression" dxfId="0" priority="143">
      <formula>COUNTIF(G97:BE97,"&lt;&gt;" &amp; "")&gt;0</formula>
    </cfRule>
    <cfRule type="expression" dxfId="1" priority="144">
      <formula>AND(COUNTIF(G97:BE97,"&lt;&gt;" &amp; "")&gt;0,NOT(ISBLANK(E97)))</formula>
    </cfRule>
  </conditionalFormatting>
  <dataValidations count="99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"Number"</formula1>
    </dataValidation>
    <dataValidation type="list" allowBlank="1" showInputMessage="1" showErrorMessage="1" sqref="C17">
      <formula1>"Number"</formula1>
    </dataValidation>
    <dataValidation type="list" allowBlank="1" showInputMessage="1" showErrorMessage="1" sqref="C18">
      <formula1>"Number"</formula1>
    </dataValidation>
    <dataValidation type="list" allowBlank="1" showInputMessage="1" showErrorMessage="1" sqref="C19">
      <formula1>"Number"</formula1>
    </dataValidation>
    <dataValidation type="list" allowBlank="1" showInputMessage="1" showErrorMessage="1" sqref="C20">
      <formula1>"Number"</formula1>
    </dataValidation>
    <dataValidation type="list" allowBlank="1" showInputMessage="1" showErrorMessage="1" sqref="C21">
      <formula1>"Number"</formula1>
    </dataValidation>
    <dataValidation type="list" allowBlank="1" showInputMessage="1" showErrorMessage="1" sqref="C22">
      <formula1>"Number"</formula1>
    </dataValidation>
    <dataValidation type="list" allowBlank="1" showInputMessage="1" showErrorMessage="1" sqref="C23">
      <formula1>"Number"</formula1>
    </dataValidation>
    <dataValidation type="list" allowBlank="1" showInputMessage="1" showErrorMessage="1" sqref="C24">
      <formula1>"Number"</formula1>
    </dataValidation>
    <dataValidation type="list" allowBlank="1" showInputMessage="1" showErrorMessage="1" sqref="C25">
      <formula1>"Number"</formula1>
    </dataValidation>
    <dataValidation type="list" allowBlank="1" showInputMessage="1" showErrorMessage="1" sqref="C26">
      <formula1>"Number"</formula1>
    </dataValidation>
    <dataValidation type="list" allowBlank="1" showInputMessage="1" showErrorMessage="1" sqref="C27">
      <formula1>"Number"</formula1>
    </dataValidation>
    <dataValidation type="list" allowBlank="1" showInputMessage="1" showErrorMessage="1" sqref="C30">
      <formula1>"Number"</formula1>
    </dataValidation>
    <dataValidation type="list" allowBlank="1" showInputMessage="1" showErrorMessage="1" sqref="C31">
      <formula1>"Number"</formula1>
    </dataValidation>
    <dataValidation type="list" allowBlank="1" showInputMessage="1" showErrorMessage="1" sqref="C32">
      <formula1>"Number"</formula1>
    </dataValidation>
    <dataValidation type="list" allowBlank="1" showInputMessage="1" showErrorMessage="1" sqref="C33">
      <formula1>"Number"</formula1>
    </dataValidation>
    <dataValidation type="list" allowBlank="1" showInputMessage="1" showErrorMessage="1" sqref="C34">
      <formula1>"Number"</formula1>
    </dataValidation>
    <dataValidation type="list" allowBlank="1" showInputMessage="1" showErrorMessage="1" sqref="C35">
      <formula1>"Number"</formula1>
    </dataValidation>
    <dataValidation type="list" allowBlank="1" showInputMessage="1" showErrorMessage="1" sqref="C36">
      <formula1>"Number"</formula1>
    </dataValidation>
    <dataValidation type="list" allowBlank="1" showInputMessage="1" showErrorMessage="1" sqref="C37">
      <formula1>"Number"</formula1>
    </dataValidation>
    <dataValidation type="list" allowBlank="1" showInputMessage="1" showErrorMessage="1" sqref="C38">
      <formula1>"Number"</formula1>
    </dataValidation>
    <dataValidation type="list" allowBlank="1" showInputMessage="1" showErrorMessage="1" sqref="C39">
      <formula1>"Number"</formula1>
    </dataValidation>
    <dataValidation type="list" allowBlank="1" showInputMessage="1" showErrorMessage="1" sqref="C40">
      <formula1>"Number"</formula1>
    </dataValidation>
    <dataValidation type="list" allowBlank="1" showInputMessage="1" showErrorMessage="1" sqref="C41">
      <formula1>"Number"</formula1>
    </dataValidation>
    <dataValidation type="list" allowBlank="1" showInputMessage="1" showErrorMessage="1" sqref="C44">
      <formula1>"Number"</formula1>
    </dataValidation>
    <dataValidation type="list" allowBlank="1" showInputMessage="1" showErrorMessage="1" sqref="C45">
      <formula1>"Number"</formula1>
    </dataValidation>
    <dataValidation type="list" allowBlank="1" showInputMessage="1" showErrorMessage="1" sqref="C46">
      <formula1>"Number"</formula1>
    </dataValidation>
    <dataValidation type="list" allowBlank="1" showInputMessage="1" showErrorMessage="1" sqref="C47">
      <formula1>"Number"</formula1>
    </dataValidation>
    <dataValidation type="list" allowBlank="1" showInputMessage="1" showErrorMessage="1" sqref="C48">
      <formula1>"Number"</formula1>
    </dataValidation>
    <dataValidation type="list" allowBlank="1" showInputMessage="1" showErrorMessage="1" sqref="C49">
      <formula1>"Number"</formula1>
    </dataValidation>
    <dataValidation type="list" allowBlank="1" showInputMessage="1" showErrorMessage="1" sqref="C50">
      <formula1>"Number"</formula1>
    </dataValidation>
    <dataValidation type="list" allowBlank="1" showInputMessage="1" showErrorMessage="1" sqref="C51">
      <formula1>"Number"</formula1>
    </dataValidation>
    <dataValidation type="list" allowBlank="1" showInputMessage="1" showErrorMessage="1" sqref="C52">
      <formula1>"Number"</formula1>
    </dataValidation>
    <dataValidation type="list" allowBlank="1" showInputMessage="1" showErrorMessage="1" sqref="C53">
      <formula1>"Number"</formula1>
    </dataValidation>
    <dataValidation type="list" allowBlank="1" showInputMessage="1" showErrorMessage="1" sqref="C54">
      <formula1>"Number"</formula1>
    </dataValidation>
    <dataValidation type="list" allowBlank="1" showInputMessage="1" showErrorMessage="1" sqref="C55">
      <formula1>"Number"</formula1>
    </dataValidation>
    <dataValidation type="list" allowBlank="1" showInputMessage="1" showErrorMessage="1" sqref="C58">
      <formula1>"Number"</formula1>
    </dataValidation>
    <dataValidation type="list" allowBlank="1" showInputMessage="1" showErrorMessage="1" sqref="C59">
      <formula1>"Number"</formula1>
    </dataValidation>
    <dataValidation type="list" allowBlank="1" showInputMessage="1" showErrorMessage="1" sqref="C60">
      <formula1>"Number"</formula1>
    </dataValidation>
    <dataValidation type="list" allowBlank="1" showInputMessage="1" showErrorMessage="1" sqref="C61">
      <formula1>"Number"</formula1>
    </dataValidation>
    <dataValidation type="list" allowBlank="1" showInputMessage="1" showErrorMessage="1" sqref="C62">
      <formula1>"Number"</formula1>
    </dataValidation>
    <dataValidation type="list" allowBlank="1" showInputMessage="1" showErrorMessage="1" sqref="C63">
      <formula1>"Number"</formula1>
    </dataValidation>
    <dataValidation type="list" allowBlank="1" showInputMessage="1" showErrorMessage="1" sqref="C64">
      <formula1>"Number"</formula1>
    </dataValidation>
    <dataValidation type="list" allowBlank="1" showInputMessage="1" showErrorMessage="1" sqref="C65">
      <formula1>"Number"</formula1>
    </dataValidation>
    <dataValidation type="list" allowBlank="1" showInputMessage="1" showErrorMessage="1" sqref="C66">
      <formula1>"Number"</formula1>
    </dataValidation>
    <dataValidation type="list" allowBlank="1" showInputMessage="1" showErrorMessage="1" sqref="C67">
      <formula1>"Number"</formula1>
    </dataValidation>
    <dataValidation type="list" allowBlank="1" showInputMessage="1" showErrorMessage="1" sqref="C68">
      <formula1>"Number"</formula1>
    </dataValidation>
    <dataValidation type="list" allowBlank="1" showInputMessage="1" showErrorMessage="1" sqref="C69">
      <formula1>"Number"</formula1>
    </dataValidation>
    <dataValidation type="list" allowBlank="1" showInputMessage="1" showErrorMessage="1" sqref="C72">
      <formula1>"Number"</formula1>
    </dataValidation>
    <dataValidation type="list" allowBlank="1" showInputMessage="1" showErrorMessage="1" sqref="C73">
      <formula1>"Number"</formula1>
    </dataValidation>
    <dataValidation type="list" allowBlank="1" showInputMessage="1" showErrorMessage="1" sqref="C74">
      <formula1>"Number"</formula1>
    </dataValidation>
    <dataValidation type="list" allowBlank="1" showInputMessage="1" showErrorMessage="1" sqref="C75">
      <formula1>"Number"</formula1>
    </dataValidation>
    <dataValidation type="list" allowBlank="1" showInputMessage="1" showErrorMessage="1" sqref="C76">
      <formula1>"Number"</formula1>
    </dataValidation>
    <dataValidation type="list" allowBlank="1" showInputMessage="1" showErrorMessage="1" sqref="C77">
      <formula1>"Number"</formula1>
    </dataValidation>
    <dataValidation type="list" allowBlank="1" showInputMessage="1" showErrorMessage="1" sqref="C78">
      <formula1>"Number"</formula1>
    </dataValidation>
    <dataValidation type="list" allowBlank="1" showInputMessage="1" showErrorMessage="1" sqref="C79">
      <formula1>"Number"</formula1>
    </dataValidation>
    <dataValidation type="list" allowBlank="1" showInputMessage="1" showErrorMessage="1" sqref="C80">
      <formula1>"Number"</formula1>
    </dataValidation>
    <dataValidation type="list" allowBlank="1" showInputMessage="1" showErrorMessage="1" sqref="C81">
      <formula1>"Number"</formula1>
    </dataValidation>
    <dataValidation type="list" allowBlank="1" showInputMessage="1" showErrorMessage="1" sqref="C82">
      <formula1>"Number"</formula1>
    </dataValidation>
    <dataValidation type="list" allowBlank="1" showInputMessage="1" showErrorMessage="1" sqref="C83">
      <formula1>"Number"</formula1>
    </dataValidation>
    <dataValidation type="list" allowBlank="1" showInputMessage="1" showErrorMessage="1" sqref="C86">
      <formula1>"Number"</formula1>
    </dataValidation>
    <dataValidation type="list" allowBlank="1" showInputMessage="1" showErrorMessage="1" sqref="C87">
      <formula1>"Number"</formula1>
    </dataValidation>
    <dataValidation type="list" allowBlank="1" showInputMessage="1" showErrorMessage="1" sqref="C88">
      <formula1>"Number"</formula1>
    </dataValidation>
    <dataValidation type="list" allowBlank="1" showInputMessage="1" showErrorMessage="1" sqref="C89">
      <formula1>"Number"</formula1>
    </dataValidation>
    <dataValidation type="list" allowBlank="1" showInputMessage="1" showErrorMessage="1" sqref="C90">
      <formula1>"Number"</formula1>
    </dataValidation>
    <dataValidation type="list" allowBlank="1" showInputMessage="1" showErrorMessage="1" sqref="C91">
      <formula1>"Number"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5">
      <formula1>"Number"</formula1>
    </dataValidation>
    <dataValidation type="list" allowBlank="1" showInputMessage="1" showErrorMessage="1" sqref="C106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0">
      <formula1>"Number"</formula1>
    </dataValidation>
    <dataValidation type="list" allowBlank="1" showInputMessage="1" showErrorMessage="1" sqref="C121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5">
      <formula1>"Number"</formula1>
    </dataValidation>
    <dataValidation type="list" allowBlank="1" showInputMessage="1" showErrorMessage="1" sqref="C136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0">
      <formula1>"Number"</formula1>
    </dataValidation>
    <dataValidation type="list" allowBlank="1" showInputMessage="1" showErrorMessage="1" sqref="C151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5">
      <formula1>"Number"</formula1>
    </dataValidation>
    <dataValidation type="list" allowBlank="1" showInputMessage="1" showErrorMessage="1" sqref="C166">
      <formula1>"Number"</formula1>
    </dataValidation>
    <dataValidation type="list" allowBlank="1" showInputMessage="1" showErrorMessage="1" sqref="C167">
      <formula1>"Number"</formula1>
    </dataValidation>
    <dataValidation type="list" allowBlank="1" showInputMessage="1" showErrorMessage="1" sqref="C170">
      <formula1>"Number"</formula1>
    </dataValidation>
    <dataValidation type="list" allowBlank="1" showInputMessage="1" showErrorMessage="1" sqref="C171">
      <formula1>"Number"</formula1>
    </dataValidation>
    <dataValidation type="list" allowBlank="1" showInputMessage="1" showErrorMessage="1" sqref="C172">
      <formula1>"Number"</formula1>
    </dataValidation>
    <dataValidation type="list" allowBlank="1" showInputMessage="1" showErrorMessage="1" sqref="C173">
      <formula1>"Number"</formula1>
    </dataValidation>
    <dataValidation type="list" allowBlank="1" showInputMessage="1" showErrorMessage="1" sqref="C174">
      <formula1>"Number"</formula1>
    </dataValidation>
    <dataValidation type="list" allowBlank="1" showInputMessage="1" showErrorMessage="1" sqref="C175">
      <formula1>"Number"</formula1>
    </dataValidation>
    <dataValidation type="list" allowBlank="1" showInputMessage="1" showErrorMessage="1" sqref="C176">
      <formula1>"Number"</formula1>
    </dataValidation>
    <dataValidation type="list" allowBlank="1" showInputMessage="1" showErrorMessage="1" sqref="C177">
      <formula1>"Number"</formula1>
    </dataValidation>
    <dataValidation type="list" allowBlank="1" showInputMessage="1" showErrorMessage="1" sqref="C178">
      <formula1>"Number"</formula1>
    </dataValidation>
    <dataValidation type="list" allowBlank="1" showInputMessage="1" showErrorMessage="1" sqref="C179">
      <formula1>"Number"</formula1>
    </dataValidation>
    <dataValidation type="list" allowBlank="1" showInputMessage="1" showErrorMessage="1" sqref="C180">
      <formula1>"Number"</formula1>
    </dataValidation>
    <dataValidation type="list" allowBlank="1" showInputMessage="1" showErrorMessage="1" sqref="C181">
      <formula1>"Number"</formula1>
    </dataValidation>
    <dataValidation type="list" allowBlank="1" showInputMessage="1" showErrorMessage="1" sqref="C184">
      <formula1>"Number"</formula1>
    </dataValidation>
    <dataValidation type="list" allowBlank="1" showInputMessage="1" showErrorMessage="1" sqref="C185">
      <formula1>"Number"</formula1>
    </dataValidation>
    <dataValidation type="list" allowBlank="1" showInputMessage="1" showErrorMessage="1" sqref="C186">
      <formula1>"Number"</formula1>
    </dataValidation>
    <dataValidation type="list" allowBlank="1" showInputMessage="1" showErrorMessage="1" sqref="C187">
      <formula1>"Number"</formula1>
    </dataValidation>
    <dataValidation type="list" allowBlank="1" showInputMessage="1" showErrorMessage="1" sqref="C188">
      <formula1>"Number"</formula1>
    </dataValidation>
    <dataValidation type="list" allowBlank="1" showInputMessage="1" showErrorMessage="1" sqref="C189">
      <formula1>"Number"</formula1>
    </dataValidation>
    <dataValidation type="list" allowBlank="1" showInputMessage="1" showErrorMessage="1" sqref="C190">
      <formula1>"Number"</formula1>
    </dataValidation>
    <dataValidation type="list" allowBlank="1" showInputMessage="1" showErrorMessage="1" sqref="C191">
      <formula1>"Number"</formula1>
    </dataValidation>
    <dataValidation type="list" allowBlank="1" showInputMessage="1" showErrorMessage="1" sqref="C192">
      <formula1>"Number"</formula1>
    </dataValidation>
    <dataValidation type="list" allowBlank="1" showInputMessage="1" showErrorMessage="1" sqref="C193">
      <formula1>"Number"</formula1>
    </dataValidation>
    <dataValidation type="list" allowBlank="1" showInputMessage="1" showErrorMessage="1" sqref="C194">
      <formula1>"Number"</formula1>
    </dataValidation>
    <dataValidation type="list" allowBlank="1" showInputMessage="1" showErrorMessage="1" sqref="C195">
      <formula1>"Number"</formula1>
    </dataValidation>
    <dataValidation type="list" allowBlank="1" showInputMessage="1" showErrorMessage="1" sqref="C198">
      <formula1>"Number"</formula1>
    </dataValidation>
    <dataValidation type="list" allowBlank="1" showInputMessage="1" showErrorMessage="1" sqref="C199">
      <formula1>"Number"</formula1>
    </dataValidation>
    <dataValidation type="list" allowBlank="1" showInputMessage="1" showErrorMessage="1" sqref="C200">
      <formula1>"Number"</formula1>
    </dataValidation>
    <dataValidation type="list" allowBlank="1" showInputMessage="1" showErrorMessage="1" sqref="C201">
      <formula1>"Number"</formula1>
    </dataValidation>
    <dataValidation type="list" allowBlank="1" showInputMessage="1" showErrorMessage="1" sqref="C202">
      <formula1>"Number"</formula1>
    </dataValidation>
    <dataValidation type="list" allowBlank="1" showInputMessage="1" showErrorMessage="1" sqref="C203">
      <formula1>"Number"</formula1>
    </dataValidation>
    <dataValidation type="list" allowBlank="1" showInputMessage="1" showErrorMessage="1" sqref="C204">
      <formula1>"Number"</formula1>
    </dataValidation>
    <dataValidation type="list" allowBlank="1" showInputMessage="1" showErrorMessage="1" sqref="C205">
      <formula1>"Number"</formula1>
    </dataValidation>
    <dataValidation type="list" allowBlank="1" showInputMessage="1" showErrorMessage="1" sqref="C206">
      <formula1>"Number"</formula1>
    </dataValidation>
    <dataValidation type="list" allowBlank="1" showInputMessage="1" showErrorMessage="1" sqref="C207">
      <formula1>"Number"</formula1>
    </dataValidation>
    <dataValidation type="list" allowBlank="1" showInputMessage="1" showErrorMessage="1" sqref="C208">
      <formula1>"Number"</formula1>
    </dataValidation>
    <dataValidation type="list" allowBlank="1" showInputMessage="1" showErrorMessage="1" sqref="C209">
      <formula1>"Number"</formula1>
    </dataValidation>
    <dataValidation type="list" allowBlank="1" showInputMessage="1" showErrorMessage="1" sqref="C212">
      <formula1>"Number"</formula1>
    </dataValidation>
    <dataValidation type="list" allowBlank="1" showInputMessage="1" showErrorMessage="1" sqref="C213">
      <formula1>"Number"</formula1>
    </dataValidation>
    <dataValidation type="list" allowBlank="1" showInputMessage="1" showErrorMessage="1" sqref="C214">
      <formula1>"Number"</formula1>
    </dataValidation>
    <dataValidation type="list" allowBlank="1" showInputMessage="1" showErrorMessage="1" sqref="C215">
      <formula1>"Number"</formula1>
    </dataValidation>
    <dataValidation type="list" allowBlank="1" showInputMessage="1" showErrorMessage="1" sqref="C216">
      <formula1>"Number"</formula1>
    </dataValidation>
    <dataValidation type="list" allowBlank="1" showInputMessage="1" showErrorMessage="1" sqref="C217">
      <formula1>"Number"</formula1>
    </dataValidation>
    <dataValidation type="list" allowBlank="1" showInputMessage="1" showErrorMessage="1" sqref="C218">
      <formula1>"Number"</formula1>
    </dataValidation>
    <dataValidation type="list" allowBlank="1" showInputMessage="1" showErrorMessage="1" sqref="C219">
      <formula1>"Number"</formula1>
    </dataValidation>
    <dataValidation type="list" allowBlank="1" showInputMessage="1" showErrorMessage="1" sqref="C220">
      <formula1>"Number"</formula1>
    </dataValidation>
    <dataValidation type="list" allowBlank="1" showInputMessage="1" showErrorMessage="1" sqref="C221">
      <formula1>"Number"</formula1>
    </dataValidation>
    <dataValidation type="list" allowBlank="1" showInputMessage="1" showErrorMessage="1" sqref="C222">
      <formula1>"Number"</formula1>
    </dataValidation>
    <dataValidation type="list" allowBlank="1" showInputMessage="1" showErrorMessage="1" sqref="C223">
      <formula1>"Number"</formula1>
    </dataValidation>
    <dataValidation type="list" allowBlank="1" showInputMessage="1" showErrorMessage="1" sqref="C226">
      <formula1>"Number"</formula1>
    </dataValidation>
    <dataValidation type="list" allowBlank="1" showInputMessage="1" showErrorMessage="1" sqref="C227">
      <formula1>"Number"</formula1>
    </dataValidation>
    <dataValidation type="list" allowBlank="1" showInputMessage="1" showErrorMessage="1" sqref="C228">
      <formula1>"Number"</formula1>
    </dataValidation>
    <dataValidation type="list" allowBlank="1" showInputMessage="1" showErrorMessage="1" sqref="C229">
      <formula1>"Number"</formula1>
    </dataValidation>
    <dataValidation type="list" allowBlank="1" showInputMessage="1" showErrorMessage="1" sqref="C230">
      <formula1>"Number"</formula1>
    </dataValidation>
    <dataValidation type="list" allowBlank="1" showInputMessage="1" showErrorMessage="1" sqref="C231">
      <formula1>"Number"</formula1>
    </dataValidation>
    <dataValidation type="list" allowBlank="1" showInputMessage="1" showErrorMessage="1" sqref="C232">
      <formula1>"Number"</formula1>
    </dataValidation>
    <dataValidation type="list" allowBlank="1" showInputMessage="1" showErrorMessage="1" sqref="C233">
      <formula1>"Number"</formula1>
    </dataValidation>
    <dataValidation type="list" allowBlank="1" showInputMessage="1" showErrorMessage="1" sqref="C234">
      <formula1>"Number"</formula1>
    </dataValidation>
    <dataValidation type="list" allowBlank="1" showInputMessage="1" showErrorMessage="1" sqref="C235">
      <formula1>"Number"</formula1>
    </dataValidation>
    <dataValidation type="list" allowBlank="1" showInputMessage="1" showErrorMessage="1" sqref="C236">
      <formula1>"Number"</formula1>
    </dataValidation>
    <dataValidation type="list" allowBlank="1" showInputMessage="1" showErrorMessage="1" sqref="C237">
      <formula1>"Number"</formula1>
    </dataValidation>
    <dataValidation type="list" allowBlank="1" showInputMessage="1" showErrorMessage="1" sqref="C240">
      <formula1>"Number"</formula1>
    </dataValidation>
    <dataValidation type="list" allowBlank="1" showInputMessage="1" showErrorMessage="1" sqref="C241">
      <formula1>"Number"</formula1>
    </dataValidation>
    <dataValidation type="list" allowBlank="1" showInputMessage="1" showErrorMessage="1" sqref="C242">
      <formula1>"Number"</formula1>
    </dataValidation>
    <dataValidation type="list" allowBlank="1" showInputMessage="1" showErrorMessage="1" sqref="C243">
      <formula1>"Number"</formula1>
    </dataValidation>
    <dataValidation type="list" allowBlank="1" showInputMessage="1" showErrorMessage="1" sqref="C244">
      <formula1>"Number"</formula1>
    </dataValidation>
    <dataValidation type="list" allowBlank="1" showInputMessage="1" showErrorMessage="1" sqref="C245">
      <formula1>"Number"</formula1>
    </dataValidation>
    <dataValidation type="list" allowBlank="1" showInputMessage="1" showErrorMessage="1" sqref="C246">
      <formula1>"Number"</formula1>
    </dataValidation>
    <dataValidation type="list" allowBlank="1" showInputMessage="1" showErrorMessage="1" sqref="C247">
      <formula1>"Number"</formula1>
    </dataValidation>
    <dataValidation type="list" allowBlank="1" showInputMessage="1" showErrorMessage="1" sqref="C248">
      <formula1>"Number"</formula1>
    </dataValidation>
    <dataValidation type="list" allowBlank="1" showInputMessage="1" showErrorMessage="1" sqref="C249">
      <formula1>"Number"</formula1>
    </dataValidation>
    <dataValidation type="list" allowBlank="1" showInputMessage="1" showErrorMessage="1" sqref="C250">
      <formula1>"Number"</formula1>
    </dataValidation>
    <dataValidation type="list" allowBlank="1" showInputMessage="1" showErrorMessage="1" sqref="C251">
      <formula1>"Number"</formula1>
    </dataValidation>
    <dataValidation type="list" allowBlank="1" showInputMessage="1" showErrorMessage="1" sqref="C254">
      <formula1>"Number"</formula1>
    </dataValidation>
    <dataValidation type="list" allowBlank="1" showInputMessage="1" showErrorMessage="1" sqref="C255">
      <formula1>"Number"</formula1>
    </dataValidation>
    <dataValidation type="list" allowBlank="1" showInputMessage="1" showErrorMessage="1" sqref="C256">
      <formula1>"Number"</formula1>
    </dataValidation>
    <dataValidation type="list" allowBlank="1" showInputMessage="1" showErrorMessage="1" sqref="C257">
      <formula1>"Number"</formula1>
    </dataValidation>
    <dataValidation type="list" allowBlank="1" showInputMessage="1" showErrorMessage="1" sqref="C258">
      <formula1>"Number"</formula1>
    </dataValidation>
    <dataValidation type="list" allowBlank="1" showInputMessage="1" showErrorMessage="1" sqref="C259">
      <formula1>"Number"</formula1>
    </dataValidation>
    <dataValidation type="list" allowBlank="1" showInputMessage="1" showErrorMessage="1" sqref="C260">
      <formula1>"Number"</formula1>
    </dataValidation>
    <dataValidation type="list" allowBlank="1" showInputMessage="1" showErrorMessage="1" sqref="C261">
      <formula1>"Number"</formula1>
    </dataValidation>
    <dataValidation type="list" allowBlank="1" showInputMessage="1" showErrorMessage="1" sqref="C262">
      <formula1>"Number"</formula1>
    </dataValidation>
    <dataValidation type="list" allowBlank="1" showInputMessage="1" showErrorMessage="1" sqref="C263">
      <formula1>"Number"</formula1>
    </dataValidation>
    <dataValidation type="list" allowBlank="1" showInputMessage="1" showErrorMessage="1" sqref="C264">
      <formula1>"Number"</formula1>
    </dataValidation>
    <dataValidation type="list" allowBlank="1" showInputMessage="1" showErrorMessage="1" sqref="C265">
      <formula1>"Number"</formula1>
    </dataValidation>
    <dataValidation type="list" allowBlank="1" showInputMessage="1" showErrorMessage="1" sqref="C268">
      <formula1>"Number"</formula1>
    </dataValidation>
    <dataValidation type="list" allowBlank="1" showInputMessage="1" showErrorMessage="1" sqref="C269">
      <formula1>"Number"</formula1>
    </dataValidation>
    <dataValidation type="list" allowBlank="1" showInputMessage="1" showErrorMessage="1" sqref="C270">
      <formula1>"Number"</formula1>
    </dataValidation>
    <dataValidation type="list" allowBlank="1" showInputMessage="1" showErrorMessage="1" sqref="C271">
      <formula1>"Number"</formula1>
    </dataValidation>
    <dataValidation type="list" allowBlank="1" showInputMessage="1" showErrorMessage="1" sqref="C272">
      <formula1>"Number"</formula1>
    </dataValidation>
    <dataValidation type="list" allowBlank="1" showInputMessage="1" showErrorMessage="1" sqref="C273">
      <formula1>"Number"</formula1>
    </dataValidation>
    <dataValidation type="list" allowBlank="1" showInputMessage="1" showErrorMessage="1" sqref="C274">
      <formula1>"Number"</formula1>
    </dataValidation>
    <dataValidation type="list" allowBlank="1" showInputMessage="1" showErrorMessage="1" sqref="C275">
      <formula1>"Number"</formula1>
    </dataValidation>
    <dataValidation type="list" allowBlank="1" showInputMessage="1" showErrorMessage="1" sqref="C276">
      <formula1>"Number"</formula1>
    </dataValidation>
    <dataValidation type="list" allowBlank="1" showInputMessage="1" showErrorMessage="1" sqref="C277">
      <formula1>"Number"</formula1>
    </dataValidation>
    <dataValidation type="list" allowBlank="1" showInputMessage="1" showErrorMessage="1" sqref="C278">
      <formula1>"Number"</formula1>
    </dataValidation>
    <dataValidation type="list" allowBlank="1" showInputMessage="1" showErrorMessage="1" sqref="C279">
      <formula1>"Number"</formula1>
    </dataValidation>
    <dataValidation type="list" allowBlank="1" showInputMessage="1" showErrorMessage="1" sqref="C282">
      <formula1>"Number"</formula1>
    </dataValidation>
    <dataValidation type="list" allowBlank="1" showInputMessage="1" showErrorMessage="1" sqref="C283">
      <formula1>"Number"</formula1>
    </dataValidation>
    <dataValidation type="list" allowBlank="1" showInputMessage="1" showErrorMessage="1" sqref="C284">
      <formula1>"Number"</formula1>
    </dataValidation>
    <dataValidation type="list" allowBlank="1" showInputMessage="1" showErrorMessage="1" sqref="C285">
      <formula1>"Number"</formula1>
    </dataValidation>
    <dataValidation type="list" allowBlank="1" showInputMessage="1" showErrorMessage="1" sqref="C286">
      <formula1>"Number"</formula1>
    </dataValidation>
    <dataValidation type="list" allowBlank="1" showInputMessage="1" showErrorMessage="1" sqref="C287">
      <formula1>"Number"</formula1>
    </dataValidation>
    <dataValidation type="list" allowBlank="1" showInputMessage="1" showErrorMessage="1" sqref="C288">
      <formula1>"Number"</formula1>
    </dataValidation>
    <dataValidation type="list" allowBlank="1" showInputMessage="1" showErrorMessage="1" sqref="C289">
      <formula1>"Number"</formula1>
    </dataValidation>
    <dataValidation type="list" allowBlank="1" showInputMessage="1" showErrorMessage="1" sqref="C290">
      <formula1>"Number"</formula1>
    </dataValidation>
    <dataValidation type="list" allowBlank="1" showInputMessage="1" showErrorMessage="1" sqref="C291">
      <formula1>"Number"</formula1>
    </dataValidation>
    <dataValidation type="list" allowBlank="1" showInputMessage="1" showErrorMessage="1" sqref="C292">
      <formula1>"Number"</formula1>
    </dataValidation>
    <dataValidation type="list" allowBlank="1" showInputMessage="1" showErrorMessage="1" sqref="C293">
      <formula1>"Number"</formula1>
    </dataValidation>
    <dataValidation type="list" allowBlank="1" showInputMessage="1" showErrorMessage="1" sqref="C296">
      <formula1>"Number"</formula1>
    </dataValidation>
    <dataValidation type="list" allowBlank="1" showInputMessage="1" showErrorMessage="1" sqref="C297">
      <formula1>"Number"</formula1>
    </dataValidation>
    <dataValidation type="list" allowBlank="1" showInputMessage="1" showErrorMessage="1" sqref="C298">
      <formula1>"Number"</formula1>
    </dataValidation>
    <dataValidation type="list" allowBlank="1" showInputMessage="1" showErrorMessage="1" sqref="C299">
      <formula1>"Number"</formula1>
    </dataValidation>
    <dataValidation type="list" allowBlank="1" showInputMessage="1" showErrorMessage="1" sqref="C300">
      <formula1>"Number"</formula1>
    </dataValidation>
    <dataValidation type="list" allowBlank="1" showInputMessage="1" showErrorMessage="1" sqref="C301">
      <formula1>"Number"</formula1>
    </dataValidation>
    <dataValidation type="list" allowBlank="1" showInputMessage="1" showErrorMessage="1" sqref="C302">
      <formula1>"Number"</formula1>
    </dataValidation>
    <dataValidation type="list" allowBlank="1" showInputMessage="1" showErrorMessage="1" sqref="C303">
      <formula1>"Number"</formula1>
    </dataValidation>
    <dataValidation type="list" allowBlank="1" showInputMessage="1" showErrorMessage="1" sqref="C304">
      <formula1>"Number"</formula1>
    </dataValidation>
    <dataValidation type="list" allowBlank="1" showInputMessage="1" showErrorMessage="1" sqref="C305">
      <formula1>"Number"</formula1>
    </dataValidation>
    <dataValidation type="list" allowBlank="1" showInputMessage="1" showErrorMessage="1" sqref="C306">
      <formula1>"Number"</formula1>
    </dataValidation>
    <dataValidation type="list" allowBlank="1" showInputMessage="1" showErrorMessage="1" sqref="C307">
      <formula1>"Number"</formula1>
    </dataValidation>
    <dataValidation type="list" allowBlank="1" showInputMessage="1" showErrorMessage="1" sqref="C310">
      <formula1>"Number"</formula1>
    </dataValidation>
    <dataValidation type="list" allowBlank="1" showInputMessage="1" showErrorMessage="1" sqref="C311">
      <formula1>"Number"</formula1>
    </dataValidation>
    <dataValidation type="list" allowBlank="1" showInputMessage="1" showErrorMessage="1" sqref="C312">
      <formula1>"Number"</formula1>
    </dataValidation>
    <dataValidation type="list" allowBlank="1" showInputMessage="1" showErrorMessage="1" sqref="C313">
      <formula1>"Number"</formula1>
    </dataValidation>
    <dataValidation type="list" allowBlank="1" showInputMessage="1" showErrorMessage="1" sqref="C314">
      <formula1>"Number"</formula1>
    </dataValidation>
    <dataValidation type="list" allowBlank="1" showInputMessage="1" showErrorMessage="1" sqref="C315">
      <formula1>"Number"</formula1>
    </dataValidation>
    <dataValidation type="list" allowBlank="1" showInputMessage="1" showErrorMessage="1" sqref="C316">
      <formula1>"Number"</formula1>
    </dataValidation>
    <dataValidation type="list" allowBlank="1" showInputMessage="1" showErrorMessage="1" sqref="C317">
      <formula1>"Number"</formula1>
    </dataValidation>
    <dataValidation type="list" allowBlank="1" showInputMessage="1" showErrorMessage="1" sqref="C318">
      <formula1>"Number"</formula1>
    </dataValidation>
    <dataValidation type="list" allowBlank="1" showInputMessage="1" showErrorMessage="1" sqref="C319">
      <formula1>"Number"</formula1>
    </dataValidation>
    <dataValidation type="list" allowBlank="1" showInputMessage="1" showErrorMessage="1" sqref="C320">
      <formula1>"Number"</formula1>
    </dataValidation>
    <dataValidation type="list" allowBlank="1" showInputMessage="1" showErrorMessage="1" sqref="C321">
      <formula1>"Number"</formula1>
    </dataValidation>
    <dataValidation type="list" allowBlank="1" showInputMessage="1" showErrorMessage="1" sqref="C324">
      <formula1>"Number"</formula1>
    </dataValidation>
    <dataValidation type="list" allowBlank="1" showInputMessage="1" showErrorMessage="1" sqref="C325">
      <formula1>"Number"</formula1>
    </dataValidation>
    <dataValidation type="list" allowBlank="1" showInputMessage="1" showErrorMessage="1" sqref="C326">
      <formula1>"Number"</formula1>
    </dataValidation>
    <dataValidation type="list" allowBlank="1" showInputMessage="1" showErrorMessage="1" sqref="C327">
      <formula1>"Number"</formula1>
    </dataValidation>
    <dataValidation type="list" allowBlank="1" showInputMessage="1" showErrorMessage="1" sqref="C328">
      <formula1>"Number"</formula1>
    </dataValidation>
    <dataValidation type="list" allowBlank="1" showInputMessage="1" showErrorMessage="1" sqref="C329">
      <formula1>"Number"</formula1>
    </dataValidation>
    <dataValidation type="list" allowBlank="1" showInputMessage="1" showErrorMessage="1" sqref="C330">
      <formula1>"Number"</formula1>
    </dataValidation>
    <dataValidation type="list" allowBlank="1" showInputMessage="1" showErrorMessage="1" sqref="C331">
      <formula1>"Number"</formula1>
    </dataValidation>
    <dataValidation type="list" allowBlank="1" showInputMessage="1" showErrorMessage="1" sqref="C332">
      <formula1>"Number"</formula1>
    </dataValidation>
    <dataValidation type="list" allowBlank="1" showInputMessage="1" showErrorMessage="1" sqref="C333">
      <formula1>"Number"</formula1>
    </dataValidation>
    <dataValidation type="list" allowBlank="1" showInputMessage="1" showErrorMessage="1" sqref="C334">
      <formula1>"Number"</formula1>
    </dataValidation>
    <dataValidation type="list" allowBlank="1" showInputMessage="1" showErrorMessage="1" sqref="C335">
      <formula1>"Number"</formula1>
    </dataValidation>
    <dataValidation type="list" allowBlank="1" showInputMessage="1" showErrorMessage="1" sqref="C338">
      <formula1>"Number"</formula1>
    </dataValidation>
    <dataValidation type="list" allowBlank="1" showInputMessage="1" showErrorMessage="1" sqref="C339">
      <formula1>"Number"</formula1>
    </dataValidation>
    <dataValidation type="list" allowBlank="1" showInputMessage="1" showErrorMessage="1" sqref="C340">
      <formula1>"Number"</formula1>
    </dataValidation>
    <dataValidation type="list" allowBlank="1" showInputMessage="1" showErrorMessage="1" sqref="C341">
      <formula1>"Number"</formula1>
    </dataValidation>
    <dataValidation type="list" allowBlank="1" showInputMessage="1" showErrorMessage="1" sqref="C342">
      <formula1>"Number"</formula1>
    </dataValidation>
    <dataValidation type="list" allowBlank="1" showInputMessage="1" showErrorMessage="1" sqref="C343">
      <formula1>"Number"</formula1>
    </dataValidation>
    <dataValidation type="list" allowBlank="1" showInputMessage="1" showErrorMessage="1" sqref="C344">
      <formula1>"Number"</formula1>
    </dataValidation>
    <dataValidation type="list" allowBlank="1" showInputMessage="1" showErrorMessage="1" sqref="C345">
      <formula1>"Number"</formula1>
    </dataValidation>
    <dataValidation type="list" allowBlank="1" showInputMessage="1" showErrorMessage="1" sqref="C346">
      <formula1>"Number"</formula1>
    </dataValidation>
    <dataValidation type="list" allowBlank="1" showInputMessage="1" showErrorMessage="1" sqref="C347">
      <formula1>"Number"</formula1>
    </dataValidation>
    <dataValidation type="list" allowBlank="1" showInputMessage="1" showErrorMessage="1" sqref="C348">
      <formula1>"Number"</formula1>
    </dataValidation>
    <dataValidation type="list" allowBlank="1" showInputMessage="1" showErrorMessage="1" sqref="C349">
      <formula1>"Number"</formula1>
    </dataValidation>
    <dataValidation type="list" allowBlank="1" showInputMessage="1" showErrorMessage="1" sqref="C352">
      <formula1>"Number"</formula1>
    </dataValidation>
    <dataValidation type="list" allowBlank="1" showInputMessage="1" showErrorMessage="1" sqref="C353">
      <formula1>"Number"</formula1>
    </dataValidation>
    <dataValidation type="list" allowBlank="1" showInputMessage="1" showErrorMessage="1" sqref="C354">
      <formula1>"Number"</formula1>
    </dataValidation>
    <dataValidation type="list" allowBlank="1" showInputMessage="1" showErrorMessage="1" sqref="C355">
      <formula1>"Number"</formula1>
    </dataValidation>
    <dataValidation type="list" allowBlank="1" showInputMessage="1" showErrorMessage="1" sqref="C356">
      <formula1>"Number"</formula1>
    </dataValidation>
    <dataValidation type="list" allowBlank="1" showInputMessage="1" showErrorMessage="1" sqref="C357">
      <formula1>"Number"</formula1>
    </dataValidation>
    <dataValidation type="list" allowBlank="1" showInputMessage="1" showErrorMessage="1" sqref="C358">
      <formula1>"Number"</formula1>
    </dataValidation>
    <dataValidation type="list" allowBlank="1" showInputMessage="1" showErrorMessage="1" sqref="C359">
      <formula1>"Number"</formula1>
    </dataValidation>
    <dataValidation type="list" allowBlank="1" showInputMessage="1" showErrorMessage="1" sqref="C360">
      <formula1>"Number"</formula1>
    </dataValidation>
    <dataValidation type="list" allowBlank="1" showInputMessage="1" showErrorMessage="1" sqref="C361">
      <formula1>"Number"</formula1>
    </dataValidation>
    <dataValidation type="list" allowBlank="1" showInputMessage="1" showErrorMessage="1" sqref="C362">
      <formula1>"Number"</formula1>
    </dataValidation>
    <dataValidation type="list" allowBlank="1" showInputMessage="1" showErrorMessage="1" sqref="C363">
      <formula1>"Number"</formula1>
    </dataValidation>
    <dataValidation type="list" allowBlank="1" showInputMessage="1" showErrorMessage="1" sqref="C366">
      <formula1>"Number"</formula1>
    </dataValidation>
    <dataValidation type="list" allowBlank="1" showInputMessage="1" showErrorMessage="1" sqref="C367">
      <formula1>"Number"</formula1>
    </dataValidation>
    <dataValidation type="list" allowBlank="1" showInputMessage="1" showErrorMessage="1" sqref="C368">
      <formula1>"Number"</formula1>
    </dataValidation>
    <dataValidation type="list" allowBlank="1" showInputMessage="1" showErrorMessage="1" sqref="C369">
      <formula1>"Number"</formula1>
    </dataValidation>
    <dataValidation type="list" allowBlank="1" showInputMessage="1" showErrorMessage="1" sqref="C370">
      <formula1>"Number"</formula1>
    </dataValidation>
    <dataValidation type="list" allowBlank="1" showInputMessage="1" showErrorMessage="1" sqref="C371">
      <formula1>"Number"</formula1>
    </dataValidation>
    <dataValidation type="list" allowBlank="1" showInputMessage="1" showErrorMessage="1" sqref="C372">
      <formula1>"Number"</formula1>
    </dataValidation>
    <dataValidation type="list" allowBlank="1" showInputMessage="1" showErrorMessage="1" sqref="C373">
      <formula1>"Number"</formula1>
    </dataValidation>
    <dataValidation type="list" allowBlank="1" showInputMessage="1" showErrorMessage="1" sqref="C374">
      <formula1>"Number"</formula1>
    </dataValidation>
    <dataValidation type="list" allowBlank="1" showInputMessage="1" showErrorMessage="1" sqref="C375">
      <formula1>"Number"</formula1>
    </dataValidation>
    <dataValidation type="list" allowBlank="1" showInputMessage="1" showErrorMessage="1" sqref="C376">
      <formula1>"Number"</formula1>
    </dataValidation>
    <dataValidation type="list" allowBlank="1" showInputMessage="1" showErrorMessage="1" sqref="C377">
      <formula1>"Number"</formula1>
    </dataValidation>
    <dataValidation type="list" allowBlank="1" showInputMessage="1" showErrorMessage="1" sqref="C380">
      <formula1>"Number"</formula1>
    </dataValidation>
    <dataValidation type="list" allowBlank="1" showInputMessage="1" showErrorMessage="1" sqref="C381">
      <formula1>"Number"</formula1>
    </dataValidation>
    <dataValidation type="list" allowBlank="1" showInputMessage="1" showErrorMessage="1" sqref="C382">
      <formula1>"Number"</formula1>
    </dataValidation>
    <dataValidation type="list" allowBlank="1" showInputMessage="1" showErrorMessage="1" sqref="C383">
      <formula1>"Number"</formula1>
    </dataValidation>
    <dataValidation type="list" allowBlank="1" showInputMessage="1" showErrorMessage="1" sqref="C384">
      <formula1>"Number"</formula1>
    </dataValidation>
    <dataValidation type="list" allowBlank="1" showInputMessage="1" showErrorMessage="1" sqref="C385">
      <formula1>"Number"</formula1>
    </dataValidation>
    <dataValidation type="list" allowBlank="1" showInputMessage="1" showErrorMessage="1" sqref="C386">
      <formula1>"Number"</formula1>
    </dataValidation>
    <dataValidation type="list" allowBlank="1" showInputMessage="1" showErrorMessage="1" sqref="C387">
      <formula1>"Number"</formula1>
    </dataValidation>
    <dataValidation type="list" allowBlank="1" showInputMessage="1" showErrorMessage="1" sqref="C388">
      <formula1>"Number"</formula1>
    </dataValidation>
    <dataValidation type="list" allowBlank="1" showInputMessage="1" showErrorMessage="1" sqref="C389">
      <formula1>"Number"</formula1>
    </dataValidation>
    <dataValidation type="list" allowBlank="1" showInputMessage="1" showErrorMessage="1" sqref="C390">
      <formula1>"Number"</formula1>
    </dataValidation>
    <dataValidation type="list" allowBlank="1" showInputMessage="1" showErrorMessage="1" sqref="C391">
      <formula1>"Number"</formula1>
    </dataValidation>
    <dataValidation type="list" allowBlank="1" showInputMessage="1" showErrorMessage="1" sqref="C394">
      <formula1>"Number"</formula1>
    </dataValidation>
    <dataValidation type="list" allowBlank="1" showInputMessage="1" showErrorMessage="1" sqref="C395">
      <formula1>"Number"</formula1>
    </dataValidation>
    <dataValidation type="list" allowBlank="1" showInputMessage="1" showErrorMessage="1" sqref="C396">
      <formula1>"Number"</formula1>
    </dataValidation>
    <dataValidation type="list" allowBlank="1" showInputMessage="1" showErrorMessage="1" sqref="C397">
      <formula1>"Number"</formula1>
    </dataValidation>
    <dataValidation type="list" allowBlank="1" showInputMessage="1" showErrorMessage="1" sqref="C398">
      <formula1>"Number"</formula1>
    </dataValidation>
    <dataValidation type="list" allowBlank="1" showInputMessage="1" showErrorMessage="1" sqref="C399">
      <formula1>"Number"</formula1>
    </dataValidation>
    <dataValidation type="list" allowBlank="1" showInputMessage="1" showErrorMessage="1" sqref="C400">
      <formula1>"Number"</formula1>
    </dataValidation>
    <dataValidation type="list" allowBlank="1" showInputMessage="1" showErrorMessage="1" sqref="C401">
      <formula1>"Number"</formula1>
    </dataValidation>
    <dataValidation type="list" allowBlank="1" showInputMessage="1" showErrorMessage="1" sqref="C402">
      <formula1>"Number"</formula1>
    </dataValidation>
    <dataValidation type="list" allowBlank="1" showInputMessage="1" showErrorMessage="1" sqref="C403">
      <formula1>"Number"</formula1>
    </dataValidation>
    <dataValidation type="list" allowBlank="1" showInputMessage="1" showErrorMessage="1" sqref="C404">
      <formula1>"Number"</formula1>
    </dataValidation>
    <dataValidation type="list" allowBlank="1" showInputMessage="1" showErrorMessage="1" sqref="C405">
      <formula1>"Number"</formula1>
    </dataValidation>
    <dataValidation type="list" allowBlank="1" showInputMessage="1" showErrorMessage="1" sqref="C408">
      <formula1>"Number"</formula1>
    </dataValidation>
    <dataValidation type="list" allowBlank="1" showInputMessage="1" showErrorMessage="1" sqref="C409">
      <formula1>"Number"</formula1>
    </dataValidation>
    <dataValidation type="list" allowBlank="1" showInputMessage="1" showErrorMessage="1" sqref="C410">
      <formula1>"Number"</formula1>
    </dataValidation>
    <dataValidation type="list" allowBlank="1" showInputMessage="1" showErrorMessage="1" sqref="C411">
      <formula1>"Number"</formula1>
    </dataValidation>
    <dataValidation type="list" allowBlank="1" showInputMessage="1" showErrorMessage="1" sqref="C412">
      <formula1>"Number"</formula1>
    </dataValidation>
    <dataValidation type="list" allowBlank="1" showInputMessage="1" showErrorMessage="1" sqref="C413">
      <formula1>"Number"</formula1>
    </dataValidation>
    <dataValidation type="list" allowBlank="1" showInputMessage="1" showErrorMessage="1" sqref="C414">
      <formula1>"Number"</formula1>
    </dataValidation>
    <dataValidation type="list" allowBlank="1" showInputMessage="1" showErrorMessage="1" sqref="C415">
      <formula1>"Number"</formula1>
    </dataValidation>
    <dataValidation type="list" allowBlank="1" showInputMessage="1" showErrorMessage="1" sqref="C416">
      <formula1>"Number"</formula1>
    </dataValidation>
    <dataValidation type="list" allowBlank="1" showInputMessage="1" showErrorMessage="1" sqref="C417">
      <formula1>"Number"</formula1>
    </dataValidation>
    <dataValidation type="list" allowBlank="1" showInputMessage="1" showErrorMessage="1" sqref="C418">
      <formula1>"Number"</formula1>
    </dataValidation>
    <dataValidation type="list" allowBlank="1" showInputMessage="1" showErrorMessage="1" sqref="C419">
      <formula1>"Number"</formula1>
    </dataValidation>
    <dataValidation type="list" allowBlank="1" showInputMessage="1" showErrorMessage="1" sqref="C422">
      <formula1>"Number"</formula1>
    </dataValidation>
    <dataValidation type="list" allowBlank="1" showInputMessage="1" showErrorMessage="1" sqref="C423">
      <formula1>"Number"</formula1>
    </dataValidation>
    <dataValidation type="list" allowBlank="1" showInputMessage="1" showErrorMessage="1" sqref="C424">
      <formula1>"Number"</formula1>
    </dataValidation>
    <dataValidation type="list" allowBlank="1" showInputMessage="1" showErrorMessage="1" sqref="C425">
      <formula1>"Number"</formula1>
    </dataValidation>
    <dataValidation type="list" allowBlank="1" showInputMessage="1" showErrorMessage="1" sqref="C426">
      <formula1>"Number"</formula1>
    </dataValidation>
    <dataValidation type="list" allowBlank="1" showInputMessage="1" showErrorMessage="1" sqref="C427">
      <formula1>"Number"</formula1>
    </dataValidation>
    <dataValidation type="list" allowBlank="1" showInputMessage="1" showErrorMessage="1" sqref="C428">
      <formula1>"Number"</formula1>
    </dataValidation>
    <dataValidation type="list" allowBlank="1" showInputMessage="1" showErrorMessage="1" sqref="C429">
      <formula1>"Number"</formula1>
    </dataValidation>
    <dataValidation type="list" allowBlank="1" showInputMessage="1" showErrorMessage="1" sqref="C430">
      <formula1>"Number"</formula1>
    </dataValidation>
    <dataValidation type="list" allowBlank="1" showInputMessage="1" showErrorMessage="1" sqref="C431">
      <formula1>"Number"</formula1>
    </dataValidation>
    <dataValidation type="list" allowBlank="1" showInputMessage="1" showErrorMessage="1" sqref="C432">
      <formula1>"Number"</formula1>
    </dataValidation>
    <dataValidation type="list" allowBlank="1" showInputMessage="1" showErrorMessage="1" sqref="C433">
      <formula1>"Number"</formula1>
    </dataValidation>
    <dataValidation type="list" allowBlank="1" showInputMessage="1" showErrorMessage="1" sqref="C436">
      <formula1>"Number"</formula1>
    </dataValidation>
    <dataValidation type="list" allowBlank="1" showInputMessage="1" showErrorMessage="1" sqref="C437">
      <formula1>"Number"</formula1>
    </dataValidation>
    <dataValidation type="list" allowBlank="1" showInputMessage="1" showErrorMessage="1" sqref="C438">
      <formula1>"Number"</formula1>
    </dataValidation>
    <dataValidation type="list" allowBlank="1" showInputMessage="1" showErrorMessage="1" sqref="C439">
      <formula1>"Number"</formula1>
    </dataValidation>
    <dataValidation type="list" allowBlank="1" showInputMessage="1" showErrorMessage="1" sqref="C440">
      <formula1>"Number"</formula1>
    </dataValidation>
    <dataValidation type="list" allowBlank="1" showInputMessage="1" showErrorMessage="1" sqref="C441">
      <formula1>"Number"</formula1>
    </dataValidation>
    <dataValidation type="list" allowBlank="1" showInputMessage="1" showErrorMessage="1" sqref="C442">
      <formula1>"Number"</formula1>
    </dataValidation>
    <dataValidation type="list" allowBlank="1" showInputMessage="1" showErrorMessage="1" sqref="C443">
      <formula1>"Number"</formula1>
    </dataValidation>
    <dataValidation type="list" allowBlank="1" showInputMessage="1" showErrorMessage="1" sqref="C444">
      <formula1>"Number"</formula1>
    </dataValidation>
    <dataValidation type="list" allowBlank="1" showInputMessage="1" showErrorMessage="1" sqref="C445">
      <formula1>"Number"</formula1>
    </dataValidation>
    <dataValidation type="list" allowBlank="1" showInputMessage="1" showErrorMessage="1" sqref="C446">
      <formula1>"Number"</formula1>
    </dataValidation>
    <dataValidation type="list" allowBlank="1" showInputMessage="1" showErrorMessage="1" sqref="C447">
      <formula1>"Number"</formula1>
    </dataValidation>
    <dataValidation type="list" allowBlank="1" showInputMessage="1" showErrorMessage="1" sqref="C450">
      <formula1>"Number"</formula1>
    </dataValidation>
    <dataValidation type="list" allowBlank="1" showInputMessage="1" showErrorMessage="1" sqref="C451">
      <formula1>"Number"</formula1>
    </dataValidation>
    <dataValidation type="list" allowBlank="1" showInputMessage="1" showErrorMessage="1" sqref="C452">
      <formula1>"Number"</formula1>
    </dataValidation>
    <dataValidation type="list" allowBlank="1" showInputMessage="1" showErrorMessage="1" sqref="C453">
      <formula1>"Number"</formula1>
    </dataValidation>
    <dataValidation type="list" allowBlank="1" showInputMessage="1" showErrorMessage="1" sqref="C454">
      <formula1>"Number"</formula1>
    </dataValidation>
    <dataValidation type="list" allowBlank="1" showInputMessage="1" showErrorMessage="1" sqref="C455">
      <formula1>"Number"</formula1>
    </dataValidation>
    <dataValidation type="list" allowBlank="1" showInputMessage="1" showErrorMessage="1" sqref="C456">
      <formula1>"Number"</formula1>
    </dataValidation>
    <dataValidation type="list" allowBlank="1" showInputMessage="1" showErrorMessage="1" sqref="C457">
      <formula1>"Number"</formula1>
    </dataValidation>
    <dataValidation type="list" allowBlank="1" showInputMessage="1" showErrorMessage="1" sqref="C458">
      <formula1>"Number"</formula1>
    </dataValidation>
    <dataValidation type="list" allowBlank="1" showInputMessage="1" showErrorMessage="1" sqref="C459">
      <formula1>"Number"</formula1>
    </dataValidation>
    <dataValidation type="list" allowBlank="1" showInputMessage="1" showErrorMessage="1" sqref="C460">
      <formula1>"Number"</formula1>
    </dataValidation>
    <dataValidation type="list" allowBlank="1" showInputMessage="1" showErrorMessage="1" sqref="C461">
      <formula1>"Number"</formula1>
    </dataValidation>
    <dataValidation type="list" allowBlank="1" showInputMessage="1" showErrorMessage="1" sqref="C464">
      <formula1>"Number"</formula1>
    </dataValidation>
    <dataValidation type="list" allowBlank="1" showInputMessage="1" showErrorMessage="1" sqref="C465">
      <formula1>"Number"</formula1>
    </dataValidation>
    <dataValidation type="list" allowBlank="1" showInputMessage="1" showErrorMessage="1" sqref="C466">
      <formula1>"Number"</formula1>
    </dataValidation>
    <dataValidation type="list" allowBlank="1" showInputMessage="1" showErrorMessage="1" sqref="C467">
      <formula1>"Number"</formula1>
    </dataValidation>
    <dataValidation type="list" allowBlank="1" showInputMessage="1" showErrorMessage="1" sqref="C468">
      <formula1>"Number"</formula1>
    </dataValidation>
    <dataValidation type="list" allowBlank="1" showInputMessage="1" showErrorMessage="1" sqref="C469">
      <formula1>"Number"</formula1>
    </dataValidation>
    <dataValidation type="list" allowBlank="1" showInputMessage="1" showErrorMessage="1" sqref="C470">
      <formula1>"Number"</formula1>
    </dataValidation>
    <dataValidation type="list" allowBlank="1" showInputMessage="1" showErrorMessage="1" sqref="C471">
      <formula1>"Number"</formula1>
    </dataValidation>
    <dataValidation type="list" allowBlank="1" showInputMessage="1" showErrorMessage="1" sqref="C472">
      <formula1>"Number"</formula1>
    </dataValidation>
    <dataValidation type="list" allowBlank="1" showInputMessage="1" showErrorMessage="1" sqref="C473">
      <formula1>"Number"</formula1>
    </dataValidation>
    <dataValidation type="list" allowBlank="1" showInputMessage="1" showErrorMessage="1" sqref="C474">
      <formula1>"Number"</formula1>
    </dataValidation>
    <dataValidation type="list" allowBlank="1" showInputMessage="1" showErrorMessage="1" sqref="C475">
      <formula1>"Number"</formula1>
    </dataValidation>
    <dataValidation type="list" allowBlank="1" showInputMessage="1" showErrorMessage="1" sqref="C478">
      <formula1>"Number"</formula1>
    </dataValidation>
    <dataValidation type="list" allowBlank="1" showInputMessage="1" showErrorMessage="1" sqref="C479">
      <formula1>"Number"</formula1>
    </dataValidation>
    <dataValidation type="list" allowBlank="1" showInputMessage="1" showErrorMessage="1" sqref="C480">
      <formula1>"Number"</formula1>
    </dataValidation>
    <dataValidation type="list" allowBlank="1" showInputMessage="1" showErrorMessage="1" sqref="C481">
      <formula1>"Number"</formula1>
    </dataValidation>
    <dataValidation type="list" allowBlank="1" showInputMessage="1" showErrorMessage="1" sqref="C482">
      <formula1>"Number"</formula1>
    </dataValidation>
    <dataValidation type="list" allowBlank="1" showInputMessage="1" showErrorMessage="1" sqref="C483">
      <formula1>"Number"</formula1>
    </dataValidation>
    <dataValidation type="list" allowBlank="1" showInputMessage="1" showErrorMessage="1" sqref="C484">
      <formula1>"Number"</formula1>
    </dataValidation>
    <dataValidation type="list" allowBlank="1" showInputMessage="1" showErrorMessage="1" sqref="C485">
      <formula1>"Number"</formula1>
    </dataValidation>
    <dataValidation type="list" allowBlank="1" showInputMessage="1" showErrorMessage="1" sqref="C486">
      <formula1>"Number"</formula1>
    </dataValidation>
    <dataValidation type="list" allowBlank="1" showInputMessage="1" showErrorMessage="1" sqref="C487">
      <formula1>"Number"</formula1>
    </dataValidation>
    <dataValidation type="list" allowBlank="1" showInputMessage="1" showErrorMessage="1" sqref="C488">
      <formula1>"Number"</formula1>
    </dataValidation>
    <dataValidation type="list" allowBlank="1" showInputMessage="1" showErrorMessage="1" sqref="C489">
      <formula1>"Number"</formula1>
    </dataValidation>
    <dataValidation type="list" allowBlank="1" showInputMessage="1" showErrorMessage="1" sqref="C492">
      <formula1>"Number"</formula1>
    </dataValidation>
    <dataValidation type="list" allowBlank="1" showInputMessage="1" showErrorMessage="1" sqref="C493">
      <formula1>"Number"</formula1>
    </dataValidation>
    <dataValidation type="list" allowBlank="1" showInputMessage="1" showErrorMessage="1" sqref="C494">
      <formula1>"Number"</formula1>
    </dataValidation>
    <dataValidation type="list" allowBlank="1" showInputMessage="1" showErrorMessage="1" sqref="C495">
      <formula1>"Number"</formula1>
    </dataValidation>
    <dataValidation type="list" allowBlank="1" showInputMessage="1" showErrorMessage="1" sqref="C496">
      <formula1>"Number"</formula1>
    </dataValidation>
    <dataValidation type="list" allowBlank="1" showInputMessage="1" showErrorMessage="1" sqref="C497">
      <formula1>"Number"</formula1>
    </dataValidation>
    <dataValidation type="list" allowBlank="1" showInputMessage="1" showErrorMessage="1" sqref="C498">
      <formula1>"Number"</formula1>
    </dataValidation>
    <dataValidation type="list" allowBlank="1" showInputMessage="1" showErrorMessage="1" sqref="C499">
      <formula1>"Number"</formula1>
    </dataValidation>
    <dataValidation type="list" allowBlank="1" showInputMessage="1" showErrorMessage="1" sqref="C500">
      <formula1>"Number"</formula1>
    </dataValidation>
    <dataValidation type="list" allowBlank="1" showInputMessage="1" showErrorMessage="1" sqref="C501">
      <formula1>"Number"</formula1>
    </dataValidation>
    <dataValidation type="list" allowBlank="1" showInputMessage="1" showErrorMessage="1" sqref="C502">
      <formula1>"Number"</formula1>
    </dataValidation>
    <dataValidation type="list" allowBlank="1" showInputMessage="1" showErrorMessage="1" sqref="C503">
      <formula1>"Number"</formula1>
    </dataValidation>
    <dataValidation type="list" allowBlank="1" showInputMessage="1" showErrorMessage="1" sqref="C506">
      <formula1>"Number"</formula1>
    </dataValidation>
    <dataValidation type="list" allowBlank="1" showInputMessage="1" showErrorMessage="1" sqref="C507">
      <formula1>"Number"</formula1>
    </dataValidation>
    <dataValidation type="list" allowBlank="1" showInputMessage="1" showErrorMessage="1" sqref="C508">
      <formula1>"Number"</formula1>
    </dataValidation>
    <dataValidation type="list" allowBlank="1" showInputMessage="1" showErrorMessage="1" sqref="C509">
      <formula1>"Number"</formula1>
    </dataValidation>
    <dataValidation type="list" allowBlank="1" showInputMessage="1" showErrorMessage="1" sqref="C510">
      <formula1>"Number"</formula1>
    </dataValidation>
    <dataValidation type="list" allowBlank="1" showInputMessage="1" showErrorMessage="1" sqref="C511">
      <formula1>"Number"</formula1>
    </dataValidation>
    <dataValidation type="list" allowBlank="1" showInputMessage="1" showErrorMessage="1" sqref="C512">
      <formula1>"Number"</formula1>
    </dataValidation>
    <dataValidation type="list" allowBlank="1" showInputMessage="1" showErrorMessage="1" sqref="C513">
      <formula1>"Number"</formula1>
    </dataValidation>
    <dataValidation type="list" allowBlank="1" showInputMessage="1" showErrorMessage="1" sqref="C514">
      <formula1>"Number"</formula1>
    </dataValidation>
    <dataValidation type="list" allowBlank="1" showInputMessage="1" showErrorMessage="1" sqref="C515">
      <formula1>"Number"</formula1>
    </dataValidation>
    <dataValidation type="list" allowBlank="1" showInputMessage="1" showErrorMessage="1" sqref="C516">
      <formula1>"Number"</formula1>
    </dataValidation>
    <dataValidation type="list" allowBlank="1" showInputMessage="1" showErrorMessage="1" sqref="C517">
      <formula1>"Number"</formula1>
    </dataValidation>
    <dataValidation type="list" allowBlank="1" showInputMessage="1" showErrorMessage="1" sqref="C520">
      <formula1>"Number"</formula1>
    </dataValidation>
    <dataValidation type="list" allowBlank="1" showInputMessage="1" showErrorMessage="1" sqref="C521">
      <formula1>"Number"</formula1>
    </dataValidation>
    <dataValidation type="list" allowBlank="1" showInputMessage="1" showErrorMessage="1" sqref="C522">
      <formula1>"Number"</formula1>
    </dataValidation>
    <dataValidation type="list" allowBlank="1" showInputMessage="1" showErrorMessage="1" sqref="C523">
      <formula1>"Number"</formula1>
    </dataValidation>
    <dataValidation type="list" allowBlank="1" showInputMessage="1" showErrorMessage="1" sqref="C524">
      <formula1>"Number"</formula1>
    </dataValidation>
    <dataValidation type="list" allowBlank="1" showInputMessage="1" showErrorMessage="1" sqref="C525">
      <formula1>"Number"</formula1>
    </dataValidation>
    <dataValidation type="list" allowBlank="1" showInputMessage="1" showErrorMessage="1" sqref="C526">
      <formula1>"Number"</formula1>
    </dataValidation>
    <dataValidation type="list" allowBlank="1" showInputMessage="1" showErrorMessage="1" sqref="C527">
      <formula1>"Number"</formula1>
    </dataValidation>
    <dataValidation type="list" allowBlank="1" showInputMessage="1" showErrorMessage="1" sqref="C528">
      <formula1>"Number"</formula1>
    </dataValidation>
    <dataValidation type="list" allowBlank="1" showInputMessage="1" showErrorMessage="1" sqref="C529">
      <formula1>"Number"</formula1>
    </dataValidation>
    <dataValidation type="list" allowBlank="1" showInputMessage="1" showErrorMessage="1" sqref="C530">
      <formula1>"Number"</formula1>
    </dataValidation>
    <dataValidation type="list" allowBlank="1" showInputMessage="1" showErrorMessage="1" sqref="C531">
      <formula1>"Number"</formula1>
    </dataValidation>
    <dataValidation type="list" allowBlank="1" showInputMessage="1" showErrorMessage="1" sqref="C534">
      <formula1>"Number"</formula1>
    </dataValidation>
    <dataValidation type="list" allowBlank="1" showInputMessage="1" showErrorMessage="1" sqref="C535">
      <formula1>"Number"</formula1>
    </dataValidation>
    <dataValidation type="list" allowBlank="1" showInputMessage="1" showErrorMessage="1" sqref="C536">
      <formula1>"Number"</formula1>
    </dataValidation>
    <dataValidation type="list" allowBlank="1" showInputMessage="1" showErrorMessage="1" sqref="C537">
      <formula1>"Number"</formula1>
    </dataValidation>
    <dataValidation type="list" allowBlank="1" showInputMessage="1" showErrorMessage="1" sqref="C538">
      <formula1>"Number"</formula1>
    </dataValidation>
    <dataValidation type="list" allowBlank="1" showInputMessage="1" showErrorMessage="1" sqref="C539">
      <formula1>"Number"</formula1>
    </dataValidation>
    <dataValidation type="list" allowBlank="1" showInputMessage="1" showErrorMessage="1" sqref="C540">
      <formula1>"Number"</formula1>
    </dataValidation>
    <dataValidation type="list" allowBlank="1" showInputMessage="1" showErrorMessage="1" sqref="C541">
      <formula1>"Number"</formula1>
    </dataValidation>
    <dataValidation type="list" allowBlank="1" showInputMessage="1" showErrorMessage="1" sqref="C542">
      <formula1>"Number"</formula1>
    </dataValidation>
    <dataValidation type="list" allowBlank="1" showInputMessage="1" showErrorMessage="1" sqref="C543">
      <formula1>"Number"</formula1>
    </dataValidation>
    <dataValidation type="list" allowBlank="1" showInputMessage="1" showErrorMessage="1" sqref="C544">
      <formula1>"Number"</formula1>
    </dataValidation>
    <dataValidation type="list" allowBlank="1" showInputMessage="1" showErrorMessage="1" sqref="C545">
      <formula1>"Number"</formula1>
    </dataValidation>
    <dataValidation type="list" allowBlank="1" showInputMessage="1" showErrorMessage="1" sqref="C548">
      <formula1>"Number"</formula1>
    </dataValidation>
    <dataValidation type="list" allowBlank="1" showInputMessage="1" showErrorMessage="1" sqref="C549">
      <formula1>"Number"</formula1>
    </dataValidation>
    <dataValidation type="list" allowBlank="1" showInputMessage="1" showErrorMessage="1" sqref="C550">
      <formula1>"Number"</formula1>
    </dataValidation>
    <dataValidation type="list" allowBlank="1" showInputMessage="1" showErrorMessage="1" sqref="C551">
      <formula1>"Number"</formula1>
    </dataValidation>
    <dataValidation type="list" allowBlank="1" showInputMessage="1" showErrorMessage="1" sqref="C552">
      <formula1>"Number"</formula1>
    </dataValidation>
    <dataValidation type="list" allowBlank="1" showInputMessage="1" showErrorMessage="1" sqref="C553">
      <formula1>"Number"</formula1>
    </dataValidation>
    <dataValidation type="list" allowBlank="1" showInputMessage="1" showErrorMessage="1" sqref="C554">
      <formula1>"Number"</formula1>
    </dataValidation>
    <dataValidation type="list" allowBlank="1" showInputMessage="1" showErrorMessage="1" sqref="C555">
      <formula1>"Number"</formula1>
    </dataValidation>
    <dataValidation type="list" allowBlank="1" showInputMessage="1" showErrorMessage="1" sqref="C556">
      <formula1>"Number"</formula1>
    </dataValidation>
    <dataValidation type="list" allowBlank="1" showInputMessage="1" showErrorMessage="1" sqref="C557">
      <formula1>"Number"</formula1>
    </dataValidation>
    <dataValidation type="list" allowBlank="1" showInputMessage="1" showErrorMessage="1" sqref="C558">
      <formula1>"Number"</formula1>
    </dataValidation>
    <dataValidation type="list" allowBlank="1" showInputMessage="1" showErrorMessage="1" sqref="C559">
      <formula1>"Number"</formula1>
    </dataValidation>
    <dataValidation type="list" allowBlank="1" showInputMessage="1" showErrorMessage="1" sqref="C562">
      <formula1>"Number"</formula1>
    </dataValidation>
    <dataValidation type="list" allowBlank="1" showInputMessage="1" showErrorMessage="1" sqref="C563">
      <formula1>"Number"</formula1>
    </dataValidation>
    <dataValidation type="list" allowBlank="1" showInputMessage="1" showErrorMessage="1" sqref="C564">
      <formula1>"Number"</formula1>
    </dataValidation>
    <dataValidation type="list" allowBlank="1" showInputMessage="1" showErrorMessage="1" sqref="C565">
      <formula1>"Number"</formula1>
    </dataValidation>
    <dataValidation type="list" allowBlank="1" showInputMessage="1" showErrorMessage="1" sqref="C566">
      <formula1>"Number"</formula1>
    </dataValidation>
    <dataValidation type="list" allowBlank="1" showInputMessage="1" showErrorMessage="1" sqref="C567">
      <formula1>"Number"</formula1>
    </dataValidation>
    <dataValidation type="list" allowBlank="1" showInputMessage="1" showErrorMessage="1" sqref="C568">
      <formula1>"Number"</formula1>
    </dataValidation>
    <dataValidation type="list" allowBlank="1" showInputMessage="1" showErrorMessage="1" sqref="C569">
      <formula1>"Number"</formula1>
    </dataValidation>
    <dataValidation type="list" allowBlank="1" showInputMessage="1" showErrorMessage="1" sqref="C570">
      <formula1>"Number"</formula1>
    </dataValidation>
    <dataValidation type="list" allowBlank="1" showInputMessage="1" showErrorMessage="1" sqref="C571">
      <formula1>"Number"</formula1>
    </dataValidation>
    <dataValidation type="list" allowBlank="1" showInputMessage="1" showErrorMessage="1" sqref="C572">
      <formula1>"Number"</formula1>
    </dataValidation>
    <dataValidation type="list" allowBlank="1" showInputMessage="1" showErrorMessage="1" sqref="C573">
      <formula1>"Number"</formula1>
    </dataValidation>
    <dataValidation type="list" allowBlank="1" showInputMessage="1" showErrorMessage="1" sqref="C576">
      <formula1>"Number"</formula1>
    </dataValidation>
    <dataValidation type="list" allowBlank="1" showInputMessage="1" showErrorMessage="1" sqref="C577">
      <formula1>"Number"</formula1>
    </dataValidation>
    <dataValidation type="list" allowBlank="1" showInputMessage="1" showErrorMessage="1" sqref="C578">
      <formula1>"Number"</formula1>
    </dataValidation>
    <dataValidation type="list" allowBlank="1" showInputMessage="1" showErrorMessage="1" sqref="C579">
      <formula1>"Number"</formula1>
    </dataValidation>
    <dataValidation type="list" allowBlank="1" showInputMessage="1" showErrorMessage="1" sqref="C580">
      <formula1>"Number"</formula1>
    </dataValidation>
    <dataValidation type="list" allowBlank="1" showInputMessage="1" showErrorMessage="1" sqref="C581">
      <formula1>"Number"</formula1>
    </dataValidation>
    <dataValidation type="list" allowBlank="1" showInputMessage="1" showErrorMessage="1" sqref="C582">
      <formula1>"Number"</formula1>
    </dataValidation>
    <dataValidation type="list" allowBlank="1" showInputMessage="1" showErrorMessage="1" sqref="C583">
      <formula1>"Number"</formula1>
    </dataValidation>
    <dataValidation type="list" allowBlank="1" showInputMessage="1" showErrorMessage="1" sqref="C584">
      <formula1>"Number"</formula1>
    </dataValidation>
    <dataValidation type="list" allowBlank="1" showInputMessage="1" showErrorMessage="1" sqref="C585">
      <formula1>"Number"</formula1>
    </dataValidation>
    <dataValidation type="list" allowBlank="1" showInputMessage="1" showErrorMessage="1" sqref="C586">
      <formula1>"Number"</formula1>
    </dataValidation>
    <dataValidation type="list" allowBlank="1" showInputMessage="1" showErrorMessage="1" sqref="C587">
      <formula1>"Number"</formula1>
    </dataValidation>
    <dataValidation type="list" allowBlank="1" showInputMessage="1" showErrorMessage="1" sqref="C590">
      <formula1>"Number"</formula1>
    </dataValidation>
    <dataValidation type="list" allowBlank="1" showInputMessage="1" showErrorMessage="1" sqref="C591">
      <formula1>"Number"</formula1>
    </dataValidation>
    <dataValidation type="list" allowBlank="1" showInputMessage="1" showErrorMessage="1" sqref="C592">
      <formula1>"Number"</formula1>
    </dataValidation>
    <dataValidation type="list" allowBlank="1" showInputMessage="1" showErrorMessage="1" sqref="C593">
      <formula1>"Number"</formula1>
    </dataValidation>
    <dataValidation type="list" allowBlank="1" showInputMessage="1" showErrorMessage="1" sqref="C594">
      <formula1>"Number"</formula1>
    </dataValidation>
    <dataValidation type="list" allowBlank="1" showInputMessage="1" showErrorMessage="1" sqref="C595">
      <formula1>"Number"</formula1>
    </dataValidation>
    <dataValidation type="list" allowBlank="1" showInputMessage="1" showErrorMessage="1" sqref="C596">
      <formula1>"Number"</formula1>
    </dataValidation>
    <dataValidation type="list" allowBlank="1" showInputMessage="1" showErrorMessage="1" sqref="C597">
      <formula1>"Number"</formula1>
    </dataValidation>
    <dataValidation type="list" allowBlank="1" showInputMessage="1" showErrorMessage="1" sqref="C598">
      <formula1>"Number"</formula1>
    </dataValidation>
    <dataValidation type="list" allowBlank="1" showInputMessage="1" showErrorMessage="1" sqref="C599">
      <formula1>"Number"</formula1>
    </dataValidation>
    <dataValidation type="list" allowBlank="1" showInputMessage="1" showErrorMessage="1" sqref="C600">
      <formula1>"Number"</formula1>
    </dataValidation>
    <dataValidation type="list" allowBlank="1" showInputMessage="1" showErrorMessage="1" sqref="C601">
      <formula1>"Number"</formula1>
    </dataValidation>
    <dataValidation type="list" allowBlank="1" showInputMessage="1" showErrorMessage="1" sqref="C604">
      <formula1>"Number"</formula1>
    </dataValidation>
    <dataValidation type="list" allowBlank="1" showInputMessage="1" showErrorMessage="1" sqref="C605">
      <formula1>"Number"</formula1>
    </dataValidation>
    <dataValidation type="list" allowBlank="1" showInputMessage="1" showErrorMessage="1" sqref="C606">
      <formula1>"Number"</formula1>
    </dataValidation>
    <dataValidation type="list" allowBlank="1" showInputMessage="1" showErrorMessage="1" sqref="C607">
      <formula1>"Number"</formula1>
    </dataValidation>
    <dataValidation type="list" allowBlank="1" showInputMessage="1" showErrorMessage="1" sqref="C608">
      <formula1>"Number"</formula1>
    </dataValidation>
    <dataValidation type="list" allowBlank="1" showInputMessage="1" showErrorMessage="1" sqref="C609">
      <formula1>"Number"</formula1>
    </dataValidation>
    <dataValidation type="list" allowBlank="1" showInputMessage="1" showErrorMessage="1" sqref="C610">
      <formula1>"Number"</formula1>
    </dataValidation>
    <dataValidation type="list" allowBlank="1" showInputMessage="1" showErrorMessage="1" sqref="C611">
      <formula1>"Number"</formula1>
    </dataValidation>
    <dataValidation type="list" allowBlank="1" showInputMessage="1" showErrorMessage="1" sqref="C612">
      <formula1>"Number"</formula1>
    </dataValidation>
    <dataValidation type="list" allowBlank="1" showInputMessage="1" showErrorMessage="1" sqref="C613">
      <formula1>"Number"</formula1>
    </dataValidation>
    <dataValidation type="list" allowBlank="1" showInputMessage="1" showErrorMessage="1" sqref="C614">
      <formula1>"Number"</formula1>
    </dataValidation>
    <dataValidation type="list" allowBlank="1" showInputMessage="1" showErrorMessage="1" sqref="C615">
      <formula1>"Number"</formula1>
    </dataValidation>
    <dataValidation type="list" allowBlank="1" showInputMessage="1" showErrorMessage="1" sqref="C618">
      <formula1>"Number"</formula1>
    </dataValidation>
    <dataValidation type="list" allowBlank="1" showInputMessage="1" showErrorMessage="1" sqref="C619">
      <formula1>"Number"</formula1>
    </dataValidation>
    <dataValidation type="list" allowBlank="1" showInputMessage="1" showErrorMessage="1" sqref="C620">
      <formula1>"Number"</formula1>
    </dataValidation>
    <dataValidation type="list" allowBlank="1" showInputMessage="1" showErrorMessage="1" sqref="C621">
      <formula1>"Number"</formula1>
    </dataValidation>
    <dataValidation type="list" allowBlank="1" showInputMessage="1" showErrorMessage="1" sqref="C622">
      <formula1>"Number"</formula1>
    </dataValidation>
    <dataValidation type="list" allowBlank="1" showInputMessage="1" showErrorMessage="1" sqref="C623">
      <formula1>"Number"</formula1>
    </dataValidation>
    <dataValidation type="list" allowBlank="1" showInputMessage="1" showErrorMessage="1" sqref="C624">
      <formula1>"Number"</formula1>
    </dataValidation>
    <dataValidation type="list" allowBlank="1" showInputMessage="1" showErrorMessage="1" sqref="C625">
      <formula1>"Number"</formula1>
    </dataValidation>
    <dataValidation type="list" allowBlank="1" showInputMessage="1" showErrorMessage="1" sqref="C626">
      <formula1>"Number"</formula1>
    </dataValidation>
    <dataValidation type="list" allowBlank="1" showInputMessage="1" showErrorMessage="1" sqref="C627">
      <formula1>"Number"</formula1>
    </dataValidation>
    <dataValidation type="list" allowBlank="1" showInputMessage="1" showErrorMessage="1" sqref="C628">
      <formula1>"Number"</formula1>
    </dataValidation>
    <dataValidation type="list" allowBlank="1" showInputMessage="1" showErrorMessage="1" sqref="C629">
      <formula1>"Number"</formula1>
    </dataValidation>
    <dataValidation type="list" allowBlank="1" showInputMessage="1" showErrorMessage="1" sqref="C632">
      <formula1>"Number"</formula1>
    </dataValidation>
    <dataValidation type="list" allowBlank="1" showInputMessage="1" showErrorMessage="1" sqref="C633">
      <formula1>"Number"</formula1>
    </dataValidation>
    <dataValidation type="list" allowBlank="1" showInputMessage="1" showErrorMessage="1" sqref="C634">
      <formula1>"Number"</formula1>
    </dataValidation>
    <dataValidation type="list" allowBlank="1" showInputMessage="1" showErrorMessage="1" sqref="C635">
      <formula1>"Number"</formula1>
    </dataValidation>
    <dataValidation type="list" allowBlank="1" showInputMessage="1" showErrorMessage="1" sqref="C636">
      <formula1>"Number"</formula1>
    </dataValidation>
    <dataValidation type="list" allowBlank="1" showInputMessage="1" showErrorMessage="1" sqref="C637">
      <formula1>"Number"</formula1>
    </dataValidation>
    <dataValidation type="list" allowBlank="1" showInputMessage="1" showErrorMessage="1" sqref="C638">
      <formula1>"Number"</formula1>
    </dataValidation>
    <dataValidation type="list" allowBlank="1" showInputMessage="1" showErrorMessage="1" sqref="C639">
      <formula1>"Number"</formula1>
    </dataValidation>
    <dataValidation type="list" allowBlank="1" showInputMessage="1" showErrorMessage="1" sqref="C640">
      <formula1>"Number"</formula1>
    </dataValidation>
    <dataValidation type="list" allowBlank="1" showInputMessage="1" showErrorMessage="1" sqref="C641">
      <formula1>"Number"</formula1>
    </dataValidation>
    <dataValidation type="list" allowBlank="1" showInputMessage="1" showErrorMessage="1" sqref="C642">
      <formula1>"Number"</formula1>
    </dataValidation>
    <dataValidation type="list" allowBlank="1" showInputMessage="1" showErrorMessage="1" sqref="C643">
      <formula1>"Number"</formula1>
    </dataValidation>
    <dataValidation type="list" allowBlank="1" showInputMessage="1" showErrorMessage="1" sqref="C646">
      <formula1>"Number"</formula1>
    </dataValidation>
    <dataValidation type="list" allowBlank="1" showInputMessage="1" showErrorMessage="1" sqref="C647">
      <formula1>"Number"</formula1>
    </dataValidation>
    <dataValidation type="list" allowBlank="1" showInputMessage="1" showErrorMessage="1" sqref="C648">
      <formula1>"Number"</formula1>
    </dataValidation>
    <dataValidation type="list" allowBlank="1" showInputMessage="1" showErrorMessage="1" sqref="C649">
      <formula1>"Number"</formula1>
    </dataValidation>
    <dataValidation type="list" allowBlank="1" showInputMessage="1" showErrorMessage="1" sqref="C650">
      <formula1>"Number"</formula1>
    </dataValidation>
    <dataValidation type="list" allowBlank="1" showInputMessage="1" showErrorMessage="1" sqref="C651">
      <formula1>"Number"</formula1>
    </dataValidation>
    <dataValidation type="list" allowBlank="1" showInputMessage="1" showErrorMessage="1" sqref="C652">
      <formula1>"Number"</formula1>
    </dataValidation>
    <dataValidation type="list" allowBlank="1" showInputMessage="1" showErrorMessage="1" sqref="C653">
      <formula1>"Number"</formula1>
    </dataValidation>
    <dataValidation type="list" allowBlank="1" showInputMessage="1" showErrorMessage="1" sqref="C654">
      <formula1>"Number"</formula1>
    </dataValidation>
    <dataValidation type="list" allowBlank="1" showInputMessage="1" showErrorMessage="1" sqref="C655">
      <formula1>"Number"</formula1>
    </dataValidation>
    <dataValidation type="list" allowBlank="1" showInputMessage="1" showErrorMessage="1" sqref="C656">
      <formula1>"Number"</formula1>
    </dataValidation>
    <dataValidation type="list" allowBlank="1" showInputMessage="1" showErrorMessage="1" sqref="C657">
      <formula1>"Number"</formula1>
    </dataValidation>
    <dataValidation type="list" allowBlank="1" showInputMessage="1" showErrorMessage="1" sqref="C660">
      <formula1>"Number"</formula1>
    </dataValidation>
    <dataValidation type="list" allowBlank="1" showInputMessage="1" showErrorMessage="1" sqref="C661">
      <formula1>"Number"</formula1>
    </dataValidation>
    <dataValidation type="list" allowBlank="1" showInputMessage="1" showErrorMessage="1" sqref="C662">
      <formula1>"Number"</formula1>
    </dataValidation>
    <dataValidation type="list" allowBlank="1" showInputMessage="1" showErrorMessage="1" sqref="C663">
      <formula1>"Number"</formula1>
    </dataValidation>
    <dataValidation type="list" allowBlank="1" showInputMessage="1" showErrorMessage="1" sqref="C664">
      <formula1>"Number"</formula1>
    </dataValidation>
    <dataValidation type="list" allowBlank="1" showInputMessage="1" showErrorMessage="1" sqref="C665">
      <formula1>"Number"</formula1>
    </dataValidation>
    <dataValidation type="list" allowBlank="1" showInputMessage="1" showErrorMessage="1" sqref="C666">
      <formula1>"Number"</formula1>
    </dataValidation>
    <dataValidation type="list" allowBlank="1" showInputMessage="1" showErrorMessage="1" sqref="C667">
      <formula1>"Number"</formula1>
    </dataValidation>
    <dataValidation type="list" allowBlank="1" showInputMessage="1" showErrorMessage="1" sqref="C668">
      <formula1>"Number"</formula1>
    </dataValidation>
    <dataValidation type="list" allowBlank="1" showInputMessage="1" showErrorMessage="1" sqref="C669">
      <formula1>"Number"</formula1>
    </dataValidation>
    <dataValidation type="list" allowBlank="1" showInputMessage="1" showErrorMessage="1" sqref="C670">
      <formula1>"Number"</formula1>
    </dataValidation>
    <dataValidation type="list" allowBlank="1" showInputMessage="1" showErrorMessage="1" sqref="C671">
      <formula1>"Number"</formula1>
    </dataValidation>
    <dataValidation type="list" allowBlank="1" showInputMessage="1" showErrorMessage="1" sqref="C674">
      <formula1>"Number"</formula1>
    </dataValidation>
    <dataValidation type="list" allowBlank="1" showInputMessage="1" showErrorMessage="1" sqref="C675">
      <formula1>"Number"</formula1>
    </dataValidation>
    <dataValidation type="list" allowBlank="1" showInputMessage="1" showErrorMessage="1" sqref="C676">
      <formula1>"Number"</formula1>
    </dataValidation>
    <dataValidation type="list" allowBlank="1" showInputMessage="1" showErrorMessage="1" sqref="C677">
      <formula1>"Number"</formula1>
    </dataValidation>
    <dataValidation type="list" allowBlank="1" showInputMessage="1" showErrorMessage="1" sqref="C678">
      <formula1>"Number"</formula1>
    </dataValidation>
    <dataValidation type="list" allowBlank="1" showInputMessage="1" showErrorMessage="1" sqref="C679">
      <formula1>"Number"</formula1>
    </dataValidation>
    <dataValidation type="list" allowBlank="1" showInputMessage="1" showErrorMessage="1" sqref="C680">
      <formula1>"Number"</formula1>
    </dataValidation>
    <dataValidation type="list" allowBlank="1" showInputMessage="1" showErrorMessage="1" sqref="C681">
      <formula1>"Number"</formula1>
    </dataValidation>
    <dataValidation type="list" allowBlank="1" showInputMessage="1" showErrorMessage="1" sqref="C682">
      <formula1>"Number"</formula1>
    </dataValidation>
    <dataValidation type="list" allowBlank="1" showInputMessage="1" showErrorMessage="1" sqref="C683">
      <formula1>"Number"</formula1>
    </dataValidation>
    <dataValidation type="list" allowBlank="1" showInputMessage="1" showErrorMessage="1" sqref="C684">
      <formula1>"Number"</formula1>
    </dataValidation>
    <dataValidation type="list" allowBlank="1" showInputMessage="1" showErrorMessage="1" sqref="C685">
      <formula1>"Number"</formula1>
    </dataValidation>
    <dataValidation type="list" allowBlank="1" showInputMessage="1" showErrorMessage="1" sqref="C688">
      <formula1>"Number"</formula1>
    </dataValidation>
    <dataValidation type="list" allowBlank="1" showInputMessage="1" showErrorMessage="1" sqref="C689">
      <formula1>"Number"</formula1>
    </dataValidation>
    <dataValidation type="list" allowBlank="1" showInputMessage="1" showErrorMessage="1" sqref="C690">
      <formula1>"Number"</formula1>
    </dataValidation>
    <dataValidation type="list" allowBlank="1" showInputMessage="1" showErrorMessage="1" sqref="C691">
      <formula1>"Number"</formula1>
    </dataValidation>
    <dataValidation type="list" allowBlank="1" showInputMessage="1" showErrorMessage="1" sqref="C692">
      <formula1>"Number"</formula1>
    </dataValidation>
    <dataValidation type="list" allowBlank="1" showInputMessage="1" showErrorMessage="1" sqref="C693">
      <formula1>"Number"</formula1>
    </dataValidation>
    <dataValidation type="list" allowBlank="1" showInputMessage="1" showErrorMessage="1" sqref="C694">
      <formula1>"Number"</formula1>
    </dataValidation>
    <dataValidation type="list" allowBlank="1" showInputMessage="1" showErrorMessage="1" sqref="C695">
      <formula1>"Number"</formula1>
    </dataValidation>
    <dataValidation type="list" allowBlank="1" showInputMessage="1" showErrorMessage="1" sqref="C696">
      <formula1>"Number"</formula1>
    </dataValidation>
    <dataValidation type="list" allowBlank="1" showInputMessage="1" showErrorMessage="1" sqref="C697">
      <formula1>"Number"</formula1>
    </dataValidation>
    <dataValidation type="list" allowBlank="1" showInputMessage="1" showErrorMessage="1" sqref="C698">
      <formula1>"Number"</formula1>
    </dataValidation>
    <dataValidation type="list" allowBlank="1" showInputMessage="1" showErrorMessage="1" sqref="C699">
      <formula1>"Number"</formula1>
    </dataValidation>
    <dataValidation type="list" allowBlank="1" showInputMessage="1" showErrorMessage="1" sqref="C702">
      <formula1>"Number"</formula1>
    </dataValidation>
    <dataValidation type="list" allowBlank="1" showInputMessage="1" showErrorMessage="1" sqref="C703">
      <formula1>"Number"</formula1>
    </dataValidation>
    <dataValidation type="list" allowBlank="1" showInputMessage="1" showErrorMessage="1" sqref="C704">
      <formula1>"Number"</formula1>
    </dataValidation>
    <dataValidation type="list" allowBlank="1" showInputMessage="1" showErrorMessage="1" sqref="C705">
      <formula1>"Number"</formula1>
    </dataValidation>
    <dataValidation type="list" allowBlank="1" showInputMessage="1" showErrorMessage="1" sqref="C706">
      <formula1>"Number"</formula1>
    </dataValidation>
    <dataValidation type="list" allowBlank="1" showInputMessage="1" showErrorMessage="1" sqref="C707">
      <formula1>"Number"</formula1>
    </dataValidation>
    <dataValidation type="list" allowBlank="1" showInputMessage="1" showErrorMessage="1" sqref="C708">
      <formula1>"Number"</formula1>
    </dataValidation>
    <dataValidation type="list" allowBlank="1" showInputMessage="1" showErrorMessage="1" sqref="C709">
      <formula1>"Number"</formula1>
    </dataValidation>
    <dataValidation type="list" allowBlank="1" showInputMessage="1" showErrorMessage="1" sqref="C710">
      <formula1>"Number"</formula1>
    </dataValidation>
    <dataValidation type="list" allowBlank="1" showInputMessage="1" showErrorMessage="1" sqref="C711">
      <formula1>"Number"</formula1>
    </dataValidation>
    <dataValidation type="list" allowBlank="1" showInputMessage="1" showErrorMessage="1" sqref="C712">
      <formula1>"Number"</formula1>
    </dataValidation>
    <dataValidation type="list" allowBlank="1" showInputMessage="1" showErrorMessage="1" sqref="C713">
      <formula1>"Number"</formula1>
    </dataValidation>
    <dataValidation type="list" allowBlank="1" showInputMessage="1" showErrorMessage="1" sqref="C716">
      <formula1>"Number"</formula1>
    </dataValidation>
    <dataValidation type="list" allowBlank="1" showInputMessage="1" showErrorMessage="1" sqref="C717">
      <formula1>"Number"</formula1>
    </dataValidation>
    <dataValidation type="list" allowBlank="1" showInputMessage="1" showErrorMessage="1" sqref="C718">
      <formula1>"Number"</formula1>
    </dataValidation>
    <dataValidation type="list" allowBlank="1" showInputMessage="1" showErrorMessage="1" sqref="C719">
      <formula1>"Number"</formula1>
    </dataValidation>
    <dataValidation type="list" allowBlank="1" showInputMessage="1" showErrorMessage="1" sqref="C720">
      <formula1>"Number"</formula1>
    </dataValidation>
    <dataValidation type="list" allowBlank="1" showInputMessage="1" showErrorMessage="1" sqref="C721">
      <formula1>"Number"</formula1>
    </dataValidation>
    <dataValidation type="list" allowBlank="1" showInputMessage="1" showErrorMessage="1" sqref="C722">
      <formula1>"Number"</formula1>
    </dataValidation>
    <dataValidation type="list" allowBlank="1" showInputMessage="1" showErrorMessage="1" sqref="C723">
      <formula1>"Number"</formula1>
    </dataValidation>
    <dataValidation type="list" allowBlank="1" showInputMessage="1" showErrorMessage="1" sqref="C724">
      <formula1>"Number"</formula1>
    </dataValidation>
    <dataValidation type="list" allowBlank="1" showInputMessage="1" showErrorMessage="1" sqref="C725">
      <formula1>"Number"</formula1>
    </dataValidation>
    <dataValidation type="list" allowBlank="1" showInputMessage="1" showErrorMessage="1" sqref="C726">
      <formula1>"Number"</formula1>
    </dataValidation>
    <dataValidation type="list" allowBlank="1" showInputMessage="1" showErrorMessage="1" sqref="C727">
      <formula1>"Number"</formula1>
    </dataValidation>
    <dataValidation type="list" allowBlank="1" showInputMessage="1" showErrorMessage="1" sqref="C730">
      <formula1>"Number"</formula1>
    </dataValidation>
    <dataValidation type="list" allowBlank="1" showInputMessage="1" showErrorMessage="1" sqref="C731">
      <formula1>"Number"</formula1>
    </dataValidation>
    <dataValidation type="list" allowBlank="1" showInputMessage="1" showErrorMessage="1" sqref="C732">
      <formula1>"Number"</formula1>
    </dataValidation>
    <dataValidation type="list" allowBlank="1" showInputMessage="1" showErrorMessage="1" sqref="C733">
      <formula1>"Number"</formula1>
    </dataValidation>
    <dataValidation type="list" allowBlank="1" showInputMessage="1" showErrorMessage="1" sqref="C734">
      <formula1>"Number"</formula1>
    </dataValidation>
    <dataValidation type="list" allowBlank="1" showInputMessage="1" showErrorMessage="1" sqref="C735">
      <formula1>"Number"</formula1>
    </dataValidation>
    <dataValidation type="list" allowBlank="1" showInputMessage="1" showErrorMessage="1" sqref="C736">
      <formula1>"Number"</formula1>
    </dataValidation>
    <dataValidation type="list" allowBlank="1" showInputMessage="1" showErrorMessage="1" sqref="C737">
      <formula1>"Number"</formula1>
    </dataValidation>
    <dataValidation type="list" allowBlank="1" showInputMessage="1" showErrorMessage="1" sqref="C738">
      <formula1>"Number"</formula1>
    </dataValidation>
    <dataValidation type="list" allowBlank="1" showInputMessage="1" showErrorMessage="1" sqref="C739">
      <formula1>"Number"</formula1>
    </dataValidation>
    <dataValidation type="list" allowBlank="1" showInputMessage="1" showErrorMessage="1" sqref="C740">
      <formula1>"Number"</formula1>
    </dataValidation>
    <dataValidation type="list" allowBlank="1" showInputMessage="1" showErrorMessage="1" sqref="C741">
      <formula1>"Number"</formula1>
    </dataValidation>
    <dataValidation type="list" allowBlank="1" showInputMessage="1" showErrorMessage="1" sqref="C744">
      <formula1>"Number"</formula1>
    </dataValidation>
    <dataValidation type="list" allowBlank="1" showInputMessage="1" showErrorMessage="1" sqref="C745">
      <formula1>"Number"</formula1>
    </dataValidation>
    <dataValidation type="list" allowBlank="1" showInputMessage="1" showErrorMessage="1" sqref="C746">
      <formula1>"Number"</formula1>
    </dataValidation>
    <dataValidation type="list" allowBlank="1" showInputMessage="1" showErrorMessage="1" sqref="C747">
      <formula1>"Number"</formula1>
    </dataValidation>
    <dataValidation type="list" allowBlank="1" showInputMessage="1" showErrorMessage="1" sqref="C748">
      <formula1>"Number"</formula1>
    </dataValidation>
    <dataValidation type="list" allowBlank="1" showInputMessage="1" showErrorMessage="1" sqref="C749">
      <formula1>"Number"</formula1>
    </dataValidation>
    <dataValidation type="list" allowBlank="1" showInputMessage="1" showErrorMessage="1" sqref="C750">
      <formula1>"Number"</formula1>
    </dataValidation>
    <dataValidation type="list" allowBlank="1" showInputMessage="1" showErrorMessage="1" sqref="C751">
      <formula1>"Number"</formula1>
    </dataValidation>
    <dataValidation type="list" allowBlank="1" showInputMessage="1" showErrorMessage="1" sqref="C752">
      <formula1>"Number"</formula1>
    </dataValidation>
    <dataValidation type="list" allowBlank="1" showInputMessage="1" showErrorMessage="1" sqref="C753">
      <formula1>"Number"</formula1>
    </dataValidation>
    <dataValidation type="list" allowBlank="1" showInputMessage="1" showErrorMessage="1" sqref="C754">
      <formula1>"Number"</formula1>
    </dataValidation>
    <dataValidation type="list" allowBlank="1" showInputMessage="1" showErrorMessage="1" sqref="C755">
      <formula1>"Number"</formula1>
    </dataValidation>
    <dataValidation type="list" allowBlank="1" showInputMessage="1" showErrorMessage="1" sqref="C758">
      <formula1>"Number"</formula1>
    </dataValidation>
    <dataValidation type="list" allowBlank="1" showInputMessage="1" showErrorMessage="1" sqref="C759">
      <formula1>"Number"</formula1>
    </dataValidation>
    <dataValidation type="list" allowBlank="1" showInputMessage="1" showErrorMessage="1" sqref="C760">
      <formula1>"Number"</formula1>
    </dataValidation>
    <dataValidation type="list" allowBlank="1" showInputMessage="1" showErrorMessage="1" sqref="C761">
      <formula1>"Number"</formula1>
    </dataValidation>
    <dataValidation type="list" allowBlank="1" showInputMessage="1" showErrorMessage="1" sqref="C762">
      <formula1>"Number"</formula1>
    </dataValidation>
    <dataValidation type="list" allowBlank="1" showInputMessage="1" showErrorMessage="1" sqref="C763">
      <formula1>"Number"</formula1>
    </dataValidation>
    <dataValidation type="list" allowBlank="1" showInputMessage="1" showErrorMessage="1" sqref="C764">
      <formula1>"Number"</formula1>
    </dataValidation>
    <dataValidation type="list" allowBlank="1" showInputMessage="1" showErrorMessage="1" sqref="C765">
      <formula1>"Number"</formula1>
    </dataValidation>
    <dataValidation type="list" allowBlank="1" showInputMessage="1" showErrorMessage="1" sqref="C766">
      <formula1>"Number"</formula1>
    </dataValidation>
    <dataValidation type="list" allowBlank="1" showInputMessage="1" showErrorMessage="1" sqref="C767">
      <formula1>"Number"</formula1>
    </dataValidation>
    <dataValidation type="list" allowBlank="1" showInputMessage="1" showErrorMessage="1" sqref="C768">
      <formula1>"Number"</formula1>
    </dataValidation>
    <dataValidation type="list" allowBlank="1" showInputMessage="1" showErrorMessage="1" sqref="C769">
      <formula1>"Number"</formula1>
    </dataValidation>
    <dataValidation type="list" allowBlank="1" showInputMessage="1" showErrorMessage="1" sqref="C772">
      <formula1>"Number"</formula1>
    </dataValidation>
    <dataValidation type="list" allowBlank="1" showInputMessage="1" showErrorMessage="1" sqref="C773">
      <formula1>"Number"</formula1>
    </dataValidation>
    <dataValidation type="list" allowBlank="1" showInputMessage="1" showErrorMessage="1" sqref="C774">
      <formula1>"Number"</formula1>
    </dataValidation>
    <dataValidation type="list" allowBlank="1" showInputMessage="1" showErrorMessage="1" sqref="C775">
      <formula1>"Number"</formula1>
    </dataValidation>
    <dataValidation type="list" allowBlank="1" showInputMessage="1" showErrorMessage="1" sqref="C776">
      <formula1>"Number"</formula1>
    </dataValidation>
    <dataValidation type="list" allowBlank="1" showInputMessage="1" showErrorMessage="1" sqref="C777">
      <formula1>"Number"</formula1>
    </dataValidation>
    <dataValidation type="list" allowBlank="1" showInputMessage="1" showErrorMessage="1" sqref="C778">
      <formula1>"Number"</formula1>
    </dataValidation>
    <dataValidation type="list" allowBlank="1" showInputMessage="1" showErrorMessage="1" sqref="C779">
      <formula1>"Number"</formula1>
    </dataValidation>
    <dataValidation type="list" allowBlank="1" showInputMessage="1" showErrorMessage="1" sqref="C780">
      <formula1>"Number"</formula1>
    </dataValidation>
    <dataValidation type="list" allowBlank="1" showInputMessage="1" showErrorMessage="1" sqref="C781">
      <formula1>"Number"</formula1>
    </dataValidation>
    <dataValidation type="list" allowBlank="1" showInputMessage="1" showErrorMessage="1" sqref="C782">
      <formula1>"Number"</formula1>
    </dataValidation>
    <dataValidation type="list" allowBlank="1" showInputMessage="1" showErrorMessage="1" sqref="C783">
      <formula1>"Number"</formula1>
    </dataValidation>
    <dataValidation type="list" allowBlank="1" showInputMessage="1" showErrorMessage="1" sqref="C786">
      <formula1>"Number"</formula1>
    </dataValidation>
    <dataValidation type="list" allowBlank="1" showInputMessage="1" showErrorMessage="1" sqref="C787">
      <formula1>"Number"</formula1>
    </dataValidation>
    <dataValidation type="list" allowBlank="1" showInputMessage="1" showErrorMessage="1" sqref="C788">
      <formula1>"Number"</formula1>
    </dataValidation>
    <dataValidation type="list" allowBlank="1" showInputMessage="1" showErrorMessage="1" sqref="C789">
      <formula1>"Number"</formula1>
    </dataValidation>
    <dataValidation type="list" allowBlank="1" showInputMessage="1" showErrorMessage="1" sqref="C790">
      <formula1>"Number"</formula1>
    </dataValidation>
    <dataValidation type="list" allowBlank="1" showInputMessage="1" showErrorMessage="1" sqref="C791">
      <formula1>"Number"</formula1>
    </dataValidation>
    <dataValidation type="list" allowBlank="1" showInputMessage="1" showErrorMessage="1" sqref="C792">
      <formula1>"Number"</formula1>
    </dataValidation>
    <dataValidation type="list" allowBlank="1" showInputMessage="1" showErrorMessage="1" sqref="C793">
      <formula1>"Number"</formula1>
    </dataValidation>
    <dataValidation type="list" allowBlank="1" showInputMessage="1" showErrorMessage="1" sqref="C794">
      <formula1>"Number"</formula1>
    </dataValidation>
    <dataValidation type="list" allowBlank="1" showInputMessage="1" showErrorMessage="1" sqref="C795">
      <formula1>"Number"</formula1>
    </dataValidation>
    <dataValidation type="list" allowBlank="1" showInputMessage="1" showErrorMessage="1" sqref="C796">
      <formula1>"Number"</formula1>
    </dataValidation>
    <dataValidation type="list" allowBlank="1" showInputMessage="1" showErrorMessage="1" sqref="C797">
      <formula1>"Number"</formula1>
    </dataValidation>
    <dataValidation type="list" allowBlank="1" showInputMessage="1" showErrorMessage="1" sqref="C800">
      <formula1>"Number"</formula1>
    </dataValidation>
    <dataValidation type="list" allowBlank="1" showInputMessage="1" showErrorMessage="1" sqref="C801">
      <formula1>"Number"</formula1>
    </dataValidation>
    <dataValidation type="list" allowBlank="1" showInputMessage="1" showErrorMessage="1" sqref="C802">
      <formula1>"Number"</formula1>
    </dataValidation>
    <dataValidation type="list" allowBlank="1" showInputMessage="1" showErrorMessage="1" sqref="C803">
      <formula1>"Number"</formula1>
    </dataValidation>
    <dataValidation type="list" allowBlank="1" showInputMessage="1" showErrorMessage="1" sqref="C804">
      <formula1>"Number"</formula1>
    </dataValidation>
    <dataValidation type="list" allowBlank="1" showInputMessage="1" showErrorMessage="1" sqref="C805">
      <formula1>"Number"</formula1>
    </dataValidation>
    <dataValidation type="list" allowBlank="1" showInputMessage="1" showErrorMessage="1" sqref="C806">
      <formula1>"Number"</formula1>
    </dataValidation>
    <dataValidation type="list" allowBlank="1" showInputMessage="1" showErrorMessage="1" sqref="C807">
      <formula1>"Number"</formula1>
    </dataValidation>
    <dataValidation type="list" allowBlank="1" showInputMessage="1" showErrorMessage="1" sqref="C808">
      <formula1>"Number"</formula1>
    </dataValidation>
    <dataValidation type="list" allowBlank="1" showInputMessage="1" showErrorMessage="1" sqref="C809">
      <formula1>"Number"</formula1>
    </dataValidation>
    <dataValidation type="list" allowBlank="1" showInputMessage="1" showErrorMessage="1" sqref="C810">
      <formula1>"Number"</formula1>
    </dataValidation>
    <dataValidation type="list" allowBlank="1" showInputMessage="1" showErrorMessage="1" sqref="C811">
      <formula1>"Number"</formula1>
    </dataValidation>
    <dataValidation type="list" allowBlank="1" showInputMessage="1" showErrorMessage="1" sqref="C814">
      <formula1>"Number"</formula1>
    </dataValidation>
    <dataValidation type="list" allowBlank="1" showInputMessage="1" showErrorMessage="1" sqref="C815">
      <formula1>"Number"</formula1>
    </dataValidation>
    <dataValidation type="list" allowBlank="1" showInputMessage="1" showErrorMessage="1" sqref="C816">
      <formula1>"Number"</formula1>
    </dataValidation>
    <dataValidation type="list" allowBlank="1" showInputMessage="1" showErrorMessage="1" sqref="C817">
      <formula1>"Number"</formula1>
    </dataValidation>
    <dataValidation type="list" allowBlank="1" showInputMessage="1" showErrorMessage="1" sqref="C818">
      <formula1>"Number"</formula1>
    </dataValidation>
    <dataValidation type="list" allowBlank="1" showInputMessage="1" showErrorMessage="1" sqref="C819">
      <formula1>"Number"</formula1>
    </dataValidation>
    <dataValidation type="list" allowBlank="1" showInputMessage="1" showErrorMessage="1" sqref="C820">
      <formula1>"Number"</formula1>
    </dataValidation>
    <dataValidation type="list" allowBlank="1" showInputMessage="1" showErrorMessage="1" sqref="C821">
      <formula1>"Number"</formula1>
    </dataValidation>
    <dataValidation type="list" allowBlank="1" showInputMessage="1" showErrorMessage="1" sqref="C822">
      <formula1>"Number"</formula1>
    </dataValidation>
    <dataValidation type="list" allowBlank="1" showInputMessage="1" showErrorMessage="1" sqref="C823">
      <formula1>"Number"</formula1>
    </dataValidation>
    <dataValidation type="list" allowBlank="1" showInputMessage="1" showErrorMessage="1" sqref="C824">
      <formula1>"Number"</formula1>
    </dataValidation>
    <dataValidation type="list" allowBlank="1" showInputMessage="1" showErrorMessage="1" sqref="C825">
      <formula1>"Number"</formula1>
    </dataValidation>
    <dataValidation type="list" allowBlank="1" showInputMessage="1" showErrorMessage="1" sqref="C828">
      <formula1>"Number"</formula1>
    </dataValidation>
    <dataValidation type="list" allowBlank="1" showInputMessage="1" showErrorMessage="1" sqref="C829">
      <formula1>"Number"</formula1>
    </dataValidation>
    <dataValidation type="list" allowBlank="1" showInputMessage="1" showErrorMessage="1" sqref="C830">
      <formula1>"Number"</formula1>
    </dataValidation>
    <dataValidation type="list" allowBlank="1" showInputMessage="1" showErrorMessage="1" sqref="C831">
      <formula1>"Number"</formula1>
    </dataValidation>
    <dataValidation type="list" allowBlank="1" showInputMessage="1" showErrorMessage="1" sqref="C832">
      <formula1>"Number"</formula1>
    </dataValidation>
    <dataValidation type="list" allowBlank="1" showInputMessage="1" showErrorMessage="1" sqref="C833">
      <formula1>"Number"</formula1>
    </dataValidation>
    <dataValidation type="list" allowBlank="1" showInputMessage="1" showErrorMessage="1" sqref="C834">
      <formula1>"Number"</formula1>
    </dataValidation>
    <dataValidation type="list" allowBlank="1" showInputMessage="1" showErrorMessage="1" sqref="C835">
      <formula1>"Number"</formula1>
    </dataValidation>
    <dataValidation type="list" allowBlank="1" showInputMessage="1" showErrorMessage="1" sqref="C836">
      <formula1>"Number"</formula1>
    </dataValidation>
    <dataValidation type="list" allowBlank="1" showInputMessage="1" showErrorMessage="1" sqref="C837">
      <formula1>"Number"</formula1>
    </dataValidation>
    <dataValidation type="list" allowBlank="1" showInputMessage="1" showErrorMessage="1" sqref="C838">
      <formula1>"Number"</formula1>
    </dataValidation>
    <dataValidation type="list" allowBlank="1" showInputMessage="1" showErrorMessage="1" sqref="C839">
      <formula1>"Number"</formula1>
    </dataValidation>
    <dataValidation type="list" allowBlank="1" showInputMessage="1" showErrorMessage="1" sqref="C842">
      <formula1>"Number"</formula1>
    </dataValidation>
    <dataValidation type="list" allowBlank="1" showInputMessage="1" showErrorMessage="1" sqref="C843">
      <formula1>"Number"</formula1>
    </dataValidation>
    <dataValidation type="list" allowBlank="1" showInputMessage="1" showErrorMessage="1" sqref="C844">
      <formula1>"Number"</formula1>
    </dataValidation>
    <dataValidation type="list" allowBlank="1" showInputMessage="1" showErrorMessage="1" sqref="C845">
      <formula1>"Number"</formula1>
    </dataValidation>
    <dataValidation type="list" allowBlank="1" showInputMessage="1" showErrorMessage="1" sqref="C846">
      <formula1>"Number"</formula1>
    </dataValidation>
    <dataValidation type="list" allowBlank="1" showInputMessage="1" showErrorMessage="1" sqref="C847">
      <formula1>"Number"</formula1>
    </dataValidation>
    <dataValidation type="list" allowBlank="1" showInputMessage="1" showErrorMessage="1" sqref="C848">
      <formula1>"Number"</formula1>
    </dataValidation>
    <dataValidation type="list" allowBlank="1" showInputMessage="1" showErrorMessage="1" sqref="C849">
      <formula1>"Number"</formula1>
    </dataValidation>
    <dataValidation type="list" allowBlank="1" showInputMessage="1" showErrorMessage="1" sqref="C850">
      <formula1>"Number"</formula1>
    </dataValidation>
    <dataValidation type="list" allowBlank="1" showInputMessage="1" showErrorMessage="1" sqref="C851">
      <formula1>"Number"</formula1>
    </dataValidation>
    <dataValidation type="list" allowBlank="1" showInputMessage="1" showErrorMessage="1" sqref="C852">
      <formula1>"Number"</formula1>
    </dataValidation>
    <dataValidation type="list" allowBlank="1" showInputMessage="1" showErrorMessage="1" sqref="C853">
      <formula1>"Number"</formula1>
    </dataValidation>
    <dataValidation type="list" allowBlank="1" showInputMessage="1" showErrorMessage="1" sqref="C856">
      <formula1>"Number"</formula1>
    </dataValidation>
    <dataValidation type="list" allowBlank="1" showInputMessage="1" showErrorMessage="1" sqref="C857">
      <formula1>"Number"</formula1>
    </dataValidation>
    <dataValidation type="list" allowBlank="1" showInputMessage="1" showErrorMessage="1" sqref="C858">
      <formula1>"Number"</formula1>
    </dataValidation>
    <dataValidation type="list" allowBlank="1" showInputMessage="1" showErrorMessage="1" sqref="C859">
      <formula1>"Number"</formula1>
    </dataValidation>
    <dataValidation type="list" allowBlank="1" showInputMessage="1" showErrorMessage="1" sqref="C860">
      <formula1>"Number"</formula1>
    </dataValidation>
    <dataValidation type="list" allowBlank="1" showInputMessage="1" showErrorMessage="1" sqref="C861">
      <formula1>"Number"</formula1>
    </dataValidation>
    <dataValidation type="list" allowBlank="1" showInputMessage="1" showErrorMessage="1" sqref="C862">
      <formula1>"Number"</formula1>
    </dataValidation>
    <dataValidation type="list" allowBlank="1" showInputMessage="1" showErrorMessage="1" sqref="C863">
      <formula1>"Number"</formula1>
    </dataValidation>
    <dataValidation type="list" allowBlank="1" showInputMessage="1" showErrorMessage="1" sqref="C864">
      <formula1>"Number"</formula1>
    </dataValidation>
    <dataValidation type="list" allowBlank="1" showInputMessage="1" showErrorMessage="1" sqref="C865">
      <formula1>"Number"</formula1>
    </dataValidation>
    <dataValidation type="list" allowBlank="1" showInputMessage="1" showErrorMessage="1" sqref="C866">
      <formula1>"Number"</formula1>
    </dataValidation>
    <dataValidation type="list" allowBlank="1" showInputMessage="1" showErrorMessage="1" sqref="C867">
      <formula1>"Number"</formula1>
    </dataValidation>
    <dataValidation type="list" allowBlank="1" showInputMessage="1" showErrorMessage="1" sqref="C870">
      <formula1>"Number"</formula1>
    </dataValidation>
    <dataValidation type="list" allowBlank="1" showInputMessage="1" showErrorMessage="1" sqref="C871">
      <formula1>"Number"</formula1>
    </dataValidation>
    <dataValidation type="list" allowBlank="1" showInputMessage="1" showErrorMessage="1" sqref="C872">
      <formula1>"Number"</formula1>
    </dataValidation>
    <dataValidation type="list" allowBlank="1" showInputMessage="1" showErrorMessage="1" sqref="C873">
      <formula1>"Number"</formula1>
    </dataValidation>
    <dataValidation type="list" allowBlank="1" showInputMessage="1" showErrorMessage="1" sqref="C874">
      <formula1>"Number"</formula1>
    </dataValidation>
    <dataValidation type="list" allowBlank="1" showInputMessage="1" showErrorMessage="1" sqref="C875">
      <formula1>"Number"</formula1>
    </dataValidation>
    <dataValidation type="list" allowBlank="1" showInputMessage="1" showErrorMessage="1" sqref="C876">
      <formula1>"Number"</formula1>
    </dataValidation>
    <dataValidation type="list" allowBlank="1" showInputMessage="1" showErrorMessage="1" sqref="C877">
      <formula1>"Number"</formula1>
    </dataValidation>
    <dataValidation type="list" allowBlank="1" showInputMessage="1" showErrorMessage="1" sqref="C878">
      <formula1>"Number"</formula1>
    </dataValidation>
    <dataValidation type="list" allowBlank="1" showInputMessage="1" showErrorMessage="1" sqref="C879">
      <formula1>"Number"</formula1>
    </dataValidation>
    <dataValidation type="list" allowBlank="1" showInputMessage="1" showErrorMessage="1" sqref="C880">
      <formula1>"Number"</formula1>
    </dataValidation>
    <dataValidation type="list" allowBlank="1" showInputMessage="1" showErrorMessage="1" sqref="C881">
      <formula1>"Number"</formula1>
    </dataValidation>
    <dataValidation type="list" allowBlank="1" showInputMessage="1" showErrorMessage="1" sqref="C884">
      <formula1>"Number"</formula1>
    </dataValidation>
    <dataValidation type="list" allowBlank="1" showInputMessage="1" showErrorMessage="1" sqref="C885">
      <formula1>"Number"</formula1>
    </dataValidation>
    <dataValidation type="list" allowBlank="1" showInputMessage="1" showErrorMessage="1" sqref="C886">
      <formula1>"Number"</formula1>
    </dataValidation>
    <dataValidation type="list" allowBlank="1" showInputMessage="1" showErrorMessage="1" sqref="C887">
      <formula1>"Number"</formula1>
    </dataValidation>
    <dataValidation type="list" allowBlank="1" showInputMessage="1" showErrorMessage="1" sqref="C888">
      <formula1>"Number"</formula1>
    </dataValidation>
    <dataValidation type="list" allowBlank="1" showInputMessage="1" showErrorMessage="1" sqref="C889">
      <formula1>"Number"</formula1>
    </dataValidation>
    <dataValidation type="list" allowBlank="1" showInputMessage="1" showErrorMessage="1" sqref="C890">
      <formula1>"Number"</formula1>
    </dataValidation>
    <dataValidation type="list" allowBlank="1" showInputMessage="1" showErrorMessage="1" sqref="C891">
      <formula1>"Number"</formula1>
    </dataValidation>
    <dataValidation type="list" allowBlank="1" showInputMessage="1" showErrorMessage="1" sqref="C892">
      <formula1>"Number"</formula1>
    </dataValidation>
    <dataValidation type="list" allowBlank="1" showInputMessage="1" showErrorMessage="1" sqref="C893">
      <formula1>"Number"</formula1>
    </dataValidation>
    <dataValidation type="list" allowBlank="1" showInputMessage="1" showErrorMessage="1" sqref="C894">
      <formula1>"Number"</formula1>
    </dataValidation>
    <dataValidation type="list" allowBlank="1" showInputMessage="1" showErrorMessage="1" sqref="C895">
      <formula1>"Number"</formula1>
    </dataValidation>
    <dataValidation type="list" allowBlank="1" showInputMessage="1" showErrorMessage="1" sqref="C898">
      <formula1>"Number"</formula1>
    </dataValidation>
    <dataValidation type="list" allowBlank="1" showInputMessage="1" showErrorMessage="1" sqref="C899">
      <formula1>"Number"</formula1>
    </dataValidation>
    <dataValidation type="list" allowBlank="1" showInputMessage="1" showErrorMessage="1" sqref="C900">
      <formula1>"Number"</formula1>
    </dataValidation>
    <dataValidation type="list" allowBlank="1" showInputMessage="1" showErrorMessage="1" sqref="C901">
      <formula1>"Number"</formula1>
    </dataValidation>
    <dataValidation type="list" allowBlank="1" showInputMessage="1" showErrorMessage="1" sqref="C902">
      <formula1>"Number"</formula1>
    </dataValidation>
    <dataValidation type="list" allowBlank="1" showInputMessage="1" showErrorMessage="1" sqref="C903">
      <formula1>"Number"</formula1>
    </dataValidation>
    <dataValidation type="list" allowBlank="1" showInputMessage="1" showErrorMessage="1" sqref="C904">
      <formula1>"Number"</formula1>
    </dataValidation>
    <dataValidation type="list" allowBlank="1" showInputMessage="1" showErrorMessage="1" sqref="C905">
      <formula1>"Number"</formula1>
    </dataValidation>
    <dataValidation type="list" allowBlank="1" showInputMessage="1" showErrorMessage="1" sqref="C906">
      <formula1>"Number"</formula1>
    </dataValidation>
    <dataValidation type="list" allowBlank="1" showInputMessage="1" showErrorMessage="1" sqref="C907">
      <formula1>"Number"</formula1>
    </dataValidation>
    <dataValidation type="list" allowBlank="1" showInputMessage="1" showErrorMessage="1" sqref="C908">
      <formula1>"Number"</formula1>
    </dataValidation>
    <dataValidation type="list" allowBlank="1" showInputMessage="1" showErrorMessage="1" sqref="C909">
      <formula1>"Number"</formula1>
    </dataValidation>
    <dataValidation type="list" allowBlank="1" showInputMessage="1" showErrorMessage="1" sqref="C912">
      <formula1>"Number"</formula1>
    </dataValidation>
    <dataValidation type="list" allowBlank="1" showInputMessage="1" showErrorMessage="1" sqref="C913">
      <formula1>"Number"</formula1>
    </dataValidation>
    <dataValidation type="list" allowBlank="1" showInputMessage="1" showErrorMessage="1" sqref="C914">
      <formula1>"Number"</formula1>
    </dataValidation>
    <dataValidation type="list" allowBlank="1" showInputMessage="1" showErrorMessage="1" sqref="C915">
      <formula1>"Number"</formula1>
    </dataValidation>
    <dataValidation type="list" allowBlank="1" showInputMessage="1" showErrorMessage="1" sqref="C916">
      <formula1>"Number"</formula1>
    </dataValidation>
    <dataValidation type="list" allowBlank="1" showInputMessage="1" showErrorMessage="1" sqref="C917">
      <formula1>"Number"</formula1>
    </dataValidation>
    <dataValidation type="list" allowBlank="1" showInputMessage="1" showErrorMessage="1" sqref="C918">
      <formula1>"Number"</formula1>
    </dataValidation>
    <dataValidation type="list" allowBlank="1" showInputMessage="1" showErrorMessage="1" sqref="C919">
      <formula1>"Number"</formula1>
    </dataValidation>
    <dataValidation type="list" allowBlank="1" showInputMessage="1" showErrorMessage="1" sqref="C920">
      <formula1>"Number"</formula1>
    </dataValidation>
    <dataValidation type="list" allowBlank="1" showInputMessage="1" showErrorMessage="1" sqref="C921">
      <formula1>"Number"</formula1>
    </dataValidation>
    <dataValidation type="list" allowBlank="1" showInputMessage="1" showErrorMessage="1" sqref="C922">
      <formula1>"Number"</formula1>
    </dataValidation>
    <dataValidation type="list" allowBlank="1" showInputMessage="1" showErrorMessage="1" sqref="C923">
      <formula1>"Number"</formula1>
    </dataValidation>
    <dataValidation type="list" allowBlank="1" showInputMessage="1" showErrorMessage="1" sqref="C926">
      <formula1>"Number"</formula1>
    </dataValidation>
    <dataValidation type="list" allowBlank="1" showInputMessage="1" showErrorMessage="1" sqref="C927">
      <formula1>"Number"</formula1>
    </dataValidation>
    <dataValidation type="list" allowBlank="1" showInputMessage="1" showErrorMessage="1" sqref="C928">
      <formula1>"Number"</formula1>
    </dataValidation>
    <dataValidation type="list" allowBlank="1" showInputMessage="1" showErrorMessage="1" sqref="C929">
      <formula1>"Number"</formula1>
    </dataValidation>
    <dataValidation type="list" allowBlank="1" showInputMessage="1" showErrorMessage="1" sqref="C930">
      <formula1>"Number"</formula1>
    </dataValidation>
    <dataValidation type="list" allowBlank="1" showInputMessage="1" showErrorMessage="1" sqref="C931">
      <formula1>"Number"</formula1>
    </dataValidation>
    <dataValidation type="list" allowBlank="1" showInputMessage="1" showErrorMessage="1" sqref="C932">
      <formula1>"Number"</formula1>
    </dataValidation>
    <dataValidation type="list" allowBlank="1" showInputMessage="1" showErrorMessage="1" sqref="C933">
      <formula1>"Number"</formula1>
    </dataValidation>
    <dataValidation type="list" allowBlank="1" showInputMessage="1" showErrorMessage="1" sqref="C934">
      <formula1>"Number"</formula1>
    </dataValidation>
    <dataValidation type="list" allowBlank="1" showInputMessage="1" showErrorMessage="1" sqref="C935">
      <formula1>"Number"</formula1>
    </dataValidation>
    <dataValidation type="list" allowBlank="1" showInputMessage="1" showErrorMessage="1" sqref="C936">
      <formula1>"Number"</formula1>
    </dataValidation>
    <dataValidation type="list" allowBlank="1" showInputMessage="1" showErrorMessage="1" sqref="C937">
      <formula1>"Number"</formula1>
    </dataValidation>
    <dataValidation type="list" allowBlank="1" showInputMessage="1" showErrorMessage="1" sqref="C940">
      <formula1>"Number"</formula1>
    </dataValidation>
    <dataValidation type="list" allowBlank="1" showInputMessage="1" showErrorMessage="1" sqref="C941">
      <formula1>"Number"</formula1>
    </dataValidation>
    <dataValidation type="list" allowBlank="1" showInputMessage="1" showErrorMessage="1" sqref="C942">
      <formula1>"Number"</formula1>
    </dataValidation>
    <dataValidation type="list" allowBlank="1" showInputMessage="1" showErrorMessage="1" sqref="C943">
      <formula1>"Number"</formula1>
    </dataValidation>
    <dataValidation type="list" allowBlank="1" showInputMessage="1" showErrorMessage="1" sqref="C944">
      <formula1>"Number"</formula1>
    </dataValidation>
    <dataValidation type="list" allowBlank="1" showInputMessage="1" showErrorMessage="1" sqref="C945">
      <formula1>"Number"</formula1>
    </dataValidation>
    <dataValidation type="list" allowBlank="1" showInputMessage="1" showErrorMessage="1" sqref="C946">
      <formula1>"Number"</formula1>
    </dataValidation>
    <dataValidation type="list" allowBlank="1" showInputMessage="1" showErrorMessage="1" sqref="C947">
      <formula1>"Number"</formula1>
    </dataValidation>
    <dataValidation type="list" allowBlank="1" showInputMessage="1" showErrorMessage="1" sqref="C948">
      <formula1>"Number"</formula1>
    </dataValidation>
    <dataValidation type="list" allowBlank="1" showInputMessage="1" showErrorMessage="1" sqref="C949">
      <formula1>"Number"</formula1>
    </dataValidation>
    <dataValidation type="list" allowBlank="1" showInputMessage="1" showErrorMessage="1" sqref="C950">
      <formula1>"Number"</formula1>
    </dataValidation>
    <dataValidation type="list" allowBlank="1" showInputMessage="1" showErrorMessage="1" sqref="C951">
      <formula1>"Number"</formula1>
    </dataValidation>
    <dataValidation type="list" allowBlank="1" showInputMessage="1" showErrorMessage="1" sqref="C954">
      <formula1>"Number"</formula1>
    </dataValidation>
    <dataValidation type="list" allowBlank="1" showInputMessage="1" showErrorMessage="1" sqref="C955">
      <formula1>"Number"</formula1>
    </dataValidation>
    <dataValidation type="list" allowBlank="1" showInputMessage="1" showErrorMessage="1" sqref="C956">
      <formula1>"Number"</formula1>
    </dataValidation>
    <dataValidation type="list" allowBlank="1" showInputMessage="1" showErrorMessage="1" sqref="C957">
      <formula1>"Number"</formula1>
    </dataValidation>
    <dataValidation type="list" allowBlank="1" showInputMessage="1" showErrorMessage="1" sqref="C958">
      <formula1>"Number"</formula1>
    </dataValidation>
    <dataValidation type="list" allowBlank="1" showInputMessage="1" showErrorMessage="1" sqref="C959">
      <formula1>"Number"</formula1>
    </dataValidation>
    <dataValidation type="list" allowBlank="1" showInputMessage="1" showErrorMessage="1" sqref="C960">
      <formula1>"Number"</formula1>
    </dataValidation>
    <dataValidation type="list" allowBlank="1" showInputMessage="1" showErrorMessage="1" sqref="C961">
      <formula1>"Number"</formula1>
    </dataValidation>
    <dataValidation type="list" allowBlank="1" showInputMessage="1" showErrorMessage="1" sqref="C962">
      <formula1>"Number"</formula1>
    </dataValidation>
    <dataValidation type="list" allowBlank="1" showInputMessage="1" showErrorMessage="1" sqref="C963">
      <formula1>"Number"</formula1>
    </dataValidation>
    <dataValidation type="list" allowBlank="1" showInputMessage="1" showErrorMessage="1" sqref="C964">
      <formula1>"Number"</formula1>
    </dataValidation>
    <dataValidation type="list" allowBlank="1" showInputMessage="1" showErrorMessage="1" sqref="C965">
      <formula1>"Number"</formula1>
    </dataValidation>
    <dataValidation type="list" allowBlank="1" showInputMessage="1" showErrorMessage="1" sqref="C968">
      <formula1>"Number"</formula1>
    </dataValidation>
    <dataValidation type="list" allowBlank="1" showInputMessage="1" showErrorMessage="1" sqref="C969">
      <formula1>"Number"</formula1>
    </dataValidation>
    <dataValidation type="list" allowBlank="1" showInputMessage="1" showErrorMessage="1" sqref="C970">
      <formula1>"Number"</formula1>
    </dataValidation>
    <dataValidation type="list" allowBlank="1" showInputMessage="1" showErrorMessage="1" sqref="C971">
      <formula1>"Number"</formula1>
    </dataValidation>
    <dataValidation type="list" allowBlank="1" showInputMessage="1" showErrorMessage="1" sqref="C972">
      <formula1>"Number"</formula1>
    </dataValidation>
    <dataValidation type="list" allowBlank="1" showInputMessage="1" showErrorMessage="1" sqref="C973">
      <formula1>"Number"</formula1>
    </dataValidation>
    <dataValidation type="list" allowBlank="1" showInputMessage="1" showErrorMessage="1" sqref="C974">
      <formula1>"Number"</formula1>
    </dataValidation>
    <dataValidation type="list" allowBlank="1" showInputMessage="1" showErrorMessage="1" sqref="C975">
      <formula1>"Number"</formula1>
    </dataValidation>
    <dataValidation type="list" allowBlank="1" showInputMessage="1" showErrorMessage="1" sqref="C976">
      <formula1>"Number"</formula1>
    </dataValidation>
    <dataValidation type="list" allowBlank="1" showInputMessage="1" showErrorMessage="1" sqref="C977">
      <formula1>"Number"</formula1>
    </dataValidation>
    <dataValidation type="list" allowBlank="1" showInputMessage="1" showErrorMessage="1" sqref="C978">
      <formula1>"Number"</formula1>
    </dataValidation>
    <dataValidation type="list" allowBlank="1" showInputMessage="1" showErrorMessage="1" sqref="C979">
      <formula1>"Number"</formula1>
    </dataValidation>
    <dataValidation type="list" allowBlank="1" showInputMessage="1" showErrorMessage="1" sqref="C982">
      <formula1>"Number"</formula1>
    </dataValidation>
    <dataValidation type="list" allowBlank="1" showInputMessage="1" showErrorMessage="1" sqref="C983">
      <formula1>"Number"</formula1>
    </dataValidation>
    <dataValidation type="list" allowBlank="1" showInputMessage="1" showErrorMessage="1" sqref="C984">
      <formula1>"Number"</formula1>
    </dataValidation>
    <dataValidation type="list" allowBlank="1" showInputMessage="1" showErrorMessage="1" sqref="C985">
      <formula1>"Number"</formula1>
    </dataValidation>
    <dataValidation type="list" allowBlank="1" showInputMessage="1" showErrorMessage="1" sqref="C986">
      <formula1>"Number"</formula1>
    </dataValidation>
    <dataValidation type="list" allowBlank="1" showInputMessage="1" showErrorMessage="1" sqref="C987">
      <formula1>"Number"</formula1>
    </dataValidation>
    <dataValidation type="list" allowBlank="1" showInputMessage="1" showErrorMessage="1" sqref="C988">
      <formula1>"Number"</formula1>
    </dataValidation>
    <dataValidation type="list" allowBlank="1" showInputMessage="1" showErrorMessage="1" sqref="C989">
      <formula1>"Number"</formula1>
    </dataValidation>
    <dataValidation type="list" allowBlank="1" showInputMessage="1" showErrorMessage="1" sqref="C990">
      <formula1>"Number"</formula1>
    </dataValidation>
    <dataValidation type="list" allowBlank="1" showInputMessage="1" showErrorMessage="1" sqref="C991">
      <formula1>"Number"</formula1>
    </dataValidation>
    <dataValidation type="list" allowBlank="1" showInputMessage="1" showErrorMessage="1" sqref="C992">
      <formula1>"Number"</formula1>
    </dataValidation>
    <dataValidation type="list" allowBlank="1" showInputMessage="1" showErrorMessage="1" sqref="C993">
      <formula1>"Number"</formula1>
    </dataValidation>
    <dataValidation type="list" allowBlank="1" showInputMessage="1" showErrorMessage="1" sqref="C996">
      <formula1>"Number"</formula1>
    </dataValidation>
    <dataValidation type="list" allowBlank="1" showInputMessage="1" showErrorMessage="1" sqref="C997">
      <formula1>"Number"</formula1>
    </dataValidation>
    <dataValidation type="list" allowBlank="1" showInputMessage="1" showErrorMessage="1" sqref="C998">
      <formula1>"Number"</formula1>
    </dataValidation>
    <dataValidation type="list" allowBlank="1" showInputMessage="1" showErrorMessage="1" sqref="C999">
      <formula1>"Number"</formula1>
    </dataValidation>
    <dataValidation type="list" allowBlank="1" showInputMessage="1" showErrorMessage="1" sqref="C1000">
      <formula1>"Number"</formula1>
    </dataValidation>
    <dataValidation type="list" allowBlank="1" showInputMessage="1" showErrorMessage="1" sqref="C1001">
      <formula1>"Number"</formula1>
    </dataValidation>
    <dataValidation type="list" allowBlank="1" showInputMessage="1" showErrorMessage="1" sqref="C1002">
      <formula1>"Number"</formula1>
    </dataValidation>
    <dataValidation type="list" allowBlank="1" showInputMessage="1" showErrorMessage="1" sqref="C1003">
      <formula1>"Number"</formula1>
    </dataValidation>
    <dataValidation type="list" allowBlank="1" showInputMessage="1" showErrorMessage="1" sqref="C1004">
      <formula1>"Number"</formula1>
    </dataValidation>
    <dataValidation type="list" allowBlank="1" showInputMessage="1" showErrorMessage="1" sqref="C1005">
      <formula1>"Number"</formula1>
    </dataValidation>
    <dataValidation type="list" allowBlank="1" showInputMessage="1" showErrorMessage="1" sqref="C1006">
      <formula1>"Number"</formula1>
    </dataValidation>
    <dataValidation type="list" allowBlank="1" showInputMessage="1" showErrorMessage="1" sqref="C1007">
      <formula1>"Number"</formula1>
    </dataValidation>
    <dataValidation type="list" allowBlank="1" showInputMessage="1" showErrorMessage="1" sqref="C1010">
      <formula1>"Number"</formula1>
    </dataValidation>
    <dataValidation type="list" allowBlank="1" showInputMessage="1" showErrorMessage="1" sqref="C1011">
      <formula1>"Number"</formula1>
    </dataValidation>
    <dataValidation type="list" allowBlank="1" showInputMessage="1" showErrorMessage="1" sqref="C1012">
      <formula1>"Number"</formula1>
    </dataValidation>
    <dataValidation type="list" allowBlank="1" showInputMessage="1" showErrorMessage="1" sqref="C1013">
      <formula1>"Number"</formula1>
    </dataValidation>
    <dataValidation type="list" allowBlank="1" showInputMessage="1" showErrorMessage="1" sqref="C1014">
      <formula1>"Number"</formula1>
    </dataValidation>
    <dataValidation type="list" allowBlank="1" showInputMessage="1" showErrorMessage="1" sqref="C1015">
      <formula1>"Number"</formula1>
    </dataValidation>
    <dataValidation type="list" allowBlank="1" showInputMessage="1" showErrorMessage="1" sqref="C1016">
      <formula1>"Number"</formula1>
    </dataValidation>
    <dataValidation type="list" allowBlank="1" showInputMessage="1" showErrorMessage="1" sqref="C1017">
      <formula1>"Number"</formula1>
    </dataValidation>
    <dataValidation type="list" allowBlank="1" showInputMessage="1" showErrorMessage="1" sqref="C1018">
      <formula1>"Number"</formula1>
    </dataValidation>
    <dataValidation type="list" allowBlank="1" showInputMessage="1" showErrorMessage="1" sqref="C1019">
      <formula1>"Number"</formula1>
    </dataValidation>
    <dataValidation type="list" allowBlank="1" showInputMessage="1" showErrorMessage="1" sqref="C1020">
      <formula1>"Number"</formula1>
    </dataValidation>
    <dataValidation type="list" allowBlank="1" showInputMessage="1" showErrorMessage="1" sqref="C1021">
      <formula1>"Number"</formula1>
    </dataValidation>
    <dataValidation type="list" allowBlank="1" showInputMessage="1" showErrorMessage="1" sqref="C1024">
      <formula1>"Number"</formula1>
    </dataValidation>
    <dataValidation type="list" allowBlank="1" showInputMessage="1" showErrorMessage="1" sqref="C1025">
      <formula1>"Number"</formula1>
    </dataValidation>
    <dataValidation type="list" allowBlank="1" showInputMessage="1" showErrorMessage="1" sqref="C1026">
      <formula1>"Number"</formula1>
    </dataValidation>
    <dataValidation type="list" allowBlank="1" showInputMessage="1" showErrorMessage="1" sqref="C1027">
      <formula1>"Number"</formula1>
    </dataValidation>
    <dataValidation type="list" allowBlank="1" showInputMessage="1" showErrorMessage="1" sqref="C1028">
      <formula1>"Number"</formula1>
    </dataValidation>
    <dataValidation type="list" allowBlank="1" showInputMessage="1" showErrorMessage="1" sqref="C1029">
      <formula1>"Number"</formula1>
    </dataValidation>
    <dataValidation type="list" allowBlank="1" showInputMessage="1" showErrorMessage="1" sqref="C1030">
      <formula1>"Number"</formula1>
    </dataValidation>
    <dataValidation type="list" allowBlank="1" showInputMessage="1" showErrorMessage="1" sqref="C1031">
      <formula1>"Number"</formula1>
    </dataValidation>
    <dataValidation type="list" allowBlank="1" showInputMessage="1" showErrorMessage="1" sqref="C1032">
      <formula1>"Number"</formula1>
    </dataValidation>
    <dataValidation type="list" allowBlank="1" showInputMessage="1" showErrorMessage="1" sqref="C1033">
      <formula1>"Number"</formula1>
    </dataValidation>
    <dataValidation type="list" allowBlank="1" showInputMessage="1" showErrorMessage="1" sqref="C1034">
      <formula1>"Number"</formula1>
    </dataValidation>
    <dataValidation type="list" allowBlank="1" showInputMessage="1" showErrorMessage="1" sqref="C1035">
      <formula1>"Number"</formula1>
    </dataValidation>
    <dataValidation type="list" allowBlank="1" showInputMessage="1" showErrorMessage="1" sqref="C1038">
      <formula1>"Number"</formula1>
    </dataValidation>
    <dataValidation type="list" allowBlank="1" showInputMessage="1" showErrorMessage="1" sqref="C1039">
      <formula1>"Number"</formula1>
    </dataValidation>
    <dataValidation type="list" allowBlank="1" showInputMessage="1" showErrorMessage="1" sqref="C1040">
      <formula1>"Number"</formula1>
    </dataValidation>
    <dataValidation type="list" allowBlank="1" showInputMessage="1" showErrorMessage="1" sqref="C1041">
      <formula1>"Number"</formula1>
    </dataValidation>
    <dataValidation type="list" allowBlank="1" showInputMessage="1" showErrorMessage="1" sqref="C1042">
      <formula1>"Number"</formula1>
    </dataValidation>
    <dataValidation type="list" allowBlank="1" showInputMessage="1" showErrorMessage="1" sqref="C1043">
      <formula1>"Number"</formula1>
    </dataValidation>
    <dataValidation type="list" allowBlank="1" showInputMessage="1" showErrorMessage="1" sqref="C1044">
      <formula1>"Number"</formula1>
    </dataValidation>
    <dataValidation type="list" allowBlank="1" showInputMessage="1" showErrorMessage="1" sqref="C1045">
      <formula1>"Number"</formula1>
    </dataValidation>
    <dataValidation type="list" allowBlank="1" showInputMessage="1" showErrorMessage="1" sqref="C1046">
      <formula1>"Number"</formula1>
    </dataValidation>
    <dataValidation type="list" allowBlank="1" showInputMessage="1" showErrorMessage="1" sqref="C1047">
      <formula1>"Number"</formula1>
    </dataValidation>
    <dataValidation type="list" allowBlank="1" showInputMessage="1" showErrorMessage="1" sqref="C1048">
      <formula1>"Number"</formula1>
    </dataValidation>
    <dataValidation type="list" allowBlank="1" showInputMessage="1" showErrorMessage="1" sqref="C1049">
      <formula1>"Number"</formula1>
    </dataValidation>
    <dataValidation type="list" allowBlank="1" showInputMessage="1" showErrorMessage="1" sqref="C1052">
      <formula1>"Number"</formula1>
    </dataValidation>
    <dataValidation type="list" allowBlank="1" showInputMessage="1" showErrorMessage="1" sqref="C1053">
      <formula1>"Number"</formula1>
    </dataValidation>
    <dataValidation type="list" allowBlank="1" showInputMessage="1" showErrorMessage="1" sqref="C1054">
      <formula1>"Number"</formula1>
    </dataValidation>
    <dataValidation type="list" allowBlank="1" showInputMessage="1" showErrorMessage="1" sqref="C1055">
      <formula1>"Number"</formula1>
    </dataValidation>
    <dataValidation type="list" allowBlank="1" showInputMessage="1" showErrorMessage="1" sqref="C1056">
      <formula1>"Number"</formula1>
    </dataValidation>
    <dataValidation type="list" allowBlank="1" showInputMessage="1" showErrorMessage="1" sqref="C1057">
      <formula1>"Number"</formula1>
    </dataValidation>
    <dataValidation type="list" allowBlank="1" showInputMessage="1" showErrorMessage="1" sqref="C1058">
      <formula1>"Number"</formula1>
    </dataValidation>
    <dataValidation type="list" allowBlank="1" showInputMessage="1" showErrorMessage="1" sqref="C1059">
      <formula1>"Number"</formula1>
    </dataValidation>
    <dataValidation type="list" allowBlank="1" showInputMessage="1" showErrorMessage="1" sqref="C1060">
      <formula1>"Number"</formula1>
    </dataValidation>
    <dataValidation type="list" allowBlank="1" showInputMessage="1" showErrorMessage="1" sqref="C1061">
      <formula1>"Number"</formula1>
    </dataValidation>
    <dataValidation type="list" allowBlank="1" showInputMessage="1" showErrorMessage="1" sqref="C1062">
      <formula1>"Number"</formula1>
    </dataValidation>
    <dataValidation type="list" allowBlank="1" showInputMessage="1" showErrorMessage="1" sqref="C1063">
      <formula1>"Number"</formula1>
    </dataValidation>
    <dataValidation type="list" allowBlank="1" showInputMessage="1" showErrorMessage="1" sqref="C1066">
      <formula1>"Number"</formula1>
    </dataValidation>
    <dataValidation type="list" allowBlank="1" showInputMessage="1" showErrorMessage="1" sqref="C1067">
      <formula1>"Number"</formula1>
    </dataValidation>
    <dataValidation type="list" allowBlank="1" showInputMessage="1" showErrorMessage="1" sqref="C1068">
      <formula1>"Number"</formula1>
    </dataValidation>
    <dataValidation type="list" allowBlank="1" showInputMessage="1" showErrorMessage="1" sqref="C1069">
      <formula1>"Number"</formula1>
    </dataValidation>
    <dataValidation type="list" allowBlank="1" showInputMessage="1" showErrorMessage="1" sqref="C1070">
      <formula1>"Number"</formula1>
    </dataValidation>
    <dataValidation type="list" allowBlank="1" showInputMessage="1" showErrorMessage="1" sqref="C1071">
      <formula1>"Number"</formula1>
    </dataValidation>
    <dataValidation type="list" allowBlank="1" showInputMessage="1" showErrorMessage="1" sqref="C1072">
      <formula1>"Number"</formula1>
    </dataValidation>
    <dataValidation type="list" allowBlank="1" showInputMessage="1" showErrorMessage="1" sqref="C1073">
      <formula1>"Number"</formula1>
    </dataValidation>
    <dataValidation type="list" allowBlank="1" showInputMessage="1" showErrorMessage="1" sqref="C1074">
      <formula1>"Number"</formula1>
    </dataValidation>
    <dataValidation type="list" allowBlank="1" showInputMessage="1" showErrorMessage="1" sqref="C1075">
      <formula1>"Number"</formula1>
    </dataValidation>
    <dataValidation type="list" allowBlank="1" showInputMessage="1" showErrorMessage="1" sqref="C1076">
      <formula1>"Number"</formula1>
    </dataValidation>
    <dataValidation type="list" allowBlank="1" showInputMessage="1" showErrorMessage="1" sqref="C1077">
      <formula1>"Number"</formula1>
    </dataValidation>
    <dataValidation type="list" allowBlank="1" showInputMessage="1" showErrorMessage="1" sqref="C1080">
      <formula1>"Number"</formula1>
    </dataValidation>
    <dataValidation type="list" allowBlank="1" showInputMessage="1" showErrorMessage="1" sqref="C1081">
      <formula1>"Number"</formula1>
    </dataValidation>
    <dataValidation type="list" allowBlank="1" showInputMessage="1" showErrorMessage="1" sqref="C1082">
      <formula1>"Number"</formula1>
    </dataValidation>
    <dataValidation type="list" allowBlank="1" showInputMessage="1" showErrorMessage="1" sqref="C1083">
      <formula1>"Number"</formula1>
    </dataValidation>
    <dataValidation type="list" allowBlank="1" showInputMessage="1" showErrorMessage="1" sqref="C1084">
      <formula1>"Number"</formula1>
    </dataValidation>
    <dataValidation type="list" allowBlank="1" showInputMessage="1" showErrorMessage="1" sqref="C1085">
      <formula1>"Number"</formula1>
    </dataValidation>
    <dataValidation type="list" allowBlank="1" showInputMessage="1" showErrorMessage="1" sqref="C1086">
      <formula1>"Number"</formula1>
    </dataValidation>
    <dataValidation type="list" allowBlank="1" showInputMessage="1" showErrorMessage="1" sqref="C1087">
      <formula1>"Number"</formula1>
    </dataValidation>
    <dataValidation type="list" allowBlank="1" showInputMessage="1" showErrorMessage="1" sqref="C1088">
      <formula1>"Number"</formula1>
    </dataValidation>
    <dataValidation type="list" allowBlank="1" showInputMessage="1" showErrorMessage="1" sqref="C1089">
      <formula1>"Number"</formula1>
    </dataValidation>
    <dataValidation type="list" allowBlank="1" showInputMessage="1" showErrorMessage="1" sqref="C1090">
      <formula1>"Number"</formula1>
    </dataValidation>
    <dataValidation type="list" allowBlank="1" showInputMessage="1" showErrorMessage="1" sqref="C1091">
      <formula1>"Number"</formula1>
    </dataValidation>
    <dataValidation type="list" allowBlank="1" showInputMessage="1" showErrorMessage="1" sqref="C1094">
      <formula1>"Number"</formula1>
    </dataValidation>
    <dataValidation type="list" allowBlank="1" showInputMessage="1" showErrorMessage="1" sqref="C1095">
      <formula1>"Number"</formula1>
    </dataValidation>
    <dataValidation type="list" allowBlank="1" showInputMessage="1" showErrorMessage="1" sqref="C1096">
      <formula1>"Number"</formula1>
    </dataValidation>
    <dataValidation type="list" allowBlank="1" showInputMessage="1" showErrorMessage="1" sqref="C1097">
      <formula1>"Number"</formula1>
    </dataValidation>
    <dataValidation type="list" allowBlank="1" showInputMessage="1" showErrorMessage="1" sqref="C1098">
      <formula1>"Number"</formula1>
    </dataValidation>
    <dataValidation type="list" allowBlank="1" showInputMessage="1" showErrorMessage="1" sqref="C1099">
      <formula1>"Number"</formula1>
    </dataValidation>
    <dataValidation type="list" allowBlank="1" showInputMessage="1" showErrorMessage="1" sqref="C1100">
      <formula1>"Number"</formula1>
    </dataValidation>
    <dataValidation type="list" allowBlank="1" showInputMessage="1" showErrorMessage="1" sqref="C1101">
      <formula1>"Number"</formula1>
    </dataValidation>
    <dataValidation type="list" allowBlank="1" showInputMessage="1" showErrorMessage="1" sqref="C1102">
      <formula1>"Number"</formula1>
    </dataValidation>
    <dataValidation type="list" allowBlank="1" showInputMessage="1" showErrorMessage="1" sqref="C1103">
      <formula1>"Number"</formula1>
    </dataValidation>
    <dataValidation type="list" allowBlank="1" showInputMessage="1" showErrorMessage="1" sqref="C1104">
      <formula1>"Number"</formula1>
    </dataValidation>
    <dataValidation type="list" allowBlank="1" showInputMessage="1" showErrorMessage="1" sqref="C1105">
      <formula1>"Number"</formula1>
    </dataValidation>
    <dataValidation type="list" allowBlank="1" showInputMessage="1" showErrorMessage="1" sqref="C1108">
      <formula1>"Number"</formula1>
    </dataValidation>
    <dataValidation type="list" allowBlank="1" showInputMessage="1" showErrorMessage="1" sqref="C1109">
      <formula1>"Number"</formula1>
    </dataValidation>
    <dataValidation type="list" allowBlank="1" showInputMessage="1" showErrorMessage="1" sqref="C1110">
      <formula1>"Number"</formula1>
    </dataValidation>
    <dataValidation type="list" allowBlank="1" showInputMessage="1" showErrorMessage="1" sqref="C1111">
      <formula1>"Number"</formula1>
    </dataValidation>
    <dataValidation type="list" allowBlank="1" showInputMessage="1" showErrorMessage="1" sqref="C1112">
      <formula1>"Number"</formula1>
    </dataValidation>
    <dataValidation type="list" allowBlank="1" showInputMessage="1" showErrorMessage="1" sqref="C1113">
      <formula1>"Number"</formula1>
    </dataValidation>
    <dataValidation type="list" allowBlank="1" showInputMessage="1" showErrorMessage="1" sqref="C1114">
      <formula1>"Number"</formula1>
    </dataValidation>
    <dataValidation type="list" allowBlank="1" showInputMessage="1" showErrorMessage="1" sqref="C1115">
      <formula1>"Number"</formula1>
    </dataValidation>
    <dataValidation type="list" allowBlank="1" showInputMessage="1" showErrorMessage="1" sqref="C1116">
      <formula1>"Number"</formula1>
    </dataValidation>
    <dataValidation type="list" allowBlank="1" showInputMessage="1" showErrorMessage="1" sqref="C1117">
      <formula1>"Number"</formula1>
    </dataValidation>
    <dataValidation type="list" allowBlank="1" showInputMessage="1" showErrorMessage="1" sqref="C1118">
      <formula1>"Number"</formula1>
    </dataValidation>
    <dataValidation type="list" allowBlank="1" showInputMessage="1" showErrorMessage="1" sqref="C1119">
      <formula1>"Number"</formula1>
    </dataValidation>
    <dataValidation type="list" allowBlank="1" showInputMessage="1" showErrorMessage="1" sqref="C1122">
      <formula1>"Number"</formula1>
    </dataValidation>
    <dataValidation type="list" allowBlank="1" showInputMessage="1" showErrorMessage="1" sqref="C1123">
      <formula1>"Number"</formula1>
    </dataValidation>
    <dataValidation type="list" allowBlank="1" showInputMessage="1" showErrorMessage="1" sqref="C1124">
      <formula1>"Number"</formula1>
    </dataValidation>
    <dataValidation type="list" allowBlank="1" showInputMessage="1" showErrorMessage="1" sqref="C1125">
      <formula1>"Number"</formula1>
    </dataValidation>
    <dataValidation type="list" allowBlank="1" showInputMessage="1" showErrorMessage="1" sqref="C1126">
      <formula1>"Number"</formula1>
    </dataValidation>
    <dataValidation type="list" allowBlank="1" showInputMessage="1" showErrorMessage="1" sqref="C1127">
      <formula1>"Number"</formula1>
    </dataValidation>
    <dataValidation type="list" allowBlank="1" showInputMessage="1" showErrorMessage="1" sqref="C1128">
      <formula1>"Number"</formula1>
    </dataValidation>
    <dataValidation type="list" allowBlank="1" showInputMessage="1" showErrorMessage="1" sqref="C1129">
      <formula1>"Number"</formula1>
    </dataValidation>
    <dataValidation type="list" allowBlank="1" showInputMessage="1" showErrorMessage="1" sqref="C1130">
      <formula1>"Number"</formula1>
    </dataValidation>
    <dataValidation type="list" allowBlank="1" showInputMessage="1" showErrorMessage="1" sqref="C1131">
      <formula1>"Number"</formula1>
    </dataValidation>
    <dataValidation type="list" allowBlank="1" showInputMessage="1" showErrorMessage="1" sqref="C1132">
      <formula1>"Number"</formula1>
    </dataValidation>
    <dataValidation type="list" allowBlank="1" showInputMessage="1" showErrorMessage="1" sqref="C1133">
      <formula1>"Number"</formula1>
    </dataValidation>
    <dataValidation type="list" allowBlank="1" showInputMessage="1" showErrorMessage="1" sqref="C1136">
      <formula1>"Number"</formula1>
    </dataValidation>
    <dataValidation type="list" allowBlank="1" showInputMessage="1" showErrorMessage="1" sqref="C1137">
      <formula1>"Number"</formula1>
    </dataValidation>
    <dataValidation type="list" allowBlank="1" showInputMessage="1" showErrorMessage="1" sqref="C1138">
      <formula1>"Number"</formula1>
    </dataValidation>
    <dataValidation type="list" allowBlank="1" showInputMessage="1" showErrorMessage="1" sqref="C1139">
      <formula1>"Number"</formula1>
    </dataValidation>
    <dataValidation type="list" allowBlank="1" showInputMessage="1" showErrorMessage="1" sqref="C1140">
      <formula1>"Number"</formula1>
    </dataValidation>
    <dataValidation type="list" allowBlank="1" showInputMessage="1" showErrorMessage="1" sqref="C1141">
      <formula1>"Number"</formula1>
    </dataValidation>
    <dataValidation type="list" allowBlank="1" showInputMessage="1" showErrorMessage="1" sqref="C1142">
      <formula1>"Number"</formula1>
    </dataValidation>
    <dataValidation type="list" allowBlank="1" showInputMessage="1" showErrorMessage="1" sqref="C1143">
      <formula1>"Number"</formula1>
    </dataValidation>
    <dataValidation type="list" allowBlank="1" showInputMessage="1" showErrorMessage="1" sqref="C1144">
      <formula1>"Number"</formula1>
    </dataValidation>
    <dataValidation type="list" allowBlank="1" showInputMessage="1" showErrorMessage="1" sqref="C1145">
      <formula1>"Number"</formula1>
    </dataValidation>
    <dataValidation type="list" allowBlank="1" showInputMessage="1" showErrorMessage="1" sqref="C1146">
      <formula1>"Number"</formula1>
    </dataValidation>
    <dataValidation type="list" allowBlank="1" showInputMessage="1" showErrorMessage="1" sqref="C1147">
      <formula1>"Number"</formula1>
    </dataValidation>
    <dataValidation type="list" allowBlank="1" showInputMessage="1" showErrorMessage="1" sqref="C1150">
      <formula1>"Number"</formula1>
    </dataValidation>
    <dataValidation type="list" allowBlank="1" showInputMessage="1" showErrorMessage="1" sqref="C1151">
      <formula1>"Number"</formula1>
    </dataValidation>
    <dataValidation type="list" allowBlank="1" showInputMessage="1" showErrorMessage="1" sqref="C1152">
      <formula1>"Number"</formula1>
    </dataValidation>
    <dataValidation type="list" allowBlank="1" showInputMessage="1" showErrorMessage="1" sqref="C1153">
      <formula1>"Number"</formula1>
    </dataValidation>
    <dataValidation type="list" allowBlank="1" showInputMessage="1" showErrorMessage="1" sqref="C1154">
      <formula1>"Number"</formula1>
    </dataValidation>
    <dataValidation type="list" allowBlank="1" showInputMessage="1" showErrorMessage="1" sqref="C1155">
      <formula1>"Number"</formula1>
    </dataValidation>
    <dataValidation type="list" allowBlank="1" showInputMessage="1" showErrorMessage="1" sqref="C1156">
      <formula1>"Number"</formula1>
    </dataValidation>
    <dataValidation type="list" allowBlank="1" showInputMessage="1" showErrorMessage="1" sqref="C1157">
      <formula1>"Number"</formula1>
    </dataValidation>
    <dataValidation type="list" allowBlank="1" showInputMessage="1" showErrorMessage="1" sqref="C1158">
      <formula1>"Number"</formula1>
    </dataValidation>
    <dataValidation type="list" allowBlank="1" showInputMessage="1" showErrorMessage="1" sqref="C1159">
      <formula1>"Number"</formula1>
    </dataValidation>
    <dataValidation type="list" allowBlank="1" showInputMessage="1" showErrorMessage="1" sqref="C1160">
      <formula1>"Number"</formula1>
    </dataValidation>
    <dataValidation type="list" allowBlank="1" showInputMessage="1" showErrorMessage="1" sqref="C1161">
      <formula1>"Number"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808080"/>
  </sheetPr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85.28515625" customWidth="1"/>
    <col min="2" max="2" width="30.28515625" customWidth="1"/>
    <col min="3" max="3" width="20.425781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209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56</v>
      </c>
      <c r="D2" s="3"/>
      <c r="E2" s="3">
        <v>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56</v>
      </c>
      <c r="D3" s="3"/>
      <c r="E3" s="3">
        <v>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56</v>
      </c>
      <c r="D4" s="3"/>
      <c r="E4" s="3">
        <v>1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56</v>
      </c>
      <c r="D5" s="3"/>
      <c r="E5" s="3">
        <v>1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56</v>
      </c>
      <c r="D6" s="3"/>
      <c r="E6" s="3">
        <v>1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56</v>
      </c>
      <c r="D7" s="3"/>
      <c r="E7" s="3">
        <v>1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56</v>
      </c>
      <c r="D8" s="3"/>
      <c r="E8" s="3">
        <v>1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56</v>
      </c>
      <c r="D9" s="3"/>
      <c r="E9" s="3">
        <v>1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56</v>
      </c>
      <c r="D10" s="3"/>
      <c r="E10" s="3">
        <v>1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56</v>
      </c>
      <c r="D11" s="3"/>
      <c r="E11" s="3">
        <v>1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56</v>
      </c>
      <c r="D12" s="3"/>
      <c r="E12" s="3">
        <v>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56</v>
      </c>
      <c r="D13" s="3"/>
      <c r="E13" s="3">
        <v>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56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56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56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56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56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56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56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56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56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56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56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56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51</v>
      </c>
      <c r="D58" s="3">
        <v>0</v>
      </c>
      <c r="E58" s="3"/>
      <c r="F58" s="4" t="s">
        <v>37</v>
      </c>
      <c r="G58" s="3">
        <v>19.706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>
        <v>19.706</v>
      </c>
      <c r="V58" s="3">
        <v>59.118</v>
      </c>
      <c r="W58" s="3">
        <v>1.752</v>
      </c>
      <c r="X58" s="3">
        <v>142.921</v>
      </c>
      <c r="Y58" s="3">
        <v>2.331</v>
      </c>
      <c r="Z58" s="3">
        <v>1.831</v>
      </c>
      <c r="AA58" s="3">
        <v>0.436</v>
      </c>
      <c r="AB58" s="3">
        <v>2.119</v>
      </c>
      <c r="AC58" s="3">
        <v>0.065</v>
      </c>
      <c r="AD58" s="3">
        <v>0.065</v>
      </c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51</v>
      </c>
      <c r="D59" s="3">
        <v>0</v>
      </c>
      <c r="E59" s="3"/>
      <c r="F59" s="4" t="s">
        <v>37</v>
      </c>
      <c r="G59" s="3">
        <v>19.706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>
        <v>19.706</v>
      </c>
      <c r="V59" s="3">
        <v>59.118</v>
      </c>
      <c r="W59" s="3">
        <v>1.752</v>
      </c>
      <c r="X59" s="3">
        <v>142.921</v>
      </c>
      <c r="Y59" s="3">
        <v>2.331</v>
      </c>
      <c r="Z59" s="3">
        <v>1.831</v>
      </c>
      <c r="AA59" s="3">
        <v>0.436</v>
      </c>
      <c r="AB59" s="3">
        <v>2.119</v>
      </c>
      <c r="AC59" s="3">
        <v>0.065</v>
      </c>
      <c r="AD59" s="3">
        <v>0.065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51</v>
      </c>
      <c r="D60" s="3">
        <v>0</v>
      </c>
      <c r="E60" s="3"/>
      <c r="F60" s="4" t="s">
        <v>37</v>
      </c>
      <c r="G60" s="3">
        <v>19.706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>
        <v>19.706</v>
      </c>
      <c r="V60" s="3">
        <v>59.118</v>
      </c>
      <c r="W60" s="3">
        <v>1.752</v>
      </c>
      <c r="X60" s="3">
        <v>142.921</v>
      </c>
      <c r="Y60" s="3">
        <v>2.331</v>
      </c>
      <c r="Z60" s="3">
        <v>1.831</v>
      </c>
      <c r="AA60" s="3">
        <v>0.436</v>
      </c>
      <c r="AB60" s="3">
        <v>2.119</v>
      </c>
      <c r="AC60" s="3">
        <v>0.065</v>
      </c>
      <c r="AD60" s="3">
        <v>0.065</v>
      </c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51</v>
      </c>
      <c r="D61" s="3">
        <v>0</v>
      </c>
      <c r="E61" s="3"/>
      <c r="F61" s="4" t="s">
        <v>37</v>
      </c>
      <c r="G61" s="3">
        <v>19.706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>
        <v>19.706</v>
      </c>
      <c r="V61" s="3">
        <v>59.118</v>
      </c>
      <c r="W61" s="3">
        <v>1.752</v>
      </c>
      <c r="X61" s="3">
        <v>142.921</v>
      </c>
      <c r="Y61" s="3">
        <v>2.331</v>
      </c>
      <c r="Z61" s="3">
        <v>1.831</v>
      </c>
      <c r="AA61" s="3">
        <v>0.436</v>
      </c>
      <c r="AB61" s="3">
        <v>2.119</v>
      </c>
      <c r="AC61" s="3">
        <v>0.065</v>
      </c>
      <c r="AD61" s="3">
        <v>0.065</v>
      </c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51</v>
      </c>
      <c r="D62" s="3">
        <v>0</v>
      </c>
      <c r="E62" s="3"/>
      <c r="F62" s="4" t="s">
        <v>37</v>
      </c>
      <c r="G62" s="3">
        <v>19.706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>
        <v>19.706</v>
      </c>
      <c r="V62" s="3">
        <v>59.118</v>
      </c>
      <c r="W62" s="3">
        <v>1.752</v>
      </c>
      <c r="X62" s="3">
        <v>142.921</v>
      </c>
      <c r="Y62" s="3">
        <v>2.331</v>
      </c>
      <c r="Z62" s="3">
        <v>1.831</v>
      </c>
      <c r="AA62" s="3">
        <v>0.436</v>
      </c>
      <c r="AB62" s="3">
        <v>2.119</v>
      </c>
      <c r="AC62" s="3">
        <v>0.065</v>
      </c>
      <c r="AD62" s="3">
        <v>0.065</v>
      </c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51</v>
      </c>
      <c r="D63" s="3">
        <v>0</v>
      </c>
      <c r="E63" s="3"/>
      <c r="F63" s="4" t="s">
        <v>37</v>
      </c>
      <c r="G63" s="3">
        <v>19.706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>
        <v>19.706</v>
      </c>
      <c r="V63" s="3">
        <v>59.118</v>
      </c>
      <c r="W63" s="3">
        <v>1.752</v>
      </c>
      <c r="X63" s="3">
        <v>142.921</v>
      </c>
      <c r="Y63" s="3">
        <v>2.331</v>
      </c>
      <c r="Z63" s="3">
        <v>1.831</v>
      </c>
      <c r="AA63" s="3">
        <v>0.436</v>
      </c>
      <c r="AB63" s="3">
        <v>2.119</v>
      </c>
      <c r="AC63" s="3">
        <v>0.065</v>
      </c>
      <c r="AD63" s="3">
        <v>0.065</v>
      </c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51</v>
      </c>
      <c r="D64" s="3">
        <v>86.76914826169207</v>
      </c>
      <c r="E64" s="3"/>
      <c r="F64" s="4" t="s">
        <v>37</v>
      </c>
      <c r="G64" s="3">
        <v>19.706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>
        <v>19.706</v>
      </c>
      <c r="V64" s="3">
        <v>59.118</v>
      </c>
      <c r="W64" s="3">
        <v>1.752</v>
      </c>
      <c r="X64" s="3">
        <v>142.921</v>
      </c>
      <c r="Y64" s="3">
        <v>2.331</v>
      </c>
      <c r="Z64" s="3">
        <v>1.831</v>
      </c>
      <c r="AA64" s="3">
        <v>0.436</v>
      </c>
      <c r="AB64" s="3">
        <v>2.119</v>
      </c>
      <c r="AC64" s="3">
        <v>0.065</v>
      </c>
      <c r="AD64" s="3">
        <v>0.065</v>
      </c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51</v>
      </c>
      <c r="D65" s="3">
        <v>86.37443544822622</v>
      </c>
      <c r="E65" s="3"/>
      <c r="F65" s="4" t="s">
        <v>37</v>
      </c>
      <c r="G65" s="3">
        <v>19.706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>
        <v>19.706</v>
      </c>
      <c r="V65" s="3">
        <v>59.118</v>
      </c>
      <c r="W65" s="3">
        <v>1.752</v>
      </c>
      <c r="X65" s="3">
        <v>142.921</v>
      </c>
      <c r="Y65" s="3">
        <v>2.331</v>
      </c>
      <c r="Z65" s="3">
        <v>1.831</v>
      </c>
      <c r="AA65" s="3">
        <v>0.436</v>
      </c>
      <c r="AB65" s="3">
        <v>2.119</v>
      </c>
      <c r="AC65" s="3">
        <v>0.065</v>
      </c>
      <c r="AD65" s="3">
        <v>0.065</v>
      </c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51</v>
      </c>
      <c r="D66" s="3">
        <v>4.456761387298109</v>
      </c>
      <c r="E66" s="3"/>
      <c r="F66" s="4" t="s">
        <v>37</v>
      </c>
      <c r="G66" s="3">
        <v>19.706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>
        <v>19.706</v>
      </c>
      <c r="V66" s="3">
        <v>59.118</v>
      </c>
      <c r="W66" s="3">
        <v>1.752</v>
      </c>
      <c r="X66" s="3">
        <v>142.921</v>
      </c>
      <c r="Y66" s="3">
        <v>2.331</v>
      </c>
      <c r="Z66" s="3">
        <v>1.831</v>
      </c>
      <c r="AA66" s="3">
        <v>0.436</v>
      </c>
      <c r="AB66" s="3">
        <v>2.119</v>
      </c>
      <c r="AC66" s="3">
        <v>0.065</v>
      </c>
      <c r="AD66" s="3">
        <v>0.065</v>
      </c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51</v>
      </c>
      <c r="D67" s="3">
        <v>4.364758325304575</v>
      </c>
      <c r="E67" s="3"/>
      <c r="F67" s="4" t="s">
        <v>37</v>
      </c>
      <c r="G67" s="3">
        <v>19.706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>
        <v>19.706</v>
      </c>
      <c r="V67" s="3">
        <v>59.118</v>
      </c>
      <c r="W67" s="3">
        <v>1.752</v>
      </c>
      <c r="X67" s="3">
        <v>142.921</v>
      </c>
      <c r="Y67" s="3">
        <v>2.331</v>
      </c>
      <c r="Z67" s="3">
        <v>1.831</v>
      </c>
      <c r="AA67" s="3">
        <v>0.436</v>
      </c>
      <c r="AB67" s="3">
        <v>2.119</v>
      </c>
      <c r="AC67" s="3">
        <v>0.065</v>
      </c>
      <c r="AD67" s="3">
        <v>0.065</v>
      </c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51</v>
      </c>
      <c r="D68" s="3">
        <v>0</v>
      </c>
      <c r="E68" s="3"/>
      <c r="F68" s="4" t="s">
        <v>37</v>
      </c>
      <c r="G68" s="3">
        <v>19.706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>
        <v>19.706</v>
      </c>
      <c r="V68" s="3">
        <v>59.118</v>
      </c>
      <c r="W68" s="3">
        <v>1.752</v>
      </c>
      <c r="X68" s="3">
        <v>142.921</v>
      </c>
      <c r="Y68" s="3">
        <v>2.331</v>
      </c>
      <c r="Z68" s="3">
        <v>1.831</v>
      </c>
      <c r="AA68" s="3">
        <v>0.436</v>
      </c>
      <c r="AB68" s="3">
        <v>2.119</v>
      </c>
      <c r="AC68" s="3">
        <v>0.065</v>
      </c>
      <c r="AD68" s="3">
        <v>0.065</v>
      </c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51</v>
      </c>
      <c r="D69" s="3">
        <v>0</v>
      </c>
      <c r="E69" s="3"/>
      <c r="F69" s="4" t="s">
        <v>37</v>
      </c>
      <c r="G69" s="3">
        <v>19.706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>
        <v>19.706</v>
      </c>
      <c r="V69" s="3">
        <v>59.118</v>
      </c>
      <c r="W69" s="3">
        <v>1.752</v>
      </c>
      <c r="X69" s="3">
        <v>142.921</v>
      </c>
      <c r="Y69" s="3">
        <v>2.331</v>
      </c>
      <c r="Z69" s="3">
        <v>1.831</v>
      </c>
      <c r="AA69" s="3">
        <v>0.436</v>
      </c>
      <c r="AB69" s="3">
        <v>2.119</v>
      </c>
      <c r="AC69" s="3">
        <v>0.065</v>
      </c>
      <c r="AD69" s="3">
        <v>0.065</v>
      </c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214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51</v>
      </c>
      <c r="D72" s="3"/>
      <c r="E72" s="3"/>
      <c r="F72" s="4" t="s">
        <v>37</v>
      </c>
      <c r="G72" s="3">
        <v>0</v>
      </c>
      <c r="H72" s="3"/>
      <c r="I72" s="3"/>
      <c r="J72" s="3"/>
      <c r="K72" s="3"/>
      <c r="L72" s="3"/>
      <c r="M72" s="3"/>
      <c r="N72" s="3"/>
      <c r="O72" s="3"/>
      <c r="P72" s="3"/>
      <c r="Q72" s="3">
        <v>0</v>
      </c>
      <c r="R72" s="3"/>
      <c r="S72" s="3"/>
      <c r="T72" s="3"/>
      <c r="U72" s="3"/>
      <c r="V72" s="3">
        <v>0</v>
      </c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51</v>
      </c>
      <c r="D73" s="3"/>
      <c r="E73" s="3"/>
      <c r="F73" s="4" t="s">
        <v>37</v>
      </c>
      <c r="G73" s="3">
        <v>0</v>
      </c>
      <c r="H73" s="3"/>
      <c r="I73" s="3"/>
      <c r="J73" s="3"/>
      <c r="K73" s="3"/>
      <c r="L73" s="3"/>
      <c r="M73" s="3"/>
      <c r="N73" s="3"/>
      <c r="O73" s="3"/>
      <c r="P73" s="3"/>
      <c r="Q73" s="3">
        <v>0</v>
      </c>
      <c r="R73" s="3"/>
      <c r="S73" s="3"/>
      <c r="T73" s="3"/>
      <c r="U73" s="3"/>
      <c r="V73" s="3">
        <v>0</v>
      </c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51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>
        <v>0</v>
      </c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51</v>
      </c>
      <c r="D75" s="3"/>
      <c r="E75" s="3"/>
      <c r="F75" s="4" t="s">
        <v>37</v>
      </c>
      <c r="G75" s="3">
        <v>0</v>
      </c>
      <c r="H75" s="3"/>
      <c r="I75" s="3"/>
      <c r="J75" s="3"/>
      <c r="K75" s="3"/>
      <c r="L75" s="3"/>
      <c r="M75" s="3"/>
      <c r="N75" s="3"/>
      <c r="O75" s="3"/>
      <c r="P75" s="3"/>
      <c r="Q75" s="3">
        <v>0</v>
      </c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51</v>
      </c>
      <c r="D76" s="3"/>
      <c r="E76" s="3"/>
      <c r="F76" s="4" t="s">
        <v>37</v>
      </c>
      <c r="G76" s="3">
        <v>0</v>
      </c>
      <c r="H76" s="3"/>
      <c r="I76" s="3"/>
      <c r="J76" s="3"/>
      <c r="K76" s="3"/>
      <c r="L76" s="3"/>
      <c r="M76" s="3"/>
      <c r="N76" s="3"/>
      <c r="O76" s="3"/>
      <c r="P76" s="3"/>
      <c r="Q76" s="3">
        <v>0</v>
      </c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51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>
        <v>0</v>
      </c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51</v>
      </c>
      <c r="D78" s="3"/>
      <c r="E78" s="3"/>
      <c r="F78" s="4" t="s">
        <v>37</v>
      </c>
      <c r="G78" s="3">
        <v>0.008689222366055391</v>
      </c>
      <c r="H78" s="3"/>
      <c r="I78" s="3"/>
      <c r="J78" s="3"/>
      <c r="K78" s="3"/>
      <c r="L78" s="3"/>
      <c r="M78" s="3"/>
      <c r="N78" s="3"/>
      <c r="O78" s="3"/>
      <c r="P78" s="3"/>
      <c r="Q78" s="3">
        <v>0</v>
      </c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51</v>
      </c>
      <c r="D79" s="3"/>
      <c r="E79" s="3"/>
      <c r="F79" s="4" t="s">
        <v>37</v>
      </c>
      <c r="G79" s="3">
        <v>0.008689222366055391</v>
      </c>
      <c r="H79" s="3"/>
      <c r="I79" s="3"/>
      <c r="J79" s="3"/>
      <c r="K79" s="3"/>
      <c r="L79" s="3"/>
      <c r="M79" s="3"/>
      <c r="N79" s="3"/>
      <c r="O79" s="3"/>
      <c r="P79" s="3"/>
      <c r="Q79" s="3">
        <v>0</v>
      </c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51</v>
      </c>
      <c r="D80" s="3"/>
      <c r="E80" s="3"/>
      <c r="F80" s="4" t="s">
        <v>37</v>
      </c>
      <c r="G80" s="3">
        <v>0.008689222366055391</v>
      </c>
      <c r="H80" s="3"/>
      <c r="I80" s="3"/>
      <c r="J80" s="3"/>
      <c r="K80" s="3"/>
      <c r="L80" s="3"/>
      <c r="M80" s="3"/>
      <c r="N80" s="3"/>
      <c r="O80" s="3"/>
      <c r="P80" s="3"/>
      <c r="Q80" s="3">
        <v>0</v>
      </c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51</v>
      </c>
      <c r="D81" s="3"/>
      <c r="E81" s="3"/>
      <c r="F81" s="4" t="s">
        <v>37</v>
      </c>
      <c r="G81" s="3">
        <v>0.008689222366055391</v>
      </c>
      <c r="H81" s="3"/>
      <c r="I81" s="3"/>
      <c r="J81" s="3"/>
      <c r="K81" s="3"/>
      <c r="L81" s="3"/>
      <c r="M81" s="3"/>
      <c r="N81" s="3"/>
      <c r="O81" s="3"/>
      <c r="P81" s="3"/>
      <c r="Q81" s="3">
        <v>0</v>
      </c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51</v>
      </c>
      <c r="D82" s="3"/>
      <c r="E82" s="3"/>
      <c r="F82" s="4" t="s">
        <v>37</v>
      </c>
      <c r="G82" s="3">
        <v>0.001466834899994966</v>
      </c>
      <c r="H82" s="3"/>
      <c r="I82" s="3"/>
      <c r="J82" s="3"/>
      <c r="K82" s="3"/>
      <c r="L82" s="3"/>
      <c r="M82" s="3"/>
      <c r="N82" s="3"/>
      <c r="O82" s="3"/>
      <c r="P82" s="3"/>
      <c r="Q82" s="3">
        <v>0.001466834899994966</v>
      </c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51</v>
      </c>
      <c r="D83" s="3"/>
      <c r="E83" s="3"/>
      <c r="F83" s="4" t="s">
        <v>37</v>
      </c>
      <c r="G83" s="3">
        <v>0.001466834899994966</v>
      </c>
      <c r="H83" s="3"/>
      <c r="I83" s="3"/>
      <c r="J83" s="3"/>
      <c r="K83" s="3"/>
      <c r="L83" s="3"/>
      <c r="M83" s="3"/>
      <c r="N83" s="3"/>
      <c r="O83" s="3"/>
      <c r="P83" s="3"/>
      <c r="Q83" s="3">
        <v>0.001466834899994966</v>
      </c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0">
      <formula1>"Number (per year)"</formula1>
    </dataValidation>
    <dataValidation type="list" allowBlank="1" showInputMessage="1" showErrorMessage="1" sqref="C61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5">
      <formula1>"Number (per year)"</formula1>
    </dataValidation>
    <dataValidation type="list" allowBlank="1" showInputMessage="1" showErrorMessage="1" sqref="C76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7.7109375" customWidth="1"/>
    <col min="2" max="2" width="30.2851562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215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216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5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5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5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5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5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5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5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5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217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0.8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0.8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0.8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0.8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0.8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0.8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0.8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0.8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56</v>
      </c>
      <c r="D58" s="3"/>
      <c r="E58" s="3">
        <v>1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56</v>
      </c>
      <c r="D59" s="3"/>
      <c r="E59" s="3">
        <v>1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56</v>
      </c>
      <c r="D60" s="3"/>
      <c r="E60" s="3">
        <v>1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56</v>
      </c>
      <c r="D61" s="3"/>
      <c r="E61" s="3">
        <v>1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56</v>
      </c>
      <c r="D62" s="3"/>
      <c r="E62" s="3">
        <v>1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56</v>
      </c>
      <c r="D63" s="3"/>
      <c r="E63" s="3">
        <v>1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56</v>
      </c>
      <c r="D64" s="3"/>
      <c r="E64" s="3">
        <v>1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56</v>
      </c>
      <c r="D65" s="3"/>
      <c r="E65" s="3">
        <v>1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56</v>
      </c>
      <c r="D66" s="3"/>
      <c r="E66" s="3">
        <v>1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56</v>
      </c>
      <c r="D67" s="3"/>
      <c r="E67" s="3">
        <v>1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56</v>
      </c>
      <c r="D68" s="3"/>
      <c r="E68" s="3">
        <v>1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56</v>
      </c>
      <c r="D69" s="3"/>
      <c r="E69" s="3">
        <v>1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220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56</v>
      </c>
      <c r="D72" s="3"/>
      <c r="E72" s="3">
        <v>1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56</v>
      </c>
      <c r="D73" s="3"/>
      <c r="E73" s="3">
        <v>1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56</v>
      </c>
      <c r="D74" s="3"/>
      <c r="E74" s="3">
        <v>1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56</v>
      </c>
      <c r="D75" s="3"/>
      <c r="E75" s="3">
        <v>1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56</v>
      </c>
      <c r="D76" s="3"/>
      <c r="E76" s="3">
        <v>1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56</v>
      </c>
      <c r="D77" s="3"/>
      <c r="E77" s="3">
        <v>1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56</v>
      </c>
      <c r="D78" s="3"/>
      <c r="E78" s="3">
        <v>1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56</v>
      </c>
      <c r="D79" s="3"/>
      <c r="E79" s="3">
        <v>1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56</v>
      </c>
      <c r="D80" s="3"/>
      <c r="E80" s="3">
        <v>1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56</v>
      </c>
      <c r="D81" s="3"/>
      <c r="E81" s="3">
        <v>1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56</v>
      </c>
      <c r="D82" s="3"/>
      <c r="E82" s="3">
        <v>1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56</v>
      </c>
      <c r="D83" s="3"/>
      <c r="E83" s="3">
        <v>1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"Probability (per year)"</formula1>
    </dataValidation>
    <dataValidation type="list" allowBlank="1" showInputMessage="1" showErrorMessage="1" sqref="C3">
      <formula1>"Probability (per year)"</formula1>
    </dataValidation>
    <dataValidation type="list" allowBlank="1" showInputMessage="1" showErrorMessage="1" sqref="C4">
      <formula1>"Probability (per year)"</formula1>
    </dataValidation>
    <dataValidation type="list" allowBlank="1" showInputMessage="1" showErrorMessage="1" sqref="C5">
      <formula1>"Probability (per year)"</formula1>
    </dataValidation>
    <dataValidation type="list" allowBlank="1" showInputMessage="1" showErrorMessage="1" sqref="C6">
      <formula1>"Probability (per year)"</formula1>
    </dataValidation>
    <dataValidation type="list" allowBlank="1" showInputMessage="1" showErrorMessage="1" sqref="C7">
      <formula1>"Probability (per year)"</formula1>
    </dataValidation>
    <dataValidation type="list" allowBlank="1" showInputMessage="1" showErrorMessage="1" sqref="C8">
      <formula1>"Probability (per year)"</formula1>
    </dataValidation>
    <dataValidation type="list" allowBlank="1" showInputMessage="1" showErrorMessage="1" sqref="C9">
      <formula1>"Probability (per year)"</formula1>
    </dataValidation>
    <dataValidation type="list" allowBlank="1" showInputMessage="1" showErrorMessage="1" sqref="C10">
      <formula1>"Probability (per year)"</formula1>
    </dataValidation>
    <dataValidation type="list" allowBlank="1" showInputMessage="1" showErrorMessage="1" sqref="C11">
      <formula1>"Probability (per year)"</formula1>
    </dataValidation>
    <dataValidation type="list" allowBlank="1" showInputMessage="1" showErrorMessage="1" sqref="C12">
      <formula1>"Probability (per year)"</formula1>
    </dataValidation>
    <dataValidation type="list" allowBlank="1" showInputMessage="1" showErrorMessage="1" sqref="C13">
      <formula1>"Probability (per year)"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  <dataValidation type="list" allowBlank="1" showInputMessage="1" showErrorMessage="1" sqref="C58">
      <formula1>"N.A."</formula1>
    </dataValidation>
    <dataValidation type="list" allowBlank="1" showInputMessage="1" showErrorMessage="1" sqref="C59">
      <formula1>"N.A."</formula1>
    </dataValidation>
    <dataValidation type="list" allowBlank="1" showInputMessage="1" showErrorMessage="1" sqref="C60">
      <formula1>"N.A."</formula1>
    </dataValidation>
    <dataValidation type="list" allowBlank="1" showInputMessage="1" showErrorMessage="1" sqref="C61">
      <formula1>"N.A."</formula1>
    </dataValidation>
    <dataValidation type="list" allowBlank="1" showInputMessage="1" showErrorMessage="1" sqref="C62">
      <formula1>"N.A."</formula1>
    </dataValidation>
    <dataValidation type="list" allowBlank="1" showInputMessage="1" showErrorMessage="1" sqref="C63">
      <formula1>"N.A."</formula1>
    </dataValidation>
    <dataValidation type="list" allowBlank="1" showInputMessage="1" showErrorMessage="1" sqref="C64">
      <formula1>"N.A."</formula1>
    </dataValidation>
    <dataValidation type="list" allowBlank="1" showInputMessage="1" showErrorMessage="1" sqref="C65">
      <formula1>"N.A."</formula1>
    </dataValidation>
    <dataValidation type="list" allowBlank="1" showInputMessage="1" showErrorMessage="1" sqref="C66">
      <formula1>"N.A."</formula1>
    </dataValidation>
    <dataValidation type="list" allowBlank="1" showInputMessage="1" showErrorMessage="1" sqref="C67">
      <formula1>"N.A."</formula1>
    </dataValidation>
    <dataValidation type="list" allowBlank="1" showInputMessage="1" showErrorMessage="1" sqref="C68">
      <formula1>"N.A."</formula1>
    </dataValidation>
    <dataValidation type="list" allowBlank="1" showInputMessage="1" showErrorMessage="1" sqref="C69">
      <formula1>"N.A."</formula1>
    </dataValidation>
    <dataValidation type="list" allowBlank="1" showInputMessage="1" showErrorMessage="1" sqref="C72">
      <formula1>"N.A."</formula1>
    </dataValidation>
    <dataValidation type="list" allowBlank="1" showInputMessage="1" showErrorMessage="1" sqref="C73">
      <formula1>"N.A."</formula1>
    </dataValidation>
    <dataValidation type="list" allowBlank="1" showInputMessage="1" showErrorMessage="1" sqref="C74">
      <formula1>"N.A."</formula1>
    </dataValidation>
    <dataValidation type="list" allowBlank="1" showInputMessage="1" showErrorMessage="1" sqref="C75">
      <formula1>"N.A."</formula1>
    </dataValidation>
    <dataValidation type="list" allowBlank="1" showInputMessage="1" showErrorMessage="1" sqref="C76">
      <formula1>"N.A."</formula1>
    </dataValidation>
    <dataValidation type="list" allowBlank="1" showInputMessage="1" showErrorMessage="1" sqref="C77">
      <formula1>"N.A."</formula1>
    </dataValidation>
    <dataValidation type="list" allowBlank="1" showInputMessage="1" showErrorMessage="1" sqref="C78">
      <formula1>"N.A."</formula1>
    </dataValidation>
    <dataValidation type="list" allowBlank="1" showInputMessage="1" showErrorMessage="1" sqref="C79">
      <formula1>"N.A."</formula1>
    </dataValidation>
    <dataValidation type="list" allowBlank="1" showInputMessage="1" showErrorMessage="1" sqref="C80">
      <formula1>"N.A."</formula1>
    </dataValidation>
    <dataValidation type="list" allowBlank="1" showInputMessage="1" showErrorMessage="1" sqref="C81">
      <formula1>"N.A."</formula1>
    </dataValidation>
    <dataValidation type="list" allowBlank="1" showInputMessage="1" showErrorMessage="1" sqref="C82">
      <formula1>"N.A."</formula1>
    </dataValidation>
    <dataValidation type="list" allowBlank="1" showInputMessage="1" showErrorMessage="1" sqref="C83">
      <formula1>"N.A."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808080"/>
  </sheetPr>
  <dimension ref="A1:BG162"/>
  <sheetViews>
    <sheetView workbookViewId="0"/>
  </sheetViews>
  <sheetFormatPr defaultRowHeight="15"/>
  <cols>
    <col min="1" max="1" width="20.42578125" customWidth="1"/>
    <col min="2" max="2" width="35.85546875" customWidth="1"/>
    <col min="3" max="3" width="23.7109375" customWidth="1"/>
    <col min="4" max="4" width="30.28515625" customWidth="1"/>
    <col min="5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221</v>
      </c>
      <c r="B2" t="s">
        <v>222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5" t="s">
        <v>225</v>
      </c>
      <c r="C5" s="5" t="s">
        <v>225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225</v>
      </c>
      <c r="C6" s="5" t="s">
        <v>225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5" t="s">
        <v>226</v>
      </c>
      <c r="E7" s="5" t="s">
        <v>226</v>
      </c>
      <c r="F7" s="5" t="s">
        <v>226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5" t="s">
        <v>226</v>
      </c>
      <c r="F8" s="5" t="s">
        <v>226</v>
      </c>
      <c r="G8" s="5" t="s">
        <v>226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5" t="s">
        <v>226</v>
      </c>
      <c r="G9" s="5" t="s">
        <v>226</v>
      </c>
      <c r="H9" s="5" t="s">
        <v>226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5" t="s">
        <v>226</v>
      </c>
      <c r="H10" s="5" t="s">
        <v>226</v>
      </c>
      <c r="I10" s="5" t="s">
        <v>226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5" t="s">
        <v>226</v>
      </c>
      <c r="I11" s="5" t="s">
        <v>226</v>
      </c>
      <c r="J11" s="5" t="s">
        <v>226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5" t="s">
        <v>226</v>
      </c>
      <c r="J12" s="5" t="s">
        <v>226</v>
      </c>
      <c r="K12" s="5" t="s">
        <v>226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5" t="s">
        <v>226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5" t="s">
        <v>226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5" t="s">
        <v>225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5" t="s">
        <v>225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PWID_males</v>
      </c>
      <c r="B19" s="4" t="str">
        <f>IF($B$5="Y","---&gt;","...")</f>
        <v>---&gt;</v>
      </c>
      <c r="C19" s="1" t="str">
        <f>IF($B$5="Y",'Population Definitions'!$A$2,"...")</f>
        <v>PWID_males</v>
      </c>
      <c r="D19" t="s">
        <v>61</v>
      </c>
      <c r="E19" s="3" t="s">
        <v>56</v>
      </c>
      <c r="F19" s="3"/>
      <c r="G19" s="3">
        <v>1</v>
      </c>
      <c r="H19" s="4" t="str">
        <f>IF($B$5="Y","OR","...")</f>
        <v>OR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</row>
    <row r="20" spans="1:59">
      <c r="A20" s="1" t="str">
        <f>IF($C$5="Y",'Population Definitions'!$A$2,"...")</f>
        <v>PWID_males</v>
      </c>
      <c r="B20" s="4" t="str">
        <f>IF($C$5="Y","---&gt;","...")</f>
        <v>---&gt;</v>
      </c>
      <c r="C20" s="1" t="str">
        <f>IF($C$5="Y",'Population Definitions'!$A$3,"...")</f>
        <v>PWID_females</v>
      </c>
      <c r="D20" t="s">
        <v>61</v>
      </c>
      <c r="E20" s="3" t="s">
        <v>56</v>
      </c>
      <c r="F20" s="3"/>
      <c r="G20" s="3">
        <v>1</v>
      </c>
      <c r="H20" s="4" t="str">
        <f>IF($C$5="Y","OR","...")</f>
        <v>OR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PWID_females</v>
      </c>
      <c r="B31" s="4" t="str">
        <f>IF($B$6="Y","---&gt;","...")</f>
        <v>---&gt;</v>
      </c>
      <c r="C31" s="1" t="str">
        <f>IF($B$6="Y",'Population Definitions'!$A$2,"...")</f>
        <v>PWID_males</v>
      </c>
      <c r="D31" t="s">
        <v>61</v>
      </c>
      <c r="E31" s="3" t="s">
        <v>56</v>
      </c>
      <c r="F31" s="3"/>
      <c r="G31" s="3">
        <v>1</v>
      </c>
      <c r="H31" s="4" t="str">
        <f>IF($B$6="Y","OR","...")</f>
        <v>OR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</row>
    <row r="32" spans="1:59">
      <c r="A32" s="1" t="str">
        <f>IF($C$6="Y",'Population Definitions'!$A$3,"...")</f>
        <v>PWID_females</v>
      </c>
      <c r="B32" s="4" t="str">
        <f>IF($C$6="Y","---&gt;","...")</f>
        <v>---&gt;</v>
      </c>
      <c r="C32" s="1" t="str">
        <f>IF($C$6="Y",'Population Definitions'!$A$3,"...")</f>
        <v>PWID_females</v>
      </c>
      <c r="D32" t="s">
        <v>61</v>
      </c>
      <c r="E32" s="3" t="s">
        <v>56</v>
      </c>
      <c r="F32" s="3"/>
      <c r="G32" s="3">
        <v>1</v>
      </c>
      <c r="H32" s="4" t="str">
        <f>IF($C$6="Y","OR","...")</f>
        <v>OR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...</v>
      </c>
      <c r="B47" s="4" t="str">
        <f>IF($F$7="Y","---&gt;","...")</f>
        <v>...</v>
      </c>
      <c r="C47" s="1" t="str">
        <f>IF($F$7="Y",'Population Definitions'!$A$6,"...")</f>
        <v>...</v>
      </c>
      <c r="E47" s="2"/>
      <c r="F47" s="3"/>
      <c r="G47" s="2"/>
      <c r="H47" s="4" t="str">
        <f>IF($F$7="Y","OR","...")</f>
        <v>...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...</v>
      </c>
      <c r="B60" s="4" t="str">
        <f>IF($G$8="Y","---&gt;","...")</f>
        <v>...</v>
      </c>
      <c r="C60" s="1" t="str">
        <f>IF($G$8="Y",'Population Definitions'!$A$7,"...")</f>
        <v>...</v>
      </c>
      <c r="E60" s="2"/>
      <c r="F60" s="3"/>
      <c r="G60" s="2"/>
      <c r="H60" s="4" t="str">
        <f>IF($G$8="Y","OR","...")</f>
        <v>...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...</v>
      </c>
      <c r="B73" s="4" t="str">
        <f>IF($H$9="Y","---&gt;","...")</f>
        <v>...</v>
      </c>
      <c r="C73" s="1" t="str">
        <f>IF($H$9="Y",'Population Definitions'!$A$8,"...")</f>
        <v>...</v>
      </c>
      <c r="E73" s="2"/>
      <c r="F73" s="3"/>
      <c r="G73" s="2"/>
      <c r="H73" s="4" t="str">
        <f>IF($H$9="Y","OR","...")</f>
        <v>...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...</v>
      </c>
      <c r="B86" s="4" t="str">
        <f>IF($I$10="Y","---&gt;","...")</f>
        <v>...</v>
      </c>
      <c r="C86" s="1" t="str">
        <f>IF($I$10="Y",'Population Definitions'!$A$9,"...")</f>
        <v>...</v>
      </c>
      <c r="E86" s="2"/>
      <c r="F86" s="3"/>
      <c r="G86" s="2"/>
      <c r="H86" s="4" t="str">
        <f>IF($I$10="Y","OR","...")</f>
        <v>...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...</v>
      </c>
      <c r="B99" s="4" t="str">
        <f>IF($J$11="Y","---&gt;","...")</f>
        <v>...</v>
      </c>
      <c r="C99" s="1" t="str">
        <f>IF($J$11="Y",'Population Definitions'!$A$10,"...")</f>
        <v>...</v>
      </c>
      <c r="E99" s="2"/>
      <c r="F99" s="3"/>
      <c r="G99" s="2"/>
      <c r="H99" s="4" t="str">
        <f>IF($J$11="Y","OR","...")</f>
        <v>...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...</v>
      </c>
      <c r="B112" s="4" t="str">
        <f>IF($K$12="Y","---&gt;","...")</f>
        <v>...</v>
      </c>
      <c r="C112" s="1" t="str">
        <f>IF($K$12="Y",'Population Definitions'!$A$11,"...")</f>
        <v>...</v>
      </c>
      <c r="E112" s="2"/>
      <c r="F112" s="3"/>
      <c r="G112" s="2"/>
      <c r="H112" s="4" t="str">
        <f>IF($K$12="Y","OR","...")</f>
        <v>...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Prisoners_males</v>
      </c>
      <c r="B149" s="4" t="str">
        <f>IF($L$15="Y","---&gt;","...")</f>
        <v>---&gt;</v>
      </c>
      <c r="C149" s="1" t="str">
        <f>IF($L$15="Y",'Population Definitions'!$A$12,"...")</f>
        <v>Prisoners_males</v>
      </c>
      <c r="D149" t="s">
        <v>61</v>
      </c>
      <c r="E149" s="3" t="s">
        <v>56</v>
      </c>
      <c r="F149" s="3"/>
      <c r="G149" s="3">
        <v>1</v>
      </c>
      <c r="H149" s="4" t="str">
        <f>IF($L$15="Y","OR","...")</f>
        <v>OR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Prisoners_females</v>
      </c>
      <c r="B162" s="4" t="str">
        <f>IF($M$16="Y","---&gt;","...")</f>
        <v>---&gt;</v>
      </c>
      <c r="C162" s="1" t="str">
        <f>IF($M$16="Y",'Population Definitions'!$A$13,"...")</f>
        <v>Prisoners_females</v>
      </c>
      <c r="D162" t="s">
        <v>61</v>
      </c>
      <c r="E162" s="3" t="s">
        <v>56</v>
      </c>
      <c r="F162" s="3"/>
      <c r="G162" s="3">
        <v>1</v>
      </c>
      <c r="H162" s="4" t="str">
        <f>IF($M$16="Y","OR","...")</f>
        <v>OR</v>
      </c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</row>
  </sheetData>
  <conditionalFormatting sqref="B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B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B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B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B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B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B16">
    <cfRule type="cellIs" dxfId="2" priority="265" operator="equal">
      <formula>"Y"</formula>
    </cfRule>
    <cfRule type="cellIs" dxfId="3" priority="266" operator="equal">
      <formula>"N"</formula>
    </cfRule>
  </conditionalFormatting>
  <conditionalFormatting sqref="B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B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B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B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B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C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C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C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C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C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C15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C16">
    <cfRule type="cellIs" dxfId="2" priority="267" operator="equal">
      <formula>"Y"</formula>
    </cfRule>
    <cfRule type="cellIs" dxfId="3" priority="268" operator="equal">
      <formula>"N"</formula>
    </cfRule>
  </conditionalFormatting>
  <conditionalFormatting sqref="C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C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C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C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C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D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D100:BG100">
    <cfRule type="expression" dxfId="4" priority="534">
      <formula>$K$11&lt;&gt;"Y"</formula>
    </cfRule>
  </conditionalFormatting>
  <conditionalFormatting sqref="D101:BG101">
    <cfRule type="expression" dxfId="4" priority="537">
      <formula>$L$11&lt;&gt;"Y"</formula>
    </cfRule>
  </conditionalFormatting>
  <conditionalFormatting sqref="D102:BG102">
    <cfRule type="expression" dxfId="4" priority="540">
      <formula>$M$11&lt;&gt;"Y"</formula>
    </cfRule>
  </conditionalFormatting>
  <conditionalFormatting sqref="D103:BG103">
    <cfRule type="expression" dxfId="4" priority="543">
      <formula>$B$12&lt;&gt;"Y"</formula>
    </cfRule>
  </conditionalFormatting>
  <conditionalFormatting sqref="D104:BG104">
    <cfRule type="expression" dxfId="4" priority="546">
      <formula>$C$12&lt;&gt;"Y"</formula>
    </cfRule>
  </conditionalFormatting>
  <conditionalFormatting sqref="D105:BG105">
    <cfRule type="expression" dxfId="4" priority="549">
      <formula>$D$12&lt;&gt;"Y"</formula>
    </cfRule>
  </conditionalFormatting>
  <conditionalFormatting sqref="D106:BG106">
    <cfRule type="expression" dxfId="4" priority="552">
      <formula>$E$12&lt;&gt;"Y"</formula>
    </cfRule>
  </conditionalFormatting>
  <conditionalFormatting sqref="D107:BG107">
    <cfRule type="expression" dxfId="4" priority="555">
      <formula>$F$12&lt;&gt;"Y"</formula>
    </cfRule>
  </conditionalFormatting>
  <conditionalFormatting sqref="D108:BG108">
    <cfRule type="expression" dxfId="4" priority="558">
      <formula>$G$12&lt;&gt;"Y"</formula>
    </cfRule>
  </conditionalFormatting>
  <conditionalFormatting sqref="D109:BG109">
    <cfRule type="expression" dxfId="4" priority="561">
      <formula>$H$12&lt;&gt;"Y"</formula>
    </cfRule>
  </conditionalFormatting>
  <conditionalFormatting sqref="D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D110:BG110">
    <cfRule type="expression" dxfId="4" priority="564">
      <formula>$I$12&lt;&gt;"Y"</formula>
    </cfRule>
  </conditionalFormatting>
  <conditionalFormatting sqref="D111:BG111">
    <cfRule type="expression" dxfId="4" priority="567">
      <formula>$J$12&lt;&gt;"Y"</formula>
    </cfRule>
  </conditionalFormatting>
  <conditionalFormatting sqref="D112:BG112">
    <cfRule type="expression" dxfId="4" priority="570">
      <formula>$K$12&lt;&gt;"Y"</formula>
    </cfRule>
  </conditionalFormatting>
  <conditionalFormatting sqref="D113:BG113">
    <cfRule type="expression" dxfId="4" priority="573">
      <formula>$L$12&lt;&gt;"Y"</formula>
    </cfRule>
  </conditionalFormatting>
  <conditionalFormatting sqref="D114:BG114">
    <cfRule type="expression" dxfId="4" priority="576">
      <formula>$M$12&lt;&gt;"Y"</formula>
    </cfRule>
  </conditionalFormatting>
  <conditionalFormatting sqref="D115:BG115">
    <cfRule type="expression" dxfId="4" priority="579">
      <formula>$B$13&lt;&gt;"Y"</formula>
    </cfRule>
  </conditionalFormatting>
  <conditionalFormatting sqref="D116:BG116">
    <cfRule type="expression" dxfId="4" priority="582">
      <formula>$C$13&lt;&gt;"Y"</formula>
    </cfRule>
  </conditionalFormatting>
  <conditionalFormatting sqref="D117:BG117">
    <cfRule type="expression" dxfId="4" priority="585">
      <formula>$D$13&lt;&gt;"Y"</formula>
    </cfRule>
  </conditionalFormatting>
  <conditionalFormatting sqref="D118:BG118">
    <cfRule type="expression" dxfId="4" priority="588">
      <formula>$E$13&lt;&gt;"Y"</formula>
    </cfRule>
  </conditionalFormatting>
  <conditionalFormatting sqref="D119:BG119">
    <cfRule type="expression" dxfId="4" priority="591">
      <formula>$F$13&lt;&gt;"Y"</formula>
    </cfRule>
  </conditionalFormatting>
  <conditionalFormatting sqref="D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D120:BG120">
    <cfRule type="expression" dxfId="4" priority="594">
      <formula>$G$13&lt;&gt;"Y"</formula>
    </cfRule>
  </conditionalFormatting>
  <conditionalFormatting sqref="D121:BG121">
    <cfRule type="expression" dxfId="4" priority="597">
      <formula>$H$13&lt;&gt;"Y"</formula>
    </cfRule>
  </conditionalFormatting>
  <conditionalFormatting sqref="D122:BG122">
    <cfRule type="expression" dxfId="4" priority="600">
      <formula>$I$13&lt;&gt;"Y"</formula>
    </cfRule>
  </conditionalFormatting>
  <conditionalFormatting sqref="D123:BG123">
    <cfRule type="expression" dxfId="4" priority="603">
      <formula>$J$13&lt;&gt;"Y"</formula>
    </cfRule>
  </conditionalFormatting>
  <conditionalFormatting sqref="D124:BG124">
    <cfRule type="expression" dxfId="4" priority="606">
      <formula>$K$13&lt;&gt;"Y"</formula>
    </cfRule>
  </conditionalFormatting>
  <conditionalFormatting sqref="D125:BG125">
    <cfRule type="expression" dxfId="4" priority="609">
      <formula>$L$13&lt;&gt;"Y"</formula>
    </cfRule>
  </conditionalFormatting>
  <conditionalFormatting sqref="D126:BG126">
    <cfRule type="expression" dxfId="4" priority="612">
      <formula>$M$13&lt;&gt;"Y"</formula>
    </cfRule>
  </conditionalFormatting>
  <conditionalFormatting sqref="D127:BG127">
    <cfRule type="expression" dxfId="4" priority="615">
      <formula>$B$14&lt;&gt;"Y"</formula>
    </cfRule>
  </conditionalFormatting>
  <conditionalFormatting sqref="D128:BG128">
    <cfRule type="expression" dxfId="4" priority="618">
      <formula>$C$14&lt;&gt;"Y"</formula>
    </cfRule>
  </conditionalFormatting>
  <conditionalFormatting sqref="D129:BG129">
    <cfRule type="expression" dxfId="4" priority="621">
      <formula>$D$14&lt;&gt;"Y"</formula>
    </cfRule>
  </conditionalFormatting>
  <conditionalFormatting sqref="D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D130:BG130">
    <cfRule type="expression" dxfId="4" priority="624">
      <formula>$E$14&lt;&gt;"Y"</formula>
    </cfRule>
  </conditionalFormatting>
  <conditionalFormatting sqref="D131:BG131">
    <cfRule type="expression" dxfId="4" priority="627">
      <formula>$F$14&lt;&gt;"Y"</formula>
    </cfRule>
  </conditionalFormatting>
  <conditionalFormatting sqref="D132:BG132">
    <cfRule type="expression" dxfId="4" priority="630">
      <formula>$G$14&lt;&gt;"Y"</formula>
    </cfRule>
  </conditionalFormatting>
  <conditionalFormatting sqref="D133:BG133">
    <cfRule type="expression" dxfId="4" priority="633">
      <formula>$H$14&lt;&gt;"Y"</formula>
    </cfRule>
  </conditionalFormatting>
  <conditionalFormatting sqref="D134:BG134">
    <cfRule type="expression" dxfId="4" priority="636">
      <formula>$I$14&lt;&gt;"Y"</formula>
    </cfRule>
  </conditionalFormatting>
  <conditionalFormatting sqref="D135:BG135">
    <cfRule type="expression" dxfId="4" priority="639">
      <formula>$J$14&lt;&gt;"Y"</formula>
    </cfRule>
  </conditionalFormatting>
  <conditionalFormatting sqref="D136:BG136">
    <cfRule type="expression" dxfId="4" priority="642">
      <formula>$K$14&lt;&gt;"Y"</formula>
    </cfRule>
  </conditionalFormatting>
  <conditionalFormatting sqref="D137:BG137">
    <cfRule type="expression" dxfId="4" priority="645">
      <formula>$L$14&lt;&gt;"Y"</formula>
    </cfRule>
  </conditionalFormatting>
  <conditionalFormatting sqref="D138:BG138">
    <cfRule type="expression" dxfId="4" priority="648">
      <formula>$M$14&lt;&gt;"Y"</formula>
    </cfRule>
  </conditionalFormatting>
  <conditionalFormatting sqref="D139:BG139">
    <cfRule type="expression" dxfId="4" priority="651">
      <formula>$B$15&lt;&gt;"Y"</formula>
    </cfRule>
  </conditionalFormatting>
  <conditionalFormatting sqref="D14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D140:BG140">
    <cfRule type="expression" dxfId="4" priority="654">
      <formula>$C$15&lt;&gt;"Y"</formula>
    </cfRule>
  </conditionalFormatting>
  <conditionalFormatting sqref="D141:BG141">
    <cfRule type="expression" dxfId="4" priority="657">
      <formula>$D$15&lt;&gt;"Y"</formula>
    </cfRule>
  </conditionalFormatting>
  <conditionalFormatting sqref="D142:BG142">
    <cfRule type="expression" dxfId="4" priority="660">
      <formula>$E$15&lt;&gt;"Y"</formula>
    </cfRule>
  </conditionalFormatting>
  <conditionalFormatting sqref="D143:BG143">
    <cfRule type="expression" dxfId="4" priority="663">
      <formula>$F$15&lt;&gt;"Y"</formula>
    </cfRule>
  </conditionalFormatting>
  <conditionalFormatting sqref="D144:BG144">
    <cfRule type="expression" dxfId="4" priority="666">
      <formula>$G$15&lt;&gt;"Y"</formula>
    </cfRule>
  </conditionalFormatting>
  <conditionalFormatting sqref="D145:BG145">
    <cfRule type="expression" dxfId="4" priority="669">
      <formula>$H$15&lt;&gt;"Y"</formula>
    </cfRule>
  </conditionalFormatting>
  <conditionalFormatting sqref="D146:BG146">
    <cfRule type="expression" dxfId="4" priority="672">
      <formula>$I$15&lt;&gt;"Y"</formula>
    </cfRule>
  </conditionalFormatting>
  <conditionalFormatting sqref="D147:BG147">
    <cfRule type="expression" dxfId="4" priority="675">
      <formula>$J$15&lt;&gt;"Y"</formula>
    </cfRule>
  </conditionalFormatting>
  <conditionalFormatting sqref="D148:BG148">
    <cfRule type="expression" dxfId="4" priority="678">
      <formula>$K$15&lt;&gt;"Y"</formula>
    </cfRule>
  </conditionalFormatting>
  <conditionalFormatting sqref="D149:BG149">
    <cfRule type="expression" dxfId="4" priority="681">
      <formula>$L$15&lt;&gt;"Y"</formula>
    </cfRule>
  </conditionalFormatting>
  <conditionalFormatting sqref="D15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D150:BG150">
    <cfRule type="expression" dxfId="4" priority="684">
      <formula>$M$15&lt;&gt;"Y"</formula>
    </cfRule>
  </conditionalFormatting>
  <conditionalFormatting sqref="D151:BG151">
    <cfRule type="expression" dxfId="4" priority="687">
      <formula>$B$16&lt;&gt;"Y"</formula>
    </cfRule>
  </conditionalFormatting>
  <conditionalFormatting sqref="D152:BG152">
    <cfRule type="expression" dxfId="4" priority="690">
      <formula>$C$16&lt;&gt;"Y"</formula>
    </cfRule>
  </conditionalFormatting>
  <conditionalFormatting sqref="D153:BG153">
    <cfRule type="expression" dxfId="4" priority="693">
      <formula>$D$16&lt;&gt;"Y"</formula>
    </cfRule>
  </conditionalFormatting>
  <conditionalFormatting sqref="D154:BG154">
    <cfRule type="expression" dxfId="4" priority="696">
      <formula>$E$16&lt;&gt;"Y"</formula>
    </cfRule>
  </conditionalFormatting>
  <conditionalFormatting sqref="D155:BG155">
    <cfRule type="expression" dxfId="4" priority="699">
      <formula>$F$16&lt;&gt;"Y"</formula>
    </cfRule>
  </conditionalFormatting>
  <conditionalFormatting sqref="D156:BG156">
    <cfRule type="expression" dxfId="4" priority="702">
      <formula>$G$16&lt;&gt;"Y"</formula>
    </cfRule>
  </conditionalFormatting>
  <conditionalFormatting sqref="D157:BG157">
    <cfRule type="expression" dxfId="4" priority="705">
      <formula>$H$16&lt;&gt;"Y"</formula>
    </cfRule>
  </conditionalFormatting>
  <conditionalFormatting sqref="D158:BG158">
    <cfRule type="expression" dxfId="4" priority="708">
      <formula>$I$16&lt;&gt;"Y"</formula>
    </cfRule>
  </conditionalFormatting>
  <conditionalFormatting sqref="D159:BG159">
    <cfRule type="expression" dxfId="4" priority="711">
      <formula>$J$16&lt;&gt;"Y"</formula>
    </cfRule>
  </conditionalFormatting>
  <conditionalFormatting sqref="D16">
    <cfRule type="cellIs" dxfId="2" priority="269" operator="equal">
      <formula>"Y"</formula>
    </cfRule>
    <cfRule type="cellIs" dxfId="3" priority="270" operator="equal">
      <formula>"N"</formula>
    </cfRule>
  </conditionalFormatting>
  <conditionalFormatting sqref="D160:BG160">
    <cfRule type="expression" dxfId="4" priority="714">
      <formula>$K$16&lt;&gt;"Y"</formula>
    </cfRule>
  </conditionalFormatting>
  <conditionalFormatting sqref="D161:BG161">
    <cfRule type="expression" dxfId="4" priority="717">
      <formula>$L$16&lt;&gt;"Y"</formula>
    </cfRule>
  </conditionalFormatting>
  <conditionalFormatting sqref="D162:BG162">
    <cfRule type="expression" dxfId="4" priority="720">
      <formula>$M$16&lt;&gt;"Y"</formula>
    </cfRule>
  </conditionalFormatting>
  <conditionalFormatting sqref="D19:BG19">
    <cfRule type="expression" dxfId="4" priority="291">
      <formula>$B$5&lt;&gt;"Y"</formula>
    </cfRule>
  </conditionalFormatting>
  <conditionalFormatting sqref="D20:BG20">
    <cfRule type="expression" dxfId="4" priority="294">
      <formula>$C$5&lt;&gt;"Y"</formula>
    </cfRule>
  </conditionalFormatting>
  <conditionalFormatting sqref="D21:BG21">
    <cfRule type="expression" dxfId="4" priority="297">
      <formula>$D$5&lt;&gt;"Y"</formula>
    </cfRule>
  </conditionalFormatting>
  <conditionalFormatting sqref="D22:BG22">
    <cfRule type="expression" dxfId="4" priority="300">
      <formula>$E$5&lt;&gt;"Y"</formula>
    </cfRule>
  </conditionalFormatting>
  <conditionalFormatting sqref="D23:BG23">
    <cfRule type="expression" dxfId="4" priority="303">
      <formula>$F$5&lt;&gt;"Y"</formula>
    </cfRule>
  </conditionalFormatting>
  <conditionalFormatting sqref="D24:BG24">
    <cfRule type="expression" dxfId="4" priority="306">
      <formula>$G$5&lt;&gt;"Y"</formula>
    </cfRule>
  </conditionalFormatting>
  <conditionalFormatting sqref="D25:BG25">
    <cfRule type="expression" dxfId="4" priority="309">
      <formula>$H$5&lt;&gt;"Y"</formula>
    </cfRule>
  </conditionalFormatting>
  <conditionalFormatting sqref="D26:BG26">
    <cfRule type="expression" dxfId="4" priority="312">
      <formula>$I$5&lt;&gt;"Y"</formula>
    </cfRule>
  </conditionalFormatting>
  <conditionalFormatting sqref="D27:BG27">
    <cfRule type="expression" dxfId="4" priority="315">
      <formula>$J$5&lt;&gt;"Y"</formula>
    </cfRule>
  </conditionalFormatting>
  <conditionalFormatting sqref="D28:BG28">
    <cfRule type="expression" dxfId="4" priority="318">
      <formula>$K$5&lt;&gt;"Y"</formula>
    </cfRule>
  </conditionalFormatting>
  <conditionalFormatting sqref="D29:BG29">
    <cfRule type="expression" dxfId="4" priority="321">
      <formula>$L$5&lt;&gt;"Y"</formula>
    </cfRule>
  </conditionalFormatting>
  <conditionalFormatting sqref="D30:BG30">
    <cfRule type="expression" dxfId="4" priority="324">
      <formula>$M$5&lt;&gt;"Y"</formula>
    </cfRule>
  </conditionalFormatting>
  <conditionalFormatting sqref="D31:BG31">
    <cfRule type="expression" dxfId="4" priority="327">
      <formula>$B$6&lt;&gt;"Y"</formula>
    </cfRule>
  </conditionalFormatting>
  <conditionalFormatting sqref="D32:BG32">
    <cfRule type="expression" dxfId="4" priority="330">
      <formula>$C$6&lt;&gt;"Y"</formula>
    </cfRule>
  </conditionalFormatting>
  <conditionalFormatting sqref="D33:BG33">
    <cfRule type="expression" dxfId="4" priority="333">
      <formula>$D$6&lt;&gt;"Y"</formula>
    </cfRule>
  </conditionalFormatting>
  <conditionalFormatting sqref="D34:BG34">
    <cfRule type="expression" dxfId="4" priority="336">
      <formula>$E$6&lt;&gt;"Y"</formula>
    </cfRule>
  </conditionalFormatting>
  <conditionalFormatting sqref="D35:BG35">
    <cfRule type="expression" dxfId="4" priority="339">
      <formula>$F$6&lt;&gt;"Y"</formula>
    </cfRule>
  </conditionalFormatting>
  <conditionalFormatting sqref="D36:BG36">
    <cfRule type="expression" dxfId="4" priority="342">
      <formula>$G$6&lt;&gt;"Y"</formula>
    </cfRule>
  </conditionalFormatting>
  <conditionalFormatting sqref="D37:BG37">
    <cfRule type="expression" dxfId="4" priority="345">
      <formula>$H$6&lt;&gt;"Y"</formula>
    </cfRule>
  </conditionalFormatting>
  <conditionalFormatting sqref="D38:BG38">
    <cfRule type="expression" dxfId="4" priority="348">
      <formula>$I$6&lt;&gt;"Y"</formula>
    </cfRule>
  </conditionalFormatting>
  <conditionalFormatting sqref="D39:BG39">
    <cfRule type="expression" dxfId="4" priority="351">
      <formula>$J$6&lt;&gt;"Y"</formula>
    </cfRule>
  </conditionalFormatting>
  <conditionalFormatting sqref="D40:BG40">
    <cfRule type="expression" dxfId="4" priority="354">
      <formula>$K$6&lt;&gt;"Y"</formula>
    </cfRule>
  </conditionalFormatting>
  <conditionalFormatting sqref="D41:BG41">
    <cfRule type="expression" dxfId="4" priority="357">
      <formula>$L$6&lt;&gt;"Y"</formula>
    </cfRule>
  </conditionalFormatting>
  <conditionalFormatting sqref="D42:BG42">
    <cfRule type="expression" dxfId="4" priority="360">
      <formula>$M$6&lt;&gt;"Y"</formula>
    </cfRule>
  </conditionalFormatting>
  <conditionalFormatting sqref="D43:BG43">
    <cfRule type="expression" dxfId="4" priority="363">
      <formula>$B$7&lt;&gt;"Y"</formula>
    </cfRule>
  </conditionalFormatting>
  <conditionalFormatting sqref="D44:BG44">
    <cfRule type="expression" dxfId="4" priority="366">
      <formula>$C$7&lt;&gt;"Y"</formula>
    </cfRule>
  </conditionalFormatting>
  <conditionalFormatting sqref="D45:BG45">
    <cfRule type="expression" dxfId="4" priority="369">
      <formula>$D$7&lt;&gt;"Y"</formula>
    </cfRule>
  </conditionalFormatting>
  <conditionalFormatting sqref="D46:BG46">
    <cfRule type="expression" dxfId="4" priority="372">
      <formula>$E$7&lt;&gt;"Y"</formula>
    </cfRule>
  </conditionalFormatting>
  <conditionalFormatting sqref="D47:BG47">
    <cfRule type="expression" dxfId="4" priority="375">
      <formula>$F$7&lt;&gt;"Y"</formula>
    </cfRule>
  </conditionalFormatting>
  <conditionalFormatting sqref="D48:BG48">
    <cfRule type="expression" dxfId="4" priority="378">
      <formula>$G$7&lt;&gt;"Y"</formula>
    </cfRule>
  </conditionalFormatting>
  <conditionalFormatting sqref="D49:BG49">
    <cfRule type="expression" dxfId="4" priority="381">
      <formula>$H$7&lt;&gt;"Y"</formula>
    </cfRule>
  </conditionalFormatting>
  <conditionalFormatting sqref="D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D50:BG50">
    <cfRule type="expression" dxfId="4" priority="384">
      <formula>$I$7&lt;&gt;"Y"</formula>
    </cfRule>
  </conditionalFormatting>
  <conditionalFormatting sqref="D51:BG51">
    <cfRule type="expression" dxfId="4" priority="387">
      <formula>$J$7&lt;&gt;"Y"</formula>
    </cfRule>
  </conditionalFormatting>
  <conditionalFormatting sqref="D52:BG52">
    <cfRule type="expression" dxfId="4" priority="390">
      <formula>$K$7&lt;&gt;"Y"</formula>
    </cfRule>
  </conditionalFormatting>
  <conditionalFormatting sqref="D53:BG53">
    <cfRule type="expression" dxfId="4" priority="393">
      <formula>$L$7&lt;&gt;"Y"</formula>
    </cfRule>
  </conditionalFormatting>
  <conditionalFormatting sqref="D54:BG54">
    <cfRule type="expression" dxfId="4" priority="396">
      <formula>$M$7&lt;&gt;"Y"</formula>
    </cfRule>
  </conditionalFormatting>
  <conditionalFormatting sqref="D55:BG55">
    <cfRule type="expression" dxfId="4" priority="399">
      <formula>$B$8&lt;&gt;"Y"</formula>
    </cfRule>
  </conditionalFormatting>
  <conditionalFormatting sqref="D56:BG56">
    <cfRule type="expression" dxfId="4" priority="402">
      <formula>$C$8&lt;&gt;"Y"</formula>
    </cfRule>
  </conditionalFormatting>
  <conditionalFormatting sqref="D57:BG57">
    <cfRule type="expression" dxfId="4" priority="405">
      <formula>$D$8&lt;&gt;"Y"</formula>
    </cfRule>
  </conditionalFormatting>
  <conditionalFormatting sqref="D58:BG58">
    <cfRule type="expression" dxfId="4" priority="408">
      <formula>$E$8&lt;&gt;"Y"</formula>
    </cfRule>
  </conditionalFormatting>
  <conditionalFormatting sqref="D59:BG59">
    <cfRule type="expression" dxfId="4" priority="411">
      <formula>$F$8&lt;&gt;"Y"</formula>
    </cfRule>
  </conditionalFormatting>
  <conditionalFormatting sqref="D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D60:BG60">
    <cfRule type="expression" dxfId="4" priority="414">
      <formula>$G$8&lt;&gt;"Y"</formula>
    </cfRule>
  </conditionalFormatting>
  <conditionalFormatting sqref="D61:BG61">
    <cfRule type="expression" dxfId="4" priority="417">
      <formula>$H$8&lt;&gt;"Y"</formula>
    </cfRule>
  </conditionalFormatting>
  <conditionalFormatting sqref="D62:BG62">
    <cfRule type="expression" dxfId="4" priority="420">
      <formula>$I$8&lt;&gt;"Y"</formula>
    </cfRule>
  </conditionalFormatting>
  <conditionalFormatting sqref="D63:BG63">
    <cfRule type="expression" dxfId="4" priority="423">
      <formula>$J$8&lt;&gt;"Y"</formula>
    </cfRule>
  </conditionalFormatting>
  <conditionalFormatting sqref="D64:BG64">
    <cfRule type="expression" dxfId="4" priority="426">
      <formula>$K$8&lt;&gt;"Y"</formula>
    </cfRule>
  </conditionalFormatting>
  <conditionalFormatting sqref="D65:BG65">
    <cfRule type="expression" dxfId="4" priority="429">
      <formula>$L$8&lt;&gt;"Y"</formula>
    </cfRule>
  </conditionalFormatting>
  <conditionalFormatting sqref="D66:BG66">
    <cfRule type="expression" dxfId="4" priority="432">
      <formula>$M$8&lt;&gt;"Y"</formula>
    </cfRule>
  </conditionalFormatting>
  <conditionalFormatting sqref="D67:BG67">
    <cfRule type="expression" dxfId="4" priority="435">
      <formula>$B$9&lt;&gt;"Y"</formula>
    </cfRule>
  </conditionalFormatting>
  <conditionalFormatting sqref="D68:BG68">
    <cfRule type="expression" dxfId="4" priority="438">
      <formula>$C$9&lt;&gt;"Y"</formula>
    </cfRule>
  </conditionalFormatting>
  <conditionalFormatting sqref="D69:BG69">
    <cfRule type="expression" dxfId="4" priority="441">
      <formula>$D$9&lt;&gt;"Y"</formula>
    </cfRule>
  </conditionalFormatting>
  <conditionalFormatting sqref="D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D70:BG70">
    <cfRule type="expression" dxfId="4" priority="444">
      <formula>$E$9&lt;&gt;"Y"</formula>
    </cfRule>
  </conditionalFormatting>
  <conditionalFormatting sqref="D71:BG71">
    <cfRule type="expression" dxfId="4" priority="447">
      <formula>$F$9&lt;&gt;"Y"</formula>
    </cfRule>
  </conditionalFormatting>
  <conditionalFormatting sqref="D72:BG72">
    <cfRule type="expression" dxfId="4" priority="450">
      <formula>$G$9&lt;&gt;"Y"</formula>
    </cfRule>
  </conditionalFormatting>
  <conditionalFormatting sqref="D73:BG73">
    <cfRule type="expression" dxfId="4" priority="453">
      <formula>$H$9&lt;&gt;"Y"</formula>
    </cfRule>
  </conditionalFormatting>
  <conditionalFormatting sqref="D74:BG74">
    <cfRule type="expression" dxfId="4" priority="456">
      <formula>$I$9&lt;&gt;"Y"</formula>
    </cfRule>
  </conditionalFormatting>
  <conditionalFormatting sqref="D75:BG75">
    <cfRule type="expression" dxfId="4" priority="459">
      <formula>$J$9&lt;&gt;"Y"</formula>
    </cfRule>
  </conditionalFormatting>
  <conditionalFormatting sqref="D76:BG76">
    <cfRule type="expression" dxfId="4" priority="462">
      <formula>$K$9&lt;&gt;"Y"</formula>
    </cfRule>
  </conditionalFormatting>
  <conditionalFormatting sqref="D77:BG77">
    <cfRule type="expression" dxfId="4" priority="465">
      <formula>$L$9&lt;&gt;"Y"</formula>
    </cfRule>
  </conditionalFormatting>
  <conditionalFormatting sqref="D78:BG78">
    <cfRule type="expression" dxfId="4" priority="468">
      <formula>$M$9&lt;&gt;"Y"</formula>
    </cfRule>
  </conditionalFormatting>
  <conditionalFormatting sqref="D79:BG79">
    <cfRule type="expression" dxfId="4" priority="471">
      <formula>$B$10&lt;&gt;"Y"</formula>
    </cfRule>
  </conditionalFormatting>
  <conditionalFormatting sqref="D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D80:BG80">
    <cfRule type="expression" dxfId="4" priority="474">
      <formula>$C$10&lt;&gt;"Y"</formula>
    </cfRule>
  </conditionalFormatting>
  <conditionalFormatting sqref="D81:BG81">
    <cfRule type="expression" dxfId="4" priority="477">
      <formula>$D$10&lt;&gt;"Y"</formula>
    </cfRule>
  </conditionalFormatting>
  <conditionalFormatting sqref="D82:BG82">
    <cfRule type="expression" dxfId="4" priority="480">
      <formula>$E$10&lt;&gt;"Y"</formula>
    </cfRule>
  </conditionalFormatting>
  <conditionalFormatting sqref="D83:BG83">
    <cfRule type="expression" dxfId="4" priority="483">
      <formula>$F$10&lt;&gt;"Y"</formula>
    </cfRule>
  </conditionalFormatting>
  <conditionalFormatting sqref="D84:BG84">
    <cfRule type="expression" dxfId="4" priority="486">
      <formula>$G$10&lt;&gt;"Y"</formula>
    </cfRule>
  </conditionalFormatting>
  <conditionalFormatting sqref="D85:BG85">
    <cfRule type="expression" dxfId="4" priority="489">
      <formula>$H$10&lt;&gt;"Y"</formula>
    </cfRule>
  </conditionalFormatting>
  <conditionalFormatting sqref="D86:BG86">
    <cfRule type="expression" dxfId="4" priority="492">
      <formula>$I$10&lt;&gt;"Y"</formula>
    </cfRule>
  </conditionalFormatting>
  <conditionalFormatting sqref="D87:BG87">
    <cfRule type="expression" dxfId="4" priority="495">
      <formula>$J$10&lt;&gt;"Y"</formula>
    </cfRule>
  </conditionalFormatting>
  <conditionalFormatting sqref="D88:BG88">
    <cfRule type="expression" dxfId="4" priority="498">
      <formula>$K$10&lt;&gt;"Y"</formula>
    </cfRule>
  </conditionalFormatting>
  <conditionalFormatting sqref="D89:BG89">
    <cfRule type="expression" dxfId="4" priority="501">
      <formula>$L$10&lt;&gt;"Y"</formula>
    </cfRule>
  </conditionalFormatting>
  <conditionalFormatting sqref="D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D90:BG90">
    <cfRule type="expression" dxfId="4" priority="504">
      <formula>$M$10&lt;&gt;"Y"</formula>
    </cfRule>
  </conditionalFormatting>
  <conditionalFormatting sqref="D91:BG91">
    <cfRule type="expression" dxfId="4" priority="507">
      <formula>$B$11&lt;&gt;"Y"</formula>
    </cfRule>
  </conditionalFormatting>
  <conditionalFormatting sqref="D92:BG92">
    <cfRule type="expression" dxfId="4" priority="510">
      <formula>$C$11&lt;&gt;"Y"</formula>
    </cfRule>
  </conditionalFormatting>
  <conditionalFormatting sqref="D93:BG93">
    <cfRule type="expression" dxfId="4" priority="513">
      <formula>$D$11&lt;&gt;"Y"</formula>
    </cfRule>
  </conditionalFormatting>
  <conditionalFormatting sqref="D94:BG94">
    <cfRule type="expression" dxfId="4" priority="516">
      <formula>$E$11&lt;&gt;"Y"</formula>
    </cfRule>
  </conditionalFormatting>
  <conditionalFormatting sqref="D95:BG95">
    <cfRule type="expression" dxfId="4" priority="519">
      <formula>$F$11&lt;&gt;"Y"</formula>
    </cfRule>
  </conditionalFormatting>
  <conditionalFormatting sqref="D96:BG96">
    <cfRule type="expression" dxfId="4" priority="522">
      <formula>$G$11&lt;&gt;"Y"</formula>
    </cfRule>
  </conditionalFormatting>
  <conditionalFormatting sqref="D97:BG97">
    <cfRule type="expression" dxfId="4" priority="525">
      <formula>$H$11&lt;&gt;"Y"</formula>
    </cfRule>
  </conditionalFormatting>
  <conditionalFormatting sqref="D98:BG98">
    <cfRule type="expression" dxfId="4" priority="528">
      <formula>$I$11&lt;&gt;"Y"</formula>
    </cfRule>
  </conditionalFormatting>
  <conditionalFormatting sqref="D99:BG99">
    <cfRule type="expression" dxfId="4" priority="531">
      <formula>$J$11&lt;&gt;"Y"</formula>
    </cfRule>
  </conditionalFormatting>
  <conditionalFormatting sqref="E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E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E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E13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E14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E15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E16">
    <cfRule type="cellIs" dxfId="2" priority="271" operator="equal">
      <formula>"Y"</formula>
    </cfRule>
    <cfRule type="cellIs" dxfId="3" priority="272" operator="equal">
      <formula>"N"</formula>
    </cfRule>
  </conditionalFormatting>
  <conditionalFormatting sqref="E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E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E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E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E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F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F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F12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F13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F14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F15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F16">
    <cfRule type="cellIs" dxfId="2" priority="273" operator="equal">
      <formula>"Y"</formula>
    </cfRule>
    <cfRule type="cellIs" dxfId="3" priority="274" operator="equal">
      <formula>"N"</formula>
    </cfRule>
  </conditionalFormatting>
  <conditionalFormatting sqref="F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F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F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F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F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G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G100">
    <cfRule type="expression" dxfId="0" priority="532">
      <formula>COUNTIF(I100:BG100,"&lt;&gt;" &amp; "")&gt;0</formula>
    </cfRule>
    <cfRule type="expression" dxfId="1" priority="533">
      <formula>AND(COUNTIF(I100:BG100,"&lt;&gt;" &amp; "")&gt;0,NOT(ISBLANK(G100)))</formula>
    </cfRule>
  </conditionalFormatting>
  <conditionalFormatting sqref="G101">
    <cfRule type="expression" dxfId="0" priority="535">
      <formula>COUNTIF(I101:BG101,"&lt;&gt;" &amp; "")&gt;0</formula>
    </cfRule>
    <cfRule type="expression" dxfId="1" priority="536">
      <formula>AND(COUNTIF(I101:BG101,"&lt;&gt;" &amp; "")&gt;0,NOT(ISBLANK(G101)))</formula>
    </cfRule>
  </conditionalFormatting>
  <conditionalFormatting sqref="G102">
    <cfRule type="expression" dxfId="0" priority="538">
      <formula>COUNTIF(I102:BG102,"&lt;&gt;" &amp; "")&gt;0</formula>
    </cfRule>
    <cfRule type="expression" dxfId="1" priority="539">
      <formula>AND(COUNTIF(I102:BG102,"&lt;&gt;" &amp; "")&gt;0,NOT(ISBLANK(G102)))</formula>
    </cfRule>
  </conditionalFormatting>
  <conditionalFormatting sqref="G103">
    <cfRule type="expression" dxfId="0" priority="541">
      <formula>COUNTIF(I103:BG103,"&lt;&gt;" &amp; "")&gt;0</formula>
    </cfRule>
    <cfRule type="expression" dxfId="1" priority="542">
      <formula>AND(COUNTIF(I103:BG103,"&lt;&gt;" &amp; "")&gt;0,NOT(ISBLANK(G103)))</formula>
    </cfRule>
  </conditionalFormatting>
  <conditionalFormatting sqref="G104">
    <cfRule type="expression" dxfId="0" priority="544">
      <formula>COUNTIF(I104:BG104,"&lt;&gt;" &amp; "")&gt;0</formula>
    </cfRule>
    <cfRule type="expression" dxfId="1" priority="545">
      <formula>AND(COUNTIF(I104:BG104,"&lt;&gt;" &amp; "")&gt;0,NOT(ISBLANK(G104)))</formula>
    </cfRule>
  </conditionalFormatting>
  <conditionalFormatting sqref="G105">
    <cfRule type="expression" dxfId="0" priority="547">
      <formula>COUNTIF(I105:BG105,"&lt;&gt;" &amp; "")&gt;0</formula>
    </cfRule>
    <cfRule type="expression" dxfId="1" priority="548">
      <formula>AND(COUNTIF(I105:BG105,"&lt;&gt;" &amp; "")&gt;0,NOT(ISBLANK(G105)))</formula>
    </cfRule>
  </conditionalFormatting>
  <conditionalFormatting sqref="G106">
    <cfRule type="expression" dxfId="0" priority="550">
      <formula>COUNTIF(I106:BG106,"&lt;&gt;" &amp; "")&gt;0</formula>
    </cfRule>
    <cfRule type="expression" dxfId="1" priority="551">
      <formula>AND(COUNTIF(I106:BG106,"&lt;&gt;" &amp; "")&gt;0,NOT(ISBLANK(G106)))</formula>
    </cfRule>
  </conditionalFormatting>
  <conditionalFormatting sqref="G107">
    <cfRule type="expression" dxfId="0" priority="553">
      <formula>COUNTIF(I107:BG107,"&lt;&gt;" &amp; "")&gt;0</formula>
    </cfRule>
    <cfRule type="expression" dxfId="1" priority="554">
      <formula>AND(COUNTIF(I107:BG107,"&lt;&gt;" &amp; "")&gt;0,NOT(ISBLANK(G107)))</formula>
    </cfRule>
  </conditionalFormatting>
  <conditionalFormatting sqref="G108">
    <cfRule type="expression" dxfId="0" priority="556">
      <formula>COUNTIF(I108:BG108,"&lt;&gt;" &amp; "")&gt;0</formula>
    </cfRule>
    <cfRule type="expression" dxfId="1" priority="557">
      <formula>AND(COUNTIF(I108:BG108,"&lt;&gt;" &amp; "")&gt;0,NOT(ISBLANK(G108)))</formula>
    </cfRule>
  </conditionalFormatting>
  <conditionalFormatting sqref="G109">
    <cfRule type="expression" dxfId="0" priority="559">
      <formula>COUNTIF(I109:BG109,"&lt;&gt;" &amp; "")&gt;0</formula>
    </cfRule>
    <cfRule type="expression" dxfId="1" priority="560">
      <formula>AND(COUNTIF(I109:BG109,"&lt;&gt;" &amp; "")&gt;0,NOT(ISBLANK(G109)))</formula>
    </cfRule>
  </conditionalFormatting>
  <conditionalFormatting sqref="G11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G110">
    <cfRule type="expression" dxfId="0" priority="562">
      <formula>COUNTIF(I110:BG110,"&lt;&gt;" &amp; "")&gt;0</formula>
    </cfRule>
    <cfRule type="expression" dxfId="1" priority="563">
      <formula>AND(COUNTIF(I110:BG110,"&lt;&gt;" &amp; "")&gt;0,NOT(ISBLANK(G110)))</formula>
    </cfRule>
  </conditionalFormatting>
  <conditionalFormatting sqref="G111">
    <cfRule type="expression" dxfId="0" priority="565">
      <formula>COUNTIF(I111:BG111,"&lt;&gt;" &amp; "")&gt;0</formula>
    </cfRule>
    <cfRule type="expression" dxfId="1" priority="566">
      <formula>AND(COUNTIF(I111:BG111,"&lt;&gt;" &amp; "")&gt;0,NOT(ISBLANK(G111)))</formula>
    </cfRule>
  </conditionalFormatting>
  <conditionalFormatting sqref="G112">
    <cfRule type="expression" dxfId="0" priority="568">
      <formula>COUNTIF(I112:BG112,"&lt;&gt;" &amp; "")&gt;0</formula>
    </cfRule>
    <cfRule type="expression" dxfId="1" priority="569">
      <formula>AND(COUNTIF(I112:BG112,"&lt;&gt;" &amp; "")&gt;0,NOT(ISBLANK(G112)))</formula>
    </cfRule>
  </conditionalFormatting>
  <conditionalFormatting sqref="G113">
    <cfRule type="expression" dxfId="0" priority="571">
      <formula>COUNTIF(I113:BG113,"&lt;&gt;" &amp; "")&gt;0</formula>
    </cfRule>
    <cfRule type="expression" dxfId="1" priority="572">
      <formula>AND(COUNTIF(I113:BG113,"&lt;&gt;" &amp; "")&gt;0,NOT(ISBLANK(G113)))</formula>
    </cfRule>
  </conditionalFormatting>
  <conditionalFormatting sqref="G114">
    <cfRule type="expression" dxfId="0" priority="574">
      <formula>COUNTIF(I114:BG114,"&lt;&gt;" &amp; "")&gt;0</formula>
    </cfRule>
    <cfRule type="expression" dxfId="1" priority="575">
      <formula>AND(COUNTIF(I114:BG114,"&lt;&gt;" &amp; "")&gt;0,NOT(ISBLANK(G114)))</formula>
    </cfRule>
  </conditionalFormatting>
  <conditionalFormatting sqref="G115">
    <cfRule type="expression" dxfId="0" priority="577">
      <formula>COUNTIF(I115:BG115,"&lt;&gt;" &amp; "")&gt;0</formula>
    </cfRule>
    <cfRule type="expression" dxfId="1" priority="578">
      <formula>AND(COUNTIF(I115:BG115,"&lt;&gt;" &amp; "")&gt;0,NOT(ISBLANK(G115)))</formula>
    </cfRule>
  </conditionalFormatting>
  <conditionalFormatting sqref="G116">
    <cfRule type="expression" dxfId="0" priority="580">
      <formula>COUNTIF(I116:BG116,"&lt;&gt;" &amp; "")&gt;0</formula>
    </cfRule>
    <cfRule type="expression" dxfId="1" priority="581">
      <formula>AND(COUNTIF(I116:BG116,"&lt;&gt;" &amp; "")&gt;0,NOT(ISBLANK(G116)))</formula>
    </cfRule>
  </conditionalFormatting>
  <conditionalFormatting sqref="G117">
    <cfRule type="expression" dxfId="0" priority="583">
      <formula>COUNTIF(I117:BG117,"&lt;&gt;" &amp; "")&gt;0</formula>
    </cfRule>
    <cfRule type="expression" dxfId="1" priority="584">
      <formula>AND(COUNTIF(I117:BG117,"&lt;&gt;" &amp; "")&gt;0,NOT(ISBLANK(G117)))</formula>
    </cfRule>
  </conditionalFormatting>
  <conditionalFormatting sqref="G118">
    <cfRule type="expression" dxfId="0" priority="586">
      <formula>COUNTIF(I118:BG118,"&lt;&gt;" &amp; "")&gt;0</formula>
    </cfRule>
    <cfRule type="expression" dxfId="1" priority="587">
      <formula>AND(COUNTIF(I118:BG118,"&lt;&gt;" &amp; "")&gt;0,NOT(ISBLANK(G118)))</formula>
    </cfRule>
  </conditionalFormatting>
  <conditionalFormatting sqref="G119">
    <cfRule type="expression" dxfId="0" priority="589">
      <formula>COUNTIF(I119:BG119,"&lt;&gt;" &amp; "")&gt;0</formula>
    </cfRule>
    <cfRule type="expression" dxfId="1" priority="590">
      <formula>AND(COUNTIF(I119:BG119,"&lt;&gt;" &amp; "")&gt;0,NOT(ISBLANK(G119)))</formula>
    </cfRule>
  </conditionalFormatting>
  <conditionalFormatting sqref="G12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G120">
    <cfRule type="expression" dxfId="0" priority="592">
      <formula>COUNTIF(I120:BG120,"&lt;&gt;" &amp; "")&gt;0</formula>
    </cfRule>
    <cfRule type="expression" dxfId="1" priority="593">
      <formula>AND(COUNTIF(I120:BG120,"&lt;&gt;" &amp; "")&gt;0,NOT(ISBLANK(G120)))</formula>
    </cfRule>
  </conditionalFormatting>
  <conditionalFormatting sqref="G121">
    <cfRule type="expression" dxfId="0" priority="595">
      <formula>COUNTIF(I121:BG121,"&lt;&gt;" &amp; "")&gt;0</formula>
    </cfRule>
    <cfRule type="expression" dxfId="1" priority="596">
      <formula>AND(COUNTIF(I121:BG121,"&lt;&gt;" &amp; "")&gt;0,NOT(ISBLANK(G121)))</formula>
    </cfRule>
  </conditionalFormatting>
  <conditionalFormatting sqref="G122">
    <cfRule type="expression" dxfId="0" priority="598">
      <formula>COUNTIF(I122:BG122,"&lt;&gt;" &amp; "")&gt;0</formula>
    </cfRule>
    <cfRule type="expression" dxfId="1" priority="599">
      <formula>AND(COUNTIF(I122:BG122,"&lt;&gt;" &amp; "")&gt;0,NOT(ISBLANK(G122)))</formula>
    </cfRule>
  </conditionalFormatting>
  <conditionalFormatting sqref="G123">
    <cfRule type="expression" dxfId="0" priority="601">
      <formula>COUNTIF(I123:BG123,"&lt;&gt;" &amp; "")&gt;0</formula>
    </cfRule>
    <cfRule type="expression" dxfId="1" priority="602">
      <formula>AND(COUNTIF(I123:BG123,"&lt;&gt;" &amp; "")&gt;0,NOT(ISBLANK(G123)))</formula>
    </cfRule>
  </conditionalFormatting>
  <conditionalFormatting sqref="G124">
    <cfRule type="expression" dxfId="0" priority="604">
      <formula>COUNTIF(I124:BG124,"&lt;&gt;" &amp; "")&gt;0</formula>
    </cfRule>
    <cfRule type="expression" dxfId="1" priority="605">
      <formula>AND(COUNTIF(I124:BG124,"&lt;&gt;" &amp; "")&gt;0,NOT(ISBLANK(G124)))</formula>
    </cfRule>
  </conditionalFormatting>
  <conditionalFormatting sqref="G125">
    <cfRule type="expression" dxfId="0" priority="607">
      <formula>COUNTIF(I125:BG125,"&lt;&gt;" &amp; "")&gt;0</formula>
    </cfRule>
    <cfRule type="expression" dxfId="1" priority="608">
      <formula>AND(COUNTIF(I125:BG125,"&lt;&gt;" &amp; "")&gt;0,NOT(ISBLANK(G125)))</formula>
    </cfRule>
  </conditionalFormatting>
  <conditionalFormatting sqref="G126">
    <cfRule type="expression" dxfId="0" priority="610">
      <formula>COUNTIF(I126:BG126,"&lt;&gt;" &amp; "")&gt;0</formula>
    </cfRule>
    <cfRule type="expression" dxfId="1" priority="611">
      <formula>AND(COUNTIF(I126:BG126,"&lt;&gt;" &amp; "")&gt;0,NOT(ISBLANK(G126)))</formula>
    </cfRule>
  </conditionalFormatting>
  <conditionalFormatting sqref="G127">
    <cfRule type="expression" dxfId="0" priority="613">
      <formula>COUNTIF(I127:BG127,"&lt;&gt;" &amp; "")&gt;0</formula>
    </cfRule>
    <cfRule type="expression" dxfId="1" priority="614">
      <formula>AND(COUNTIF(I127:BG127,"&lt;&gt;" &amp; "")&gt;0,NOT(ISBLANK(G127)))</formula>
    </cfRule>
  </conditionalFormatting>
  <conditionalFormatting sqref="G128">
    <cfRule type="expression" dxfId="0" priority="616">
      <formula>COUNTIF(I128:BG128,"&lt;&gt;" &amp; "")&gt;0</formula>
    </cfRule>
    <cfRule type="expression" dxfId="1" priority="617">
      <formula>AND(COUNTIF(I128:BG128,"&lt;&gt;" &amp; "")&gt;0,NOT(ISBLANK(G128)))</formula>
    </cfRule>
  </conditionalFormatting>
  <conditionalFormatting sqref="G129">
    <cfRule type="expression" dxfId="0" priority="619">
      <formula>COUNTIF(I129:BG129,"&lt;&gt;" &amp; "")&gt;0</formula>
    </cfRule>
    <cfRule type="expression" dxfId="1" priority="620">
      <formula>AND(COUNTIF(I129:BG129,"&lt;&gt;" &amp; "")&gt;0,NOT(ISBLANK(G129)))</formula>
    </cfRule>
  </conditionalFormatting>
  <conditionalFormatting sqref="G13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G130">
    <cfRule type="expression" dxfId="0" priority="622">
      <formula>COUNTIF(I130:BG130,"&lt;&gt;" &amp; "")&gt;0</formula>
    </cfRule>
    <cfRule type="expression" dxfId="1" priority="623">
      <formula>AND(COUNTIF(I130:BG130,"&lt;&gt;" &amp; "")&gt;0,NOT(ISBLANK(G130)))</formula>
    </cfRule>
  </conditionalFormatting>
  <conditionalFormatting sqref="G131">
    <cfRule type="expression" dxfId="0" priority="625">
      <formula>COUNTIF(I131:BG131,"&lt;&gt;" &amp; "")&gt;0</formula>
    </cfRule>
    <cfRule type="expression" dxfId="1" priority="626">
      <formula>AND(COUNTIF(I131:BG131,"&lt;&gt;" &amp; "")&gt;0,NOT(ISBLANK(G131)))</formula>
    </cfRule>
  </conditionalFormatting>
  <conditionalFormatting sqref="G132">
    <cfRule type="expression" dxfId="0" priority="628">
      <formula>COUNTIF(I132:BG132,"&lt;&gt;" &amp; "")&gt;0</formula>
    </cfRule>
    <cfRule type="expression" dxfId="1" priority="629">
      <formula>AND(COUNTIF(I132:BG132,"&lt;&gt;" &amp; "")&gt;0,NOT(ISBLANK(G132)))</formula>
    </cfRule>
  </conditionalFormatting>
  <conditionalFormatting sqref="G133">
    <cfRule type="expression" dxfId="0" priority="631">
      <formula>COUNTIF(I133:BG133,"&lt;&gt;" &amp; "")&gt;0</formula>
    </cfRule>
    <cfRule type="expression" dxfId="1" priority="632">
      <formula>AND(COUNTIF(I133:BG133,"&lt;&gt;" &amp; "")&gt;0,NOT(ISBLANK(G133)))</formula>
    </cfRule>
  </conditionalFormatting>
  <conditionalFormatting sqref="G134">
    <cfRule type="expression" dxfId="0" priority="634">
      <formula>COUNTIF(I134:BG134,"&lt;&gt;" &amp; "")&gt;0</formula>
    </cfRule>
    <cfRule type="expression" dxfId="1" priority="635">
      <formula>AND(COUNTIF(I134:BG134,"&lt;&gt;" &amp; "")&gt;0,NOT(ISBLANK(G134)))</formula>
    </cfRule>
  </conditionalFormatting>
  <conditionalFormatting sqref="G135">
    <cfRule type="expression" dxfId="0" priority="637">
      <formula>COUNTIF(I135:BG135,"&lt;&gt;" &amp; "")&gt;0</formula>
    </cfRule>
    <cfRule type="expression" dxfId="1" priority="638">
      <formula>AND(COUNTIF(I135:BG135,"&lt;&gt;" &amp; "")&gt;0,NOT(ISBLANK(G135)))</formula>
    </cfRule>
  </conditionalFormatting>
  <conditionalFormatting sqref="G136">
    <cfRule type="expression" dxfId="0" priority="640">
      <formula>COUNTIF(I136:BG136,"&lt;&gt;" &amp; "")&gt;0</formula>
    </cfRule>
    <cfRule type="expression" dxfId="1" priority="641">
      <formula>AND(COUNTIF(I136:BG136,"&lt;&gt;" &amp; "")&gt;0,NOT(ISBLANK(G136)))</formula>
    </cfRule>
  </conditionalFormatting>
  <conditionalFormatting sqref="G137">
    <cfRule type="expression" dxfId="0" priority="643">
      <formula>COUNTIF(I137:BG137,"&lt;&gt;" &amp; "")&gt;0</formula>
    </cfRule>
    <cfRule type="expression" dxfId="1" priority="644">
      <formula>AND(COUNTIF(I137:BG137,"&lt;&gt;" &amp; "")&gt;0,NOT(ISBLANK(G137)))</formula>
    </cfRule>
  </conditionalFormatting>
  <conditionalFormatting sqref="G138">
    <cfRule type="expression" dxfId="0" priority="646">
      <formula>COUNTIF(I138:BG138,"&lt;&gt;" &amp; "")&gt;0</formula>
    </cfRule>
    <cfRule type="expression" dxfId="1" priority="647">
      <formula>AND(COUNTIF(I138:BG138,"&lt;&gt;" &amp; "")&gt;0,NOT(ISBLANK(G138)))</formula>
    </cfRule>
  </conditionalFormatting>
  <conditionalFormatting sqref="G139">
    <cfRule type="expression" dxfId="0" priority="649">
      <formula>COUNTIF(I139:BG139,"&lt;&gt;" &amp; "")&gt;0</formula>
    </cfRule>
    <cfRule type="expression" dxfId="1" priority="650">
      <formula>AND(COUNTIF(I139:BG139,"&lt;&gt;" &amp; "")&gt;0,NOT(ISBLANK(G139)))</formula>
    </cfRule>
  </conditionalFormatting>
  <conditionalFormatting sqref="G14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G140">
    <cfRule type="expression" dxfId="0" priority="652">
      <formula>COUNTIF(I140:BG140,"&lt;&gt;" &amp; "")&gt;0</formula>
    </cfRule>
    <cfRule type="expression" dxfId="1" priority="653">
      <formula>AND(COUNTIF(I140:BG140,"&lt;&gt;" &amp; "")&gt;0,NOT(ISBLANK(G140)))</formula>
    </cfRule>
  </conditionalFormatting>
  <conditionalFormatting sqref="G141">
    <cfRule type="expression" dxfId="0" priority="655">
      <formula>COUNTIF(I141:BG141,"&lt;&gt;" &amp; "")&gt;0</formula>
    </cfRule>
    <cfRule type="expression" dxfId="1" priority="656">
      <formula>AND(COUNTIF(I141:BG141,"&lt;&gt;" &amp; "")&gt;0,NOT(ISBLANK(G141)))</formula>
    </cfRule>
  </conditionalFormatting>
  <conditionalFormatting sqref="G142">
    <cfRule type="expression" dxfId="0" priority="658">
      <formula>COUNTIF(I142:BG142,"&lt;&gt;" &amp; "")&gt;0</formula>
    </cfRule>
    <cfRule type="expression" dxfId="1" priority="659">
      <formula>AND(COUNTIF(I142:BG142,"&lt;&gt;" &amp; "")&gt;0,NOT(ISBLANK(G142)))</formula>
    </cfRule>
  </conditionalFormatting>
  <conditionalFormatting sqref="G143">
    <cfRule type="expression" dxfId="0" priority="661">
      <formula>COUNTIF(I143:BG143,"&lt;&gt;" &amp; "")&gt;0</formula>
    </cfRule>
    <cfRule type="expression" dxfId="1" priority="662">
      <formula>AND(COUNTIF(I143:BG143,"&lt;&gt;" &amp; "")&gt;0,NOT(ISBLANK(G143)))</formula>
    </cfRule>
  </conditionalFormatting>
  <conditionalFormatting sqref="G144">
    <cfRule type="expression" dxfId="0" priority="664">
      <formula>COUNTIF(I144:BG144,"&lt;&gt;" &amp; "")&gt;0</formula>
    </cfRule>
    <cfRule type="expression" dxfId="1" priority="665">
      <formula>AND(COUNTIF(I144:BG144,"&lt;&gt;" &amp; "")&gt;0,NOT(ISBLANK(G144)))</formula>
    </cfRule>
  </conditionalFormatting>
  <conditionalFormatting sqref="G145">
    <cfRule type="expression" dxfId="0" priority="667">
      <formula>COUNTIF(I145:BG145,"&lt;&gt;" &amp; "")&gt;0</formula>
    </cfRule>
    <cfRule type="expression" dxfId="1" priority="668">
      <formula>AND(COUNTIF(I145:BG145,"&lt;&gt;" &amp; "")&gt;0,NOT(ISBLANK(G145)))</formula>
    </cfRule>
  </conditionalFormatting>
  <conditionalFormatting sqref="G146">
    <cfRule type="expression" dxfId="0" priority="670">
      <formula>COUNTIF(I146:BG146,"&lt;&gt;" &amp; "")&gt;0</formula>
    </cfRule>
    <cfRule type="expression" dxfId="1" priority="671">
      <formula>AND(COUNTIF(I146:BG146,"&lt;&gt;" &amp; "")&gt;0,NOT(ISBLANK(G146)))</formula>
    </cfRule>
  </conditionalFormatting>
  <conditionalFormatting sqref="G147">
    <cfRule type="expression" dxfId="0" priority="673">
      <formula>COUNTIF(I147:BG147,"&lt;&gt;" &amp; "")&gt;0</formula>
    </cfRule>
    <cfRule type="expression" dxfId="1" priority="674">
      <formula>AND(COUNTIF(I147:BG147,"&lt;&gt;" &amp; "")&gt;0,NOT(ISBLANK(G147)))</formula>
    </cfRule>
  </conditionalFormatting>
  <conditionalFormatting sqref="G148">
    <cfRule type="expression" dxfId="0" priority="676">
      <formula>COUNTIF(I148:BG148,"&lt;&gt;" &amp; "")&gt;0</formula>
    </cfRule>
    <cfRule type="expression" dxfId="1" priority="677">
      <formula>AND(COUNTIF(I148:BG148,"&lt;&gt;" &amp; "")&gt;0,NOT(ISBLANK(G148)))</formula>
    </cfRule>
  </conditionalFormatting>
  <conditionalFormatting sqref="G149">
    <cfRule type="expression" dxfId="0" priority="679">
      <formula>COUNTIF(I149:BG149,"&lt;&gt;" &amp; "")&gt;0</formula>
    </cfRule>
    <cfRule type="expression" dxfId="1" priority="680">
      <formula>AND(COUNTIF(I149:BG149,"&lt;&gt;" &amp; "")&gt;0,NOT(ISBLANK(G149)))</formula>
    </cfRule>
  </conditionalFormatting>
  <conditionalFormatting sqref="G15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G150">
    <cfRule type="expression" dxfId="0" priority="682">
      <formula>COUNTIF(I150:BG150,"&lt;&gt;" &amp; "")&gt;0</formula>
    </cfRule>
    <cfRule type="expression" dxfId="1" priority="683">
      <formula>AND(COUNTIF(I150:BG150,"&lt;&gt;" &amp; "")&gt;0,NOT(ISBLANK(G150)))</formula>
    </cfRule>
  </conditionalFormatting>
  <conditionalFormatting sqref="G151">
    <cfRule type="expression" dxfId="0" priority="685">
      <formula>COUNTIF(I151:BG151,"&lt;&gt;" &amp; "")&gt;0</formula>
    </cfRule>
    <cfRule type="expression" dxfId="1" priority="686">
      <formula>AND(COUNTIF(I151:BG151,"&lt;&gt;" &amp; "")&gt;0,NOT(ISBLANK(G151)))</formula>
    </cfRule>
  </conditionalFormatting>
  <conditionalFormatting sqref="G152">
    <cfRule type="expression" dxfId="0" priority="688">
      <formula>COUNTIF(I152:BG152,"&lt;&gt;" &amp; "")&gt;0</formula>
    </cfRule>
    <cfRule type="expression" dxfId="1" priority="689">
      <formula>AND(COUNTIF(I152:BG152,"&lt;&gt;" &amp; "")&gt;0,NOT(ISBLANK(G152)))</formula>
    </cfRule>
  </conditionalFormatting>
  <conditionalFormatting sqref="G153">
    <cfRule type="expression" dxfId="0" priority="691">
      <formula>COUNTIF(I153:BG153,"&lt;&gt;" &amp; "")&gt;0</formula>
    </cfRule>
    <cfRule type="expression" dxfId="1" priority="692">
      <formula>AND(COUNTIF(I153:BG153,"&lt;&gt;" &amp; "")&gt;0,NOT(ISBLANK(G153)))</formula>
    </cfRule>
  </conditionalFormatting>
  <conditionalFormatting sqref="G154">
    <cfRule type="expression" dxfId="0" priority="694">
      <formula>COUNTIF(I154:BG154,"&lt;&gt;" &amp; "")&gt;0</formula>
    </cfRule>
    <cfRule type="expression" dxfId="1" priority="695">
      <formula>AND(COUNTIF(I154:BG154,"&lt;&gt;" &amp; "")&gt;0,NOT(ISBLANK(G154)))</formula>
    </cfRule>
  </conditionalFormatting>
  <conditionalFormatting sqref="G155">
    <cfRule type="expression" dxfId="0" priority="697">
      <formula>COUNTIF(I155:BG155,"&lt;&gt;" &amp; "")&gt;0</formula>
    </cfRule>
    <cfRule type="expression" dxfId="1" priority="698">
      <formula>AND(COUNTIF(I155:BG155,"&lt;&gt;" &amp; "")&gt;0,NOT(ISBLANK(G155)))</formula>
    </cfRule>
  </conditionalFormatting>
  <conditionalFormatting sqref="G156">
    <cfRule type="expression" dxfId="0" priority="700">
      <formula>COUNTIF(I156:BG156,"&lt;&gt;" &amp; "")&gt;0</formula>
    </cfRule>
    <cfRule type="expression" dxfId="1" priority="701">
      <formula>AND(COUNTIF(I156:BG156,"&lt;&gt;" &amp; "")&gt;0,NOT(ISBLANK(G156)))</formula>
    </cfRule>
  </conditionalFormatting>
  <conditionalFormatting sqref="G157">
    <cfRule type="expression" dxfId="0" priority="703">
      <formula>COUNTIF(I157:BG157,"&lt;&gt;" &amp; "")&gt;0</formula>
    </cfRule>
    <cfRule type="expression" dxfId="1" priority="704">
      <formula>AND(COUNTIF(I157:BG157,"&lt;&gt;" &amp; "")&gt;0,NOT(ISBLANK(G157)))</formula>
    </cfRule>
  </conditionalFormatting>
  <conditionalFormatting sqref="G158">
    <cfRule type="expression" dxfId="0" priority="706">
      <formula>COUNTIF(I158:BG158,"&lt;&gt;" &amp; "")&gt;0</formula>
    </cfRule>
    <cfRule type="expression" dxfId="1" priority="707">
      <formula>AND(COUNTIF(I158:BG158,"&lt;&gt;" &amp; "")&gt;0,NOT(ISBLANK(G158)))</formula>
    </cfRule>
  </conditionalFormatting>
  <conditionalFormatting sqref="G159">
    <cfRule type="expression" dxfId="0" priority="709">
      <formula>COUNTIF(I159:BG159,"&lt;&gt;" &amp; "")&gt;0</formula>
    </cfRule>
    <cfRule type="expression" dxfId="1" priority="710">
      <formula>AND(COUNTIF(I159:BG159,"&lt;&gt;" &amp; "")&gt;0,NOT(ISBLANK(G159)))</formula>
    </cfRule>
  </conditionalFormatting>
  <conditionalFormatting sqref="G16">
    <cfRule type="cellIs" dxfId="2" priority="275" operator="equal">
      <formula>"Y"</formula>
    </cfRule>
    <cfRule type="cellIs" dxfId="3" priority="276" operator="equal">
      <formula>"N"</formula>
    </cfRule>
  </conditionalFormatting>
  <conditionalFormatting sqref="G160">
    <cfRule type="expression" dxfId="0" priority="712">
      <formula>COUNTIF(I160:BG160,"&lt;&gt;" &amp; "")&gt;0</formula>
    </cfRule>
    <cfRule type="expression" dxfId="1" priority="713">
      <formula>AND(COUNTIF(I160:BG160,"&lt;&gt;" &amp; "")&gt;0,NOT(ISBLANK(G160)))</formula>
    </cfRule>
  </conditionalFormatting>
  <conditionalFormatting sqref="G161">
    <cfRule type="expression" dxfId="0" priority="715">
      <formula>COUNTIF(I161:BG161,"&lt;&gt;" &amp; "")&gt;0</formula>
    </cfRule>
    <cfRule type="expression" dxfId="1" priority="716">
      <formula>AND(COUNTIF(I161:BG161,"&lt;&gt;" &amp; "")&gt;0,NOT(ISBLANK(G161)))</formula>
    </cfRule>
  </conditionalFormatting>
  <conditionalFormatting sqref="G162">
    <cfRule type="expression" dxfId="0" priority="718">
      <formula>COUNTIF(I162:BG162,"&lt;&gt;" &amp; "")&gt;0</formula>
    </cfRule>
    <cfRule type="expression" dxfId="1" priority="719">
      <formula>AND(COUNTIF(I162:BG162,"&lt;&gt;" &amp; "")&gt;0,NOT(ISBLANK(G162)))</formula>
    </cfRule>
  </conditionalFormatting>
  <conditionalFormatting sqref="G19">
    <cfRule type="expression" dxfId="0" priority="289">
      <formula>COUNTIF(I19:BG19,"&lt;&gt;" &amp; "")&gt;0</formula>
    </cfRule>
    <cfRule type="expression" dxfId="1" priority="290">
      <formula>AND(COUNTIF(I19:BG19,"&lt;&gt;" &amp; "")&gt;0,NOT(ISBLANK(G19)))</formula>
    </cfRule>
  </conditionalFormatting>
  <conditionalFormatting sqref="G20">
    <cfRule type="expression" dxfId="0" priority="292">
      <formula>COUNTIF(I20:BG20,"&lt;&gt;" &amp; "")&gt;0</formula>
    </cfRule>
    <cfRule type="expression" dxfId="1" priority="293">
      <formula>AND(COUNTIF(I20:BG20,"&lt;&gt;" &amp; "")&gt;0,NOT(ISBLANK(G20)))</formula>
    </cfRule>
  </conditionalFormatting>
  <conditionalFormatting sqref="G21">
    <cfRule type="expression" dxfId="0" priority="295">
      <formula>COUNTIF(I21:BG21,"&lt;&gt;" &amp; "")&gt;0</formula>
    </cfRule>
    <cfRule type="expression" dxfId="1" priority="296">
      <formula>AND(COUNTIF(I21:BG21,"&lt;&gt;" &amp; "")&gt;0,NOT(ISBLANK(G21)))</formula>
    </cfRule>
  </conditionalFormatting>
  <conditionalFormatting sqref="G22">
    <cfRule type="expression" dxfId="0" priority="298">
      <formula>COUNTIF(I22:BG22,"&lt;&gt;" &amp; "")&gt;0</formula>
    </cfRule>
    <cfRule type="expression" dxfId="1" priority="299">
      <formula>AND(COUNTIF(I22:BG22,"&lt;&gt;" &amp; "")&gt;0,NOT(ISBLANK(G22)))</formula>
    </cfRule>
  </conditionalFormatting>
  <conditionalFormatting sqref="G23">
    <cfRule type="expression" dxfId="0" priority="301">
      <formula>COUNTIF(I23:BG23,"&lt;&gt;" &amp; "")&gt;0</formula>
    </cfRule>
    <cfRule type="expression" dxfId="1" priority="302">
      <formula>AND(COUNTIF(I23:BG23,"&lt;&gt;" &amp; "")&gt;0,NOT(ISBLANK(G23)))</formula>
    </cfRule>
  </conditionalFormatting>
  <conditionalFormatting sqref="G24">
    <cfRule type="expression" dxfId="0" priority="304">
      <formula>COUNTIF(I24:BG24,"&lt;&gt;" &amp; "")&gt;0</formula>
    </cfRule>
    <cfRule type="expression" dxfId="1" priority="305">
      <formula>AND(COUNTIF(I24:BG24,"&lt;&gt;" &amp; "")&gt;0,NOT(ISBLANK(G24)))</formula>
    </cfRule>
  </conditionalFormatting>
  <conditionalFormatting sqref="G25">
    <cfRule type="expression" dxfId="0" priority="307">
      <formula>COUNTIF(I25:BG25,"&lt;&gt;" &amp; "")&gt;0</formula>
    </cfRule>
    <cfRule type="expression" dxfId="1" priority="308">
      <formula>AND(COUNTIF(I25:BG25,"&lt;&gt;" &amp; "")&gt;0,NOT(ISBLANK(G25)))</formula>
    </cfRule>
  </conditionalFormatting>
  <conditionalFormatting sqref="G26">
    <cfRule type="expression" dxfId="0" priority="310">
      <formula>COUNTIF(I26:BG26,"&lt;&gt;" &amp; "")&gt;0</formula>
    </cfRule>
    <cfRule type="expression" dxfId="1" priority="311">
      <formula>AND(COUNTIF(I26:BG26,"&lt;&gt;" &amp; "")&gt;0,NOT(ISBLANK(G26)))</formula>
    </cfRule>
  </conditionalFormatting>
  <conditionalFormatting sqref="G27">
    <cfRule type="expression" dxfId="0" priority="313">
      <formula>COUNTIF(I27:BG27,"&lt;&gt;" &amp; "")&gt;0</formula>
    </cfRule>
    <cfRule type="expression" dxfId="1" priority="314">
      <formula>AND(COUNTIF(I27:BG27,"&lt;&gt;" &amp; "")&gt;0,NOT(ISBLANK(G27)))</formula>
    </cfRule>
  </conditionalFormatting>
  <conditionalFormatting sqref="G28">
    <cfRule type="expression" dxfId="0" priority="316">
      <formula>COUNTIF(I28:BG28,"&lt;&gt;" &amp; "")&gt;0</formula>
    </cfRule>
    <cfRule type="expression" dxfId="1" priority="317">
      <formula>AND(COUNTIF(I28:BG28,"&lt;&gt;" &amp; "")&gt;0,NOT(ISBLANK(G28)))</formula>
    </cfRule>
  </conditionalFormatting>
  <conditionalFormatting sqref="G29">
    <cfRule type="expression" dxfId="0" priority="319">
      <formula>COUNTIF(I29:BG29,"&lt;&gt;" &amp; "")&gt;0</formula>
    </cfRule>
    <cfRule type="expression" dxfId="1" priority="320">
      <formula>AND(COUNTIF(I29:BG29,"&lt;&gt;" &amp; "")&gt;0,NOT(ISBLANK(G29)))</formula>
    </cfRule>
  </conditionalFormatting>
  <conditionalFormatting sqref="G30">
    <cfRule type="expression" dxfId="0" priority="322">
      <formula>COUNTIF(I30:BG30,"&lt;&gt;" &amp; "")&gt;0</formula>
    </cfRule>
    <cfRule type="expression" dxfId="1" priority="323">
      <formula>AND(COUNTIF(I30:BG30,"&lt;&gt;" &amp; "")&gt;0,NOT(ISBLANK(G30)))</formula>
    </cfRule>
  </conditionalFormatting>
  <conditionalFormatting sqref="G31">
    <cfRule type="expression" dxfId="0" priority="325">
      <formula>COUNTIF(I31:BG31,"&lt;&gt;" &amp; "")&gt;0</formula>
    </cfRule>
    <cfRule type="expression" dxfId="1" priority="326">
      <formula>AND(COUNTIF(I31:BG31,"&lt;&gt;" &amp; "")&gt;0,NOT(ISBLANK(G31)))</formula>
    </cfRule>
  </conditionalFormatting>
  <conditionalFormatting sqref="G32">
    <cfRule type="expression" dxfId="0" priority="328">
      <formula>COUNTIF(I32:BG32,"&lt;&gt;" &amp; "")&gt;0</formula>
    </cfRule>
    <cfRule type="expression" dxfId="1" priority="329">
      <formula>AND(COUNTIF(I32:BG32,"&lt;&gt;" &amp; "")&gt;0,NOT(ISBLANK(G32)))</formula>
    </cfRule>
  </conditionalFormatting>
  <conditionalFormatting sqref="G33">
    <cfRule type="expression" dxfId="0" priority="331">
      <formula>COUNTIF(I33:BG33,"&lt;&gt;" &amp; "")&gt;0</formula>
    </cfRule>
    <cfRule type="expression" dxfId="1" priority="332">
      <formula>AND(COUNTIF(I33:BG33,"&lt;&gt;" &amp; "")&gt;0,NOT(ISBLANK(G33)))</formula>
    </cfRule>
  </conditionalFormatting>
  <conditionalFormatting sqref="G34">
    <cfRule type="expression" dxfId="0" priority="334">
      <formula>COUNTIF(I34:BG34,"&lt;&gt;" &amp; "")&gt;0</formula>
    </cfRule>
    <cfRule type="expression" dxfId="1" priority="335">
      <formula>AND(COUNTIF(I34:BG34,"&lt;&gt;" &amp; "")&gt;0,NOT(ISBLANK(G34)))</formula>
    </cfRule>
  </conditionalFormatting>
  <conditionalFormatting sqref="G35">
    <cfRule type="expression" dxfId="0" priority="337">
      <formula>COUNTIF(I35:BG35,"&lt;&gt;" &amp; "")&gt;0</formula>
    </cfRule>
    <cfRule type="expression" dxfId="1" priority="338">
      <formula>AND(COUNTIF(I35:BG35,"&lt;&gt;" &amp; "")&gt;0,NOT(ISBLANK(G35)))</formula>
    </cfRule>
  </conditionalFormatting>
  <conditionalFormatting sqref="G36">
    <cfRule type="expression" dxfId="0" priority="340">
      <formula>COUNTIF(I36:BG36,"&lt;&gt;" &amp; "")&gt;0</formula>
    </cfRule>
    <cfRule type="expression" dxfId="1" priority="341">
      <formula>AND(COUNTIF(I36:BG36,"&lt;&gt;" &amp; "")&gt;0,NOT(ISBLANK(G36)))</formula>
    </cfRule>
  </conditionalFormatting>
  <conditionalFormatting sqref="G37">
    <cfRule type="expression" dxfId="0" priority="343">
      <formula>COUNTIF(I37:BG37,"&lt;&gt;" &amp; "")&gt;0</formula>
    </cfRule>
    <cfRule type="expression" dxfId="1" priority="344">
      <formula>AND(COUNTIF(I37:BG37,"&lt;&gt;" &amp; "")&gt;0,NOT(ISBLANK(G37)))</formula>
    </cfRule>
  </conditionalFormatting>
  <conditionalFormatting sqref="G38">
    <cfRule type="expression" dxfId="0" priority="346">
      <formula>COUNTIF(I38:BG38,"&lt;&gt;" &amp; "")&gt;0</formula>
    </cfRule>
    <cfRule type="expression" dxfId="1" priority="347">
      <formula>AND(COUNTIF(I38:BG38,"&lt;&gt;" &amp; "")&gt;0,NOT(ISBLANK(G38)))</formula>
    </cfRule>
  </conditionalFormatting>
  <conditionalFormatting sqref="G39">
    <cfRule type="expression" dxfId="0" priority="349">
      <formula>COUNTIF(I39:BG39,"&lt;&gt;" &amp; "")&gt;0</formula>
    </cfRule>
    <cfRule type="expression" dxfId="1" priority="350">
      <formula>AND(COUNTIF(I39:BG39,"&lt;&gt;" &amp; "")&gt;0,NOT(ISBLANK(G39)))</formula>
    </cfRule>
  </conditionalFormatting>
  <conditionalFormatting sqref="G40">
    <cfRule type="expression" dxfId="0" priority="352">
      <formula>COUNTIF(I40:BG40,"&lt;&gt;" &amp; "")&gt;0</formula>
    </cfRule>
    <cfRule type="expression" dxfId="1" priority="353">
      <formula>AND(COUNTIF(I40:BG40,"&lt;&gt;" &amp; "")&gt;0,NOT(ISBLANK(G40)))</formula>
    </cfRule>
  </conditionalFormatting>
  <conditionalFormatting sqref="G41">
    <cfRule type="expression" dxfId="0" priority="355">
      <formula>COUNTIF(I41:BG41,"&lt;&gt;" &amp; "")&gt;0</formula>
    </cfRule>
    <cfRule type="expression" dxfId="1" priority="356">
      <formula>AND(COUNTIF(I41:BG41,"&lt;&gt;" &amp; "")&gt;0,NOT(ISBLANK(G41)))</formula>
    </cfRule>
  </conditionalFormatting>
  <conditionalFormatting sqref="G42">
    <cfRule type="expression" dxfId="0" priority="358">
      <formula>COUNTIF(I42:BG42,"&lt;&gt;" &amp; "")&gt;0</formula>
    </cfRule>
    <cfRule type="expression" dxfId="1" priority="359">
      <formula>AND(COUNTIF(I42:BG42,"&lt;&gt;" &amp; "")&gt;0,NOT(ISBLANK(G42)))</formula>
    </cfRule>
  </conditionalFormatting>
  <conditionalFormatting sqref="G43">
    <cfRule type="expression" dxfId="0" priority="361">
      <formula>COUNTIF(I43:BG43,"&lt;&gt;" &amp; "")&gt;0</formula>
    </cfRule>
    <cfRule type="expression" dxfId="1" priority="362">
      <formula>AND(COUNTIF(I43:BG43,"&lt;&gt;" &amp; "")&gt;0,NOT(ISBLANK(G43)))</formula>
    </cfRule>
  </conditionalFormatting>
  <conditionalFormatting sqref="G44">
    <cfRule type="expression" dxfId="0" priority="364">
      <formula>COUNTIF(I44:BG44,"&lt;&gt;" &amp; "")&gt;0</formula>
    </cfRule>
    <cfRule type="expression" dxfId="1" priority="365">
      <formula>AND(COUNTIF(I44:BG44,"&lt;&gt;" &amp; "")&gt;0,NOT(ISBLANK(G44)))</formula>
    </cfRule>
  </conditionalFormatting>
  <conditionalFormatting sqref="G45">
    <cfRule type="expression" dxfId="0" priority="367">
      <formula>COUNTIF(I45:BG45,"&lt;&gt;" &amp; "")&gt;0</formula>
    </cfRule>
    <cfRule type="expression" dxfId="1" priority="368">
      <formula>AND(COUNTIF(I45:BG45,"&lt;&gt;" &amp; "")&gt;0,NOT(ISBLANK(G45)))</formula>
    </cfRule>
  </conditionalFormatting>
  <conditionalFormatting sqref="G46">
    <cfRule type="expression" dxfId="0" priority="370">
      <formula>COUNTIF(I46:BG46,"&lt;&gt;" &amp; "")&gt;0</formula>
    </cfRule>
    <cfRule type="expression" dxfId="1" priority="371">
      <formula>AND(COUNTIF(I46:BG46,"&lt;&gt;" &amp; "")&gt;0,NOT(ISBLANK(G46)))</formula>
    </cfRule>
  </conditionalFormatting>
  <conditionalFormatting sqref="G47">
    <cfRule type="expression" dxfId="0" priority="373">
      <formula>COUNTIF(I47:BG47,"&lt;&gt;" &amp; "")&gt;0</formula>
    </cfRule>
    <cfRule type="expression" dxfId="1" priority="374">
      <formula>AND(COUNTIF(I47:BG47,"&lt;&gt;" &amp; "")&gt;0,NOT(ISBLANK(G47)))</formula>
    </cfRule>
  </conditionalFormatting>
  <conditionalFormatting sqref="G48">
    <cfRule type="expression" dxfId="0" priority="376">
      <formula>COUNTIF(I48:BG48,"&lt;&gt;" &amp; "")&gt;0</formula>
    </cfRule>
    <cfRule type="expression" dxfId="1" priority="377">
      <formula>AND(COUNTIF(I48:BG48,"&lt;&gt;" &amp; "")&gt;0,NOT(ISBLANK(G48)))</formula>
    </cfRule>
  </conditionalFormatting>
  <conditionalFormatting sqref="G49">
    <cfRule type="expression" dxfId="0" priority="379">
      <formula>COUNTIF(I49:BG49,"&lt;&gt;" &amp; "")&gt;0</formula>
    </cfRule>
    <cfRule type="expression" dxfId="1" priority="380">
      <formula>AND(COUNTIF(I49:BG49,"&lt;&gt;" &amp; "")&gt;0,NOT(ISBLANK(G49)))</formula>
    </cfRule>
  </conditionalFormatting>
  <conditionalFormatting sqref="G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G50">
    <cfRule type="expression" dxfId="0" priority="382">
      <formula>COUNTIF(I50:BG50,"&lt;&gt;" &amp; "")&gt;0</formula>
    </cfRule>
    <cfRule type="expression" dxfId="1" priority="383">
      <formula>AND(COUNTIF(I50:BG50,"&lt;&gt;" &amp; "")&gt;0,NOT(ISBLANK(G50)))</formula>
    </cfRule>
  </conditionalFormatting>
  <conditionalFormatting sqref="G51">
    <cfRule type="expression" dxfId="0" priority="385">
      <formula>COUNTIF(I51:BG51,"&lt;&gt;" &amp; "")&gt;0</formula>
    </cfRule>
    <cfRule type="expression" dxfId="1" priority="386">
      <formula>AND(COUNTIF(I51:BG51,"&lt;&gt;" &amp; "")&gt;0,NOT(ISBLANK(G51)))</formula>
    </cfRule>
  </conditionalFormatting>
  <conditionalFormatting sqref="G52">
    <cfRule type="expression" dxfId="0" priority="388">
      <formula>COUNTIF(I52:BG52,"&lt;&gt;" &amp; "")&gt;0</formula>
    </cfRule>
    <cfRule type="expression" dxfId="1" priority="389">
      <formula>AND(COUNTIF(I52:BG52,"&lt;&gt;" &amp; "")&gt;0,NOT(ISBLANK(G52)))</formula>
    </cfRule>
  </conditionalFormatting>
  <conditionalFormatting sqref="G53">
    <cfRule type="expression" dxfId="0" priority="391">
      <formula>COUNTIF(I53:BG53,"&lt;&gt;" &amp; "")&gt;0</formula>
    </cfRule>
    <cfRule type="expression" dxfId="1" priority="392">
      <formula>AND(COUNTIF(I53:BG53,"&lt;&gt;" &amp; "")&gt;0,NOT(ISBLANK(G53)))</formula>
    </cfRule>
  </conditionalFormatting>
  <conditionalFormatting sqref="G54">
    <cfRule type="expression" dxfId="0" priority="394">
      <formula>COUNTIF(I54:BG54,"&lt;&gt;" &amp; "")&gt;0</formula>
    </cfRule>
    <cfRule type="expression" dxfId="1" priority="395">
      <formula>AND(COUNTIF(I54:BG54,"&lt;&gt;" &amp; "")&gt;0,NOT(ISBLANK(G54)))</formula>
    </cfRule>
  </conditionalFormatting>
  <conditionalFormatting sqref="G55">
    <cfRule type="expression" dxfId="0" priority="397">
      <formula>COUNTIF(I55:BG55,"&lt;&gt;" &amp; "")&gt;0</formula>
    </cfRule>
    <cfRule type="expression" dxfId="1" priority="398">
      <formula>AND(COUNTIF(I55:BG55,"&lt;&gt;" &amp; "")&gt;0,NOT(ISBLANK(G55)))</formula>
    </cfRule>
  </conditionalFormatting>
  <conditionalFormatting sqref="G56">
    <cfRule type="expression" dxfId="0" priority="400">
      <formula>COUNTIF(I56:BG56,"&lt;&gt;" &amp; "")&gt;0</formula>
    </cfRule>
    <cfRule type="expression" dxfId="1" priority="401">
      <formula>AND(COUNTIF(I56:BG56,"&lt;&gt;" &amp; "")&gt;0,NOT(ISBLANK(G56)))</formula>
    </cfRule>
  </conditionalFormatting>
  <conditionalFormatting sqref="G57">
    <cfRule type="expression" dxfId="0" priority="403">
      <formula>COUNTIF(I57:BG57,"&lt;&gt;" &amp; "")&gt;0</formula>
    </cfRule>
    <cfRule type="expression" dxfId="1" priority="404">
      <formula>AND(COUNTIF(I57:BG57,"&lt;&gt;" &amp; "")&gt;0,NOT(ISBLANK(G57)))</formula>
    </cfRule>
  </conditionalFormatting>
  <conditionalFormatting sqref="G58">
    <cfRule type="expression" dxfId="0" priority="406">
      <formula>COUNTIF(I58:BG58,"&lt;&gt;" &amp; "")&gt;0</formula>
    </cfRule>
    <cfRule type="expression" dxfId="1" priority="407">
      <formula>AND(COUNTIF(I58:BG58,"&lt;&gt;" &amp; "")&gt;0,NOT(ISBLANK(G58)))</formula>
    </cfRule>
  </conditionalFormatting>
  <conditionalFormatting sqref="G59">
    <cfRule type="expression" dxfId="0" priority="409">
      <formula>COUNTIF(I59:BG59,"&lt;&gt;" &amp; "")&gt;0</formula>
    </cfRule>
    <cfRule type="expression" dxfId="1" priority="410">
      <formula>AND(COUNTIF(I59:BG59,"&lt;&gt;" &amp; "")&gt;0,NOT(ISBLANK(G59)))</formula>
    </cfRule>
  </conditionalFormatting>
  <conditionalFormatting sqref="G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G60">
    <cfRule type="expression" dxfId="0" priority="412">
      <formula>COUNTIF(I60:BG60,"&lt;&gt;" &amp; "")&gt;0</formula>
    </cfRule>
    <cfRule type="expression" dxfId="1" priority="413">
      <formula>AND(COUNTIF(I60:BG60,"&lt;&gt;" &amp; "")&gt;0,NOT(ISBLANK(G60)))</formula>
    </cfRule>
  </conditionalFormatting>
  <conditionalFormatting sqref="G61">
    <cfRule type="expression" dxfId="0" priority="415">
      <formula>COUNTIF(I61:BG61,"&lt;&gt;" &amp; "")&gt;0</formula>
    </cfRule>
    <cfRule type="expression" dxfId="1" priority="416">
      <formula>AND(COUNTIF(I61:BG61,"&lt;&gt;" &amp; "")&gt;0,NOT(ISBLANK(G61)))</formula>
    </cfRule>
  </conditionalFormatting>
  <conditionalFormatting sqref="G62">
    <cfRule type="expression" dxfId="0" priority="418">
      <formula>COUNTIF(I62:BG62,"&lt;&gt;" &amp; "")&gt;0</formula>
    </cfRule>
    <cfRule type="expression" dxfId="1" priority="419">
      <formula>AND(COUNTIF(I62:BG62,"&lt;&gt;" &amp; "")&gt;0,NOT(ISBLANK(G62)))</formula>
    </cfRule>
  </conditionalFormatting>
  <conditionalFormatting sqref="G63">
    <cfRule type="expression" dxfId="0" priority="421">
      <formula>COUNTIF(I63:BG63,"&lt;&gt;" &amp; "")&gt;0</formula>
    </cfRule>
    <cfRule type="expression" dxfId="1" priority="422">
      <formula>AND(COUNTIF(I63:BG63,"&lt;&gt;" &amp; "")&gt;0,NOT(ISBLANK(G63)))</formula>
    </cfRule>
  </conditionalFormatting>
  <conditionalFormatting sqref="G64">
    <cfRule type="expression" dxfId="0" priority="424">
      <formula>COUNTIF(I64:BG64,"&lt;&gt;" &amp; "")&gt;0</formula>
    </cfRule>
    <cfRule type="expression" dxfId="1" priority="425">
      <formula>AND(COUNTIF(I64:BG64,"&lt;&gt;" &amp; "")&gt;0,NOT(ISBLANK(G64)))</formula>
    </cfRule>
  </conditionalFormatting>
  <conditionalFormatting sqref="G65">
    <cfRule type="expression" dxfId="0" priority="427">
      <formula>COUNTIF(I65:BG65,"&lt;&gt;" &amp; "")&gt;0</formula>
    </cfRule>
    <cfRule type="expression" dxfId="1" priority="428">
      <formula>AND(COUNTIF(I65:BG65,"&lt;&gt;" &amp; "")&gt;0,NOT(ISBLANK(G65)))</formula>
    </cfRule>
  </conditionalFormatting>
  <conditionalFormatting sqref="G66">
    <cfRule type="expression" dxfId="0" priority="430">
      <formula>COUNTIF(I66:BG66,"&lt;&gt;" &amp; "")&gt;0</formula>
    </cfRule>
    <cfRule type="expression" dxfId="1" priority="431">
      <formula>AND(COUNTIF(I66:BG66,"&lt;&gt;" &amp; "")&gt;0,NOT(ISBLANK(G66)))</formula>
    </cfRule>
  </conditionalFormatting>
  <conditionalFormatting sqref="G67">
    <cfRule type="expression" dxfId="0" priority="433">
      <formula>COUNTIF(I67:BG67,"&lt;&gt;" &amp; "")&gt;0</formula>
    </cfRule>
    <cfRule type="expression" dxfId="1" priority="434">
      <formula>AND(COUNTIF(I67:BG67,"&lt;&gt;" &amp; "")&gt;0,NOT(ISBLANK(G67)))</formula>
    </cfRule>
  </conditionalFormatting>
  <conditionalFormatting sqref="G68">
    <cfRule type="expression" dxfId="0" priority="436">
      <formula>COUNTIF(I68:BG68,"&lt;&gt;" &amp; "")&gt;0</formula>
    </cfRule>
    <cfRule type="expression" dxfId="1" priority="437">
      <formula>AND(COUNTIF(I68:BG68,"&lt;&gt;" &amp; "")&gt;0,NOT(ISBLANK(G68)))</formula>
    </cfRule>
  </conditionalFormatting>
  <conditionalFormatting sqref="G69">
    <cfRule type="expression" dxfId="0" priority="439">
      <formula>COUNTIF(I69:BG69,"&lt;&gt;" &amp; "")&gt;0</formula>
    </cfRule>
    <cfRule type="expression" dxfId="1" priority="440">
      <formula>AND(COUNTIF(I69:BG69,"&lt;&gt;" &amp; "")&gt;0,NOT(ISBLANK(G69)))</formula>
    </cfRule>
  </conditionalFormatting>
  <conditionalFormatting sqref="G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G70">
    <cfRule type="expression" dxfId="0" priority="442">
      <formula>COUNTIF(I70:BG70,"&lt;&gt;" &amp; "")&gt;0</formula>
    </cfRule>
    <cfRule type="expression" dxfId="1" priority="443">
      <formula>AND(COUNTIF(I70:BG70,"&lt;&gt;" &amp; "")&gt;0,NOT(ISBLANK(G70)))</formula>
    </cfRule>
  </conditionalFormatting>
  <conditionalFormatting sqref="G71">
    <cfRule type="expression" dxfId="0" priority="445">
      <formula>COUNTIF(I71:BG71,"&lt;&gt;" &amp; "")&gt;0</formula>
    </cfRule>
    <cfRule type="expression" dxfId="1" priority="446">
      <formula>AND(COUNTIF(I71:BG71,"&lt;&gt;" &amp; "")&gt;0,NOT(ISBLANK(G71)))</formula>
    </cfRule>
  </conditionalFormatting>
  <conditionalFormatting sqref="G72">
    <cfRule type="expression" dxfId="0" priority="448">
      <formula>COUNTIF(I72:BG72,"&lt;&gt;" &amp; "")&gt;0</formula>
    </cfRule>
    <cfRule type="expression" dxfId="1" priority="449">
      <formula>AND(COUNTIF(I72:BG72,"&lt;&gt;" &amp; "")&gt;0,NOT(ISBLANK(G72)))</formula>
    </cfRule>
  </conditionalFormatting>
  <conditionalFormatting sqref="G73">
    <cfRule type="expression" dxfId="0" priority="451">
      <formula>COUNTIF(I73:BG73,"&lt;&gt;" &amp; "")&gt;0</formula>
    </cfRule>
    <cfRule type="expression" dxfId="1" priority="452">
      <formula>AND(COUNTIF(I73:BG73,"&lt;&gt;" &amp; "")&gt;0,NOT(ISBLANK(G73)))</formula>
    </cfRule>
  </conditionalFormatting>
  <conditionalFormatting sqref="G74">
    <cfRule type="expression" dxfId="0" priority="454">
      <formula>COUNTIF(I74:BG74,"&lt;&gt;" &amp; "")&gt;0</formula>
    </cfRule>
    <cfRule type="expression" dxfId="1" priority="455">
      <formula>AND(COUNTIF(I74:BG74,"&lt;&gt;" &amp; "")&gt;0,NOT(ISBLANK(G74)))</formula>
    </cfRule>
  </conditionalFormatting>
  <conditionalFormatting sqref="G75">
    <cfRule type="expression" dxfId="0" priority="457">
      <formula>COUNTIF(I75:BG75,"&lt;&gt;" &amp; "")&gt;0</formula>
    </cfRule>
    <cfRule type="expression" dxfId="1" priority="458">
      <formula>AND(COUNTIF(I75:BG75,"&lt;&gt;" &amp; "")&gt;0,NOT(ISBLANK(G75)))</formula>
    </cfRule>
  </conditionalFormatting>
  <conditionalFormatting sqref="G76">
    <cfRule type="expression" dxfId="0" priority="460">
      <formula>COUNTIF(I76:BG76,"&lt;&gt;" &amp; "")&gt;0</formula>
    </cfRule>
    <cfRule type="expression" dxfId="1" priority="461">
      <formula>AND(COUNTIF(I76:BG76,"&lt;&gt;" &amp; "")&gt;0,NOT(ISBLANK(G76)))</formula>
    </cfRule>
  </conditionalFormatting>
  <conditionalFormatting sqref="G77">
    <cfRule type="expression" dxfId="0" priority="463">
      <formula>COUNTIF(I77:BG77,"&lt;&gt;" &amp; "")&gt;0</formula>
    </cfRule>
    <cfRule type="expression" dxfId="1" priority="464">
      <formula>AND(COUNTIF(I77:BG77,"&lt;&gt;" &amp; "")&gt;0,NOT(ISBLANK(G77)))</formula>
    </cfRule>
  </conditionalFormatting>
  <conditionalFormatting sqref="G78">
    <cfRule type="expression" dxfId="0" priority="466">
      <formula>COUNTIF(I78:BG78,"&lt;&gt;" &amp; "")&gt;0</formula>
    </cfRule>
    <cfRule type="expression" dxfId="1" priority="467">
      <formula>AND(COUNTIF(I78:BG78,"&lt;&gt;" &amp; "")&gt;0,NOT(ISBLANK(G78)))</formula>
    </cfRule>
  </conditionalFormatting>
  <conditionalFormatting sqref="G79">
    <cfRule type="expression" dxfId="0" priority="469">
      <formula>COUNTIF(I79:BG79,"&lt;&gt;" &amp; "")&gt;0</formula>
    </cfRule>
    <cfRule type="expression" dxfId="1" priority="470">
      <formula>AND(COUNTIF(I79:BG79,"&lt;&gt;" &amp; "")&gt;0,NOT(ISBLANK(G79)))</formula>
    </cfRule>
  </conditionalFormatting>
  <conditionalFormatting sqref="G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G80">
    <cfRule type="expression" dxfId="0" priority="472">
      <formula>COUNTIF(I80:BG80,"&lt;&gt;" &amp; "")&gt;0</formula>
    </cfRule>
    <cfRule type="expression" dxfId="1" priority="473">
      <formula>AND(COUNTIF(I80:BG80,"&lt;&gt;" &amp; "")&gt;0,NOT(ISBLANK(G80)))</formula>
    </cfRule>
  </conditionalFormatting>
  <conditionalFormatting sqref="G81">
    <cfRule type="expression" dxfId="0" priority="475">
      <formula>COUNTIF(I81:BG81,"&lt;&gt;" &amp; "")&gt;0</formula>
    </cfRule>
    <cfRule type="expression" dxfId="1" priority="476">
      <formula>AND(COUNTIF(I81:BG81,"&lt;&gt;" &amp; "")&gt;0,NOT(ISBLANK(G81)))</formula>
    </cfRule>
  </conditionalFormatting>
  <conditionalFormatting sqref="G82">
    <cfRule type="expression" dxfId="0" priority="478">
      <formula>COUNTIF(I82:BG82,"&lt;&gt;" &amp; "")&gt;0</formula>
    </cfRule>
    <cfRule type="expression" dxfId="1" priority="479">
      <formula>AND(COUNTIF(I82:BG82,"&lt;&gt;" &amp; "")&gt;0,NOT(ISBLANK(G82)))</formula>
    </cfRule>
  </conditionalFormatting>
  <conditionalFormatting sqref="G83">
    <cfRule type="expression" dxfId="0" priority="481">
      <formula>COUNTIF(I83:BG83,"&lt;&gt;" &amp; "")&gt;0</formula>
    </cfRule>
    <cfRule type="expression" dxfId="1" priority="482">
      <formula>AND(COUNTIF(I83:BG83,"&lt;&gt;" &amp; "")&gt;0,NOT(ISBLANK(G83)))</formula>
    </cfRule>
  </conditionalFormatting>
  <conditionalFormatting sqref="G84">
    <cfRule type="expression" dxfId="0" priority="484">
      <formula>COUNTIF(I84:BG84,"&lt;&gt;" &amp; "")&gt;0</formula>
    </cfRule>
    <cfRule type="expression" dxfId="1" priority="485">
      <formula>AND(COUNTIF(I84:BG84,"&lt;&gt;" &amp; "")&gt;0,NOT(ISBLANK(G84)))</formula>
    </cfRule>
  </conditionalFormatting>
  <conditionalFormatting sqref="G85">
    <cfRule type="expression" dxfId="0" priority="487">
      <formula>COUNTIF(I85:BG85,"&lt;&gt;" &amp; "")&gt;0</formula>
    </cfRule>
    <cfRule type="expression" dxfId="1" priority="488">
      <formula>AND(COUNTIF(I85:BG85,"&lt;&gt;" &amp; "")&gt;0,NOT(ISBLANK(G85)))</formula>
    </cfRule>
  </conditionalFormatting>
  <conditionalFormatting sqref="G86">
    <cfRule type="expression" dxfId="0" priority="490">
      <formula>COUNTIF(I86:BG86,"&lt;&gt;" &amp; "")&gt;0</formula>
    </cfRule>
    <cfRule type="expression" dxfId="1" priority="491">
      <formula>AND(COUNTIF(I86:BG86,"&lt;&gt;" &amp; "")&gt;0,NOT(ISBLANK(G86)))</formula>
    </cfRule>
  </conditionalFormatting>
  <conditionalFormatting sqref="G87">
    <cfRule type="expression" dxfId="0" priority="493">
      <formula>COUNTIF(I87:BG87,"&lt;&gt;" &amp; "")&gt;0</formula>
    </cfRule>
    <cfRule type="expression" dxfId="1" priority="494">
      <formula>AND(COUNTIF(I87:BG87,"&lt;&gt;" &amp; "")&gt;0,NOT(ISBLANK(G87)))</formula>
    </cfRule>
  </conditionalFormatting>
  <conditionalFormatting sqref="G88">
    <cfRule type="expression" dxfId="0" priority="496">
      <formula>COUNTIF(I88:BG88,"&lt;&gt;" &amp; "")&gt;0</formula>
    </cfRule>
    <cfRule type="expression" dxfId="1" priority="497">
      <formula>AND(COUNTIF(I88:BG88,"&lt;&gt;" &amp; "")&gt;0,NOT(ISBLANK(G88)))</formula>
    </cfRule>
  </conditionalFormatting>
  <conditionalFormatting sqref="G89">
    <cfRule type="expression" dxfId="0" priority="499">
      <formula>COUNTIF(I89:BG89,"&lt;&gt;" &amp; "")&gt;0</formula>
    </cfRule>
    <cfRule type="expression" dxfId="1" priority="500">
      <formula>AND(COUNTIF(I89:BG89,"&lt;&gt;" &amp; "")&gt;0,NOT(ISBLANK(G89)))</formula>
    </cfRule>
  </conditionalFormatting>
  <conditionalFormatting sqref="G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G90">
    <cfRule type="expression" dxfId="0" priority="502">
      <formula>COUNTIF(I90:BG90,"&lt;&gt;" &amp; "")&gt;0</formula>
    </cfRule>
    <cfRule type="expression" dxfId="1" priority="503">
      <formula>AND(COUNTIF(I90:BG90,"&lt;&gt;" &amp; "")&gt;0,NOT(ISBLANK(G90)))</formula>
    </cfRule>
  </conditionalFormatting>
  <conditionalFormatting sqref="G91">
    <cfRule type="expression" dxfId="0" priority="505">
      <formula>COUNTIF(I91:BG91,"&lt;&gt;" &amp; "")&gt;0</formula>
    </cfRule>
    <cfRule type="expression" dxfId="1" priority="506">
      <formula>AND(COUNTIF(I91:BG91,"&lt;&gt;" &amp; "")&gt;0,NOT(ISBLANK(G91)))</formula>
    </cfRule>
  </conditionalFormatting>
  <conditionalFormatting sqref="G92">
    <cfRule type="expression" dxfId="0" priority="508">
      <formula>COUNTIF(I92:BG92,"&lt;&gt;" &amp; "")&gt;0</formula>
    </cfRule>
    <cfRule type="expression" dxfId="1" priority="509">
      <formula>AND(COUNTIF(I92:BG92,"&lt;&gt;" &amp; "")&gt;0,NOT(ISBLANK(G92)))</formula>
    </cfRule>
  </conditionalFormatting>
  <conditionalFormatting sqref="G93">
    <cfRule type="expression" dxfId="0" priority="511">
      <formula>COUNTIF(I93:BG93,"&lt;&gt;" &amp; "")&gt;0</formula>
    </cfRule>
    <cfRule type="expression" dxfId="1" priority="512">
      <formula>AND(COUNTIF(I93:BG93,"&lt;&gt;" &amp; "")&gt;0,NOT(ISBLANK(G93)))</formula>
    </cfRule>
  </conditionalFormatting>
  <conditionalFormatting sqref="G94">
    <cfRule type="expression" dxfId="0" priority="514">
      <formula>COUNTIF(I94:BG94,"&lt;&gt;" &amp; "")&gt;0</formula>
    </cfRule>
    <cfRule type="expression" dxfId="1" priority="515">
      <formula>AND(COUNTIF(I94:BG94,"&lt;&gt;" &amp; "")&gt;0,NOT(ISBLANK(G94)))</formula>
    </cfRule>
  </conditionalFormatting>
  <conditionalFormatting sqref="G95">
    <cfRule type="expression" dxfId="0" priority="517">
      <formula>COUNTIF(I95:BG95,"&lt;&gt;" &amp; "")&gt;0</formula>
    </cfRule>
    <cfRule type="expression" dxfId="1" priority="518">
      <formula>AND(COUNTIF(I95:BG95,"&lt;&gt;" &amp; "")&gt;0,NOT(ISBLANK(G95)))</formula>
    </cfRule>
  </conditionalFormatting>
  <conditionalFormatting sqref="G96">
    <cfRule type="expression" dxfId="0" priority="520">
      <formula>COUNTIF(I96:BG96,"&lt;&gt;" &amp; "")&gt;0</formula>
    </cfRule>
    <cfRule type="expression" dxfId="1" priority="521">
      <formula>AND(COUNTIF(I96:BG96,"&lt;&gt;" &amp; "")&gt;0,NOT(ISBLANK(G96)))</formula>
    </cfRule>
  </conditionalFormatting>
  <conditionalFormatting sqref="G97">
    <cfRule type="expression" dxfId="0" priority="523">
      <formula>COUNTIF(I97:BG97,"&lt;&gt;" &amp; "")&gt;0</formula>
    </cfRule>
    <cfRule type="expression" dxfId="1" priority="524">
      <formula>AND(COUNTIF(I97:BG97,"&lt;&gt;" &amp; "")&gt;0,NOT(ISBLANK(G97)))</formula>
    </cfRule>
  </conditionalFormatting>
  <conditionalFormatting sqref="G98">
    <cfRule type="expression" dxfId="0" priority="526">
      <formula>COUNTIF(I98:BG98,"&lt;&gt;" &amp; "")&gt;0</formula>
    </cfRule>
    <cfRule type="expression" dxfId="1" priority="527">
      <formula>AND(COUNTIF(I98:BG98,"&lt;&gt;" &amp; "")&gt;0,NOT(ISBLANK(G98)))</formula>
    </cfRule>
  </conditionalFormatting>
  <conditionalFormatting sqref="G99">
    <cfRule type="expression" dxfId="0" priority="529">
      <formula>COUNTIF(I99:BG99,"&lt;&gt;" &amp; "")&gt;0</formula>
    </cfRule>
    <cfRule type="expression" dxfId="1" priority="530">
      <formula>AND(COUNTIF(I99:BG99,"&lt;&gt;" &amp; "")&gt;0,NOT(ISBLANK(G99)))</formula>
    </cfRule>
  </conditionalFormatting>
  <conditionalFormatting sqref="H10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H11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H12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H13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H14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H15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H16">
    <cfRule type="cellIs" dxfId="2" priority="277" operator="equal">
      <formula>"Y"</formula>
    </cfRule>
    <cfRule type="cellIs" dxfId="3" priority="278" operator="equal">
      <formula>"N"</formula>
    </cfRule>
  </conditionalFormatting>
  <conditionalFormatting sqref="H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H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H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H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H9">
    <cfRule type="cellIs" dxfId="2" priority="109" operator="equal">
      <formula>"Y"</formula>
    </cfRule>
    <cfRule type="cellIs" dxfId="3" priority="110" operator="equal">
      <formula>"N"</formula>
    </cfRule>
  </conditionalFormatting>
  <conditionalFormatting sqref="I10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I11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I12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I13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I14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I15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I16">
    <cfRule type="cellIs" dxfId="2" priority="279" operator="equal">
      <formula>"Y"</formula>
    </cfRule>
    <cfRule type="cellIs" dxfId="3" priority="280" operator="equal">
      <formula>"N"</formula>
    </cfRule>
  </conditionalFormatting>
  <conditionalFormatting sqref="I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I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I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I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I9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J10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J11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J12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J13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J14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J15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J16">
    <cfRule type="cellIs" dxfId="2" priority="281" operator="equal">
      <formula>"Y"</formula>
    </cfRule>
    <cfRule type="cellIs" dxfId="3" priority="282" operator="equal">
      <formula>"N"</formula>
    </cfRule>
  </conditionalFormatting>
  <conditionalFormatting sqref="J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J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J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J8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J9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K10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K11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K12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K13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K14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K15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K16">
    <cfRule type="cellIs" dxfId="2" priority="283" operator="equal">
      <formula>"Y"</formula>
    </cfRule>
    <cfRule type="cellIs" dxfId="3" priority="284" operator="equal">
      <formula>"N"</formula>
    </cfRule>
  </conditionalFormatting>
  <conditionalFormatting sqref="K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K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K7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K8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K9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L10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L11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L12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L13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L14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L15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L16">
    <cfRule type="cellIs" dxfId="2" priority="285" operator="equal">
      <formula>"Y"</formula>
    </cfRule>
    <cfRule type="cellIs" dxfId="3" priority="286" operator="equal">
      <formula>"N"</formula>
    </cfRule>
  </conditionalFormatting>
  <conditionalFormatting sqref="L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L6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L7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L8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L9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M10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M11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M12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M13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M14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M15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M16">
    <cfRule type="cellIs" dxfId="2" priority="287" operator="equal">
      <formula>"Y"</formula>
    </cfRule>
    <cfRule type="cellIs" dxfId="3" priority="288" operator="equal">
      <formula>"N"</formula>
    </cfRule>
  </conditionalFormatting>
  <conditionalFormatting sqref="M5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M6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M7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M8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M9">
    <cfRule type="cellIs" dxfId="2" priority="119" operator="equal">
      <formula>"Y"</formula>
    </cfRule>
    <cfRule type="cellIs" dxfId="3" priority="120" operator="equal">
      <formula>"N"</formula>
    </cfRule>
  </conditionalFormatting>
  <dataValidations count="288">
    <dataValidation type="list" allowBlank="1" showInputMessage="1" showErrorMessage="1" sqref="B5">
      <formula1>"Y,N"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"Y,N"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"Y,N"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"Y,N"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"Y,N"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"Y,N"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"Y,N"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"Y,N"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"Y,N"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"Y,N"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"Y,N"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"Y,N"</formula1>
    </dataValidation>
    <dataValidation type="list" allowBlank="1" showInputMessage="1" showErrorMessage="1" sqref="E19">
      <formula1>"N.A."</formula1>
    </dataValidation>
    <dataValidation type="list" allowBlank="1" showInputMessage="1" showErrorMessage="1" sqref="E20">
      <formula1>"N.A."</formula1>
    </dataValidation>
    <dataValidation type="list" allowBlank="1" showInputMessage="1" showErrorMessage="1" sqref="E21">
      <formula1>"N.A."</formula1>
    </dataValidation>
    <dataValidation type="list" allowBlank="1" showInputMessage="1" showErrorMessage="1" sqref="E22">
      <formula1>"N.A."</formula1>
    </dataValidation>
    <dataValidation type="list" allowBlank="1" showInputMessage="1" showErrorMessage="1" sqref="E23">
      <formula1>"N.A."</formula1>
    </dataValidation>
    <dataValidation type="list" allowBlank="1" showInputMessage="1" showErrorMessage="1" sqref="E24">
      <formula1>"N.A."</formula1>
    </dataValidation>
    <dataValidation type="list" allowBlank="1" showInputMessage="1" showErrorMessage="1" sqref="E25">
      <formula1>"N.A."</formula1>
    </dataValidation>
    <dataValidation type="list" allowBlank="1" showInputMessage="1" showErrorMessage="1" sqref="E26">
      <formula1>"N.A."</formula1>
    </dataValidation>
    <dataValidation type="list" allowBlank="1" showInputMessage="1" showErrorMessage="1" sqref="E27">
      <formula1>"N.A."</formula1>
    </dataValidation>
    <dataValidation type="list" allowBlank="1" showInputMessage="1" showErrorMessage="1" sqref="E28">
      <formula1>"N.A."</formula1>
    </dataValidation>
    <dataValidation type="list" allowBlank="1" showInputMessage="1" showErrorMessage="1" sqref="E29">
      <formula1>"N.A."</formula1>
    </dataValidation>
    <dataValidation type="list" allowBlank="1" showInputMessage="1" showErrorMessage="1" sqref="E30">
      <formula1>"N.A."</formula1>
    </dataValidation>
    <dataValidation type="list" allowBlank="1" showInputMessage="1" showErrorMessage="1" sqref="E31">
      <formula1>"N.A."</formula1>
    </dataValidation>
    <dataValidation type="list" allowBlank="1" showInputMessage="1" showErrorMessage="1" sqref="E32">
      <formula1>"N.A."</formula1>
    </dataValidation>
    <dataValidation type="list" allowBlank="1" showInputMessage="1" showErrorMessage="1" sqref="E33">
      <formula1>"N.A."</formula1>
    </dataValidation>
    <dataValidation type="list" allowBlank="1" showInputMessage="1" showErrorMessage="1" sqref="E34">
      <formula1>"N.A."</formula1>
    </dataValidation>
    <dataValidation type="list" allowBlank="1" showInputMessage="1" showErrorMessage="1" sqref="E35">
      <formula1>"N.A."</formula1>
    </dataValidation>
    <dataValidation type="list" allowBlank="1" showInputMessage="1" showErrorMessage="1" sqref="E36">
      <formula1>"N.A."</formula1>
    </dataValidation>
    <dataValidation type="list" allowBlank="1" showInputMessage="1" showErrorMessage="1" sqref="E37">
      <formula1>"N.A."</formula1>
    </dataValidation>
    <dataValidation type="list" allowBlank="1" showInputMessage="1" showErrorMessage="1" sqref="E38">
      <formula1>"N.A."</formula1>
    </dataValidation>
    <dataValidation type="list" allowBlank="1" showInputMessage="1" showErrorMessage="1" sqref="E39">
      <formula1>"N.A."</formula1>
    </dataValidation>
    <dataValidation type="list" allowBlank="1" showInputMessage="1" showErrorMessage="1" sqref="E40">
      <formula1>"N.A."</formula1>
    </dataValidation>
    <dataValidation type="list" allowBlank="1" showInputMessage="1" showErrorMessage="1" sqref="E41">
      <formula1>"N.A."</formula1>
    </dataValidation>
    <dataValidation type="list" allowBlank="1" showInputMessage="1" showErrorMessage="1" sqref="E42">
      <formula1>"N.A."</formula1>
    </dataValidation>
    <dataValidation type="list" allowBlank="1" showInputMessage="1" showErrorMessage="1" sqref="E43">
      <formula1>"N.A."</formula1>
    </dataValidation>
    <dataValidation type="list" allowBlank="1" showInputMessage="1" showErrorMessage="1" sqref="E44">
      <formula1>"N.A."</formula1>
    </dataValidation>
    <dataValidation type="list" allowBlank="1" showInputMessage="1" showErrorMessage="1" sqref="E45">
      <formula1>"N.A."</formula1>
    </dataValidation>
    <dataValidation type="list" allowBlank="1" showInputMessage="1" showErrorMessage="1" sqref="E46">
      <formula1>"N.A."</formula1>
    </dataValidation>
    <dataValidation type="list" allowBlank="1" showInputMessage="1" showErrorMessage="1" sqref="E47">
      <formula1>"N.A."</formula1>
    </dataValidation>
    <dataValidation type="list" allowBlank="1" showInputMessage="1" showErrorMessage="1" sqref="E48">
      <formula1>"N.A."</formula1>
    </dataValidation>
    <dataValidation type="list" allowBlank="1" showInputMessage="1" showErrorMessage="1" sqref="E49">
      <formula1>"N.A."</formula1>
    </dataValidation>
    <dataValidation type="list" allowBlank="1" showInputMessage="1" showErrorMessage="1" sqref="E50">
      <formula1>"N.A."</formula1>
    </dataValidation>
    <dataValidation type="list" allowBlank="1" showInputMessage="1" showErrorMessage="1" sqref="E51">
      <formula1>"N.A."</formula1>
    </dataValidation>
    <dataValidation type="list" allowBlank="1" showInputMessage="1" showErrorMessage="1" sqref="E52">
      <formula1>"N.A."</formula1>
    </dataValidation>
    <dataValidation type="list" allowBlank="1" showInputMessage="1" showErrorMessage="1" sqref="E53">
      <formula1>"N.A."</formula1>
    </dataValidation>
    <dataValidation type="list" allowBlank="1" showInputMessage="1" showErrorMessage="1" sqref="E54">
      <formula1>"N.A."</formula1>
    </dataValidation>
    <dataValidation type="list" allowBlank="1" showInputMessage="1" showErrorMessage="1" sqref="E55">
      <formula1>"N.A."</formula1>
    </dataValidation>
    <dataValidation type="list" allowBlank="1" showInputMessage="1" showErrorMessage="1" sqref="E56">
      <formula1>"N.A."</formula1>
    </dataValidation>
    <dataValidation type="list" allowBlank="1" showInputMessage="1" showErrorMessage="1" sqref="E57">
      <formula1>"N.A."</formula1>
    </dataValidation>
    <dataValidation type="list" allowBlank="1" showInputMessage="1" showErrorMessage="1" sqref="E58">
      <formula1>"N.A."</formula1>
    </dataValidation>
    <dataValidation type="list" allowBlank="1" showInputMessage="1" showErrorMessage="1" sqref="E59">
      <formula1>"N.A."</formula1>
    </dataValidation>
    <dataValidation type="list" allowBlank="1" showInputMessage="1" showErrorMessage="1" sqref="E60">
      <formula1>"N.A."</formula1>
    </dataValidation>
    <dataValidation type="list" allowBlank="1" showInputMessage="1" showErrorMessage="1" sqref="E61">
      <formula1>"N.A."</formula1>
    </dataValidation>
    <dataValidation type="list" allowBlank="1" showInputMessage="1" showErrorMessage="1" sqref="E62">
      <formula1>"N.A."</formula1>
    </dataValidation>
    <dataValidation type="list" allowBlank="1" showInputMessage="1" showErrorMessage="1" sqref="E63">
      <formula1>"N.A."</formula1>
    </dataValidation>
    <dataValidation type="list" allowBlank="1" showInputMessage="1" showErrorMessage="1" sqref="E64">
      <formula1>"N.A."</formula1>
    </dataValidation>
    <dataValidation type="list" allowBlank="1" showInputMessage="1" showErrorMessage="1" sqref="E65">
      <formula1>"N.A."</formula1>
    </dataValidation>
    <dataValidation type="list" allowBlank="1" showInputMessage="1" showErrorMessage="1" sqref="E66">
      <formula1>"N.A."</formula1>
    </dataValidation>
    <dataValidation type="list" allowBlank="1" showInputMessage="1" showErrorMessage="1" sqref="E67">
      <formula1>"N.A."</formula1>
    </dataValidation>
    <dataValidation type="list" allowBlank="1" showInputMessage="1" showErrorMessage="1" sqref="E68">
      <formula1>"N.A."</formula1>
    </dataValidation>
    <dataValidation type="list" allowBlank="1" showInputMessage="1" showErrorMessage="1" sqref="E69">
      <formula1>"N.A."</formula1>
    </dataValidation>
    <dataValidation type="list" allowBlank="1" showInputMessage="1" showErrorMessage="1" sqref="E70">
      <formula1>"N.A."</formula1>
    </dataValidation>
    <dataValidation type="list" allowBlank="1" showInputMessage="1" showErrorMessage="1" sqref="E71">
      <formula1>"N.A."</formula1>
    </dataValidation>
    <dataValidation type="list" allowBlank="1" showInputMessage="1" showErrorMessage="1" sqref="E72">
      <formula1>"N.A."</formula1>
    </dataValidation>
    <dataValidation type="list" allowBlank="1" showInputMessage="1" showErrorMessage="1" sqref="E73">
      <formula1>"N.A."</formula1>
    </dataValidation>
    <dataValidation type="list" allowBlank="1" showInputMessage="1" showErrorMessage="1" sqref="E74">
      <formula1>"N.A."</formula1>
    </dataValidation>
    <dataValidation type="list" allowBlank="1" showInputMessage="1" showErrorMessage="1" sqref="E75">
      <formula1>"N.A."</formula1>
    </dataValidation>
    <dataValidation type="list" allowBlank="1" showInputMessage="1" showErrorMessage="1" sqref="E76">
      <formula1>"N.A."</formula1>
    </dataValidation>
    <dataValidation type="list" allowBlank="1" showInputMessage="1" showErrorMessage="1" sqref="E77">
      <formula1>"N.A."</formula1>
    </dataValidation>
    <dataValidation type="list" allowBlank="1" showInputMessage="1" showErrorMessage="1" sqref="E78">
      <formula1>"N.A."</formula1>
    </dataValidation>
    <dataValidation type="list" allowBlank="1" showInputMessage="1" showErrorMessage="1" sqref="E79">
      <formula1>"N.A."</formula1>
    </dataValidation>
    <dataValidation type="list" allowBlank="1" showInputMessage="1" showErrorMessage="1" sqref="E80">
      <formula1>"N.A."</formula1>
    </dataValidation>
    <dataValidation type="list" allowBlank="1" showInputMessage="1" showErrorMessage="1" sqref="E81">
      <formula1>"N.A."</formula1>
    </dataValidation>
    <dataValidation type="list" allowBlank="1" showInputMessage="1" showErrorMessage="1" sqref="E82">
      <formula1>"N.A."</formula1>
    </dataValidation>
    <dataValidation type="list" allowBlank="1" showInputMessage="1" showErrorMessage="1" sqref="E83">
      <formula1>"N.A."</formula1>
    </dataValidation>
    <dataValidation type="list" allowBlank="1" showInputMessage="1" showErrorMessage="1" sqref="E84">
      <formula1>"N.A."</formula1>
    </dataValidation>
    <dataValidation type="list" allowBlank="1" showInputMessage="1" showErrorMessage="1" sqref="E85">
      <formula1>"N.A."</formula1>
    </dataValidation>
    <dataValidation type="list" allowBlank="1" showInputMessage="1" showErrorMessage="1" sqref="E86">
      <formula1>"N.A."</formula1>
    </dataValidation>
    <dataValidation type="list" allowBlank="1" showInputMessage="1" showErrorMessage="1" sqref="E87">
      <formula1>"N.A."</formula1>
    </dataValidation>
    <dataValidation type="list" allowBlank="1" showInputMessage="1" showErrorMessage="1" sqref="E88">
      <formula1>"N.A."</formula1>
    </dataValidation>
    <dataValidation type="list" allowBlank="1" showInputMessage="1" showErrorMessage="1" sqref="E89">
      <formula1>"N.A."</formula1>
    </dataValidation>
    <dataValidation type="list" allowBlank="1" showInputMessage="1" showErrorMessage="1" sqref="E90">
      <formula1>"N.A."</formula1>
    </dataValidation>
    <dataValidation type="list" allowBlank="1" showInputMessage="1" showErrorMessage="1" sqref="E91">
      <formula1>"N.A."</formula1>
    </dataValidation>
    <dataValidation type="list" allowBlank="1" showInputMessage="1" showErrorMessage="1" sqref="E92">
      <formula1>"N.A."</formula1>
    </dataValidation>
    <dataValidation type="list" allowBlank="1" showInputMessage="1" showErrorMessage="1" sqref="E93">
      <formula1>"N.A."</formula1>
    </dataValidation>
    <dataValidation type="list" allowBlank="1" showInputMessage="1" showErrorMessage="1" sqref="E94">
      <formula1>"N.A."</formula1>
    </dataValidation>
    <dataValidation type="list" allowBlank="1" showInputMessage="1" showErrorMessage="1" sqref="E95">
      <formula1>"N.A."</formula1>
    </dataValidation>
    <dataValidation type="list" allowBlank="1" showInputMessage="1" showErrorMessage="1" sqref="E96">
      <formula1>"N.A."</formula1>
    </dataValidation>
    <dataValidation type="list" allowBlank="1" showInputMessage="1" showErrorMessage="1" sqref="E97">
      <formula1>"N.A."</formula1>
    </dataValidation>
    <dataValidation type="list" allowBlank="1" showInputMessage="1" showErrorMessage="1" sqref="E98">
      <formula1>"N.A."</formula1>
    </dataValidation>
    <dataValidation type="list" allowBlank="1" showInputMessage="1" showErrorMessage="1" sqref="E99">
      <formula1>"N.A."</formula1>
    </dataValidation>
    <dataValidation type="list" allowBlank="1" showInputMessage="1" showErrorMessage="1" sqref="E100">
      <formula1>"N.A."</formula1>
    </dataValidation>
    <dataValidation type="list" allowBlank="1" showInputMessage="1" showErrorMessage="1" sqref="E101">
      <formula1>"N.A."</formula1>
    </dataValidation>
    <dataValidation type="list" allowBlank="1" showInputMessage="1" showErrorMessage="1" sqref="E102">
      <formula1>"N.A."</formula1>
    </dataValidation>
    <dataValidation type="list" allowBlank="1" showInputMessage="1" showErrorMessage="1" sqref="E103">
      <formula1>"N.A."</formula1>
    </dataValidation>
    <dataValidation type="list" allowBlank="1" showInputMessage="1" showErrorMessage="1" sqref="E104">
      <formula1>"N.A."</formula1>
    </dataValidation>
    <dataValidation type="list" allowBlank="1" showInputMessage="1" showErrorMessage="1" sqref="E105">
      <formula1>"N.A."</formula1>
    </dataValidation>
    <dataValidation type="list" allowBlank="1" showInputMessage="1" showErrorMessage="1" sqref="E106">
      <formula1>"N.A."</formula1>
    </dataValidation>
    <dataValidation type="list" allowBlank="1" showInputMessage="1" showErrorMessage="1" sqref="E107">
      <formula1>"N.A."</formula1>
    </dataValidation>
    <dataValidation type="list" allowBlank="1" showInputMessage="1" showErrorMessage="1" sqref="E108">
      <formula1>"N.A."</formula1>
    </dataValidation>
    <dataValidation type="list" allowBlank="1" showInputMessage="1" showErrorMessage="1" sqref="E109">
      <formula1>"N.A."</formula1>
    </dataValidation>
    <dataValidation type="list" allowBlank="1" showInputMessage="1" showErrorMessage="1" sqref="E110">
      <formula1>"N.A."</formula1>
    </dataValidation>
    <dataValidation type="list" allowBlank="1" showInputMessage="1" showErrorMessage="1" sqref="E111">
      <formula1>"N.A."</formula1>
    </dataValidation>
    <dataValidation type="list" allowBlank="1" showInputMessage="1" showErrorMessage="1" sqref="E112">
      <formula1>"N.A."</formula1>
    </dataValidation>
    <dataValidation type="list" allowBlank="1" showInputMessage="1" showErrorMessage="1" sqref="E113">
      <formula1>"N.A."</formula1>
    </dataValidation>
    <dataValidation type="list" allowBlank="1" showInputMessage="1" showErrorMessage="1" sqref="E114">
      <formula1>"N.A."</formula1>
    </dataValidation>
    <dataValidation type="list" allowBlank="1" showInputMessage="1" showErrorMessage="1" sqref="E115">
      <formula1>"N.A."</formula1>
    </dataValidation>
    <dataValidation type="list" allowBlank="1" showInputMessage="1" showErrorMessage="1" sqref="E116">
      <formula1>"N.A."</formula1>
    </dataValidation>
    <dataValidation type="list" allowBlank="1" showInputMessage="1" showErrorMessage="1" sqref="E117">
      <formula1>"N.A."</formula1>
    </dataValidation>
    <dataValidation type="list" allowBlank="1" showInputMessage="1" showErrorMessage="1" sqref="E118">
      <formula1>"N.A."</formula1>
    </dataValidation>
    <dataValidation type="list" allowBlank="1" showInputMessage="1" showErrorMessage="1" sqref="E119">
      <formula1>"N.A."</formula1>
    </dataValidation>
    <dataValidation type="list" allowBlank="1" showInputMessage="1" showErrorMessage="1" sqref="E120">
      <formula1>"N.A."</formula1>
    </dataValidation>
    <dataValidation type="list" allowBlank="1" showInputMessage="1" showErrorMessage="1" sqref="E121">
      <formula1>"N.A."</formula1>
    </dataValidation>
    <dataValidation type="list" allowBlank="1" showInputMessage="1" showErrorMessage="1" sqref="E122">
      <formula1>"N.A."</formula1>
    </dataValidation>
    <dataValidation type="list" allowBlank="1" showInputMessage="1" showErrorMessage="1" sqref="E123">
      <formula1>"N.A."</formula1>
    </dataValidation>
    <dataValidation type="list" allowBlank="1" showInputMessage="1" showErrorMessage="1" sqref="E124">
      <formula1>"N.A."</formula1>
    </dataValidation>
    <dataValidation type="list" allowBlank="1" showInputMessage="1" showErrorMessage="1" sqref="E125">
      <formula1>"N.A."</formula1>
    </dataValidation>
    <dataValidation type="list" allowBlank="1" showInputMessage="1" showErrorMessage="1" sqref="E126">
      <formula1>"N.A."</formula1>
    </dataValidation>
    <dataValidation type="list" allowBlank="1" showInputMessage="1" showErrorMessage="1" sqref="E127">
      <formula1>"N.A."</formula1>
    </dataValidation>
    <dataValidation type="list" allowBlank="1" showInputMessage="1" showErrorMessage="1" sqref="E128">
      <formula1>"N.A."</formula1>
    </dataValidation>
    <dataValidation type="list" allowBlank="1" showInputMessage="1" showErrorMessage="1" sqref="E129">
      <formula1>"N.A."</formula1>
    </dataValidation>
    <dataValidation type="list" allowBlank="1" showInputMessage="1" showErrorMessage="1" sqref="E130">
      <formula1>"N.A."</formula1>
    </dataValidation>
    <dataValidation type="list" allowBlank="1" showInputMessage="1" showErrorMessage="1" sqref="E131">
      <formula1>"N.A."</formula1>
    </dataValidation>
    <dataValidation type="list" allowBlank="1" showInputMessage="1" showErrorMessage="1" sqref="E132">
      <formula1>"N.A."</formula1>
    </dataValidation>
    <dataValidation type="list" allowBlank="1" showInputMessage="1" showErrorMessage="1" sqref="E133">
      <formula1>"N.A."</formula1>
    </dataValidation>
    <dataValidation type="list" allowBlank="1" showInputMessage="1" showErrorMessage="1" sqref="E134">
      <formula1>"N.A."</formula1>
    </dataValidation>
    <dataValidation type="list" allowBlank="1" showInputMessage="1" showErrorMessage="1" sqref="E135">
      <formula1>"N.A."</formula1>
    </dataValidation>
    <dataValidation type="list" allowBlank="1" showInputMessage="1" showErrorMessage="1" sqref="E136">
      <formula1>"N.A."</formula1>
    </dataValidation>
    <dataValidation type="list" allowBlank="1" showInputMessage="1" showErrorMessage="1" sqref="E137">
      <formula1>"N.A."</formula1>
    </dataValidation>
    <dataValidation type="list" allowBlank="1" showInputMessage="1" showErrorMessage="1" sqref="E138">
      <formula1>"N.A."</formula1>
    </dataValidation>
    <dataValidation type="list" allowBlank="1" showInputMessage="1" showErrorMessage="1" sqref="E139">
      <formula1>"N.A."</formula1>
    </dataValidation>
    <dataValidation type="list" allowBlank="1" showInputMessage="1" showErrorMessage="1" sqref="E140">
      <formula1>"N.A."</formula1>
    </dataValidation>
    <dataValidation type="list" allowBlank="1" showInputMessage="1" showErrorMessage="1" sqref="E141">
      <formula1>"N.A."</formula1>
    </dataValidation>
    <dataValidation type="list" allowBlank="1" showInputMessage="1" showErrorMessage="1" sqref="E142">
      <formula1>"N.A."</formula1>
    </dataValidation>
    <dataValidation type="list" allowBlank="1" showInputMessage="1" showErrorMessage="1" sqref="E143">
      <formula1>"N.A."</formula1>
    </dataValidation>
    <dataValidation type="list" allowBlank="1" showInputMessage="1" showErrorMessage="1" sqref="E144">
      <formula1>"N.A."</formula1>
    </dataValidation>
    <dataValidation type="list" allowBlank="1" showInputMessage="1" showErrorMessage="1" sqref="E145">
      <formula1>"N.A."</formula1>
    </dataValidation>
    <dataValidation type="list" allowBlank="1" showInputMessage="1" showErrorMessage="1" sqref="E146">
      <formula1>"N.A."</formula1>
    </dataValidation>
    <dataValidation type="list" allowBlank="1" showInputMessage="1" showErrorMessage="1" sqref="E147">
      <formula1>"N.A."</formula1>
    </dataValidation>
    <dataValidation type="list" allowBlank="1" showInputMessage="1" showErrorMessage="1" sqref="E148">
      <formula1>"N.A."</formula1>
    </dataValidation>
    <dataValidation type="list" allowBlank="1" showInputMessage="1" showErrorMessage="1" sqref="E149">
      <formula1>"N.A."</formula1>
    </dataValidation>
    <dataValidation type="list" allowBlank="1" showInputMessage="1" showErrorMessage="1" sqref="E150">
      <formula1>"N.A."</formula1>
    </dataValidation>
    <dataValidation type="list" allowBlank="1" showInputMessage="1" showErrorMessage="1" sqref="E151">
      <formula1>"N.A."</formula1>
    </dataValidation>
    <dataValidation type="list" allowBlank="1" showInputMessage="1" showErrorMessage="1" sqref="E152">
      <formula1>"N.A."</formula1>
    </dataValidation>
    <dataValidation type="list" allowBlank="1" showInputMessage="1" showErrorMessage="1" sqref="E153">
      <formula1>"N.A."</formula1>
    </dataValidation>
    <dataValidation type="list" allowBlank="1" showInputMessage="1" showErrorMessage="1" sqref="E154">
      <formula1>"N.A."</formula1>
    </dataValidation>
    <dataValidation type="list" allowBlank="1" showInputMessage="1" showErrorMessage="1" sqref="E155">
      <formula1>"N.A."</formula1>
    </dataValidation>
    <dataValidation type="list" allowBlank="1" showInputMessage="1" showErrorMessage="1" sqref="E156">
      <formula1>"N.A."</formula1>
    </dataValidation>
    <dataValidation type="list" allowBlank="1" showInputMessage="1" showErrorMessage="1" sqref="E157">
      <formula1>"N.A."</formula1>
    </dataValidation>
    <dataValidation type="list" allowBlank="1" showInputMessage="1" showErrorMessage="1" sqref="E158">
      <formula1>"N.A."</formula1>
    </dataValidation>
    <dataValidation type="list" allowBlank="1" showInputMessage="1" showErrorMessage="1" sqref="E159">
      <formula1>"N.A."</formula1>
    </dataValidation>
    <dataValidation type="list" allowBlank="1" showInputMessage="1" showErrorMessage="1" sqref="E160">
      <formula1>"N.A."</formula1>
    </dataValidation>
    <dataValidation type="list" allowBlank="1" showInputMessage="1" showErrorMessage="1" sqref="E161">
      <formula1>"N.A."</formula1>
    </dataValidation>
    <dataValidation type="list" allowBlank="1" showInputMessage="1" showErrorMessage="1" sqref="E162">
      <formula1>"N.A."</formula1>
    </dataValidation>
  </dataValidations>
  <hyperlinks>
    <hyperlink ref="B5" location="Interactions!B19" display="Y"/>
    <hyperlink ref="C5" location="Interactions!B20" display="Y"/>
    <hyperlink ref="D5" location="Interactions!B21" display="N"/>
    <hyperlink ref="E5" location="Interactions!B22" display="N"/>
    <hyperlink ref="F5" location="Interactions!B23" display="N"/>
    <hyperlink ref="G5" location="Interactions!B24" display="N"/>
    <hyperlink ref="H5" location="Interactions!B25" display="N"/>
    <hyperlink ref="I5" location="Interactions!B26" display="N"/>
    <hyperlink ref="J5" location="Interactions!B27" display="N"/>
    <hyperlink ref="K5" location="Interactions!B28" display="N"/>
    <hyperlink ref="L5" location="Interactions!B29" display="N"/>
    <hyperlink ref="M5" location="Interactions!B30" display="N"/>
    <hyperlink ref="B6" location="Interactions!B31" display="Y"/>
    <hyperlink ref="C6" location="Interactions!B32" display="Y"/>
    <hyperlink ref="D6" location="Interactions!B33" display="N"/>
    <hyperlink ref="E6" location="Interactions!B34" display="N"/>
    <hyperlink ref="F6" location="Interactions!B35" display="N"/>
    <hyperlink ref="G6" location="Interactions!B36" display="N"/>
    <hyperlink ref="H6" location="Interactions!B37" display="N"/>
    <hyperlink ref="I6" location="Interactions!B38" display="N"/>
    <hyperlink ref="J6" location="Interactions!B39" display="N"/>
    <hyperlink ref="K6" location="Interactions!B40" display="N"/>
    <hyperlink ref="L6" location="Interactions!B41" display="N"/>
    <hyperlink ref="M6" location="Interactions!B42" display="N"/>
    <hyperlink ref="B7" location="Interactions!B43" display="N"/>
    <hyperlink ref="C7" location="Interactions!B44" display="N"/>
    <hyperlink ref="D7" location="Interactions!B45" display="N"/>
    <hyperlink ref="E7" location="Interactions!B46" display="N"/>
    <hyperlink ref="F7" location="Interactions!B47" display="N"/>
    <hyperlink ref="G7" location="Interactions!B48" display="N"/>
    <hyperlink ref="H7" location="Interactions!B49" display="N"/>
    <hyperlink ref="I7" location="Interactions!B50" display="N"/>
    <hyperlink ref="J7" location="Interactions!B51" display="N"/>
    <hyperlink ref="K7" location="Interactions!B52" display="N"/>
    <hyperlink ref="L7" location="Interactions!B53" display="N"/>
    <hyperlink ref="M7" location="Interactions!B54" display="N"/>
    <hyperlink ref="B8" location="Interactions!B55" display="N"/>
    <hyperlink ref="C8" location="Interactions!B56" display="N"/>
    <hyperlink ref="D8" location="Interactions!B57" display="N"/>
    <hyperlink ref="E8" location="Interactions!B58" display="N"/>
    <hyperlink ref="F8" location="Interactions!B59" display="N"/>
    <hyperlink ref="G8" location="Interactions!B60" display="N"/>
    <hyperlink ref="H8" location="Interactions!B61" display="N"/>
    <hyperlink ref="I8" location="Interactions!B62" display="N"/>
    <hyperlink ref="J8" location="Interactions!B63" display="N"/>
    <hyperlink ref="K8" location="Interactions!B64" display="N"/>
    <hyperlink ref="L8" location="Interactions!B65" display="N"/>
    <hyperlink ref="M8" location="Interactions!B66" display="N"/>
    <hyperlink ref="B9" location="Interactions!B67" display="N"/>
    <hyperlink ref="C9" location="Interactions!B68" display="N"/>
    <hyperlink ref="D9" location="Interactions!B69" display="N"/>
    <hyperlink ref="E9" location="Interactions!B70" display="N"/>
    <hyperlink ref="F9" location="Interactions!B71" display="N"/>
    <hyperlink ref="G9" location="Interactions!B72" display="N"/>
    <hyperlink ref="H9" location="Interactions!B73" display="N"/>
    <hyperlink ref="I9" location="Interactions!B74" display="N"/>
    <hyperlink ref="J9" location="Interactions!B75" display="N"/>
    <hyperlink ref="K9" location="Interactions!B76" display="N"/>
    <hyperlink ref="L9" location="Interactions!B77" display="N"/>
    <hyperlink ref="M9" location="Interactions!B78" display="N"/>
    <hyperlink ref="B10" location="Interactions!B79" display="N"/>
    <hyperlink ref="C10" location="Interactions!B80" display="N"/>
    <hyperlink ref="D10" location="Interactions!B81" display="N"/>
    <hyperlink ref="E10" location="Interactions!B82" display="N"/>
    <hyperlink ref="F10" location="Interactions!B83" display="N"/>
    <hyperlink ref="G10" location="Interactions!B84" display="N"/>
    <hyperlink ref="H10" location="Interactions!B85" display="N"/>
    <hyperlink ref="I10" location="Interactions!B86" display="N"/>
    <hyperlink ref="J10" location="Interactions!B87" display="N"/>
    <hyperlink ref="K10" location="Interactions!B88" display="N"/>
    <hyperlink ref="L10" location="Interactions!B89" display="N"/>
    <hyperlink ref="M10" location="Interactions!B90" display="N"/>
    <hyperlink ref="B11" location="Interactions!B91" display="N"/>
    <hyperlink ref="C11" location="Interactions!B92" display="N"/>
    <hyperlink ref="D11" location="Interactions!B93" display="N"/>
    <hyperlink ref="E11" location="Interactions!B94" display="N"/>
    <hyperlink ref="F11" location="Interactions!B95" display="N"/>
    <hyperlink ref="G11" location="Interactions!B96" display="N"/>
    <hyperlink ref="H11" location="Interactions!B97" display="N"/>
    <hyperlink ref="I11" location="Interactions!B98" display="N"/>
    <hyperlink ref="J11" location="Interactions!B99" display="N"/>
    <hyperlink ref="K11" location="Interactions!B100" display="N"/>
    <hyperlink ref="L11" location="Interactions!B101" display="N"/>
    <hyperlink ref="M11" location="Interactions!B102" display="N"/>
    <hyperlink ref="B12" location="Interactions!B103" display="N"/>
    <hyperlink ref="C12" location="Interactions!B104" display="N"/>
    <hyperlink ref="D12" location="Interactions!B105" display="N"/>
    <hyperlink ref="E12" location="Interactions!B106" display="N"/>
    <hyperlink ref="F12" location="Interactions!B107" display="N"/>
    <hyperlink ref="G12" location="Interactions!B108" display="N"/>
    <hyperlink ref="H12" location="Interactions!B109" display="N"/>
    <hyperlink ref="I12" location="Interactions!B110" display="N"/>
    <hyperlink ref="J12" location="Interactions!B111" display="N"/>
    <hyperlink ref="K12" location="Interactions!B112" display="N"/>
    <hyperlink ref="L12" location="Interactions!B113" display="N"/>
    <hyperlink ref="M12" location="Interactions!B114" display="N"/>
    <hyperlink ref="B13" location="Interactions!B115" display="N"/>
    <hyperlink ref="C13" location="Interactions!B116" display="N"/>
    <hyperlink ref="D13" location="Interactions!B117" display="N"/>
    <hyperlink ref="E13" location="Interactions!B118" display="N"/>
    <hyperlink ref="F13" location="Interactions!B119" display="N"/>
    <hyperlink ref="G13" location="Interactions!B120" display="N"/>
    <hyperlink ref="H13" location="Interactions!B121" display="N"/>
    <hyperlink ref="I13" location="Interactions!B122" display="N"/>
    <hyperlink ref="J13" location="Interactions!B123" display="N"/>
    <hyperlink ref="K13" location="Interactions!B124" display="N"/>
    <hyperlink ref="L13" location="Interactions!B125" display="N"/>
    <hyperlink ref="M13" location="Interactions!B126" display="N"/>
    <hyperlink ref="B14" location="Interactions!B127" display="N"/>
    <hyperlink ref="C14" location="Interactions!B128" display="N"/>
    <hyperlink ref="D14" location="Interactions!B129" display="N"/>
    <hyperlink ref="E14" location="Interactions!B130" display="N"/>
    <hyperlink ref="F14" location="Interactions!B131" display="N"/>
    <hyperlink ref="G14" location="Interactions!B132" display="N"/>
    <hyperlink ref="H14" location="Interactions!B133" display="N"/>
    <hyperlink ref="I14" location="Interactions!B134" display="N"/>
    <hyperlink ref="J14" location="Interactions!B135" display="N"/>
    <hyperlink ref="K14" location="Interactions!B136" display="N"/>
    <hyperlink ref="L14" location="Interactions!B137" display="N"/>
    <hyperlink ref="M14" location="Interactions!B138" display="N"/>
    <hyperlink ref="B15" location="Interactions!B139" display="N"/>
    <hyperlink ref="C15" location="Interactions!B140" display="N"/>
    <hyperlink ref="D15" location="Interactions!B141" display="N"/>
    <hyperlink ref="E15" location="Interactions!B142" display="N"/>
    <hyperlink ref="F15" location="Interactions!B143" display="N"/>
    <hyperlink ref="G15" location="Interactions!B144" display="N"/>
    <hyperlink ref="H15" location="Interactions!B145" display="N"/>
    <hyperlink ref="I15" location="Interactions!B146" display="N"/>
    <hyperlink ref="J15" location="Interactions!B147" display="N"/>
    <hyperlink ref="K15" location="Interactions!B148" display="N"/>
    <hyperlink ref="L15" location="Interactions!B149" display="Y"/>
    <hyperlink ref="M15" location="Interactions!B150" display="N"/>
    <hyperlink ref="B16" location="Interactions!B151" display="N"/>
    <hyperlink ref="C16" location="Interactions!B152" display="N"/>
    <hyperlink ref="D16" location="Interactions!B153" display="N"/>
    <hyperlink ref="E16" location="Interactions!B154" display="N"/>
    <hyperlink ref="F16" location="Interactions!B155" display="N"/>
    <hyperlink ref="G16" location="Interactions!B156" display="N"/>
    <hyperlink ref="H16" location="Interactions!B157" display="N"/>
    <hyperlink ref="I16" location="Interactions!B158" display="N"/>
    <hyperlink ref="J16" location="Interactions!B159" display="N"/>
    <hyperlink ref="K16" location="Interactions!B160" display="N"/>
    <hyperlink ref="L16" location="Interactions!B161" display="N"/>
    <hyperlink ref="M16" location="Interactions!B162" display="Y"/>
    <hyperlink ref="B19" location="Interactions!$B$5" display="Interactions!$B$5"/>
    <hyperlink ref="B20" location="Interactions!$C$5" display="Interactions!$C$5"/>
    <hyperlink ref="B21" location="Interactions!$D$5" display="Interactions!$D$5"/>
    <hyperlink ref="B22" location="Interactions!$E$5" display="Interactions!$E$5"/>
    <hyperlink ref="B23" location="Interactions!$F$5" display="Interactions!$F$5"/>
    <hyperlink ref="B24" location="Interactions!$G$5" display="Interactions!$G$5"/>
    <hyperlink ref="B25" location="Interactions!$H$5" display="Interactions!$H$5"/>
    <hyperlink ref="B26" location="Interactions!$I$5" display="Interactions!$I$5"/>
    <hyperlink ref="B27" location="Interactions!$J$5" display="Interactions!$J$5"/>
    <hyperlink ref="B28" location="Interactions!$K$5" display="Interactions!$K$5"/>
    <hyperlink ref="B29" location="Interactions!$L$5" display="Interactions!$L$5"/>
    <hyperlink ref="B30" location="Interactions!$M$5" display="Interactions!$M$5"/>
    <hyperlink ref="B31" location="Interactions!$B$6" display="Interactions!$B$6"/>
    <hyperlink ref="B32" location="Interactions!$C$6" display="Interactions!$C$6"/>
    <hyperlink ref="B33" location="Interactions!$D$6" display="Interactions!$D$6"/>
    <hyperlink ref="B34" location="Interactions!$E$6" display="Interactions!$E$6"/>
    <hyperlink ref="B35" location="Interactions!$F$6" display="Interactions!$F$6"/>
    <hyperlink ref="B36" location="Interactions!$G$6" display="Interactions!$G$6"/>
    <hyperlink ref="B37" location="Interactions!$H$6" display="Interactions!$H$6"/>
    <hyperlink ref="B38" location="Interactions!$I$6" display="Interactions!$I$6"/>
    <hyperlink ref="B39" location="Interactions!$J$6" display="Interactions!$J$6"/>
    <hyperlink ref="B40" location="Interactions!$K$6" display="Interactions!$K$6"/>
    <hyperlink ref="B41" location="Interactions!$L$6" display="Interactions!$L$6"/>
    <hyperlink ref="B42" location="Interactions!$M$6" display="Interactions!$M$6"/>
    <hyperlink ref="B43" location="Interactions!$B$7" display="Interactions!$B$7"/>
    <hyperlink ref="B44" location="Interactions!$C$7" display="Interactions!$C$7"/>
    <hyperlink ref="B45" location="Interactions!$D$7" display="Interactions!$D$7"/>
    <hyperlink ref="B46" location="Interactions!$E$7" display="Interactions!$E$7"/>
    <hyperlink ref="B47" location="Interactions!$F$7" display="Interactions!$F$7"/>
    <hyperlink ref="B48" location="Interactions!$G$7" display="Interactions!$G$7"/>
    <hyperlink ref="B49" location="Interactions!$H$7" display="Interactions!$H$7"/>
    <hyperlink ref="B50" location="Interactions!$I$7" display="Interactions!$I$7"/>
    <hyperlink ref="B51" location="Interactions!$J$7" display="Interactions!$J$7"/>
    <hyperlink ref="B52" location="Interactions!$K$7" display="Interactions!$K$7"/>
    <hyperlink ref="B53" location="Interactions!$L$7" display="Interactions!$L$7"/>
    <hyperlink ref="B54" location="Interactions!$M$7" display="Interactions!$M$7"/>
    <hyperlink ref="B55" location="Interactions!$B$8" display="Interactions!$B$8"/>
    <hyperlink ref="B56" location="Interactions!$C$8" display="Interactions!$C$8"/>
    <hyperlink ref="B57" location="Interactions!$D$8" display="Interactions!$D$8"/>
    <hyperlink ref="B58" location="Interactions!$E$8" display="Interactions!$E$8"/>
    <hyperlink ref="B59" location="Interactions!$F$8" display="Interactions!$F$8"/>
    <hyperlink ref="B60" location="Interactions!$G$8" display="Interactions!$G$8"/>
    <hyperlink ref="B61" location="Interactions!$H$8" display="Interactions!$H$8"/>
    <hyperlink ref="B62" location="Interactions!$I$8" display="Interactions!$I$8"/>
    <hyperlink ref="B63" location="Interactions!$J$8" display="Interactions!$J$8"/>
    <hyperlink ref="B64" location="Interactions!$K$8" display="Interactions!$K$8"/>
    <hyperlink ref="B65" location="Interactions!$L$8" display="Interactions!$L$8"/>
    <hyperlink ref="B66" location="Interactions!$M$8" display="Interactions!$M$8"/>
    <hyperlink ref="B67" location="Interactions!$B$9" display="Interactions!$B$9"/>
    <hyperlink ref="B68" location="Interactions!$C$9" display="Interactions!$C$9"/>
    <hyperlink ref="B69" location="Interactions!$D$9" display="Interactions!$D$9"/>
    <hyperlink ref="B70" location="Interactions!$E$9" display="Interactions!$E$9"/>
    <hyperlink ref="B71" location="Interactions!$F$9" display="Interactions!$F$9"/>
    <hyperlink ref="B72" location="Interactions!$G$9" display="Interactions!$G$9"/>
    <hyperlink ref="B73" location="Interactions!$H$9" display="Interactions!$H$9"/>
    <hyperlink ref="B74" location="Interactions!$I$9" display="Interactions!$I$9"/>
    <hyperlink ref="B75" location="Interactions!$J$9" display="Interactions!$J$9"/>
    <hyperlink ref="B76" location="Interactions!$K$9" display="Interactions!$K$9"/>
    <hyperlink ref="B77" location="Interactions!$L$9" display="Interactions!$L$9"/>
    <hyperlink ref="B78" location="Interactions!$M$9" display="Interactions!$M$9"/>
    <hyperlink ref="B79" location="Interactions!$B$10" display="Interactions!$B$10"/>
    <hyperlink ref="B80" location="Interactions!$C$10" display="Interactions!$C$10"/>
    <hyperlink ref="B81" location="Interactions!$D$10" display="Interactions!$D$10"/>
    <hyperlink ref="B82" location="Interactions!$E$10" display="Interactions!$E$10"/>
    <hyperlink ref="B83" location="Interactions!$F$10" display="Interactions!$F$10"/>
    <hyperlink ref="B84" location="Interactions!$G$10" display="Interactions!$G$10"/>
    <hyperlink ref="B85" location="Interactions!$H$10" display="Interactions!$H$10"/>
    <hyperlink ref="B86" location="Interactions!$I$10" display="Interactions!$I$10"/>
    <hyperlink ref="B87" location="Interactions!$J$10" display="Interactions!$J$10"/>
    <hyperlink ref="B88" location="Interactions!$K$10" display="Interactions!$K$10"/>
    <hyperlink ref="B89" location="Interactions!$L$10" display="Interactions!$L$10"/>
    <hyperlink ref="B90" location="Interactions!$M$10" display="Interactions!$M$10"/>
    <hyperlink ref="B91" location="Interactions!$B$11" display="Interactions!$B$11"/>
    <hyperlink ref="B92" location="Interactions!$C$11" display="Interactions!$C$11"/>
    <hyperlink ref="B93" location="Interactions!$D$11" display="Interactions!$D$11"/>
    <hyperlink ref="B94" location="Interactions!$E$11" display="Interactions!$E$11"/>
    <hyperlink ref="B95" location="Interactions!$F$11" display="Interactions!$F$11"/>
    <hyperlink ref="B96" location="Interactions!$G$11" display="Interactions!$G$11"/>
    <hyperlink ref="B97" location="Interactions!$H$11" display="Interactions!$H$11"/>
    <hyperlink ref="B98" location="Interactions!$I$11" display="Interactions!$I$11"/>
    <hyperlink ref="B99" location="Interactions!$J$11" display="Interactions!$J$11"/>
    <hyperlink ref="B100" location="Interactions!$K$11" display="Interactions!$K$11"/>
    <hyperlink ref="B101" location="Interactions!$L$11" display="Interactions!$L$11"/>
    <hyperlink ref="B102" location="Interactions!$M$11" display="Interactions!$M$11"/>
    <hyperlink ref="B103" location="Interactions!$B$12" display="Interactions!$B$12"/>
    <hyperlink ref="B104" location="Interactions!$C$12" display="Interactions!$C$12"/>
    <hyperlink ref="B105" location="Interactions!$D$12" display="Interactions!$D$12"/>
    <hyperlink ref="B106" location="Interactions!$E$12" display="Interactions!$E$12"/>
    <hyperlink ref="B107" location="Interactions!$F$12" display="Interactions!$F$12"/>
    <hyperlink ref="B108" location="Interactions!$G$12" display="Interactions!$G$12"/>
    <hyperlink ref="B109" location="Interactions!$H$12" display="Interactions!$H$12"/>
    <hyperlink ref="B110" location="Interactions!$I$12" display="Interactions!$I$12"/>
    <hyperlink ref="B111" location="Interactions!$J$12" display="Interactions!$J$12"/>
    <hyperlink ref="B112" location="Interactions!$K$12" display="Interactions!$K$12"/>
    <hyperlink ref="B113" location="Interactions!$L$12" display="Interactions!$L$12"/>
    <hyperlink ref="B114" location="Interactions!$M$12" display="Interactions!$M$12"/>
    <hyperlink ref="B115" location="Interactions!$B$13" display="Interactions!$B$13"/>
    <hyperlink ref="B116" location="Interactions!$C$13" display="Interactions!$C$13"/>
    <hyperlink ref="B117" location="Interactions!$D$13" display="Interactions!$D$13"/>
    <hyperlink ref="B118" location="Interactions!$E$13" display="Interactions!$E$13"/>
    <hyperlink ref="B119" location="Interactions!$F$13" display="Interactions!$F$13"/>
    <hyperlink ref="B120" location="Interactions!$G$13" display="Interactions!$G$13"/>
    <hyperlink ref="B121" location="Interactions!$H$13" display="Interactions!$H$13"/>
    <hyperlink ref="B122" location="Interactions!$I$13" display="Interactions!$I$13"/>
    <hyperlink ref="B123" location="Interactions!$J$13" display="Interactions!$J$13"/>
    <hyperlink ref="B124" location="Interactions!$K$13" display="Interactions!$K$13"/>
    <hyperlink ref="B125" location="Interactions!$L$13" display="Interactions!$L$13"/>
    <hyperlink ref="B126" location="Interactions!$M$13" display="Interactions!$M$13"/>
    <hyperlink ref="B127" location="Interactions!$B$14" display="Interactions!$B$14"/>
    <hyperlink ref="B128" location="Interactions!$C$14" display="Interactions!$C$14"/>
    <hyperlink ref="B129" location="Interactions!$D$14" display="Interactions!$D$14"/>
    <hyperlink ref="B130" location="Interactions!$E$14" display="Interactions!$E$14"/>
    <hyperlink ref="B131" location="Interactions!$F$14" display="Interactions!$F$14"/>
    <hyperlink ref="B132" location="Interactions!$G$14" display="Interactions!$G$14"/>
    <hyperlink ref="B133" location="Interactions!$H$14" display="Interactions!$H$14"/>
    <hyperlink ref="B134" location="Interactions!$I$14" display="Interactions!$I$14"/>
    <hyperlink ref="B135" location="Interactions!$J$14" display="Interactions!$J$14"/>
    <hyperlink ref="B136" location="Interactions!$K$14" display="Interactions!$K$14"/>
    <hyperlink ref="B137" location="Interactions!$L$14" display="Interactions!$L$14"/>
    <hyperlink ref="B138" location="Interactions!$M$14" display="Interactions!$M$14"/>
    <hyperlink ref="B139" location="Interactions!$B$15" display="Interactions!$B$15"/>
    <hyperlink ref="B140" location="Interactions!$C$15" display="Interactions!$C$15"/>
    <hyperlink ref="B141" location="Interactions!$D$15" display="Interactions!$D$15"/>
    <hyperlink ref="B142" location="Interactions!$E$15" display="Interactions!$E$15"/>
    <hyperlink ref="B143" location="Interactions!$F$15" display="Interactions!$F$15"/>
    <hyperlink ref="B144" location="Interactions!$G$15" display="Interactions!$G$15"/>
    <hyperlink ref="B145" location="Interactions!$H$15" display="Interactions!$H$15"/>
    <hyperlink ref="B146" location="Interactions!$I$15" display="Interactions!$I$15"/>
    <hyperlink ref="B147" location="Interactions!$J$15" display="Interactions!$J$15"/>
    <hyperlink ref="B148" location="Interactions!$K$15" display="Interactions!$K$15"/>
    <hyperlink ref="B149" location="Interactions!$L$15" display="Interactions!$L$15"/>
    <hyperlink ref="B150" location="Interactions!$M$15" display="Interactions!$M$15"/>
    <hyperlink ref="B151" location="Interactions!$B$16" display="Interactions!$B$16"/>
    <hyperlink ref="B152" location="Interactions!$C$16" display="Interactions!$C$16"/>
    <hyperlink ref="B153" location="Interactions!$D$16" display="Interactions!$D$16"/>
    <hyperlink ref="B154" location="Interactions!$E$16" display="Interactions!$E$16"/>
    <hyperlink ref="B155" location="Interactions!$F$16" display="Interactions!$F$16"/>
    <hyperlink ref="B156" location="Interactions!$G$16" display="Interactions!$G$16"/>
    <hyperlink ref="B157" location="Interactions!$H$16" display="Interactions!$H$16"/>
    <hyperlink ref="B158" location="Interactions!$I$16" display="Interactions!$I$16"/>
    <hyperlink ref="B159" location="Interactions!$J$16" display="Interactions!$J$16"/>
    <hyperlink ref="B160" location="Interactions!$K$16" display="Interactions!$K$16"/>
    <hyperlink ref="B161" location="Interactions!$L$16" display="Interactions!$L$16"/>
    <hyperlink ref="B162" location="Interactions!$M$16" display="Interactions!$M$16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808080"/>
  </sheetPr>
  <dimension ref="A1:BG488"/>
  <sheetViews>
    <sheetView workbookViewId="0"/>
  </sheetViews>
  <sheetFormatPr defaultRowHeight="15"/>
  <cols>
    <col min="1" max="1" width="20.42578125" customWidth="1"/>
    <col min="2" max="2" width="44.5703125" customWidth="1"/>
    <col min="3" max="3" width="23.7109375" customWidth="1"/>
    <col min="4" max="4" width="21.5703125" customWidth="1"/>
    <col min="5" max="5" width="18.28515625" customWidth="1"/>
    <col min="6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373</v>
      </c>
      <c r="B2" t="s">
        <v>374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4" t="s">
        <v>56</v>
      </c>
      <c r="C5" s="5" t="s">
        <v>226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226</v>
      </c>
      <c r="C6" s="4" t="s">
        <v>56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4" t="s">
        <v>56</v>
      </c>
      <c r="E7" s="5" t="s">
        <v>226</v>
      </c>
      <c r="F7" s="5" t="s">
        <v>225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4" t="s">
        <v>56</v>
      </c>
      <c r="F8" s="5" t="s">
        <v>226</v>
      </c>
      <c r="G8" s="5" t="s">
        <v>225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4" t="s">
        <v>56</v>
      </c>
      <c r="G9" s="5" t="s">
        <v>226</v>
      </c>
      <c r="H9" s="5" t="s">
        <v>225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4" t="s">
        <v>56</v>
      </c>
      <c r="H10" s="5" t="s">
        <v>226</v>
      </c>
      <c r="I10" s="5" t="s">
        <v>225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4" t="s">
        <v>56</v>
      </c>
      <c r="I11" s="5" t="s">
        <v>226</v>
      </c>
      <c r="J11" s="5" t="s">
        <v>225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4" t="s">
        <v>56</v>
      </c>
      <c r="J12" s="5" t="s">
        <v>226</v>
      </c>
      <c r="K12" s="5" t="s">
        <v>225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4" t="s">
        <v>56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4" t="s">
        <v>56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4" t="s">
        <v>56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4" t="s">
        <v>56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...</v>
      </c>
      <c r="B19" s="4" t="str">
        <f>IF($B$5="Y","---&gt;","...")</f>
        <v>...</v>
      </c>
      <c r="C19" s="1" t="str">
        <f>IF($B$5="Y",'Population Definitions'!$A$2,"...")</f>
        <v>...</v>
      </c>
      <c r="E19" s="2"/>
      <c r="F19" s="3"/>
      <c r="G19" s="2"/>
      <c r="H19" s="4" t="str">
        <f>IF($B$5="Y","OR","...")</f>
        <v>...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</row>
    <row r="20" spans="1:59">
      <c r="A20" s="1" t="str">
        <f>IF($C$5="Y",'Population Definitions'!$A$2,"...")</f>
        <v>...</v>
      </c>
      <c r="B20" s="4" t="str">
        <f>IF($C$5="Y","---&gt;","...")</f>
        <v>...</v>
      </c>
      <c r="C20" s="1" t="str">
        <f>IF($C$5="Y",'Population Definitions'!$A$3,"...")</f>
        <v>...</v>
      </c>
      <c r="E20" s="2"/>
      <c r="F20" s="3"/>
      <c r="G20" s="2"/>
      <c r="H20" s="4" t="str">
        <f>IF($C$5="Y","OR","...")</f>
        <v>...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...</v>
      </c>
      <c r="B31" s="4" t="str">
        <f>IF($B$6="Y","---&gt;","...")</f>
        <v>...</v>
      </c>
      <c r="C31" s="1" t="str">
        <f>IF($B$6="Y",'Population Definitions'!$A$2,"...")</f>
        <v>...</v>
      </c>
      <c r="E31" s="2"/>
      <c r="F31" s="3"/>
      <c r="G31" s="2"/>
      <c r="H31" s="4" t="str">
        <f>IF($B$6="Y","OR","...")</f>
        <v>...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</row>
    <row r="32" spans="1:59">
      <c r="A32" s="1" t="str">
        <f>IF($C$6="Y",'Population Definitions'!$A$3,"...")</f>
        <v>...</v>
      </c>
      <c r="B32" s="4" t="str">
        <f>IF($C$6="Y","---&gt;","...")</f>
        <v>...</v>
      </c>
      <c r="C32" s="1" t="str">
        <f>IF($C$6="Y",'Population Definitions'!$A$3,"...")</f>
        <v>...</v>
      </c>
      <c r="E32" s="2"/>
      <c r="F32" s="3"/>
      <c r="G32" s="2"/>
      <c r="H32" s="4" t="str">
        <f>IF($C$6="Y","OR","...")</f>
        <v>...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0-9_males</v>
      </c>
      <c r="B47" s="4" t="str">
        <f>IF($F$7="Y","---&gt;","...")</f>
        <v>---&gt;</v>
      </c>
      <c r="C47" s="1" t="str">
        <f>IF($F$7="Y",'Population Definitions'!$A$6,"...")</f>
        <v>10-17_males</v>
      </c>
      <c r="E47" s="3" t="s">
        <v>401</v>
      </c>
      <c r="F47" s="3"/>
      <c r="G47" s="3"/>
      <c r="H47" s="4" t="str">
        <f>IF($F$7="Y","OR","...")</f>
        <v>OR</v>
      </c>
      <c r="I47" s="3">
        <v>53846</v>
      </c>
      <c r="J47" s="3">
        <v>54826</v>
      </c>
      <c r="K47" s="3">
        <v>55542</v>
      </c>
      <c r="L47" s="3">
        <v>56618.5</v>
      </c>
      <c r="M47" s="3">
        <v>58277.5</v>
      </c>
      <c r="N47" s="3">
        <v>59497</v>
      </c>
      <c r="O47" s="3">
        <v>60496.5</v>
      </c>
      <c r="P47" s="3">
        <v>61473.5</v>
      </c>
      <c r="Q47" s="3">
        <v>62457.5</v>
      </c>
      <c r="R47" s="3">
        <v>64316.99999999999</v>
      </c>
      <c r="S47" s="3">
        <v>65886.5</v>
      </c>
      <c r="T47" s="3">
        <v>65977</v>
      </c>
      <c r="U47" s="3">
        <v>66199.5</v>
      </c>
      <c r="V47" s="3">
        <v>67485.5</v>
      </c>
      <c r="W47" s="3">
        <v>68711.5</v>
      </c>
      <c r="X47" s="3">
        <v>69563.5</v>
      </c>
      <c r="Y47" s="3">
        <v>70520</v>
      </c>
      <c r="Z47" s="3">
        <v>70505</v>
      </c>
      <c r="AA47" s="3">
        <v>70265</v>
      </c>
      <c r="AB47" s="3">
        <v>71308</v>
      </c>
      <c r="AC47" s="3">
        <v>76988</v>
      </c>
      <c r="AD47" s="3">
        <v>82918</v>
      </c>
      <c r="AE47" s="3">
        <v>83918</v>
      </c>
      <c r="AF47" s="3">
        <v>83009</v>
      </c>
      <c r="AG47" s="3">
        <v>82012.5</v>
      </c>
      <c r="AH47" s="3">
        <v>81540</v>
      </c>
      <c r="AI47" s="3">
        <v>81695</v>
      </c>
      <c r="AJ47" s="3">
        <v>82736</v>
      </c>
      <c r="AK47" s="3">
        <v>84043</v>
      </c>
      <c r="AL47" s="3">
        <v>85175</v>
      </c>
      <c r="AM47" s="3">
        <v>87221</v>
      </c>
      <c r="AN47" s="3">
        <v>90193</v>
      </c>
      <c r="AO47" s="3">
        <v>92919</v>
      </c>
      <c r="AP47" s="3">
        <v>100670</v>
      </c>
      <c r="AQ47" s="3">
        <v>108707</v>
      </c>
      <c r="AR47" s="3">
        <v>111412</v>
      </c>
      <c r="AS47" s="3">
        <v>113531</v>
      </c>
      <c r="AT47" s="3">
        <v>115934</v>
      </c>
      <c r="AU47" s="3">
        <v>118446</v>
      </c>
      <c r="AV47" s="3">
        <v>120821</v>
      </c>
      <c r="AW47" s="3">
        <v>122944</v>
      </c>
      <c r="AX47" s="3">
        <v>124754</v>
      </c>
      <c r="AY47" s="3">
        <v>126352</v>
      </c>
      <c r="AZ47" s="3">
        <v>127398</v>
      </c>
      <c r="BA47" s="3">
        <v>127896</v>
      </c>
      <c r="BB47" s="3">
        <v>128447</v>
      </c>
      <c r="BC47" s="3">
        <v>128948</v>
      </c>
      <c r="BD47" s="3">
        <v>129495</v>
      </c>
      <c r="BE47" s="3">
        <v>129969</v>
      </c>
      <c r="BF47" s="3">
        <v>130478</v>
      </c>
      <c r="BG47" s="3">
        <v>130991</v>
      </c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0-9_females</v>
      </c>
      <c r="B60" s="4" t="str">
        <f>IF($G$8="Y","---&gt;","...")</f>
        <v>---&gt;</v>
      </c>
      <c r="C60" s="1" t="str">
        <f>IF($G$8="Y",'Population Definitions'!$A$7,"...")</f>
        <v>10-17_females</v>
      </c>
      <c r="E60" s="3" t="s">
        <v>401</v>
      </c>
      <c r="F60" s="3"/>
      <c r="G60" s="3"/>
      <c r="H60" s="4" t="str">
        <f>IF($G$8="Y","OR","...")</f>
        <v>OR</v>
      </c>
      <c r="I60" s="3">
        <v>53264</v>
      </c>
      <c r="J60" s="3">
        <v>54299.5</v>
      </c>
      <c r="K60" s="3">
        <v>54999.5</v>
      </c>
      <c r="L60" s="3">
        <v>55976.5</v>
      </c>
      <c r="M60" s="3">
        <v>57522.5</v>
      </c>
      <c r="N60" s="3">
        <v>58738.5</v>
      </c>
      <c r="O60" s="3">
        <v>59787</v>
      </c>
      <c r="P60" s="3">
        <v>60749.5</v>
      </c>
      <c r="Q60" s="3">
        <v>61731</v>
      </c>
      <c r="R60" s="3">
        <v>63480</v>
      </c>
      <c r="S60" s="3">
        <v>64815</v>
      </c>
      <c r="T60" s="3">
        <v>64856.5</v>
      </c>
      <c r="U60" s="3">
        <v>65055.49999999999</v>
      </c>
      <c r="V60" s="3">
        <v>66183</v>
      </c>
      <c r="W60" s="3">
        <v>67303</v>
      </c>
      <c r="X60" s="3">
        <v>68054.5</v>
      </c>
      <c r="Y60" s="3">
        <v>68951</v>
      </c>
      <c r="Z60" s="3">
        <v>69122.5</v>
      </c>
      <c r="AA60" s="3">
        <v>69250</v>
      </c>
      <c r="AB60" s="3">
        <v>70667.5</v>
      </c>
      <c r="AC60" s="3">
        <v>76007.5</v>
      </c>
      <c r="AD60" s="3">
        <v>81329</v>
      </c>
      <c r="AE60" s="3">
        <v>82270.5</v>
      </c>
      <c r="AF60" s="3">
        <v>81397.5</v>
      </c>
      <c r="AG60" s="3">
        <v>80417.5</v>
      </c>
      <c r="AH60" s="3">
        <v>79856</v>
      </c>
      <c r="AI60" s="3">
        <v>79941</v>
      </c>
      <c r="AJ60" s="3">
        <v>81071</v>
      </c>
      <c r="AK60" s="3">
        <v>82488</v>
      </c>
      <c r="AL60" s="3">
        <v>83798</v>
      </c>
      <c r="AM60" s="3">
        <v>86019</v>
      </c>
      <c r="AN60" s="3">
        <v>89223</v>
      </c>
      <c r="AO60" s="3">
        <v>92259</v>
      </c>
      <c r="AP60" s="3">
        <v>99562</v>
      </c>
      <c r="AQ60" s="3">
        <v>107014</v>
      </c>
      <c r="AR60" s="3">
        <v>109677</v>
      </c>
      <c r="AS60" s="3">
        <v>111767</v>
      </c>
      <c r="AT60" s="3">
        <v>114134</v>
      </c>
      <c r="AU60" s="3">
        <v>116592</v>
      </c>
      <c r="AV60" s="3">
        <v>118924</v>
      </c>
      <c r="AW60" s="3">
        <v>121022</v>
      </c>
      <c r="AX60" s="3">
        <v>122816</v>
      </c>
      <c r="AY60" s="3">
        <v>124396</v>
      </c>
      <c r="AZ60" s="3">
        <v>125432</v>
      </c>
      <c r="BA60" s="3">
        <v>125926</v>
      </c>
      <c r="BB60" s="3">
        <v>126470</v>
      </c>
      <c r="BC60" s="3">
        <v>126968</v>
      </c>
      <c r="BD60" s="3">
        <v>127499</v>
      </c>
      <c r="BE60" s="3">
        <v>127978</v>
      </c>
      <c r="BF60" s="3">
        <v>128510</v>
      </c>
      <c r="BG60" s="3">
        <v>129023</v>
      </c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10-17_males</v>
      </c>
      <c r="B73" s="4" t="str">
        <f>IF($H$9="Y","---&gt;","...")</f>
        <v>---&gt;</v>
      </c>
      <c r="C73" s="1" t="str">
        <f>IF($H$9="Y",'Population Definitions'!$A$8,"...")</f>
        <v>18-64_males</v>
      </c>
      <c r="E73" s="3" t="s">
        <v>401</v>
      </c>
      <c r="F73" s="3"/>
      <c r="G73" s="3"/>
      <c r="H73" s="4" t="str">
        <f>IF($H$9="Y","OR","...")</f>
        <v>OR</v>
      </c>
      <c r="I73" s="3">
        <v>39313</v>
      </c>
      <c r="J73" s="3">
        <v>40935</v>
      </c>
      <c r="K73" s="3">
        <v>42331</v>
      </c>
      <c r="L73" s="3">
        <v>43721.5</v>
      </c>
      <c r="M73" s="3">
        <v>45420.5</v>
      </c>
      <c r="N73" s="3">
        <v>47530</v>
      </c>
      <c r="O73" s="3">
        <v>49658</v>
      </c>
      <c r="P73" s="3">
        <v>50780</v>
      </c>
      <c r="Q73" s="3">
        <v>51458</v>
      </c>
      <c r="R73" s="3">
        <v>52283</v>
      </c>
      <c r="S73" s="3">
        <v>51803</v>
      </c>
      <c r="T73" s="3">
        <v>51814.5</v>
      </c>
      <c r="U73" s="3">
        <v>53455</v>
      </c>
      <c r="V73" s="3">
        <v>54490.5</v>
      </c>
      <c r="W73" s="3">
        <v>55181</v>
      </c>
      <c r="X73" s="3">
        <v>55311</v>
      </c>
      <c r="Y73" s="3">
        <v>55826</v>
      </c>
      <c r="Z73" s="3">
        <v>58017.5</v>
      </c>
      <c r="AA73" s="3">
        <v>60357</v>
      </c>
      <c r="AB73" s="3">
        <v>61273.5</v>
      </c>
      <c r="AC73" s="3">
        <v>61400.5</v>
      </c>
      <c r="AD73" s="3">
        <v>62658.5</v>
      </c>
      <c r="AE73" s="3">
        <v>63850.5</v>
      </c>
      <c r="AF73" s="3">
        <v>63656.5</v>
      </c>
      <c r="AG73" s="3">
        <v>64398.5</v>
      </c>
      <c r="AH73" s="3">
        <v>65437</v>
      </c>
      <c r="AI73" s="3">
        <v>66113</v>
      </c>
      <c r="AJ73" s="3">
        <v>67732</v>
      </c>
      <c r="AK73" s="3">
        <v>73715</v>
      </c>
      <c r="AL73" s="3">
        <v>79739</v>
      </c>
      <c r="AM73" s="3">
        <v>80814</v>
      </c>
      <c r="AN73" s="3">
        <v>80634</v>
      </c>
      <c r="AO73" s="3">
        <v>80238</v>
      </c>
      <c r="AP73" s="3">
        <v>79752</v>
      </c>
      <c r="AQ73" s="3">
        <v>79910</v>
      </c>
      <c r="AR73" s="3">
        <v>80949</v>
      </c>
      <c r="AS73" s="3">
        <v>82246</v>
      </c>
      <c r="AT73" s="3">
        <v>83357</v>
      </c>
      <c r="AU73" s="3">
        <v>85370</v>
      </c>
      <c r="AV73" s="3">
        <v>88312</v>
      </c>
      <c r="AW73" s="3">
        <v>91018</v>
      </c>
      <c r="AX73" s="3">
        <v>98678</v>
      </c>
      <c r="AY73" s="3">
        <v>106612</v>
      </c>
      <c r="AZ73" s="3">
        <v>109275</v>
      </c>
      <c r="BA73" s="3">
        <v>111366</v>
      </c>
      <c r="BB73" s="3">
        <v>113754</v>
      </c>
      <c r="BC73" s="3">
        <v>116259</v>
      </c>
      <c r="BD73" s="3">
        <v>118627</v>
      </c>
      <c r="BE73" s="3">
        <v>120736</v>
      </c>
      <c r="BF73" s="3">
        <v>122543</v>
      </c>
      <c r="BG73" s="3">
        <v>124152</v>
      </c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10-17_females</v>
      </c>
      <c r="B86" s="4" t="str">
        <f>IF($I$10="Y","---&gt;","...")</f>
        <v>---&gt;</v>
      </c>
      <c r="C86" s="1" t="str">
        <f>IF($I$10="Y",'Population Definitions'!$A$9,"...")</f>
        <v>18-64_females</v>
      </c>
      <c r="E86" s="3" t="s">
        <v>401</v>
      </c>
      <c r="F86" s="3"/>
      <c r="G86" s="3"/>
      <c r="H86" s="4" t="str">
        <f>IF($I$10="Y","OR","...")</f>
        <v>OR</v>
      </c>
      <c r="I86" s="3">
        <v>38626.5</v>
      </c>
      <c r="J86" s="3">
        <v>40367.5</v>
      </c>
      <c r="K86" s="3">
        <v>41815</v>
      </c>
      <c r="L86" s="3">
        <v>43250</v>
      </c>
      <c r="M86" s="3">
        <v>45035.5</v>
      </c>
      <c r="N86" s="3">
        <v>47081</v>
      </c>
      <c r="O86" s="3">
        <v>49040.5</v>
      </c>
      <c r="P86" s="3">
        <v>50073.5</v>
      </c>
      <c r="Q86" s="3">
        <v>50757</v>
      </c>
      <c r="R86" s="3">
        <v>51622.5</v>
      </c>
      <c r="S86" s="3">
        <v>52186</v>
      </c>
      <c r="T86" s="3">
        <v>52950</v>
      </c>
      <c r="U86" s="3">
        <v>53987.5</v>
      </c>
      <c r="V86" s="3">
        <v>54480</v>
      </c>
      <c r="W86" s="3">
        <v>54818.5</v>
      </c>
      <c r="X86" s="3">
        <v>54853</v>
      </c>
      <c r="Y86" s="3">
        <v>55376.5</v>
      </c>
      <c r="Z86" s="3">
        <v>57384</v>
      </c>
      <c r="AA86" s="3">
        <v>59515.5</v>
      </c>
      <c r="AB86" s="3">
        <v>60417</v>
      </c>
      <c r="AC86" s="3">
        <v>60877</v>
      </c>
      <c r="AD86" s="3">
        <v>62290</v>
      </c>
      <c r="AE86" s="3">
        <v>63357</v>
      </c>
      <c r="AF86" s="3">
        <v>63960.5</v>
      </c>
      <c r="AG86" s="3">
        <v>65129.99999999999</v>
      </c>
      <c r="AH86" s="3">
        <v>65654</v>
      </c>
      <c r="AI86" s="3">
        <v>66112</v>
      </c>
      <c r="AJ86" s="3">
        <v>67710</v>
      </c>
      <c r="AK86" s="3">
        <v>73184</v>
      </c>
      <c r="AL86" s="3">
        <v>78548</v>
      </c>
      <c r="AM86" s="3">
        <v>79478</v>
      </c>
      <c r="AN86" s="3">
        <v>79239</v>
      </c>
      <c r="AO86" s="3">
        <v>78818</v>
      </c>
      <c r="AP86" s="3">
        <v>78244</v>
      </c>
      <c r="AQ86" s="3">
        <v>78334</v>
      </c>
      <c r="AR86" s="3">
        <v>79463</v>
      </c>
      <c r="AS86" s="3">
        <v>80873</v>
      </c>
      <c r="AT86" s="3">
        <v>82162</v>
      </c>
      <c r="AU86" s="3">
        <v>84354</v>
      </c>
      <c r="AV86" s="3">
        <v>87532</v>
      </c>
      <c r="AW86" s="3">
        <v>90550</v>
      </c>
      <c r="AX86" s="3">
        <v>97784</v>
      </c>
      <c r="AY86" s="3">
        <v>105158</v>
      </c>
      <c r="AZ86" s="3">
        <v>107785</v>
      </c>
      <c r="BA86" s="3">
        <v>109852</v>
      </c>
      <c r="BB86" s="3">
        <v>112211</v>
      </c>
      <c r="BC86" s="3">
        <v>114670</v>
      </c>
      <c r="BD86" s="3">
        <v>117002</v>
      </c>
      <c r="BE86" s="3">
        <v>119092</v>
      </c>
      <c r="BF86" s="3">
        <v>120889</v>
      </c>
      <c r="BG86" s="3">
        <v>122484</v>
      </c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18-64_males</v>
      </c>
      <c r="B99" s="4" t="str">
        <f>IF($J$11="Y","---&gt;","...")</f>
        <v>---&gt;</v>
      </c>
      <c r="C99" s="1" t="str">
        <f>IF($J$11="Y",'Population Definitions'!$A$10,"...")</f>
        <v>65+_males</v>
      </c>
      <c r="E99" s="3" t="s">
        <v>401</v>
      </c>
      <c r="F99" s="3"/>
      <c r="G99" s="3"/>
      <c r="H99" s="4" t="str">
        <f>IF($J$11="Y","OR","...")</f>
        <v>OR</v>
      </c>
      <c r="I99" s="3">
        <v>4673.5</v>
      </c>
      <c r="J99" s="3">
        <v>4769</v>
      </c>
      <c r="K99" s="3">
        <v>4878</v>
      </c>
      <c r="L99" s="3">
        <v>4979.5</v>
      </c>
      <c r="M99" s="3">
        <v>5092</v>
      </c>
      <c r="N99" s="3">
        <v>5180.5</v>
      </c>
      <c r="O99" s="3">
        <v>5268.5</v>
      </c>
      <c r="P99" s="3">
        <v>5424</v>
      </c>
      <c r="Q99" s="3">
        <v>5604.5</v>
      </c>
      <c r="R99" s="3">
        <v>5811.5</v>
      </c>
      <c r="S99" s="3">
        <v>5562.5</v>
      </c>
      <c r="T99" s="3">
        <v>5257.5</v>
      </c>
      <c r="U99" s="3">
        <v>5372</v>
      </c>
      <c r="V99" s="3">
        <v>5404.5</v>
      </c>
      <c r="W99" s="3">
        <v>5782.5</v>
      </c>
      <c r="X99" s="3">
        <v>6351</v>
      </c>
      <c r="Y99" s="3">
        <v>6587</v>
      </c>
      <c r="Z99" s="3">
        <v>6729.5</v>
      </c>
      <c r="AA99" s="3">
        <v>6819</v>
      </c>
      <c r="AB99" s="3">
        <v>6880</v>
      </c>
      <c r="AC99" s="3">
        <v>6781</v>
      </c>
      <c r="AD99" s="3">
        <v>6628</v>
      </c>
      <c r="AE99" s="3">
        <v>6538</v>
      </c>
      <c r="AF99" s="3">
        <v>6080</v>
      </c>
      <c r="AG99" s="3">
        <v>5749.5</v>
      </c>
      <c r="AH99" s="3">
        <v>5779</v>
      </c>
      <c r="AI99" s="3">
        <v>5758</v>
      </c>
      <c r="AJ99" s="3">
        <v>5761</v>
      </c>
      <c r="AK99" s="3">
        <v>5784</v>
      </c>
      <c r="AL99" s="3">
        <v>5813</v>
      </c>
      <c r="AM99" s="3">
        <v>5837</v>
      </c>
      <c r="AN99" s="3">
        <v>5867</v>
      </c>
      <c r="AO99" s="3">
        <v>5951</v>
      </c>
      <c r="AP99" s="3">
        <v>6075</v>
      </c>
      <c r="AQ99" s="3">
        <v>6165</v>
      </c>
      <c r="AR99" s="3">
        <v>6187</v>
      </c>
      <c r="AS99" s="3">
        <v>6163</v>
      </c>
      <c r="AT99" s="3">
        <v>6132</v>
      </c>
      <c r="AU99" s="3">
        <v>6075</v>
      </c>
      <c r="AV99" s="3">
        <v>5912</v>
      </c>
      <c r="AW99" s="3">
        <v>5626</v>
      </c>
      <c r="AX99" s="3">
        <v>5564</v>
      </c>
      <c r="AY99" s="3">
        <v>5813</v>
      </c>
      <c r="AZ99" s="3">
        <v>6090</v>
      </c>
      <c r="BA99" s="3">
        <v>6368</v>
      </c>
      <c r="BB99" s="3">
        <v>6632</v>
      </c>
      <c r="BC99" s="3">
        <v>6884</v>
      </c>
      <c r="BD99" s="3">
        <v>7126</v>
      </c>
      <c r="BE99" s="3">
        <v>7368</v>
      </c>
      <c r="BF99" s="3">
        <v>7672</v>
      </c>
      <c r="BG99" s="3">
        <v>8023</v>
      </c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18-64_females</v>
      </c>
      <c r="B112" s="4" t="str">
        <f>IF($K$12="Y","---&gt;","...")</f>
        <v>---&gt;</v>
      </c>
      <c r="C112" s="1" t="str">
        <f>IF($K$12="Y",'Population Definitions'!$A$11,"...")</f>
        <v>65+_females</v>
      </c>
      <c r="E112" s="3" t="s">
        <v>401</v>
      </c>
      <c r="F112" s="3"/>
      <c r="G112" s="3"/>
      <c r="H112" s="4" t="str">
        <f>IF($K$12="Y","OR","...")</f>
        <v>OR</v>
      </c>
      <c r="I112" s="3">
        <v>4015</v>
      </c>
      <c r="J112" s="3">
        <v>4077.5</v>
      </c>
      <c r="K112" s="3">
        <v>4155.5</v>
      </c>
      <c r="L112" s="3">
        <v>4238</v>
      </c>
      <c r="M112" s="3">
        <v>4352.5</v>
      </c>
      <c r="N112" s="3">
        <v>4451</v>
      </c>
      <c r="O112" s="3">
        <v>4537.5</v>
      </c>
      <c r="P112" s="3">
        <v>4703</v>
      </c>
      <c r="Q112" s="3">
        <v>4896</v>
      </c>
      <c r="R112" s="3">
        <v>5108.5</v>
      </c>
      <c r="S112" s="3">
        <v>5068</v>
      </c>
      <c r="T112" s="3">
        <v>4974</v>
      </c>
      <c r="U112" s="3">
        <v>5128</v>
      </c>
      <c r="V112" s="3">
        <v>5213</v>
      </c>
      <c r="W112" s="3">
        <v>5679.5</v>
      </c>
      <c r="X112" s="3">
        <v>6493.5</v>
      </c>
      <c r="Y112" s="3">
        <v>6973.5</v>
      </c>
      <c r="Z112" s="3">
        <v>7274.5</v>
      </c>
      <c r="AA112" s="3">
        <v>7563.5</v>
      </c>
      <c r="AB112" s="3">
        <v>7829</v>
      </c>
      <c r="AC112" s="3">
        <v>7979.5</v>
      </c>
      <c r="AD112" s="3">
        <v>8098.000000000001</v>
      </c>
      <c r="AE112" s="3">
        <v>8308.5</v>
      </c>
      <c r="AF112" s="3">
        <v>8238.5</v>
      </c>
      <c r="AG112" s="3">
        <v>8275.5</v>
      </c>
      <c r="AH112" s="3">
        <v>8593</v>
      </c>
      <c r="AI112" s="3">
        <v>8822</v>
      </c>
      <c r="AJ112" s="3">
        <v>9084</v>
      </c>
      <c r="AK112" s="3">
        <v>9341</v>
      </c>
      <c r="AL112" s="3">
        <v>9545</v>
      </c>
      <c r="AM112" s="3">
        <v>9684</v>
      </c>
      <c r="AN112" s="3">
        <v>9768</v>
      </c>
      <c r="AO112" s="3">
        <v>9905</v>
      </c>
      <c r="AP112" s="3">
        <v>10076</v>
      </c>
      <c r="AQ112" s="3">
        <v>10162</v>
      </c>
      <c r="AR112" s="3">
        <v>10117</v>
      </c>
      <c r="AS112" s="3">
        <v>9955</v>
      </c>
      <c r="AT112" s="3">
        <v>9759</v>
      </c>
      <c r="AU112" s="3">
        <v>9503</v>
      </c>
      <c r="AV112" s="3">
        <v>9134</v>
      </c>
      <c r="AW112" s="3">
        <v>8683</v>
      </c>
      <c r="AX112" s="3">
        <v>8539</v>
      </c>
      <c r="AY112" s="3">
        <v>8842</v>
      </c>
      <c r="AZ112" s="3">
        <v>9258</v>
      </c>
      <c r="BA112" s="3">
        <v>9736</v>
      </c>
      <c r="BB112" s="3">
        <v>10260</v>
      </c>
      <c r="BC112" s="3">
        <v>10768</v>
      </c>
      <c r="BD112" s="3">
        <v>11249</v>
      </c>
      <c r="BE112" s="3">
        <v>11739</v>
      </c>
      <c r="BF112" s="3">
        <v>12332</v>
      </c>
      <c r="BG112" s="3">
        <v>13009</v>
      </c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...</v>
      </c>
      <c r="B149" s="4" t="str">
        <f>IF($L$15="Y","---&gt;","...")</f>
        <v>...</v>
      </c>
      <c r="C149" s="1" t="str">
        <f>IF($L$15="Y",'Population Definitions'!$A$12,"...")</f>
        <v>...</v>
      </c>
      <c r="E149" s="2"/>
      <c r="F149" s="3"/>
      <c r="G149" s="2"/>
      <c r="H149" s="4" t="str">
        <f>IF($L$15="Y","OR","...")</f>
        <v>...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...</v>
      </c>
      <c r="B162" s="4" t="str">
        <f>IF($M$16="Y","---&gt;","...")</f>
        <v>...</v>
      </c>
      <c r="C162" s="1" t="str">
        <f>IF($M$16="Y",'Population Definitions'!$A$13,"...")</f>
        <v>...</v>
      </c>
      <c r="E162" s="2"/>
      <c r="F162" s="3"/>
      <c r="G162" s="2"/>
      <c r="H162" s="4" t="str">
        <f>IF($M$16="Y","OR","...")</f>
        <v>...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</row>
    <row r="164" spans="1:59">
      <c r="A164" s="1" t="s">
        <v>0</v>
      </c>
      <c r="B164" s="1" t="s">
        <v>1</v>
      </c>
      <c r="C164" s="1" t="s">
        <v>223</v>
      </c>
      <c r="D164" s="1" t="s">
        <v>224</v>
      </c>
    </row>
    <row r="165" spans="1:59">
      <c r="A165" t="s">
        <v>508</v>
      </c>
      <c r="B165" t="s">
        <v>509</v>
      </c>
      <c r="C165" t="s">
        <v>5</v>
      </c>
      <c r="D165" t="s">
        <v>5</v>
      </c>
    </row>
    <row r="167" spans="1:59">
      <c r="B167" s="1" t="str">
        <f>'Population Definitions'!$A$2</f>
        <v>PWID_males</v>
      </c>
      <c r="C167" s="1" t="str">
        <f>'Population Definitions'!$A$3</f>
        <v>PWID_females</v>
      </c>
      <c r="D167" s="1" t="str">
        <f>'Population Definitions'!$A$4</f>
        <v>0-9_males</v>
      </c>
      <c r="E167" s="1" t="str">
        <f>'Population Definitions'!$A$5</f>
        <v>0-9_females</v>
      </c>
      <c r="F167" s="1" t="str">
        <f>'Population Definitions'!$A$6</f>
        <v>10-17_males</v>
      </c>
      <c r="G167" s="1" t="str">
        <f>'Population Definitions'!$A$7</f>
        <v>10-17_females</v>
      </c>
      <c r="H167" s="1" t="str">
        <f>'Population Definitions'!$A$8</f>
        <v>18-64_males</v>
      </c>
      <c r="I167" s="1" t="str">
        <f>'Population Definitions'!$A$9</f>
        <v>18-64_females</v>
      </c>
      <c r="J167" s="1" t="str">
        <f>'Population Definitions'!$A$10</f>
        <v>65+_males</v>
      </c>
      <c r="K167" s="1" t="str">
        <f>'Population Definitions'!$A$11</f>
        <v>65+_females</v>
      </c>
      <c r="L167" s="1" t="str">
        <f>'Population Definitions'!$A$12</f>
        <v>Prisoners_males</v>
      </c>
      <c r="M167" s="1" t="str">
        <f>'Population Definitions'!$A$13</f>
        <v>Prisoners_females</v>
      </c>
    </row>
    <row r="168" spans="1:59">
      <c r="A168" s="1" t="str">
        <f>'Population Definitions'!$A$2</f>
        <v>PWID_males</v>
      </c>
      <c r="B168" s="4" t="s">
        <v>56</v>
      </c>
      <c r="C168" s="5" t="s">
        <v>226</v>
      </c>
      <c r="D168" s="5" t="s">
        <v>226</v>
      </c>
      <c r="E168" s="5" t="s">
        <v>226</v>
      </c>
      <c r="F168" s="5" t="s">
        <v>226</v>
      </c>
      <c r="G168" s="5" t="s">
        <v>226</v>
      </c>
      <c r="H168" s="5" t="s">
        <v>225</v>
      </c>
      <c r="I168" s="5" t="s">
        <v>226</v>
      </c>
      <c r="J168" s="5" t="s">
        <v>226</v>
      </c>
      <c r="K168" s="5" t="s">
        <v>226</v>
      </c>
      <c r="L168" s="5" t="s">
        <v>226</v>
      </c>
      <c r="M168" s="5" t="s">
        <v>226</v>
      </c>
    </row>
    <row r="169" spans="1:59">
      <c r="A169" s="1" t="str">
        <f>'Population Definitions'!$A$3</f>
        <v>PWID_females</v>
      </c>
      <c r="B169" s="5" t="s">
        <v>226</v>
      </c>
      <c r="C169" s="4" t="s">
        <v>56</v>
      </c>
      <c r="D169" s="5" t="s">
        <v>226</v>
      </c>
      <c r="E169" s="5" t="s">
        <v>226</v>
      </c>
      <c r="F169" s="5" t="s">
        <v>226</v>
      </c>
      <c r="G169" s="5" t="s">
        <v>226</v>
      </c>
      <c r="H169" s="5" t="s">
        <v>226</v>
      </c>
      <c r="I169" s="5" t="s">
        <v>225</v>
      </c>
      <c r="J169" s="5" t="s">
        <v>226</v>
      </c>
      <c r="K169" s="5" t="s">
        <v>226</v>
      </c>
      <c r="L169" s="5" t="s">
        <v>226</v>
      </c>
      <c r="M169" s="5" t="s">
        <v>226</v>
      </c>
    </row>
    <row r="170" spans="1:59">
      <c r="A170" s="1" t="str">
        <f>'Population Definitions'!$A$4</f>
        <v>0-9_males</v>
      </c>
      <c r="B170" s="5" t="s">
        <v>226</v>
      </c>
      <c r="C170" s="5" t="s">
        <v>226</v>
      </c>
      <c r="D170" s="4" t="s">
        <v>56</v>
      </c>
      <c r="E170" s="5" t="s">
        <v>226</v>
      </c>
      <c r="F170" s="5" t="s">
        <v>226</v>
      </c>
      <c r="G170" s="5" t="s">
        <v>226</v>
      </c>
      <c r="H170" s="5" t="s">
        <v>226</v>
      </c>
      <c r="I170" s="5" t="s">
        <v>226</v>
      </c>
      <c r="J170" s="5" t="s">
        <v>226</v>
      </c>
      <c r="K170" s="5" t="s">
        <v>226</v>
      </c>
      <c r="L170" s="5" t="s">
        <v>226</v>
      </c>
      <c r="M170" s="5" t="s">
        <v>226</v>
      </c>
    </row>
    <row r="171" spans="1:59">
      <c r="A171" s="1" t="str">
        <f>'Population Definitions'!$A$5</f>
        <v>0-9_females</v>
      </c>
      <c r="B171" s="5" t="s">
        <v>226</v>
      </c>
      <c r="C171" s="5" t="s">
        <v>226</v>
      </c>
      <c r="D171" s="5" t="s">
        <v>226</v>
      </c>
      <c r="E171" s="4" t="s">
        <v>56</v>
      </c>
      <c r="F171" s="5" t="s">
        <v>226</v>
      </c>
      <c r="G171" s="5" t="s">
        <v>226</v>
      </c>
      <c r="H171" s="5" t="s">
        <v>226</v>
      </c>
      <c r="I171" s="5" t="s">
        <v>226</v>
      </c>
      <c r="J171" s="5" t="s">
        <v>226</v>
      </c>
      <c r="K171" s="5" t="s">
        <v>226</v>
      </c>
      <c r="L171" s="5" t="s">
        <v>226</v>
      </c>
      <c r="M171" s="5" t="s">
        <v>226</v>
      </c>
    </row>
    <row r="172" spans="1:59">
      <c r="A172" s="1" t="str">
        <f>'Population Definitions'!$A$6</f>
        <v>10-17_males</v>
      </c>
      <c r="B172" s="5" t="s">
        <v>226</v>
      </c>
      <c r="C172" s="5" t="s">
        <v>226</v>
      </c>
      <c r="D172" s="5" t="s">
        <v>226</v>
      </c>
      <c r="E172" s="5" t="s">
        <v>226</v>
      </c>
      <c r="F172" s="4" t="s">
        <v>56</v>
      </c>
      <c r="G172" s="5" t="s">
        <v>226</v>
      </c>
      <c r="H172" s="5" t="s">
        <v>226</v>
      </c>
      <c r="I172" s="5" t="s">
        <v>226</v>
      </c>
      <c r="J172" s="5" t="s">
        <v>226</v>
      </c>
      <c r="K172" s="5" t="s">
        <v>226</v>
      </c>
      <c r="L172" s="5" t="s">
        <v>226</v>
      </c>
      <c r="M172" s="5" t="s">
        <v>226</v>
      </c>
    </row>
    <row r="173" spans="1:59">
      <c r="A173" s="1" t="str">
        <f>'Population Definitions'!$A$7</f>
        <v>10-17_females</v>
      </c>
      <c r="B173" s="5" t="s">
        <v>226</v>
      </c>
      <c r="C173" s="5" t="s">
        <v>226</v>
      </c>
      <c r="D173" s="5" t="s">
        <v>226</v>
      </c>
      <c r="E173" s="5" t="s">
        <v>226</v>
      </c>
      <c r="F173" s="5" t="s">
        <v>226</v>
      </c>
      <c r="G173" s="4" t="s">
        <v>56</v>
      </c>
      <c r="H173" s="5" t="s">
        <v>226</v>
      </c>
      <c r="I173" s="5" t="s">
        <v>226</v>
      </c>
      <c r="J173" s="5" t="s">
        <v>226</v>
      </c>
      <c r="K173" s="5" t="s">
        <v>226</v>
      </c>
      <c r="L173" s="5" t="s">
        <v>226</v>
      </c>
      <c r="M173" s="5" t="s">
        <v>226</v>
      </c>
    </row>
    <row r="174" spans="1:59">
      <c r="A174" s="1" t="str">
        <f>'Population Definitions'!$A$8</f>
        <v>18-64_males</v>
      </c>
      <c r="B174" s="5" t="s">
        <v>225</v>
      </c>
      <c r="C174" s="5" t="s">
        <v>226</v>
      </c>
      <c r="D174" s="5" t="s">
        <v>226</v>
      </c>
      <c r="E174" s="5" t="s">
        <v>226</v>
      </c>
      <c r="F174" s="5" t="s">
        <v>226</v>
      </c>
      <c r="G174" s="5" t="s">
        <v>226</v>
      </c>
      <c r="H174" s="4" t="s">
        <v>56</v>
      </c>
      <c r="I174" s="5" t="s">
        <v>226</v>
      </c>
      <c r="J174" s="5" t="s">
        <v>226</v>
      </c>
      <c r="K174" s="5" t="s">
        <v>226</v>
      </c>
      <c r="L174" s="5" t="s">
        <v>226</v>
      </c>
      <c r="M174" s="5" t="s">
        <v>226</v>
      </c>
    </row>
    <row r="175" spans="1:59">
      <c r="A175" s="1" t="str">
        <f>'Population Definitions'!$A$9</f>
        <v>18-64_females</v>
      </c>
      <c r="B175" s="5" t="s">
        <v>226</v>
      </c>
      <c r="C175" s="5" t="s">
        <v>225</v>
      </c>
      <c r="D175" s="5" t="s">
        <v>226</v>
      </c>
      <c r="E175" s="5" t="s">
        <v>226</v>
      </c>
      <c r="F175" s="5" t="s">
        <v>226</v>
      </c>
      <c r="G175" s="5" t="s">
        <v>226</v>
      </c>
      <c r="H175" s="5" t="s">
        <v>226</v>
      </c>
      <c r="I175" s="4" t="s">
        <v>56</v>
      </c>
      <c r="J175" s="5" t="s">
        <v>226</v>
      </c>
      <c r="K175" s="5" t="s">
        <v>226</v>
      </c>
      <c r="L175" s="5" t="s">
        <v>226</v>
      </c>
      <c r="M175" s="5" t="s">
        <v>226</v>
      </c>
    </row>
    <row r="176" spans="1:59">
      <c r="A176" s="1" t="str">
        <f>'Population Definitions'!$A$10</f>
        <v>65+_males</v>
      </c>
      <c r="B176" s="5" t="s">
        <v>226</v>
      </c>
      <c r="C176" s="5" t="s">
        <v>226</v>
      </c>
      <c r="D176" s="5" t="s">
        <v>226</v>
      </c>
      <c r="E176" s="5" t="s">
        <v>226</v>
      </c>
      <c r="F176" s="5" t="s">
        <v>226</v>
      </c>
      <c r="G176" s="5" t="s">
        <v>226</v>
      </c>
      <c r="H176" s="5" t="s">
        <v>226</v>
      </c>
      <c r="I176" s="5" t="s">
        <v>226</v>
      </c>
      <c r="J176" s="4" t="s">
        <v>56</v>
      </c>
      <c r="K176" s="5" t="s">
        <v>226</v>
      </c>
      <c r="L176" s="5" t="s">
        <v>226</v>
      </c>
      <c r="M176" s="5" t="s">
        <v>226</v>
      </c>
    </row>
    <row r="177" spans="1:59">
      <c r="A177" s="1" t="str">
        <f>'Population Definitions'!$A$11</f>
        <v>65+_females</v>
      </c>
      <c r="B177" s="5" t="s">
        <v>226</v>
      </c>
      <c r="C177" s="5" t="s">
        <v>226</v>
      </c>
      <c r="D177" s="5" t="s">
        <v>226</v>
      </c>
      <c r="E177" s="5" t="s">
        <v>226</v>
      </c>
      <c r="F177" s="5" t="s">
        <v>226</v>
      </c>
      <c r="G177" s="5" t="s">
        <v>226</v>
      </c>
      <c r="H177" s="5" t="s">
        <v>226</v>
      </c>
      <c r="I177" s="5" t="s">
        <v>226</v>
      </c>
      <c r="J177" s="5" t="s">
        <v>226</v>
      </c>
      <c r="K177" s="4" t="s">
        <v>56</v>
      </c>
      <c r="L177" s="5" t="s">
        <v>226</v>
      </c>
      <c r="M177" s="5" t="s">
        <v>226</v>
      </c>
    </row>
    <row r="178" spans="1:59">
      <c r="A178" s="1" t="str">
        <f>'Population Definitions'!$A$12</f>
        <v>Prisoners_males</v>
      </c>
      <c r="B178" s="5" t="s">
        <v>226</v>
      </c>
      <c r="C178" s="5" t="s">
        <v>226</v>
      </c>
      <c r="D178" s="5" t="s">
        <v>226</v>
      </c>
      <c r="E178" s="5" t="s">
        <v>226</v>
      </c>
      <c r="F178" s="5" t="s">
        <v>226</v>
      </c>
      <c r="G178" s="5" t="s">
        <v>226</v>
      </c>
      <c r="H178" s="5" t="s">
        <v>226</v>
      </c>
      <c r="I178" s="5" t="s">
        <v>226</v>
      </c>
      <c r="J178" s="5" t="s">
        <v>226</v>
      </c>
      <c r="K178" s="5" t="s">
        <v>226</v>
      </c>
      <c r="L178" s="4" t="s">
        <v>56</v>
      </c>
      <c r="M178" s="5" t="s">
        <v>226</v>
      </c>
    </row>
    <row r="179" spans="1:59">
      <c r="A179" s="1" t="str">
        <f>'Population Definitions'!$A$13</f>
        <v>Prisoners_females</v>
      </c>
      <c r="B179" s="5" t="s">
        <v>226</v>
      </c>
      <c r="C179" s="5" t="s">
        <v>226</v>
      </c>
      <c r="D179" s="5" t="s">
        <v>226</v>
      </c>
      <c r="E179" s="5" t="s">
        <v>226</v>
      </c>
      <c r="F179" s="5" t="s">
        <v>226</v>
      </c>
      <c r="G179" s="5" t="s">
        <v>226</v>
      </c>
      <c r="H179" s="5" t="s">
        <v>226</v>
      </c>
      <c r="I179" s="5" t="s">
        <v>226</v>
      </c>
      <c r="J179" s="5" t="s">
        <v>226</v>
      </c>
      <c r="K179" s="5" t="s">
        <v>226</v>
      </c>
      <c r="L179" s="5" t="s">
        <v>226</v>
      </c>
      <c r="M179" s="4" t="s">
        <v>56</v>
      </c>
    </row>
    <row r="181" spans="1:59">
      <c r="A181" s="1" t="s">
        <v>227</v>
      </c>
      <c r="B181" s="1"/>
      <c r="C181" s="1" t="s">
        <v>228</v>
      </c>
      <c r="D181" s="1" t="s">
        <v>29</v>
      </c>
      <c r="E181" s="1" t="s">
        <v>30</v>
      </c>
      <c r="F181" s="1" t="s">
        <v>31</v>
      </c>
      <c r="G181" s="1" t="s">
        <v>36</v>
      </c>
      <c r="H181" s="1"/>
      <c r="I181" s="1">
        <v>2000</v>
      </c>
      <c r="J181" s="1">
        <v>2001</v>
      </c>
      <c r="K181" s="1">
        <v>2002</v>
      </c>
      <c r="L181" s="1">
        <v>2003</v>
      </c>
      <c r="M181" s="1">
        <v>2004</v>
      </c>
      <c r="N181" s="1">
        <v>2005</v>
      </c>
      <c r="O181" s="1">
        <v>2006</v>
      </c>
      <c r="P181" s="1">
        <v>2007</v>
      </c>
      <c r="Q181" s="1">
        <v>2008</v>
      </c>
      <c r="R181" s="1">
        <v>2009</v>
      </c>
      <c r="S181" s="1">
        <v>2010</v>
      </c>
      <c r="T181" s="1">
        <v>2011</v>
      </c>
      <c r="U181" s="1">
        <v>2012</v>
      </c>
      <c r="V181" s="1">
        <v>2013</v>
      </c>
      <c r="W181" s="1">
        <v>2014</v>
      </c>
      <c r="X181" s="1">
        <v>2015</v>
      </c>
      <c r="Y181" s="1">
        <v>2016</v>
      </c>
      <c r="Z181" s="1">
        <v>2017</v>
      </c>
      <c r="AA181" s="1">
        <v>2018</v>
      </c>
      <c r="AB181" s="1">
        <v>2019</v>
      </c>
      <c r="AC181" s="1">
        <v>2020</v>
      </c>
      <c r="AD181" s="1">
        <v>2021</v>
      </c>
      <c r="AE181" s="1">
        <v>2022</v>
      </c>
      <c r="AF181" s="1">
        <v>2023</v>
      </c>
      <c r="AG181" s="1">
        <v>2024</v>
      </c>
      <c r="AH181" s="1">
        <v>2025</v>
      </c>
      <c r="AI181" s="1">
        <v>2026</v>
      </c>
      <c r="AJ181" s="1">
        <v>2027</v>
      </c>
      <c r="AK181" s="1">
        <v>2028</v>
      </c>
      <c r="AL181" s="1">
        <v>2029</v>
      </c>
      <c r="AM181" s="1">
        <v>2030</v>
      </c>
      <c r="AN181" s="1">
        <v>2031</v>
      </c>
      <c r="AO181" s="1">
        <v>2032</v>
      </c>
      <c r="AP181" s="1">
        <v>2033</v>
      </c>
      <c r="AQ181" s="1">
        <v>2034</v>
      </c>
      <c r="AR181" s="1">
        <v>2035</v>
      </c>
      <c r="AS181" s="1">
        <v>2036</v>
      </c>
      <c r="AT181" s="1">
        <v>2037</v>
      </c>
      <c r="AU181" s="1">
        <v>2038</v>
      </c>
      <c r="AV181" s="1">
        <v>2039</v>
      </c>
      <c r="AW181" s="1">
        <v>2040</v>
      </c>
      <c r="AX181" s="1">
        <v>2041</v>
      </c>
      <c r="AY181" s="1">
        <v>2042</v>
      </c>
      <c r="AZ181" s="1">
        <v>2043</v>
      </c>
      <c r="BA181" s="1">
        <v>2044</v>
      </c>
      <c r="BB181" s="1">
        <v>2045</v>
      </c>
      <c r="BC181" s="1">
        <v>2046</v>
      </c>
      <c r="BD181" s="1">
        <v>2047</v>
      </c>
      <c r="BE181" s="1">
        <v>2048</v>
      </c>
      <c r="BF181" s="1">
        <v>2049</v>
      </c>
      <c r="BG181" s="1">
        <v>2050</v>
      </c>
    </row>
    <row r="182" spans="1:59">
      <c r="A182" s="1" t="str">
        <f>IF($B$168="Y",'Population Definitions'!$A$2,"...")</f>
        <v>...</v>
      </c>
      <c r="B182" s="4" t="str">
        <f>IF($B$168="Y","---&gt;","...")</f>
        <v>...</v>
      </c>
      <c r="C182" s="1" t="str">
        <f>IF($B$168="Y",'Population Definitions'!$A$2,"...")</f>
        <v>...</v>
      </c>
      <c r="E182" s="2"/>
      <c r="F182" s="3"/>
      <c r="G182" s="2"/>
      <c r="H182" s="4" t="str">
        <f>IF($B$168="Y","OR","...")</f>
        <v>...</v>
      </c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</row>
    <row r="183" spans="1:59">
      <c r="A183" s="1" t="str">
        <f>IF($C$168="Y",'Population Definitions'!$A$2,"...")</f>
        <v>...</v>
      </c>
      <c r="B183" s="4" t="str">
        <f>IF($C$168="Y","---&gt;","...")</f>
        <v>...</v>
      </c>
      <c r="C183" s="1" t="str">
        <f>IF($C$168="Y",'Population Definitions'!$A$3,"...")</f>
        <v>...</v>
      </c>
      <c r="E183" s="2"/>
      <c r="F183" s="3"/>
      <c r="G183" s="2"/>
      <c r="H183" s="4" t="str">
        <f>IF($C$168="Y","OR","...")</f>
        <v>...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</row>
    <row r="184" spans="1:59">
      <c r="A184" s="1" t="str">
        <f>IF($D$168="Y",'Population Definitions'!$A$2,"...")</f>
        <v>...</v>
      </c>
      <c r="B184" s="4" t="str">
        <f>IF($D$168="Y","---&gt;","...")</f>
        <v>...</v>
      </c>
      <c r="C184" s="1" t="str">
        <f>IF($D$168="Y",'Population Definitions'!$A$4,"...")</f>
        <v>...</v>
      </c>
      <c r="E184" s="2"/>
      <c r="F184" s="3"/>
      <c r="G184" s="2"/>
      <c r="H184" s="4" t="str">
        <f>IF($D$168="Y","OR","...")</f>
        <v>...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</row>
    <row r="185" spans="1:59">
      <c r="A185" s="1" t="str">
        <f>IF($E$168="Y",'Population Definitions'!$A$2,"...")</f>
        <v>...</v>
      </c>
      <c r="B185" s="4" t="str">
        <f>IF($E$168="Y","---&gt;","...")</f>
        <v>...</v>
      </c>
      <c r="C185" s="1" t="str">
        <f>IF($E$168="Y",'Population Definitions'!$A$5,"...")</f>
        <v>...</v>
      </c>
      <c r="E185" s="2"/>
      <c r="F185" s="3"/>
      <c r="G185" s="2"/>
      <c r="H185" s="4" t="str">
        <f>IF($E$168="Y","OR","...")</f>
        <v>...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</row>
    <row r="186" spans="1:59">
      <c r="A186" s="1" t="str">
        <f>IF($F$168="Y",'Population Definitions'!$A$2,"...")</f>
        <v>...</v>
      </c>
      <c r="B186" s="4" t="str">
        <f>IF($F$168="Y","---&gt;","...")</f>
        <v>...</v>
      </c>
      <c r="C186" s="1" t="str">
        <f>IF($F$168="Y",'Population Definitions'!$A$6,"...")</f>
        <v>...</v>
      </c>
      <c r="E186" s="2"/>
      <c r="F186" s="3"/>
      <c r="G186" s="2"/>
      <c r="H186" s="4" t="str">
        <f>IF($F$168="Y","OR","...")</f>
        <v>...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</row>
    <row r="187" spans="1:59">
      <c r="A187" s="1" t="str">
        <f>IF($G$168="Y",'Population Definitions'!$A$2,"...")</f>
        <v>...</v>
      </c>
      <c r="B187" s="4" t="str">
        <f>IF($G$168="Y","---&gt;","...")</f>
        <v>...</v>
      </c>
      <c r="C187" s="1" t="str">
        <f>IF($G$168="Y",'Population Definitions'!$A$7,"...")</f>
        <v>...</v>
      </c>
      <c r="E187" s="2"/>
      <c r="F187" s="3"/>
      <c r="G187" s="2"/>
      <c r="H187" s="4" t="str">
        <f>IF($G$168="Y","OR","...")</f>
        <v>...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</row>
    <row r="188" spans="1:59">
      <c r="A188" s="1" t="str">
        <f>IF($H$168="Y",'Population Definitions'!$A$2,"...")</f>
        <v>PWID_males</v>
      </c>
      <c r="B188" s="4" t="str">
        <f>IF($H$168="Y","---&gt;","...")</f>
        <v>---&gt;</v>
      </c>
      <c r="C188" s="1" t="str">
        <f>IF($H$168="Y",'Population Definitions'!$A$8,"...")</f>
        <v>18-64_males</v>
      </c>
      <c r="E188" s="3" t="s">
        <v>53</v>
      </c>
      <c r="F188" s="3"/>
      <c r="G188" s="3">
        <v>0.0588235294117647</v>
      </c>
      <c r="H188" s="4" t="str">
        <f>IF($H$168="Y","OR","...")</f>
        <v>OR</v>
      </c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</row>
    <row r="189" spans="1:59">
      <c r="A189" s="1" t="str">
        <f>IF($I$168="Y",'Population Definitions'!$A$2,"...")</f>
        <v>...</v>
      </c>
      <c r="B189" s="4" t="str">
        <f>IF($I$168="Y","---&gt;","...")</f>
        <v>...</v>
      </c>
      <c r="C189" s="1" t="str">
        <f>IF($I$168="Y",'Population Definitions'!$A$9,"...")</f>
        <v>...</v>
      </c>
      <c r="E189" s="2"/>
      <c r="F189" s="3"/>
      <c r="G189" s="2"/>
      <c r="H189" s="4" t="str">
        <f>IF($I$168="Y","OR","...")</f>
        <v>...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</row>
    <row r="190" spans="1:59">
      <c r="A190" s="1" t="str">
        <f>IF($J$168="Y",'Population Definitions'!$A$2,"...")</f>
        <v>...</v>
      </c>
      <c r="B190" s="4" t="str">
        <f>IF($J$168="Y","---&gt;","...")</f>
        <v>...</v>
      </c>
      <c r="C190" s="1" t="str">
        <f>IF($J$168="Y",'Population Definitions'!$A$10,"...")</f>
        <v>...</v>
      </c>
      <c r="E190" s="2"/>
      <c r="F190" s="3"/>
      <c r="G190" s="2"/>
      <c r="H190" s="4" t="str">
        <f>IF($J$168="Y","OR","...")</f>
        <v>...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</row>
    <row r="191" spans="1:59">
      <c r="A191" s="1" t="str">
        <f>IF($K$168="Y",'Population Definitions'!$A$2,"...")</f>
        <v>...</v>
      </c>
      <c r="B191" s="4" t="str">
        <f>IF($K$168="Y","---&gt;","...")</f>
        <v>...</v>
      </c>
      <c r="C191" s="1" t="str">
        <f>IF($K$168="Y",'Population Definitions'!$A$11,"...")</f>
        <v>...</v>
      </c>
      <c r="E191" s="2"/>
      <c r="F191" s="3"/>
      <c r="G191" s="2"/>
      <c r="H191" s="4" t="str">
        <f>IF($K$168="Y","OR","...")</f>
        <v>...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</row>
    <row r="192" spans="1:59">
      <c r="A192" s="1" t="str">
        <f>IF($L$168="Y",'Population Definitions'!$A$2,"...")</f>
        <v>...</v>
      </c>
      <c r="B192" s="4" t="str">
        <f>IF($L$168="Y","---&gt;","...")</f>
        <v>...</v>
      </c>
      <c r="C192" s="1" t="str">
        <f>IF($L$168="Y",'Population Definitions'!$A$12,"...")</f>
        <v>...</v>
      </c>
      <c r="E192" s="2"/>
      <c r="F192" s="3"/>
      <c r="G192" s="2"/>
      <c r="H192" s="4" t="str">
        <f>IF($L$168="Y","OR","...")</f>
        <v>...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</row>
    <row r="193" spans="1:59">
      <c r="A193" s="1" t="str">
        <f>IF($M$168="Y",'Population Definitions'!$A$2,"...")</f>
        <v>...</v>
      </c>
      <c r="B193" s="4" t="str">
        <f>IF($M$168="Y","---&gt;","...")</f>
        <v>...</v>
      </c>
      <c r="C193" s="1" t="str">
        <f>IF($M$168="Y",'Population Definitions'!$A$13,"...")</f>
        <v>...</v>
      </c>
      <c r="E193" s="2"/>
      <c r="F193" s="3"/>
      <c r="G193" s="2"/>
      <c r="H193" s="4" t="str">
        <f>IF($M$168="Y","OR","...")</f>
        <v>...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</row>
    <row r="194" spans="1:59">
      <c r="A194" s="1" t="str">
        <f>IF($B$169="Y",'Population Definitions'!$A$3,"...")</f>
        <v>...</v>
      </c>
      <c r="B194" s="4" t="str">
        <f>IF($B$169="Y","---&gt;","...")</f>
        <v>...</v>
      </c>
      <c r="C194" s="1" t="str">
        <f>IF($B$169="Y",'Population Definitions'!$A$2,"...")</f>
        <v>...</v>
      </c>
      <c r="E194" s="2"/>
      <c r="F194" s="3"/>
      <c r="G194" s="2"/>
      <c r="H194" s="4" t="str">
        <f>IF($B$169="Y","OR","...")</f>
        <v>...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</row>
    <row r="195" spans="1:59">
      <c r="A195" s="1" t="str">
        <f>IF($C$169="Y",'Population Definitions'!$A$3,"...")</f>
        <v>...</v>
      </c>
      <c r="B195" s="4" t="str">
        <f>IF($C$169="Y","---&gt;","...")</f>
        <v>...</v>
      </c>
      <c r="C195" s="1" t="str">
        <f>IF($C$169="Y",'Population Definitions'!$A$3,"...")</f>
        <v>...</v>
      </c>
      <c r="E195" s="2"/>
      <c r="F195" s="3"/>
      <c r="G195" s="2"/>
      <c r="H195" s="4" t="str">
        <f>IF($C$169="Y","OR","...")</f>
        <v>...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</row>
    <row r="196" spans="1:59">
      <c r="A196" s="1" t="str">
        <f>IF($D$169="Y",'Population Definitions'!$A$3,"...")</f>
        <v>...</v>
      </c>
      <c r="B196" s="4" t="str">
        <f>IF($D$169="Y","---&gt;","...")</f>
        <v>...</v>
      </c>
      <c r="C196" s="1" t="str">
        <f>IF($D$169="Y",'Population Definitions'!$A$4,"...")</f>
        <v>...</v>
      </c>
      <c r="E196" s="2"/>
      <c r="F196" s="3"/>
      <c r="G196" s="2"/>
      <c r="H196" s="4" t="str">
        <f>IF($D$169="Y","OR","...")</f>
        <v>...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</row>
    <row r="197" spans="1:59">
      <c r="A197" s="1" t="str">
        <f>IF($E$169="Y",'Population Definitions'!$A$3,"...")</f>
        <v>...</v>
      </c>
      <c r="B197" s="4" t="str">
        <f>IF($E$169="Y","---&gt;","...")</f>
        <v>...</v>
      </c>
      <c r="C197" s="1" t="str">
        <f>IF($E$169="Y",'Population Definitions'!$A$5,"...")</f>
        <v>...</v>
      </c>
      <c r="E197" s="2"/>
      <c r="F197" s="3"/>
      <c r="G197" s="2"/>
      <c r="H197" s="4" t="str">
        <f>IF($E$169="Y","OR","...")</f>
        <v>...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</row>
    <row r="198" spans="1:59">
      <c r="A198" s="1" t="str">
        <f>IF($F$169="Y",'Population Definitions'!$A$3,"...")</f>
        <v>...</v>
      </c>
      <c r="B198" s="4" t="str">
        <f>IF($F$169="Y","---&gt;","...")</f>
        <v>...</v>
      </c>
      <c r="C198" s="1" t="str">
        <f>IF($F$169="Y",'Population Definitions'!$A$6,"...")</f>
        <v>...</v>
      </c>
      <c r="E198" s="2"/>
      <c r="F198" s="3"/>
      <c r="G198" s="2"/>
      <c r="H198" s="4" t="str">
        <f>IF($F$169="Y","OR","...")</f>
        <v>...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</row>
    <row r="199" spans="1:59">
      <c r="A199" s="1" t="str">
        <f>IF($G$169="Y",'Population Definitions'!$A$3,"...")</f>
        <v>...</v>
      </c>
      <c r="B199" s="4" t="str">
        <f>IF($G$169="Y","---&gt;","...")</f>
        <v>...</v>
      </c>
      <c r="C199" s="1" t="str">
        <f>IF($G$169="Y",'Population Definitions'!$A$7,"...")</f>
        <v>...</v>
      </c>
      <c r="E199" s="2"/>
      <c r="F199" s="3"/>
      <c r="G199" s="2"/>
      <c r="H199" s="4" t="str">
        <f>IF($G$169="Y","OR","...")</f>
        <v>...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</row>
    <row r="200" spans="1:59">
      <c r="A200" s="1" t="str">
        <f>IF($H$169="Y",'Population Definitions'!$A$3,"...")</f>
        <v>...</v>
      </c>
      <c r="B200" s="4" t="str">
        <f>IF($H$169="Y","---&gt;","...")</f>
        <v>...</v>
      </c>
      <c r="C200" s="1" t="str">
        <f>IF($H$169="Y",'Population Definitions'!$A$8,"...")</f>
        <v>...</v>
      </c>
      <c r="E200" s="2"/>
      <c r="F200" s="3"/>
      <c r="G200" s="2"/>
      <c r="H200" s="4" t="str">
        <f>IF($H$169="Y","OR","...")</f>
        <v>...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</row>
    <row r="201" spans="1:59">
      <c r="A201" s="1" t="str">
        <f>IF($I$169="Y",'Population Definitions'!$A$3,"...")</f>
        <v>PWID_females</v>
      </c>
      <c r="B201" s="4" t="str">
        <f>IF($I$169="Y","---&gt;","...")</f>
        <v>---&gt;</v>
      </c>
      <c r="C201" s="1" t="str">
        <f>IF($I$169="Y",'Population Definitions'!$A$9,"...")</f>
        <v>18-64_females</v>
      </c>
      <c r="E201" s="3" t="s">
        <v>53</v>
      </c>
      <c r="F201" s="3"/>
      <c r="G201" s="3">
        <v>0.0588235294117647</v>
      </c>
      <c r="H201" s="4" t="str">
        <f>IF($I$169="Y","OR","...")</f>
        <v>OR</v>
      </c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</row>
    <row r="202" spans="1:59">
      <c r="A202" s="1" t="str">
        <f>IF($J$169="Y",'Population Definitions'!$A$3,"...")</f>
        <v>...</v>
      </c>
      <c r="B202" s="4" t="str">
        <f>IF($J$169="Y","---&gt;","...")</f>
        <v>...</v>
      </c>
      <c r="C202" s="1" t="str">
        <f>IF($J$169="Y",'Population Definitions'!$A$10,"...")</f>
        <v>...</v>
      </c>
      <c r="E202" s="2"/>
      <c r="F202" s="3"/>
      <c r="G202" s="2"/>
      <c r="H202" s="4" t="str">
        <f>IF($J$169="Y","OR","...")</f>
        <v>...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</row>
    <row r="203" spans="1:59">
      <c r="A203" s="1" t="str">
        <f>IF($K$169="Y",'Population Definitions'!$A$3,"...")</f>
        <v>...</v>
      </c>
      <c r="B203" s="4" t="str">
        <f>IF($K$169="Y","---&gt;","...")</f>
        <v>...</v>
      </c>
      <c r="C203" s="1" t="str">
        <f>IF($K$169="Y",'Population Definitions'!$A$11,"...")</f>
        <v>...</v>
      </c>
      <c r="E203" s="2"/>
      <c r="F203" s="3"/>
      <c r="G203" s="2"/>
      <c r="H203" s="4" t="str">
        <f>IF($K$169="Y","OR","...")</f>
        <v>...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</row>
    <row r="204" spans="1:59">
      <c r="A204" s="1" t="str">
        <f>IF($L$169="Y",'Population Definitions'!$A$3,"...")</f>
        <v>...</v>
      </c>
      <c r="B204" s="4" t="str">
        <f>IF($L$169="Y","---&gt;","...")</f>
        <v>...</v>
      </c>
      <c r="C204" s="1" t="str">
        <f>IF($L$169="Y",'Population Definitions'!$A$12,"...")</f>
        <v>...</v>
      </c>
      <c r="E204" s="2"/>
      <c r="F204" s="3"/>
      <c r="G204" s="2"/>
      <c r="H204" s="4" t="str">
        <f>IF($L$169="Y","OR","...")</f>
        <v>...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</row>
    <row r="205" spans="1:59">
      <c r="A205" s="1" t="str">
        <f>IF($M$169="Y",'Population Definitions'!$A$3,"...")</f>
        <v>...</v>
      </c>
      <c r="B205" s="4" t="str">
        <f>IF($M$169="Y","---&gt;","...")</f>
        <v>...</v>
      </c>
      <c r="C205" s="1" t="str">
        <f>IF($M$169="Y",'Population Definitions'!$A$13,"...")</f>
        <v>...</v>
      </c>
      <c r="E205" s="2"/>
      <c r="F205" s="3"/>
      <c r="G205" s="2"/>
      <c r="H205" s="4" t="str">
        <f>IF($M$169="Y","OR","...")</f>
        <v>...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</row>
    <row r="206" spans="1:59">
      <c r="A206" s="1" t="str">
        <f>IF($B$170="Y",'Population Definitions'!$A$4,"...")</f>
        <v>...</v>
      </c>
      <c r="B206" s="4" t="str">
        <f>IF($B$170="Y","---&gt;","...")</f>
        <v>...</v>
      </c>
      <c r="C206" s="1" t="str">
        <f>IF($B$170="Y",'Population Definitions'!$A$2,"...")</f>
        <v>...</v>
      </c>
      <c r="E206" s="2"/>
      <c r="F206" s="3"/>
      <c r="G206" s="2"/>
      <c r="H206" s="4" t="str">
        <f>IF($B$170="Y","OR","...")</f>
        <v>...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</row>
    <row r="207" spans="1:59">
      <c r="A207" s="1" t="str">
        <f>IF($C$170="Y",'Population Definitions'!$A$4,"...")</f>
        <v>...</v>
      </c>
      <c r="B207" s="4" t="str">
        <f>IF($C$170="Y","---&gt;","...")</f>
        <v>...</v>
      </c>
      <c r="C207" s="1" t="str">
        <f>IF($C$170="Y",'Population Definitions'!$A$3,"...")</f>
        <v>...</v>
      </c>
      <c r="E207" s="2"/>
      <c r="F207" s="3"/>
      <c r="G207" s="2"/>
      <c r="H207" s="4" t="str">
        <f>IF($C$170="Y","OR","...")</f>
        <v>...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</row>
    <row r="208" spans="1:59">
      <c r="A208" s="1" t="str">
        <f>IF($D$170="Y",'Population Definitions'!$A$4,"...")</f>
        <v>...</v>
      </c>
      <c r="B208" s="4" t="str">
        <f>IF($D$170="Y","---&gt;","...")</f>
        <v>...</v>
      </c>
      <c r="C208" s="1" t="str">
        <f>IF($D$170="Y",'Population Definitions'!$A$4,"...")</f>
        <v>...</v>
      </c>
      <c r="E208" s="2"/>
      <c r="F208" s="3"/>
      <c r="G208" s="2"/>
      <c r="H208" s="4" t="str">
        <f>IF($D$170="Y","OR","...")</f>
        <v>...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</row>
    <row r="209" spans="1:59">
      <c r="A209" s="1" t="str">
        <f>IF($E$170="Y",'Population Definitions'!$A$4,"...")</f>
        <v>...</v>
      </c>
      <c r="B209" s="4" t="str">
        <f>IF($E$170="Y","---&gt;","...")</f>
        <v>...</v>
      </c>
      <c r="C209" s="1" t="str">
        <f>IF($E$170="Y",'Population Definitions'!$A$5,"...")</f>
        <v>...</v>
      </c>
      <c r="E209" s="2"/>
      <c r="F209" s="3"/>
      <c r="G209" s="2"/>
      <c r="H209" s="4" t="str">
        <f>IF($E$170="Y","OR","...")</f>
        <v>...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</row>
    <row r="210" spans="1:59">
      <c r="A210" s="1" t="str">
        <f>IF($F$170="Y",'Population Definitions'!$A$4,"...")</f>
        <v>...</v>
      </c>
      <c r="B210" s="4" t="str">
        <f>IF($F$170="Y","---&gt;","...")</f>
        <v>...</v>
      </c>
      <c r="C210" s="1" t="str">
        <f>IF($F$170="Y",'Population Definitions'!$A$6,"...")</f>
        <v>...</v>
      </c>
      <c r="E210" s="2"/>
      <c r="F210" s="3"/>
      <c r="G210" s="2"/>
      <c r="H210" s="4" t="str">
        <f>IF($F$170="Y","OR","...")</f>
        <v>...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</row>
    <row r="211" spans="1:59">
      <c r="A211" s="1" t="str">
        <f>IF($G$170="Y",'Population Definitions'!$A$4,"...")</f>
        <v>...</v>
      </c>
      <c r="B211" s="4" t="str">
        <f>IF($G$170="Y","---&gt;","...")</f>
        <v>...</v>
      </c>
      <c r="C211" s="1" t="str">
        <f>IF($G$170="Y",'Population Definitions'!$A$7,"...")</f>
        <v>...</v>
      </c>
      <c r="E211" s="2"/>
      <c r="F211" s="3"/>
      <c r="G211" s="2"/>
      <c r="H211" s="4" t="str">
        <f>IF($G$170="Y","OR","...")</f>
        <v>...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</row>
    <row r="212" spans="1:59">
      <c r="A212" s="1" t="str">
        <f>IF($H$170="Y",'Population Definitions'!$A$4,"...")</f>
        <v>...</v>
      </c>
      <c r="B212" s="4" t="str">
        <f>IF($H$170="Y","---&gt;","...")</f>
        <v>...</v>
      </c>
      <c r="C212" s="1" t="str">
        <f>IF($H$170="Y",'Population Definitions'!$A$8,"...")</f>
        <v>...</v>
      </c>
      <c r="E212" s="2"/>
      <c r="F212" s="3"/>
      <c r="G212" s="2"/>
      <c r="H212" s="4" t="str">
        <f>IF($H$170="Y","OR","...")</f>
        <v>...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</row>
    <row r="213" spans="1:59">
      <c r="A213" s="1" t="str">
        <f>IF($I$170="Y",'Population Definitions'!$A$4,"...")</f>
        <v>...</v>
      </c>
      <c r="B213" s="4" t="str">
        <f>IF($I$170="Y","---&gt;","...")</f>
        <v>...</v>
      </c>
      <c r="C213" s="1" t="str">
        <f>IF($I$170="Y",'Population Definitions'!$A$9,"...")</f>
        <v>...</v>
      </c>
      <c r="E213" s="2"/>
      <c r="F213" s="3"/>
      <c r="G213" s="2"/>
      <c r="H213" s="4" t="str">
        <f>IF($I$170="Y","OR","...")</f>
        <v>...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</row>
    <row r="214" spans="1:59">
      <c r="A214" s="1" t="str">
        <f>IF($J$170="Y",'Population Definitions'!$A$4,"...")</f>
        <v>...</v>
      </c>
      <c r="B214" s="4" t="str">
        <f>IF($J$170="Y","---&gt;","...")</f>
        <v>...</v>
      </c>
      <c r="C214" s="1" t="str">
        <f>IF($J$170="Y",'Population Definitions'!$A$10,"...")</f>
        <v>...</v>
      </c>
      <c r="E214" s="2"/>
      <c r="F214" s="3"/>
      <c r="G214" s="2"/>
      <c r="H214" s="4" t="str">
        <f>IF($J$170="Y","OR","...")</f>
        <v>...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</row>
    <row r="215" spans="1:59">
      <c r="A215" s="1" t="str">
        <f>IF($K$170="Y",'Population Definitions'!$A$4,"...")</f>
        <v>...</v>
      </c>
      <c r="B215" s="4" t="str">
        <f>IF($K$170="Y","---&gt;","...")</f>
        <v>...</v>
      </c>
      <c r="C215" s="1" t="str">
        <f>IF($K$170="Y",'Population Definitions'!$A$11,"...")</f>
        <v>...</v>
      </c>
      <c r="E215" s="2"/>
      <c r="F215" s="3"/>
      <c r="G215" s="2"/>
      <c r="H215" s="4" t="str">
        <f>IF($K$170="Y","OR","...")</f>
        <v>...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</row>
    <row r="216" spans="1:59">
      <c r="A216" s="1" t="str">
        <f>IF($L$170="Y",'Population Definitions'!$A$4,"...")</f>
        <v>...</v>
      </c>
      <c r="B216" s="4" t="str">
        <f>IF($L$170="Y","---&gt;","...")</f>
        <v>...</v>
      </c>
      <c r="C216" s="1" t="str">
        <f>IF($L$170="Y",'Population Definitions'!$A$12,"...")</f>
        <v>...</v>
      </c>
      <c r="E216" s="2"/>
      <c r="F216" s="3"/>
      <c r="G216" s="2"/>
      <c r="H216" s="4" t="str">
        <f>IF($L$170="Y","OR","...")</f>
        <v>...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</row>
    <row r="217" spans="1:59">
      <c r="A217" s="1" t="str">
        <f>IF($M$170="Y",'Population Definitions'!$A$4,"...")</f>
        <v>...</v>
      </c>
      <c r="B217" s="4" t="str">
        <f>IF($M$170="Y","---&gt;","...")</f>
        <v>...</v>
      </c>
      <c r="C217" s="1" t="str">
        <f>IF($M$170="Y",'Population Definitions'!$A$13,"...")</f>
        <v>...</v>
      </c>
      <c r="E217" s="2"/>
      <c r="F217" s="3"/>
      <c r="G217" s="2"/>
      <c r="H217" s="4" t="str">
        <f>IF($M$170="Y","OR","...")</f>
        <v>...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</row>
    <row r="218" spans="1:59">
      <c r="A218" s="1" t="str">
        <f>IF($B$171="Y",'Population Definitions'!$A$5,"...")</f>
        <v>...</v>
      </c>
      <c r="B218" s="4" t="str">
        <f>IF($B$171="Y","---&gt;","...")</f>
        <v>...</v>
      </c>
      <c r="C218" s="1" t="str">
        <f>IF($B$171="Y",'Population Definitions'!$A$2,"...")</f>
        <v>...</v>
      </c>
      <c r="E218" s="2"/>
      <c r="F218" s="3"/>
      <c r="G218" s="2"/>
      <c r="H218" s="4" t="str">
        <f>IF($B$171="Y","OR","...")</f>
        <v>...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</row>
    <row r="219" spans="1:59">
      <c r="A219" s="1" t="str">
        <f>IF($C$171="Y",'Population Definitions'!$A$5,"...")</f>
        <v>...</v>
      </c>
      <c r="B219" s="4" t="str">
        <f>IF($C$171="Y","---&gt;","...")</f>
        <v>...</v>
      </c>
      <c r="C219" s="1" t="str">
        <f>IF($C$171="Y",'Population Definitions'!$A$3,"...")</f>
        <v>...</v>
      </c>
      <c r="E219" s="2"/>
      <c r="F219" s="3"/>
      <c r="G219" s="2"/>
      <c r="H219" s="4" t="str">
        <f>IF($C$171="Y","OR","...")</f>
        <v>...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</row>
    <row r="220" spans="1:59">
      <c r="A220" s="1" t="str">
        <f>IF($D$171="Y",'Population Definitions'!$A$5,"...")</f>
        <v>...</v>
      </c>
      <c r="B220" s="4" t="str">
        <f>IF($D$171="Y","---&gt;","...")</f>
        <v>...</v>
      </c>
      <c r="C220" s="1" t="str">
        <f>IF($D$171="Y",'Population Definitions'!$A$4,"...")</f>
        <v>...</v>
      </c>
      <c r="E220" s="2"/>
      <c r="F220" s="3"/>
      <c r="G220" s="2"/>
      <c r="H220" s="4" t="str">
        <f>IF($D$171="Y","OR","...")</f>
        <v>...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</row>
    <row r="221" spans="1:59">
      <c r="A221" s="1" t="str">
        <f>IF($E$171="Y",'Population Definitions'!$A$5,"...")</f>
        <v>...</v>
      </c>
      <c r="B221" s="4" t="str">
        <f>IF($E$171="Y","---&gt;","...")</f>
        <v>...</v>
      </c>
      <c r="C221" s="1" t="str">
        <f>IF($E$171="Y",'Population Definitions'!$A$5,"...")</f>
        <v>...</v>
      </c>
      <c r="E221" s="2"/>
      <c r="F221" s="3"/>
      <c r="G221" s="2"/>
      <c r="H221" s="4" t="str">
        <f>IF($E$171="Y","OR","...")</f>
        <v>...</v>
      </c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</row>
    <row r="222" spans="1:59">
      <c r="A222" s="1" t="str">
        <f>IF($F$171="Y",'Population Definitions'!$A$5,"...")</f>
        <v>...</v>
      </c>
      <c r="B222" s="4" t="str">
        <f>IF($F$171="Y","---&gt;","...")</f>
        <v>...</v>
      </c>
      <c r="C222" s="1" t="str">
        <f>IF($F$171="Y",'Population Definitions'!$A$6,"...")</f>
        <v>...</v>
      </c>
      <c r="E222" s="2"/>
      <c r="F222" s="3"/>
      <c r="G222" s="2"/>
      <c r="H222" s="4" t="str">
        <f>IF($F$171="Y","OR","...")</f>
        <v>...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</row>
    <row r="223" spans="1:59">
      <c r="A223" s="1" t="str">
        <f>IF($G$171="Y",'Population Definitions'!$A$5,"...")</f>
        <v>...</v>
      </c>
      <c r="B223" s="4" t="str">
        <f>IF($G$171="Y","---&gt;","...")</f>
        <v>...</v>
      </c>
      <c r="C223" s="1" t="str">
        <f>IF($G$171="Y",'Population Definitions'!$A$7,"...")</f>
        <v>...</v>
      </c>
      <c r="E223" s="2"/>
      <c r="F223" s="3"/>
      <c r="G223" s="2"/>
      <c r="H223" s="4" t="str">
        <f>IF($G$171="Y","OR","...")</f>
        <v>...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</row>
    <row r="224" spans="1:59">
      <c r="A224" s="1" t="str">
        <f>IF($H$171="Y",'Population Definitions'!$A$5,"...")</f>
        <v>...</v>
      </c>
      <c r="B224" s="4" t="str">
        <f>IF($H$171="Y","---&gt;","...")</f>
        <v>...</v>
      </c>
      <c r="C224" s="1" t="str">
        <f>IF($H$171="Y",'Population Definitions'!$A$8,"...")</f>
        <v>...</v>
      </c>
      <c r="E224" s="2"/>
      <c r="F224" s="3"/>
      <c r="G224" s="2"/>
      <c r="H224" s="4" t="str">
        <f>IF($H$171="Y","OR","...")</f>
        <v>...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</row>
    <row r="225" spans="1:59">
      <c r="A225" s="1" t="str">
        <f>IF($I$171="Y",'Population Definitions'!$A$5,"...")</f>
        <v>...</v>
      </c>
      <c r="B225" s="4" t="str">
        <f>IF($I$171="Y","---&gt;","...")</f>
        <v>...</v>
      </c>
      <c r="C225" s="1" t="str">
        <f>IF($I$171="Y",'Population Definitions'!$A$9,"...")</f>
        <v>...</v>
      </c>
      <c r="E225" s="2"/>
      <c r="F225" s="3"/>
      <c r="G225" s="2"/>
      <c r="H225" s="4" t="str">
        <f>IF($I$171="Y","OR","...")</f>
        <v>...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</row>
    <row r="226" spans="1:59">
      <c r="A226" s="1" t="str">
        <f>IF($J$171="Y",'Population Definitions'!$A$5,"...")</f>
        <v>...</v>
      </c>
      <c r="B226" s="4" t="str">
        <f>IF($J$171="Y","---&gt;","...")</f>
        <v>...</v>
      </c>
      <c r="C226" s="1" t="str">
        <f>IF($J$171="Y",'Population Definitions'!$A$10,"...")</f>
        <v>...</v>
      </c>
      <c r="E226" s="2"/>
      <c r="F226" s="3"/>
      <c r="G226" s="2"/>
      <c r="H226" s="4" t="str">
        <f>IF($J$171="Y","OR","...")</f>
        <v>...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</row>
    <row r="227" spans="1:59">
      <c r="A227" s="1" t="str">
        <f>IF($K$171="Y",'Population Definitions'!$A$5,"...")</f>
        <v>...</v>
      </c>
      <c r="B227" s="4" t="str">
        <f>IF($K$171="Y","---&gt;","...")</f>
        <v>...</v>
      </c>
      <c r="C227" s="1" t="str">
        <f>IF($K$171="Y",'Population Definitions'!$A$11,"...")</f>
        <v>...</v>
      </c>
      <c r="E227" s="2"/>
      <c r="F227" s="3"/>
      <c r="G227" s="2"/>
      <c r="H227" s="4" t="str">
        <f>IF($K$171="Y","OR","...")</f>
        <v>...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</row>
    <row r="228" spans="1:59">
      <c r="A228" s="1" t="str">
        <f>IF($L$171="Y",'Population Definitions'!$A$5,"...")</f>
        <v>...</v>
      </c>
      <c r="B228" s="4" t="str">
        <f>IF($L$171="Y","---&gt;","...")</f>
        <v>...</v>
      </c>
      <c r="C228" s="1" t="str">
        <f>IF($L$171="Y",'Population Definitions'!$A$12,"...")</f>
        <v>...</v>
      </c>
      <c r="E228" s="2"/>
      <c r="F228" s="3"/>
      <c r="G228" s="2"/>
      <c r="H228" s="4" t="str">
        <f>IF($L$171="Y","OR","...")</f>
        <v>...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</row>
    <row r="229" spans="1:59">
      <c r="A229" s="1" t="str">
        <f>IF($M$171="Y",'Population Definitions'!$A$5,"...")</f>
        <v>...</v>
      </c>
      <c r="B229" s="4" t="str">
        <f>IF($M$171="Y","---&gt;","...")</f>
        <v>...</v>
      </c>
      <c r="C229" s="1" t="str">
        <f>IF($M$171="Y",'Population Definitions'!$A$13,"...")</f>
        <v>...</v>
      </c>
      <c r="E229" s="2"/>
      <c r="F229" s="3"/>
      <c r="G229" s="2"/>
      <c r="H229" s="4" t="str">
        <f>IF($M$171="Y","OR","...")</f>
        <v>...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</row>
    <row r="230" spans="1:59">
      <c r="A230" s="1" t="str">
        <f>IF($B$172="Y",'Population Definitions'!$A$6,"...")</f>
        <v>...</v>
      </c>
      <c r="B230" s="4" t="str">
        <f>IF($B$172="Y","---&gt;","...")</f>
        <v>...</v>
      </c>
      <c r="C230" s="1" t="str">
        <f>IF($B$172="Y",'Population Definitions'!$A$2,"...")</f>
        <v>...</v>
      </c>
      <c r="E230" s="2"/>
      <c r="F230" s="3"/>
      <c r="G230" s="2"/>
      <c r="H230" s="4" t="str">
        <f>IF($B$172="Y","OR","...")</f>
        <v>...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</row>
    <row r="231" spans="1:59">
      <c r="A231" s="1" t="str">
        <f>IF($C$172="Y",'Population Definitions'!$A$6,"...")</f>
        <v>...</v>
      </c>
      <c r="B231" s="4" t="str">
        <f>IF($C$172="Y","---&gt;","...")</f>
        <v>...</v>
      </c>
      <c r="C231" s="1" t="str">
        <f>IF($C$172="Y",'Population Definitions'!$A$3,"...")</f>
        <v>...</v>
      </c>
      <c r="E231" s="2"/>
      <c r="F231" s="3"/>
      <c r="G231" s="2"/>
      <c r="H231" s="4" t="str">
        <f>IF($C$172="Y","OR","...")</f>
        <v>...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</row>
    <row r="232" spans="1:59">
      <c r="A232" s="1" t="str">
        <f>IF($D$172="Y",'Population Definitions'!$A$6,"...")</f>
        <v>...</v>
      </c>
      <c r="B232" s="4" t="str">
        <f>IF($D$172="Y","---&gt;","...")</f>
        <v>...</v>
      </c>
      <c r="C232" s="1" t="str">
        <f>IF($D$172="Y",'Population Definitions'!$A$4,"...")</f>
        <v>...</v>
      </c>
      <c r="E232" s="2"/>
      <c r="F232" s="3"/>
      <c r="G232" s="2"/>
      <c r="H232" s="4" t="str">
        <f>IF($D$172="Y","OR","...")</f>
        <v>...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</row>
    <row r="233" spans="1:59">
      <c r="A233" s="1" t="str">
        <f>IF($E$172="Y",'Population Definitions'!$A$6,"...")</f>
        <v>...</v>
      </c>
      <c r="B233" s="4" t="str">
        <f>IF($E$172="Y","---&gt;","...")</f>
        <v>...</v>
      </c>
      <c r="C233" s="1" t="str">
        <f>IF($E$172="Y",'Population Definitions'!$A$5,"...")</f>
        <v>...</v>
      </c>
      <c r="E233" s="2"/>
      <c r="F233" s="3"/>
      <c r="G233" s="2"/>
      <c r="H233" s="4" t="str">
        <f>IF($E$172="Y","OR","...")</f>
        <v>...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</row>
    <row r="234" spans="1:59">
      <c r="A234" s="1" t="str">
        <f>IF($F$172="Y",'Population Definitions'!$A$6,"...")</f>
        <v>...</v>
      </c>
      <c r="B234" s="4" t="str">
        <f>IF($F$172="Y","---&gt;","...")</f>
        <v>...</v>
      </c>
      <c r="C234" s="1" t="str">
        <f>IF($F$172="Y",'Population Definitions'!$A$6,"...")</f>
        <v>...</v>
      </c>
      <c r="E234" s="2"/>
      <c r="F234" s="3"/>
      <c r="G234" s="2"/>
      <c r="H234" s="4" t="str">
        <f>IF($F$172="Y","OR","...")</f>
        <v>...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</row>
    <row r="235" spans="1:59">
      <c r="A235" s="1" t="str">
        <f>IF($G$172="Y",'Population Definitions'!$A$6,"...")</f>
        <v>...</v>
      </c>
      <c r="B235" s="4" t="str">
        <f>IF($G$172="Y","---&gt;","...")</f>
        <v>...</v>
      </c>
      <c r="C235" s="1" t="str">
        <f>IF($G$172="Y",'Population Definitions'!$A$7,"...")</f>
        <v>...</v>
      </c>
      <c r="E235" s="2"/>
      <c r="F235" s="3"/>
      <c r="G235" s="2"/>
      <c r="H235" s="4" t="str">
        <f>IF($G$172="Y","OR","...")</f>
        <v>...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</row>
    <row r="236" spans="1:59">
      <c r="A236" s="1" t="str">
        <f>IF($H$172="Y",'Population Definitions'!$A$6,"...")</f>
        <v>...</v>
      </c>
      <c r="B236" s="4" t="str">
        <f>IF($H$172="Y","---&gt;","...")</f>
        <v>...</v>
      </c>
      <c r="C236" s="1" t="str">
        <f>IF($H$172="Y",'Population Definitions'!$A$8,"...")</f>
        <v>...</v>
      </c>
      <c r="E236" s="2"/>
      <c r="F236" s="3"/>
      <c r="G236" s="2"/>
      <c r="H236" s="4" t="str">
        <f>IF($H$172="Y","OR","...")</f>
        <v>...</v>
      </c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</row>
    <row r="237" spans="1:59">
      <c r="A237" s="1" t="str">
        <f>IF($I$172="Y",'Population Definitions'!$A$6,"...")</f>
        <v>...</v>
      </c>
      <c r="B237" s="4" t="str">
        <f>IF($I$172="Y","---&gt;","...")</f>
        <v>...</v>
      </c>
      <c r="C237" s="1" t="str">
        <f>IF($I$172="Y",'Population Definitions'!$A$9,"...")</f>
        <v>...</v>
      </c>
      <c r="E237" s="2"/>
      <c r="F237" s="3"/>
      <c r="G237" s="2"/>
      <c r="H237" s="4" t="str">
        <f>IF($I$172="Y","OR","...")</f>
        <v>...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</row>
    <row r="238" spans="1:59">
      <c r="A238" s="1" t="str">
        <f>IF($J$172="Y",'Population Definitions'!$A$6,"...")</f>
        <v>...</v>
      </c>
      <c r="B238" s="4" t="str">
        <f>IF($J$172="Y","---&gt;","...")</f>
        <v>...</v>
      </c>
      <c r="C238" s="1" t="str">
        <f>IF($J$172="Y",'Population Definitions'!$A$10,"...")</f>
        <v>...</v>
      </c>
      <c r="E238" s="2"/>
      <c r="F238" s="3"/>
      <c r="G238" s="2"/>
      <c r="H238" s="4" t="str">
        <f>IF($J$172="Y","OR","...")</f>
        <v>...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</row>
    <row r="239" spans="1:59">
      <c r="A239" s="1" t="str">
        <f>IF($K$172="Y",'Population Definitions'!$A$6,"...")</f>
        <v>...</v>
      </c>
      <c r="B239" s="4" t="str">
        <f>IF($K$172="Y","---&gt;","...")</f>
        <v>...</v>
      </c>
      <c r="C239" s="1" t="str">
        <f>IF($K$172="Y",'Population Definitions'!$A$11,"...")</f>
        <v>...</v>
      </c>
      <c r="E239" s="2"/>
      <c r="F239" s="3"/>
      <c r="G239" s="2"/>
      <c r="H239" s="4" t="str">
        <f>IF($K$172="Y","OR","...")</f>
        <v>...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</row>
    <row r="240" spans="1:59">
      <c r="A240" s="1" t="str">
        <f>IF($L$172="Y",'Population Definitions'!$A$6,"...")</f>
        <v>...</v>
      </c>
      <c r="B240" s="4" t="str">
        <f>IF($L$172="Y","---&gt;","...")</f>
        <v>...</v>
      </c>
      <c r="C240" s="1" t="str">
        <f>IF($L$172="Y",'Population Definitions'!$A$12,"...")</f>
        <v>...</v>
      </c>
      <c r="E240" s="2"/>
      <c r="F240" s="3"/>
      <c r="G240" s="2"/>
      <c r="H240" s="4" t="str">
        <f>IF($L$172="Y","OR","...")</f>
        <v>...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</row>
    <row r="241" spans="1:59">
      <c r="A241" s="1" t="str">
        <f>IF($M$172="Y",'Population Definitions'!$A$6,"...")</f>
        <v>...</v>
      </c>
      <c r="B241" s="4" t="str">
        <f>IF($M$172="Y","---&gt;","...")</f>
        <v>...</v>
      </c>
      <c r="C241" s="1" t="str">
        <f>IF($M$172="Y",'Population Definitions'!$A$13,"...")</f>
        <v>...</v>
      </c>
      <c r="E241" s="2"/>
      <c r="F241" s="3"/>
      <c r="G241" s="2"/>
      <c r="H241" s="4" t="str">
        <f>IF($M$172="Y","OR","...")</f>
        <v>...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</row>
    <row r="242" spans="1:59">
      <c r="A242" s="1" t="str">
        <f>IF($B$173="Y",'Population Definitions'!$A$7,"...")</f>
        <v>...</v>
      </c>
      <c r="B242" s="4" t="str">
        <f>IF($B$173="Y","---&gt;","...")</f>
        <v>...</v>
      </c>
      <c r="C242" s="1" t="str">
        <f>IF($B$173="Y",'Population Definitions'!$A$2,"...")</f>
        <v>...</v>
      </c>
      <c r="E242" s="2"/>
      <c r="F242" s="3"/>
      <c r="G242" s="2"/>
      <c r="H242" s="4" t="str">
        <f>IF($B$173="Y","OR","...")</f>
        <v>...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</row>
    <row r="243" spans="1:59">
      <c r="A243" s="1" t="str">
        <f>IF($C$173="Y",'Population Definitions'!$A$7,"...")</f>
        <v>...</v>
      </c>
      <c r="B243" s="4" t="str">
        <f>IF($C$173="Y","---&gt;","...")</f>
        <v>...</v>
      </c>
      <c r="C243" s="1" t="str">
        <f>IF($C$173="Y",'Population Definitions'!$A$3,"...")</f>
        <v>...</v>
      </c>
      <c r="E243" s="2"/>
      <c r="F243" s="3"/>
      <c r="G243" s="2"/>
      <c r="H243" s="4" t="str">
        <f>IF($C$173="Y","OR","...")</f>
        <v>...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</row>
    <row r="244" spans="1:59">
      <c r="A244" s="1" t="str">
        <f>IF($D$173="Y",'Population Definitions'!$A$7,"...")</f>
        <v>...</v>
      </c>
      <c r="B244" s="4" t="str">
        <f>IF($D$173="Y","---&gt;","...")</f>
        <v>...</v>
      </c>
      <c r="C244" s="1" t="str">
        <f>IF($D$173="Y",'Population Definitions'!$A$4,"...")</f>
        <v>...</v>
      </c>
      <c r="E244" s="2"/>
      <c r="F244" s="3"/>
      <c r="G244" s="2"/>
      <c r="H244" s="4" t="str">
        <f>IF($D$173="Y","OR","...")</f>
        <v>...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</row>
    <row r="245" spans="1:59">
      <c r="A245" s="1" t="str">
        <f>IF($E$173="Y",'Population Definitions'!$A$7,"...")</f>
        <v>...</v>
      </c>
      <c r="B245" s="4" t="str">
        <f>IF($E$173="Y","---&gt;","...")</f>
        <v>...</v>
      </c>
      <c r="C245" s="1" t="str">
        <f>IF($E$173="Y",'Population Definitions'!$A$5,"...")</f>
        <v>...</v>
      </c>
      <c r="E245" s="2"/>
      <c r="F245" s="3"/>
      <c r="G245" s="2"/>
      <c r="H245" s="4" t="str">
        <f>IF($E$173="Y","OR","...")</f>
        <v>...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</row>
    <row r="246" spans="1:59">
      <c r="A246" s="1" t="str">
        <f>IF($F$173="Y",'Population Definitions'!$A$7,"...")</f>
        <v>...</v>
      </c>
      <c r="B246" s="4" t="str">
        <f>IF($F$173="Y","---&gt;","...")</f>
        <v>...</v>
      </c>
      <c r="C246" s="1" t="str">
        <f>IF($F$173="Y",'Population Definitions'!$A$6,"...")</f>
        <v>...</v>
      </c>
      <c r="E246" s="2"/>
      <c r="F246" s="3"/>
      <c r="G246" s="2"/>
      <c r="H246" s="4" t="str">
        <f>IF($F$173="Y","OR","...")</f>
        <v>...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</row>
    <row r="247" spans="1:59">
      <c r="A247" s="1" t="str">
        <f>IF($G$173="Y",'Population Definitions'!$A$7,"...")</f>
        <v>...</v>
      </c>
      <c r="B247" s="4" t="str">
        <f>IF($G$173="Y","---&gt;","...")</f>
        <v>...</v>
      </c>
      <c r="C247" s="1" t="str">
        <f>IF($G$173="Y",'Population Definitions'!$A$7,"...")</f>
        <v>...</v>
      </c>
      <c r="E247" s="2"/>
      <c r="F247" s="3"/>
      <c r="G247" s="2"/>
      <c r="H247" s="4" t="str">
        <f>IF($G$173="Y","OR","...")</f>
        <v>...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</row>
    <row r="248" spans="1:59">
      <c r="A248" s="1" t="str">
        <f>IF($H$173="Y",'Population Definitions'!$A$7,"...")</f>
        <v>...</v>
      </c>
      <c r="B248" s="4" t="str">
        <f>IF($H$173="Y","---&gt;","...")</f>
        <v>...</v>
      </c>
      <c r="C248" s="1" t="str">
        <f>IF($H$173="Y",'Population Definitions'!$A$8,"...")</f>
        <v>...</v>
      </c>
      <c r="E248" s="2"/>
      <c r="F248" s="3"/>
      <c r="G248" s="2"/>
      <c r="H248" s="4" t="str">
        <f>IF($H$173="Y","OR","...")</f>
        <v>...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</row>
    <row r="249" spans="1:59">
      <c r="A249" s="1" t="str">
        <f>IF($I$173="Y",'Population Definitions'!$A$7,"...")</f>
        <v>...</v>
      </c>
      <c r="B249" s="4" t="str">
        <f>IF($I$173="Y","---&gt;","...")</f>
        <v>...</v>
      </c>
      <c r="C249" s="1" t="str">
        <f>IF($I$173="Y",'Population Definitions'!$A$9,"...")</f>
        <v>...</v>
      </c>
      <c r="E249" s="2"/>
      <c r="F249" s="3"/>
      <c r="G249" s="2"/>
      <c r="H249" s="4" t="str">
        <f>IF($I$173="Y","OR","...")</f>
        <v>...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</row>
    <row r="250" spans="1:59">
      <c r="A250" s="1" t="str">
        <f>IF($J$173="Y",'Population Definitions'!$A$7,"...")</f>
        <v>...</v>
      </c>
      <c r="B250" s="4" t="str">
        <f>IF($J$173="Y","---&gt;","...")</f>
        <v>...</v>
      </c>
      <c r="C250" s="1" t="str">
        <f>IF($J$173="Y",'Population Definitions'!$A$10,"...")</f>
        <v>...</v>
      </c>
      <c r="E250" s="2"/>
      <c r="F250" s="3"/>
      <c r="G250" s="2"/>
      <c r="H250" s="4" t="str">
        <f>IF($J$173="Y","OR","...")</f>
        <v>...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</row>
    <row r="251" spans="1:59">
      <c r="A251" s="1" t="str">
        <f>IF($K$173="Y",'Population Definitions'!$A$7,"...")</f>
        <v>...</v>
      </c>
      <c r="B251" s="4" t="str">
        <f>IF($K$173="Y","---&gt;","...")</f>
        <v>...</v>
      </c>
      <c r="C251" s="1" t="str">
        <f>IF($K$173="Y",'Population Definitions'!$A$11,"...")</f>
        <v>...</v>
      </c>
      <c r="E251" s="2"/>
      <c r="F251" s="3"/>
      <c r="G251" s="2"/>
      <c r="H251" s="4" t="str">
        <f>IF($K$173="Y","OR","...")</f>
        <v>...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</row>
    <row r="252" spans="1:59">
      <c r="A252" s="1" t="str">
        <f>IF($L$173="Y",'Population Definitions'!$A$7,"...")</f>
        <v>...</v>
      </c>
      <c r="B252" s="4" t="str">
        <f>IF($L$173="Y","---&gt;","...")</f>
        <v>...</v>
      </c>
      <c r="C252" s="1" t="str">
        <f>IF($L$173="Y",'Population Definitions'!$A$12,"...")</f>
        <v>...</v>
      </c>
      <c r="E252" s="2"/>
      <c r="F252" s="3"/>
      <c r="G252" s="2"/>
      <c r="H252" s="4" t="str">
        <f>IF($L$173="Y","OR","...")</f>
        <v>...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</row>
    <row r="253" spans="1:59">
      <c r="A253" s="1" t="str">
        <f>IF($M$173="Y",'Population Definitions'!$A$7,"...")</f>
        <v>...</v>
      </c>
      <c r="B253" s="4" t="str">
        <f>IF($M$173="Y","---&gt;","...")</f>
        <v>...</v>
      </c>
      <c r="C253" s="1" t="str">
        <f>IF($M$173="Y",'Population Definitions'!$A$13,"...")</f>
        <v>...</v>
      </c>
      <c r="E253" s="2"/>
      <c r="F253" s="3"/>
      <c r="G253" s="2"/>
      <c r="H253" s="4" t="str">
        <f>IF($M$173="Y","OR","...")</f>
        <v>...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</row>
    <row r="254" spans="1:59">
      <c r="A254" s="1" t="str">
        <f>IF($B$174="Y",'Population Definitions'!$A$8,"...")</f>
        <v>18-64_males</v>
      </c>
      <c r="B254" s="4" t="str">
        <f>IF($B$174="Y","---&gt;","...")</f>
        <v>---&gt;</v>
      </c>
      <c r="C254" s="1" t="str">
        <f>IF($B$174="Y",'Population Definitions'!$A$2,"...")</f>
        <v>PWID_males</v>
      </c>
      <c r="E254" s="3" t="s">
        <v>53</v>
      </c>
      <c r="F254" s="3"/>
      <c r="G254" s="3">
        <v>0.0001964378693333368</v>
      </c>
      <c r="H254" s="4" t="str">
        <f>IF($B$174="Y","OR","...")</f>
        <v>OR</v>
      </c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</row>
    <row r="255" spans="1:59">
      <c r="A255" s="1" t="str">
        <f>IF($C$174="Y",'Population Definitions'!$A$8,"...")</f>
        <v>...</v>
      </c>
      <c r="B255" s="4" t="str">
        <f>IF($C$174="Y","---&gt;","...")</f>
        <v>...</v>
      </c>
      <c r="C255" s="1" t="str">
        <f>IF($C$174="Y",'Population Definitions'!$A$3,"...")</f>
        <v>...</v>
      </c>
      <c r="E255" s="2"/>
      <c r="F255" s="3"/>
      <c r="G255" s="2"/>
      <c r="H255" s="4" t="str">
        <f>IF($C$174="Y","OR","...")</f>
        <v>...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</row>
    <row r="256" spans="1:59">
      <c r="A256" s="1" t="str">
        <f>IF($D$174="Y",'Population Definitions'!$A$8,"...")</f>
        <v>...</v>
      </c>
      <c r="B256" s="4" t="str">
        <f>IF($D$174="Y","---&gt;","...")</f>
        <v>...</v>
      </c>
      <c r="C256" s="1" t="str">
        <f>IF($D$174="Y",'Population Definitions'!$A$4,"...")</f>
        <v>...</v>
      </c>
      <c r="E256" s="2"/>
      <c r="F256" s="3"/>
      <c r="G256" s="2"/>
      <c r="H256" s="4" t="str">
        <f>IF($D$174="Y","OR","...")</f>
        <v>...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</row>
    <row r="257" spans="1:59">
      <c r="A257" s="1" t="str">
        <f>IF($E$174="Y",'Population Definitions'!$A$8,"...")</f>
        <v>...</v>
      </c>
      <c r="B257" s="4" t="str">
        <f>IF($E$174="Y","---&gt;","...")</f>
        <v>...</v>
      </c>
      <c r="C257" s="1" t="str">
        <f>IF($E$174="Y",'Population Definitions'!$A$5,"...")</f>
        <v>...</v>
      </c>
      <c r="E257" s="2"/>
      <c r="F257" s="3"/>
      <c r="G257" s="2"/>
      <c r="H257" s="4" t="str">
        <f>IF($E$174="Y","OR","...")</f>
        <v>...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</row>
    <row r="258" spans="1:59">
      <c r="A258" s="1" t="str">
        <f>IF($F$174="Y",'Population Definitions'!$A$8,"...")</f>
        <v>...</v>
      </c>
      <c r="B258" s="4" t="str">
        <f>IF($F$174="Y","---&gt;","...")</f>
        <v>...</v>
      </c>
      <c r="C258" s="1" t="str">
        <f>IF($F$174="Y",'Population Definitions'!$A$6,"...")</f>
        <v>...</v>
      </c>
      <c r="E258" s="2"/>
      <c r="F258" s="3"/>
      <c r="G258" s="2"/>
      <c r="H258" s="4" t="str">
        <f>IF($F$174="Y","OR","...")</f>
        <v>...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</row>
    <row r="259" spans="1:59">
      <c r="A259" s="1" t="str">
        <f>IF($G$174="Y",'Population Definitions'!$A$8,"...")</f>
        <v>...</v>
      </c>
      <c r="B259" s="4" t="str">
        <f>IF($G$174="Y","---&gt;","...")</f>
        <v>...</v>
      </c>
      <c r="C259" s="1" t="str">
        <f>IF($G$174="Y",'Population Definitions'!$A$7,"...")</f>
        <v>...</v>
      </c>
      <c r="E259" s="2"/>
      <c r="F259" s="3"/>
      <c r="G259" s="2"/>
      <c r="H259" s="4" t="str">
        <f>IF($G$174="Y","OR","...")</f>
        <v>...</v>
      </c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</row>
    <row r="260" spans="1:59">
      <c r="A260" s="1" t="str">
        <f>IF($H$174="Y",'Population Definitions'!$A$8,"...")</f>
        <v>...</v>
      </c>
      <c r="B260" s="4" t="str">
        <f>IF($H$174="Y","---&gt;","...")</f>
        <v>...</v>
      </c>
      <c r="C260" s="1" t="str">
        <f>IF($H$174="Y",'Population Definitions'!$A$8,"...")</f>
        <v>...</v>
      </c>
      <c r="E260" s="2"/>
      <c r="F260" s="3"/>
      <c r="G260" s="2"/>
      <c r="H260" s="4" t="str">
        <f>IF($H$174="Y","OR","...")</f>
        <v>...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</row>
    <row r="261" spans="1:59">
      <c r="A261" s="1" t="str">
        <f>IF($I$174="Y",'Population Definitions'!$A$8,"...")</f>
        <v>...</v>
      </c>
      <c r="B261" s="4" t="str">
        <f>IF($I$174="Y","---&gt;","...")</f>
        <v>...</v>
      </c>
      <c r="C261" s="1" t="str">
        <f>IF($I$174="Y",'Population Definitions'!$A$9,"...")</f>
        <v>...</v>
      </c>
      <c r="E261" s="2"/>
      <c r="F261" s="3"/>
      <c r="G261" s="2"/>
      <c r="H261" s="4" t="str">
        <f>IF($I$174="Y","OR","...")</f>
        <v>...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</row>
    <row r="262" spans="1:59">
      <c r="A262" s="1" t="str">
        <f>IF($J$174="Y",'Population Definitions'!$A$8,"...")</f>
        <v>...</v>
      </c>
      <c r="B262" s="4" t="str">
        <f>IF($J$174="Y","---&gt;","...")</f>
        <v>...</v>
      </c>
      <c r="C262" s="1" t="str">
        <f>IF($J$174="Y",'Population Definitions'!$A$10,"...")</f>
        <v>...</v>
      </c>
      <c r="E262" s="2"/>
      <c r="F262" s="3"/>
      <c r="G262" s="2"/>
      <c r="H262" s="4" t="str">
        <f>IF($J$174="Y","OR","...")</f>
        <v>...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</row>
    <row r="263" spans="1:59">
      <c r="A263" s="1" t="str">
        <f>IF($K$174="Y",'Population Definitions'!$A$8,"...")</f>
        <v>...</v>
      </c>
      <c r="B263" s="4" t="str">
        <f>IF($K$174="Y","---&gt;","...")</f>
        <v>...</v>
      </c>
      <c r="C263" s="1" t="str">
        <f>IF($K$174="Y",'Population Definitions'!$A$11,"...")</f>
        <v>...</v>
      </c>
      <c r="E263" s="2"/>
      <c r="F263" s="3"/>
      <c r="G263" s="2"/>
      <c r="H263" s="4" t="str">
        <f>IF($K$174="Y","OR","...")</f>
        <v>...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</row>
    <row r="264" spans="1:59">
      <c r="A264" s="1" t="str">
        <f>IF($L$174="Y",'Population Definitions'!$A$8,"...")</f>
        <v>...</v>
      </c>
      <c r="B264" s="4" t="str">
        <f>IF($L$174="Y","---&gt;","...")</f>
        <v>...</v>
      </c>
      <c r="C264" s="1" t="str">
        <f>IF($L$174="Y",'Population Definitions'!$A$12,"...")</f>
        <v>...</v>
      </c>
      <c r="E264" s="2"/>
      <c r="F264" s="3"/>
      <c r="G264" s="2"/>
      <c r="H264" s="4" t="str">
        <f>IF($L$174="Y","OR","...")</f>
        <v>...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</row>
    <row r="265" spans="1:59">
      <c r="A265" s="1" t="str">
        <f>IF($M$174="Y",'Population Definitions'!$A$8,"...")</f>
        <v>...</v>
      </c>
      <c r="B265" s="4" t="str">
        <f>IF($M$174="Y","---&gt;","...")</f>
        <v>...</v>
      </c>
      <c r="C265" s="1" t="str">
        <f>IF($M$174="Y",'Population Definitions'!$A$13,"...")</f>
        <v>...</v>
      </c>
      <c r="E265" s="2"/>
      <c r="F265" s="3"/>
      <c r="G265" s="2"/>
      <c r="H265" s="4" t="str">
        <f>IF($M$174="Y","OR","...")</f>
        <v>...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</row>
    <row r="266" spans="1:59">
      <c r="A266" s="1" t="str">
        <f>IF($B$175="Y",'Population Definitions'!$A$9,"...")</f>
        <v>...</v>
      </c>
      <c r="B266" s="4" t="str">
        <f>IF($B$175="Y","---&gt;","...")</f>
        <v>...</v>
      </c>
      <c r="C266" s="1" t="str">
        <f>IF($B$175="Y",'Population Definitions'!$A$2,"...")</f>
        <v>...</v>
      </c>
      <c r="E266" s="2"/>
      <c r="F266" s="3"/>
      <c r="G266" s="2"/>
      <c r="H266" s="4" t="str">
        <f>IF($B$175="Y","OR","...")</f>
        <v>...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</row>
    <row r="267" spans="1:59">
      <c r="A267" s="1" t="str">
        <f>IF($C$175="Y",'Population Definitions'!$A$9,"...")</f>
        <v>18-64_females</v>
      </c>
      <c r="B267" s="4" t="str">
        <f>IF($C$175="Y","---&gt;","...")</f>
        <v>---&gt;</v>
      </c>
      <c r="C267" s="1" t="str">
        <f>IF($C$175="Y",'Population Definitions'!$A$3,"...")</f>
        <v>PWID_females</v>
      </c>
      <c r="E267" s="3" t="s">
        <v>53</v>
      </c>
      <c r="F267" s="3"/>
      <c r="G267" s="3">
        <v>2.471359852154333E-05</v>
      </c>
      <c r="H267" s="4" t="str">
        <f>IF($C$175="Y","OR","...")</f>
        <v>OR</v>
      </c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</row>
    <row r="268" spans="1:59">
      <c r="A268" s="1" t="str">
        <f>IF($D$175="Y",'Population Definitions'!$A$9,"...")</f>
        <v>...</v>
      </c>
      <c r="B268" s="4" t="str">
        <f>IF($D$175="Y","---&gt;","...")</f>
        <v>...</v>
      </c>
      <c r="C268" s="1" t="str">
        <f>IF($D$175="Y",'Population Definitions'!$A$4,"...")</f>
        <v>...</v>
      </c>
      <c r="E268" s="2"/>
      <c r="F268" s="3"/>
      <c r="G268" s="2"/>
      <c r="H268" s="4" t="str">
        <f>IF($D$175="Y","OR","...")</f>
        <v>...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</row>
    <row r="269" spans="1:59">
      <c r="A269" s="1" t="str">
        <f>IF($E$175="Y",'Population Definitions'!$A$9,"...")</f>
        <v>...</v>
      </c>
      <c r="B269" s="4" t="str">
        <f>IF($E$175="Y","---&gt;","...")</f>
        <v>...</v>
      </c>
      <c r="C269" s="1" t="str">
        <f>IF($E$175="Y",'Population Definitions'!$A$5,"...")</f>
        <v>...</v>
      </c>
      <c r="E269" s="2"/>
      <c r="F269" s="3"/>
      <c r="G269" s="2"/>
      <c r="H269" s="4" t="str">
        <f>IF($E$175="Y","OR","...")</f>
        <v>...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</row>
    <row r="270" spans="1:59">
      <c r="A270" s="1" t="str">
        <f>IF($F$175="Y",'Population Definitions'!$A$9,"...")</f>
        <v>...</v>
      </c>
      <c r="B270" s="4" t="str">
        <f>IF($F$175="Y","---&gt;","...")</f>
        <v>...</v>
      </c>
      <c r="C270" s="1" t="str">
        <f>IF($F$175="Y",'Population Definitions'!$A$6,"...")</f>
        <v>...</v>
      </c>
      <c r="E270" s="2"/>
      <c r="F270" s="3"/>
      <c r="G270" s="2"/>
      <c r="H270" s="4" t="str">
        <f>IF($F$175="Y","OR","...")</f>
        <v>...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</row>
    <row r="271" spans="1:59">
      <c r="A271" s="1" t="str">
        <f>IF($G$175="Y",'Population Definitions'!$A$9,"...")</f>
        <v>...</v>
      </c>
      <c r="B271" s="4" t="str">
        <f>IF($G$175="Y","---&gt;","...")</f>
        <v>...</v>
      </c>
      <c r="C271" s="1" t="str">
        <f>IF($G$175="Y",'Population Definitions'!$A$7,"...")</f>
        <v>...</v>
      </c>
      <c r="E271" s="2"/>
      <c r="F271" s="3"/>
      <c r="G271" s="2"/>
      <c r="H271" s="4" t="str">
        <f>IF($G$175="Y","OR","...")</f>
        <v>...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</row>
    <row r="272" spans="1:59">
      <c r="A272" s="1" t="str">
        <f>IF($H$175="Y",'Population Definitions'!$A$9,"...")</f>
        <v>...</v>
      </c>
      <c r="B272" s="4" t="str">
        <f>IF($H$175="Y","---&gt;","...")</f>
        <v>...</v>
      </c>
      <c r="C272" s="1" t="str">
        <f>IF($H$175="Y",'Population Definitions'!$A$8,"...")</f>
        <v>...</v>
      </c>
      <c r="E272" s="2"/>
      <c r="F272" s="3"/>
      <c r="G272" s="2"/>
      <c r="H272" s="4" t="str">
        <f>IF($H$175="Y","OR","...")</f>
        <v>...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</row>
    <row r="273" spans="1:59">
      <c r="A273" s="1" t="str">
        <f>IF($I$175="Y",'Population Definitions'!$A$9,"...")</f>
        <v>...</v>
      </c>
      <c r="B273" s="4" t="str">
        <f>IF($I$175="Y","---&gt;","...")</f>
        <v>...</v>
      </c>
      <c r="C273" s="1" t="str">
        <f>IF($I$175="Y",'Population Definitions'!$A$9,"...")</f>
        <v>...</v>
      </c>
      <c r="E273" s="2"/>
      <c r="F273" s="3"/>
      <c r="G273" s="2"/>
      <c r="H273" s="4" t="str">
        <f>IF($I$175="Y","OR","...")</f>
        <v>...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</row>
    <row r="274" spans="1:59">
      <c r="A274" s="1" t="str">
        <f>IF($J$175="Y",'Population Definitions'!$A$9,"...")</f>
        <v>...</v>
      </c>
      <c r="B274" s="4" t="str">
        <f>IF($J$175="Y","---&gt;","...")</f>
        <v>...</v>
      </c>
      <c r="C274" s="1" t="str">
        <f>IF($J$175="Y",'Population Definitions'!$A$10,"...")</f>
        <v>...</v>
      </c>
      <c r="E274" s="2"/>
      <c r="F274" s="3"/>
      <c r="G274" s="2"/>
      <c r="H274" s="4" t="str">
        <f>IF($J$175="Y","OR","...")</f>
        <v>...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</row>
    <row r="275" spans="1:59">
      <c r="A275" s="1" t="str">
        <f>IF($K$175="Y",'Population Definitions'!$A$9,"...")</f>
        <v>...</v>
      </c>
      <c r="B275" s="4" t="str">
        <f>IF($K$175="Y","---&gt;","...")</f>
        <v>...</v>
      </c>
      <c r="C275" s="1" t="str">
        <f>IF($K$175="Y",'Population Definitions'!$A$11,"...")</f>
        <v>...</v>
      </c>
      <c r="E275" s="2"/>
      <c r="F275" s="3"/>
      <c r="G275" s="2"/>
      <c r="H275" s="4" t="str">
        <f>IF($K$175="Y","OR","...")</f>
        <v>...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</row>
    <row r="276" spans="1:59">
      <c r="A276" s="1" t="str">
        <f>IF($L$175="Y",'Population Definitions'!$A$9,"...")</f>
        <v>...</v>
      </c>
      <c r="B276" s="4" t="str">
        <f>IF($L$175="Y","---&gt;","...")</f>
        <v>...</v>
      </c>
      <c r="C276" s="1" t="str">
        <f>IF($L$175="Y",'Population Definitions'!$A$12,"...")</f>
        <v>...</v>
      </c>
      <c r="E276" s="2"/>
      <c r="F276" s="3"/>
      <c r="G276" s="2"/>
      <c r="H276" s="4" t="str">
        <f>IF($L$175="Y","OR","...")</f>
        <v>...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</row>
    <row r="277" spans="1:59">
      <c r="A277" s="1" t="str">
        <f>IF($M$175="Y",'Population Definitions'!$A$9,"...")</f>
        <v>...</v>
      </c>
      <c r="B277" s="4" t="str">
        <f>IF($M$175="Y","---&gt;","...")</f>
        <v>...</v>
      </c>
      <c r="C277" s="1" t="str">
        <f>IF($M$175="Y",'Population Definitions'!$A$13,"...")</f>
        <v>...</v>
      </c>
      <c r="E277" s="2"/>
      <c r="F277" s="3"/>
      <c r="G277" s="2"/>
      <c r="H277" s="4" t="str">
        <f>IF($M$175="Y","OR","...")</f>
        <v>...</v>
      </c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</row>
    <row r="278" spans="1:59">
      <c r="A278" s="1" t="str">
        <f>IF($B$176="Y",'Population Definitions'!$A$10,"...")</f>
        <v>...</v>
      </c>
      <c r="B278" s="4" t="str">
        <f>IF($B$176="Y","---&gt;","...")</f>
        <v>...</v>
      </c>
      <c r="C278" s="1" t="str">
        <f>IF($B$176="Y",'Population Definitions'!$A$2,"...")</f>
        <v>...</v>
      </c>
      <c r="E278" s="2"/>
      <c r="F278" s="3"/>
      <c r="G278" s="2"/>
      <c r="H278" s="4" t="str">
        <f>IF($B$176="Y","OR","...")</f>
        <v>...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</row>
    <row r="279" spans="1:59">
      <c r="A279" s="1" t="str">
        <f>IF($C$176="Y",'Population Definitions'!$A$10,"...")</f>
        <v>...</v>
      </c>
      <c r="B279" s="4" t="str">
        <f>IF($C$176="Y","---&gt;","...")</f>
        <v>...</v>
      </c>
      <c r="C279" s="1" t="str">
        <f>IF($C$176="Y",'Population Definitions'!$A$3,"...")</f>
        <v>...</v>
      </c>
      <c r="E279" s="2"/>
      <c r="F279" s="3"/>
      <c r="G279" s="2"/>
      <c r="H279" s="4" t="str">
        <f>IF($C$176="Y","OR","...")</f>
        <v>...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</row>
    <row r="280" spans="1:59">
      <c r="A280" s="1" t="str">
        <f>IF($D$176="Y",'Population Definitions'!$A$10,"...")</f>
        <v>...</v>
      </c>
      <c r="B280" s="4" t="str">
        <f>IF($D$176="Y","---&gt;","...")</f>
        <v>...</v>
      </c>
      <c r="C280" s="1" t="str">
        <f>IF($D$176="Y",'Population Definitions'!$A$4,"...")</f>
        <v>...</v>
      </c>
      <c r="E280" s="2"/>
      <c r="F280" s="3"/>
      <c r="G280" s="2"/>
      <c r="H280" s="4" t="str">
        <f>IF($D$176="Y","OR","...")</f>
        <v>...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</row>
    <row r="281" spans="1:59">
      <c r="A281" s="1" t="str">
        <f>IF($E$176="Y",'Population Definitions'!$A$10,"...")</f>
        <v>...</v>
      </c>
      <c r="B281" s="4" t="str">
        <f>IF($E$176="Y","---&gt;","...")</f>
        <v>...</v>
      </c>
      <c r="C281" s="1" t="str">
        <f>IF($E$176="Y",'Population Definitions'!$A$5,"...")</f>
        <v>...</v>
      </c>
      <c r="E281" s="2"/>
      <c r="F281" s="3"/>
      <c r="G281" s="2"/>
      <c r="H281" s="4" t="str">
        <f>IF($E$176="Y","OR","...")</f>
        <v>...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</row>
    <row r="282" spans="1:59">
      <c r="A282" s="1" t="str">
        <f>IF($F$176="Y",'Population Definitions'!$A$10,"...")</f>
        <v>...</v>
      </c>
      <c r="B282" s="4" t="str">
        <f>IF($F$176="Y","---&gt;","...")</f>
        <v>...</v>
      </c>
      <c r="C282" s="1" t="str">
        <f>IF($F$176="Y",'Population Definitions'!$A$6,"...")</f>
        <v>...</v>
      </c>
      <c r="E282" s="2"/>
      <c r="F282" s="3"/>
      <c r="G282" s="2"/>
      <c r="H282" s="4" t="str">
        <f>IF($F$176="Y","OR","...")</f>
        <v>...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</row>
    <row r="283" spans="1:59">
      <c r="A283" s="1" t="str">
        <f>IF($G$176="Y",'Population Definitions'!$A$10,"...")</f>
        <v>...</v>
      </c>
      <c r="B283" s="4" t="str">
        <f>IF($G$176="Y","---&gt;","...")</f>
        <v>...</v>
      </c>
      <c r="C283" s="1" t="str">
        <f>IF($G$176="Y",'Population Definitions'!$A$7,"...")</f>
        <v>...</v>
      </c>
      <c r="E283" s="2"/>
      <c r="F283" s="3"/>
      <c r="G283" s="2"/>
      <c r="H283" s="4" t="str">
        <f>IF($G$176="Y","OR","...")</f>
        <v>...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</row>
    <row r="284" spans="1:59">
      <c r="A284" s="1" t="str">
        <f>IF($H$176="Y",'Population Definitions'!$A$10,"...")</f>
        <v>...</v>
      </c>
      <c r="B284" s="4" t="str">
        <f>IF($H$176="Y","---&gt;","...")</f>
        <v>...</v>
      </c>
      <c r="C284" s="1" t="str">
        <f>IF($H$176="Y",'Population Definitions'!$A$8,"...")</f>
        <v>...</v>
      </c>
      <c r="E284" s="2"/>
      <c r="F284" s="3"/>
      <c r="G284" s="2"/>
      <c r="H284" s="4" t="str">
        <f>IF($H$176="Y","OR","...")</f>
        <v>...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</row>
    <row r="285" spans="1:59">
      <c r="A285" s="1" t="str">
        <f>IF($I$176="Y",'Population Definitions'!$A$10,"...")</f>
        <v>...</v>
      </c>
      <c r="B285" s="4" t="str">
        <f>IF($I$176="Y","---&gt;","...")</f>
        <v>...</v>
      </c>
      <c r="C285" s="1" t="str">
        <f>IF($I$176="Y",'Population Definitions'!$A$9,"...")</f>
        <v>...</v>
      </c>
      <c r="E285" s="2"/>
      <c r="F285" s="3"/>
      <c r="G285" s="2"/>
      <c r="H285" s="4" t="str">
        <f>IF($I$176="Y","OR","...")</f>
        <v>...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</row>
    <row r="286" spans="1:59">
      <c r="A286" s="1" t="str">
        <f>IF($J$176="Y",'Population Definitions'!$A$10,"...")</f>
        <v>...</v>
      </c>
      <c r="B286" s="4" t="str">
        <f>IF($J$176="Y","---&gt;","...")</f>
        <v>...</v>
      </c>
      <c r="C286" s="1" t="str">
        <f>IF($J$176="Y",'Population Definitions'!$A$10,"...")</f>
        <v>...</v>
      </c>
      <c r="E286" s="2"/>
      <c r="F286" s="3"/>
      <c r="G286" s="2"/>
      <c r="H286" s="4" t="str">
        <f>IF($J$176="Y","OR","...")</f>
        <v>...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</row>
    <row r="287" spans="1:59">
      <c r="A287" s="1" t="str">
        <f>IF($K$176="Y",'Population Definitions'!$A$10,"...")</f>
        <v>...</v>
      </c>
      <c r="B287" s="4" t="str">
        <f>IF($K$176="Y","---&gt;","...")</f>
        <v>...</v>
      </c>
      <c r="C287" s="1" t="str">
        <f>IF($K$176="Y",'Population Definitions'!$A$11,"...")</f>
        <v>...</v>
      </c>
      <c r="E287" s="2"/>
      <c r="F287" s="3"/>
      <c r="G287" s="2"/>
      <c r="H287" s="4" t="str">
        <f>IF($K$176="Y","OR","...")</f>
        <v>...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</row>
    <row r="288" spans="1:59">
      <c r="A288" s="1" t="str">
        <f>IF($L$176="Y",'Population Definitions'!$A$10,"...")</f>
        <v>...</v>
      </c>
      <c r="B288" s="4" t="str">
        <f>IF($L$176="Y","---&gt;","...")</f>
        <v>...</v>
      </c>
      <c r="C288" s="1" t="str">
        <f>IF($L$176="Y",'Population Definitions'!$A$12,"...")</f>
        <v>...</v>
      </c>
      <c r="E288" s="2"/>
      <c r="F288" s="3"/>
      <c r="G288" s="2"/>
      <c r="H288" s="4" t="str">
        <f>IF($L$176="Y","OR","...")</f>
        <v>...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</row>
    <row r="289" spans="1:59">
      <c r="A289" s="1" t="str">
        <f>IF($M$176="Y",'Population Definitions'!$A$10,"...")</f>
        <v>...</v>
      </c>
      <c r="B289" s="4" t="str">
        <f>IF($M$176="Y","---&gt;","...")</f>
        <v>...</v>
      </c>
      <c r="C289" s="1" t="str">
        <f>IF($M$176="Y",'Population Definitions'!$A$13,"...")</f>
        <v>...</v>
      </c>
      <c r="E289" s="2"/>
      <c r="F289" s="3"/>
      <c r="G289" s="2"/>
      <c r="H289" s="4" t="str">
        <f>IF($M$176="Y","OR","...")</f>
        <v>...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</row>
    <row r="290" spans="1:59">
      <c r="A290" s="1" t="str">
        <f>IF($B$177="Y",'Population Definitions'!$A$11,"...")</f>
        <v>...</v>
      </c>
      <c r="B290" s="4" t="str">
        <f>IF($B$177="Y","---&gt;","...")</f>
        <v>...</v>
      </c>
      <c r="C290" s="1" t="str">
        <f>IF($B$177="Y",'Population Definitions'!$A$2,"...")</f>
        <v>...</v>
      </c>
      <c r="E290" s="2"/>
      <c r="F290" s="3"/>
      <c r="G290" s="2"/>
      <c r="H290" s="4" t="str">
        <f>IF($B$177="Y","OR","...")</f>
        <v>...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</row>
    <row r="291" spans="1:59">
      <c r="A291" s="1" t="str">
        <f>IF($C$177="Y",'Population Definitions'!$A$11,"...")</f>
        <v>...</v>
      </c>
      <c r="B291" s="4" t="str">
        <f>IF($C$177="Y","---&gt;","...")</f>
        <v>...</v>
      </c>
      <c r="C291" s="1" t="str">
        <f>IF($C$177="Y",'Population Definitions'!$A$3,"...")</f>
        <v>...</v>
      </c>
      <c r="E291" s="2"/>
      <c r="F291" s="3"/>
      <c r="G291" s="2"/>
      <c r="H291" s="4" t="str">
        <f>IF($C$177="Y","OR","...")</f>
        <v>...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</row>
    <row r="292" spans="1:59">
      <c r="A292" s="1" t="str">
        <f>IF($D$177="Y",'Population Definitions'!$A$11,"...")</f>
        <v>...</v>
      </c>
      <c r="B292" s="4" t="str">
        <f>IF($D$177="Y","---&gt;","...")</f>
        <v>...</v>
      </c>
      <c r="C292" s="1" t="str">
        <f>IF($D$177="Y",'Population Definitions'!$A$4,"...")</f>
        <v>...</v>
      </c>
      <c r="E292" s="2"/>
      <c r="F292" s="3"/>
      <c r="G292" s="2"/>
      <c r="H292" s="4" t="str">
        <f>IF($D$177="Y","OR","...")</f>
        <v>...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</row>
    <row r="293" spans="1:59">
      <c r="A293" s="1" t="str">
        <f>IF($E$177="Y",'Population Definitions'!$A$11,"...")</f>
        <v>...</v>
      </c>
      <c r="B293" s="4" t="str">
        <f>IF($E$177="Y","---&gt;","...")</f>
        <v>...</v>
      </c>
      <c r="C293" s="1" t="str">
        <f>IF($E$177="Y",'Population Definitions'!$A$5,"...")</f>
        <v>...</v>
      </c>
      <c r="E293" s="2"/>
      <c r="F293" s="3"/>
      <c r="G293" s="2"/>
      <c r="H293" s="4" t="str">
        <f>IF($E$177="Y","OR","...")</f>
        <v>...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</row>
    <row r="294" spans="1:59">
      <c r="A294" s="1" t="str">
        <f>IF($F$177="Y",'Population Definitions'!$A$11,"...")</f>
        <v>...</v>
      </c>
      <c r="B294" s="4" t="str">
        <f>IF($F$177="Y","---&gt;","...")</f>
        <v>...</v>
      </c>
      <c r="C294" s="1" t="str">
        <f>IF($F$177="Y",'Population Definitions'!$A$6,"...")</f>
        <v>...</v>
      </c>
      <c r="E294" s="2"/>
      <c r="F294" s="3"/>
      <c r="G294" s="2"/>
      <c r="H294" s="4" t="str">
        <f>IF($F$177="Y","OR","...")</f>
        <v>...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</row>
    <row r="295" spans="1:59">
      <c r="A295" s="1" t="str">
        <f>IF($G$177="Y",'Population Definitions'!$A$11,"...")</f>
        <v>...</v>
      </c>
      <c r="B295" s="4" t="str">
        <f>IF($G$177="Y","---&gt;","...")</f>
        <v>...</v>
      </c>
      <c r="C295" s="1" t="str">
        <f>IF($G$177="Y",'Population Definitions'!$A$7,"...")</f>
        <v>...</v>
      </c>
      <c r="E295" s="2"/>
      <c r="F295" s="3"/>
      <c r="G295" s="2"/>
      <c r="H295" s="4" t="str">
        <f>IF($G$177="Y","OR","...")</f>
        <v>...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</row>
    <row r="296" spans="1:59">
      <c r="A296" s="1" t="str">
        <f>IF($H$177="Y",'Population Definitions'!$A$11,"...")</f>
        <v>...</v>
      </c>
      <c r="B296" s="4" t="str">
        <f>IF($H$177="Y","---&gt;","...")</f>
        <v>...</v>
      </c>
      <c r="C296" s="1" t="str">
        <f>IF($H$177="Y",'Population Definitions'!$A$8,"...")</f>
        <v>...</v>
      </c>
      <c r="E296" s="2"/>
      <c r="F296" s="3"/>
      <c r="G296" s="2"/>
      <c r="H296" s="4" t="str">
        <f>IF($H$177="Y","OR","...")</f>
        <v>...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</row>
    <row r="297" spans="1:59">
      <c r="A297" s="1" t="str">
        <f>IF($I$177="Y",'Population Definitions'!$A$11,"...")</f>
        <v>...</v>
      </c>
      <c r="B297" s="4" t="str">
        <f>IF($I$177="Y","---&gt;","...")</f>
        <v>...</v>
      </c>
      <c r="C297" s="1" t="str">
        <f>IF($I$177="Y",'Population Definitions'!$A$9,"...")</f>
        <v>...</v>
      </c>
      <c r="E297" s="2"/>
      <c r="F297" s="3"/>
      <c r="G297" s="2"/>
      <c r="H297" s="4" t="str">
        <f>IF($I$177="Y","OR","...")</f>
        <v>...</v>
      </c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</row>
    <row r="298" spans="1:59">
      <c r="A298" s="1" t="str">
        <f>IF($J$177="Y",'Population Definitions'!$A$11,"...")</f>
        <v>...</v>
      </c>
      <c r="B298" s="4" t="str">
        <f>IF($J$177="Y","---&gt;","...")</f>
        <v>...</v>
      </c>
      <c r="C298" s="1" t="str">
        <f>IF($J$177="Y",'Population Definitions'!$A$10,"...")</f>
        <v>...</v>
      </c>
      <c r="E298" s="2"/>
      <c r="F298" s="3"/>
      <c r="G298" s="2"/>
      <c r="H298" s="4" t="str">
        <f>IF($J$177="Y","OR","...")</f>
        <v>...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</row>
    <row r="299" spans="1:59">
      <c r="A299" s="1" t="str">
        <f>IF($K$177="Y",'Population Definitions'!$A$11,"...")</f>
        <v>...</v>
      </c>
      <c r="B299" s="4" t="str">
        <f>IF($K$177="Y","---&gt;","...")</f>
        <v>...</v>
      </c>
      <c r="C299" s="1" t="str">
        <f>IF($K$177="Y",'Population Definitions'!$A$11,"...")</f>
        <v>...</v>
      </c>
      <c r="E299" s="2"/>
      <c r="F299" s="3"/>
      <c r="G299" s="2"/>
      <c r="H299" s="4" t="str">
        <f>IF($K$177="Y","OR","...")</f>
        <v>...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</row>
    <row r="300" spans="1:59">
      <c r="A300" s="1" t="str">
        <f>IF($L$177="Y",'Population Definitions'!$A$11,"...")</f>
        <v>...</v>
      </c>
      <c r="B300" s="4" t="str">
        <f>IF($L$177="Y","---&gt;","...")</f>
        <v>...</v>
      </c>
      <c r="C300" s="1" t="str">
        <f>IF($L$177="Y",'Population Definitions'!$A$12,"...")</f>
        <v>...</v>
      </c>
      <c r="E300" s="2"/>
      <c r="F300" s="3"/>
      <c r="G300" s="2"/>
      <c r="H300" s="4" t="str">
        <f>IF($L$177="Y","OR","...")</f>
        <v>...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</row>
    <row r="301" spans="1:59">
      <c r="A301" s="1" t="str">
        <f>IF($M$177="Y",'Population Definitions'!$A$11,"...")</f>
        <v>...</v>
      </c>
      <c r="B301" s="4" t="str">
        <f>IF($M$177="Y","---&gt;","...")</f>
        <v>...</v>
      </c>
      <c r="C301" s="1" t="str">
        <f>IF($M$177="Y",'Population Definitions'!$A$13,"...")</f>
        <v>...</v>
      </c>
      <c r="E301" s="2"/>
      <c r="F301" s="3"/>
      <c r="G301" s="2"/>
      <c r="H301" s="4" t="str">
        <f>IF($M$177="Y","OR","...")</f>
        <v>...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</row>
    <row r="302" spans="1:59">
      <c r="A302" s="1" t="str">
        <f>IF($B$178="Y",'Population Definitions'!$A$12,"...")</f>
        <v>...</v>
      </c>
      <c r="B302" s="4" t="str">
        <f>IF($B$178="Y","---&gt;","...")</f>
        <v>...</v>
      </c>
      <c r="C302" s="1" t="str">
        <f>IF($B$178="Y",'Population Definitions'!$A$2,"...")</f>
        <v>...</v>
      </c>
      <c r="E302" s="2"/>
      <c r="F302" s="3"/>
      <c r="G302" s="2"/>
      <c r="H302" s="4" t="str">
        <f>IF($B$178="Y","OR","...")</f>
        <v>...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</row>
    <row r="303" spans="1:59">
      <c r="A303" s="1" t="str">
        <f>IF($C$178="Y",'Population Definitions'!$A$12,"...")</f>
        <v>...</v>
      </c>
      <c r="B303" s="4" t="str">
        <f>IF($C$178="Y","---&gt;","...")</f>
        <v>...</v>
      </c>
      <c r="C303" s="1" t="str">
        <f>IF($C$178="Y",'Population Definitions'!$A$3,"...")</f>
        <v>...</v>
      </c>
      <c r="E303" s="2"/>
      <c r="F303" s="3"/>
      <c r="G303" s="2"/>
      <c r="H303" s="4" t="str">
        <f>IF($C$178="Y","OR","...")</f>
        <v>...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</row>
    <row r="304" spans="1:59">
      <c r="A304" s="1" t="str">
        <f>IF($D$178="Y",'Population Definitions'!$A$12,"...")</f>
        <v>...</v>
      </c>
      <c r="B304" s="4" t="str">
        <f>IF($D$178="Y","---&gt;","...")</f>
        <v>...</v>
      </c>
      <c r="C304" s="1" t="str">
        <f>IF($D$178="Y",'Population Definitions'!$A$4,"...")</f>
        <v>...</v>
      </c>
      <c r="E304" s="2"/>
      <c r="F304" s="3"/>
      <c r="G304" s="2"/>
      <c r="H304" s="4" t="str">
        <f>IF($D$178="Y","OR","...")</f>
        <v>...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</row>
    <row r="305" spans="1:59">
      <c r="A305" s="1" t="str">
        <f>IF($E$178="Y",'Population Definitions'!$A$12,"...")</f>
        <v>...</v>
      </c>
      <c r="B305" s="4" t="str">
        <f>IF($E$178="Y","---&gt;","...")</f>
        <v>...</v>
      </c>
      <c r="C305" s="1" t="str">
        <f>IF($E$178="Y",'Population Definitions'!$A$5,"...")</f>
        <v>...</v>
      </c>
      <c r="E305" s="2"/>
      <c r="F305" s="3"/>
      <c r="G305" s="2"/>
      <c r="H305" s="4" t="str">
        <f>IF($E$178="Y","OR","...")</f>
        <v>...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</row>
    <row r="306" spans="1:59">
      <c r="A306" s="1" t="str">
        <f>IF($F$178="Y",'Population Definitions'!$A$12,"...")</f>
        <v>...</v>
      </c>
      <c r="B306" s="4" t="str">
        <f>IF($F$178="Y","---&gt;","...")</f>
        <v>...</v>
      </c>
      <c r="C306" s="1" t="str">
        <f>IF($F$178="Y",'Population Definitions'!$A$6,"...")</f>
        <v>...</v>
      </c>
      <c r="E306" s="2"/>
      <c r="F306" s="3"/>
      <c r="G306" s="2"/>
      <c r="H306" s="4" t="str">
        <f>IF($F$178="Y","OR","...")</f>
        <v>...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</row>
    <row r="307" spans="1:59">
      <c r="A307" s="1" t="str">
        <f>IF($G$178="Y",'Population Definitions'!$A$12,"...")</f>
        <v>...</v>
      </c>
      <c r="B307" s="4" t="str">
        <f>IF($G$178="Y","---&gt;","...")</f>
        <v>...</v>
      </c>
      <c r="C307" s="1" t="str">
        <f>IF($G$178="Y",'Population Definitions'!$A$7,"...")</f>
        <v>...</v>
      </c>
      <c r="E307" s="2"/>
      <c r="F307" s="3"/>
      <c r="G307" s="2"/>
      <c r="H307" s="4" t="str">
        <f>IF($G$178="Y","OR","...")</f>
        <v>...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</row>
    <row r="308" spans="1:59">
      <c r="A308" s="1" t="str">
        <f>IF($H$178="Y",'Population Definitions'!$A$12,"...")</f>
        <v>...</v>
      </c>
      <c r="B308" s="4" t="str">
        <f>IF($H$178="Y","---&gt;","...")</f>
        <v>...</v>
      </c>
      <c r="C308" s="1" t="str">
        <f>IF($H$178="Y",'Population Definitions'!$A$8,"...")</f>
        <v>...</v>
      </c>
      <c r="E308" s="2"/>
      <c r="F308" s="3"/>
      <c r="G308" s="2"/>
      <c r="H308" s="4" t="str">
        <f>IF($H$178="Y","OR","...")</f>
        <v>...</v>
      </c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</row>
    <row r="309" spans="1:59">
      <c r="A309" s="1" t="str">
        <f>IF($I$178="Y",'Population Definitions'!$A$12,"...")</f>
        <v>...</v>
      </c>
      <c r="B309" s="4" t="str">
        <f>IF($I$178="Y","---&gt;","...")</f>
        <v>...</v>
      </c>
      <c r="C309" s="1" t="str">
        <f>IF($I$178="Y",'Population Definitions'!$A$9,"...")</f>
        <v>...</v>
      </c>
      <c r="E309" s="2"/>
      <c r="F309" s="3"/>
      <c r="G309" s="2"/>
      <c r="H309" s="4" t="str">
        <f>IF($I$178="Y","OR","...")</f>
        <v>...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</row>
    <row r="310" spans="1:59">
      <c r="A310" s="1" t="str">
        <f>IF($J$178="Y",'Population Definitions'!$A$12,"...")</f>
        <v>...</v>
      </c>
      <c r="B310" s="4" t="str">
        <f>IF($J$178="Y","---&gt;","...")</f>
        <v>...</v>
      </c>
      <c r="C310" s="1" t="str">
        <f>IF($J$178="Y",'Population Definitions'!$A$10,"...")</f>
        <v>...</v>
      </c>
      <c r="E310" s="2"/>
      <c r="F310" s="3"/>
      <c r="G310" s="2"/>
      <c r="H310" s="4" t="str">
        <f>IF($J$178="Y","OR","...")</f>
        <v>...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</row>
    <row r="311" spans="1:59">
      <c r="A311" s="1" t="str">
        <f>IF($K$178="Y",'Population Definitions'!$A$12,"...")</f>
        <v>...</v>
      </c>
      <c r="B311" s="4" t="str">
        <f>IF($K$178="Y","---&gt;","...")</f>
        <v>...</v>
      </c>
      <c r="C311" s="1" t="str">
        <f>IF($K$178="Y",'Population Definitions'!$A$11,"...")</f>
        <v>...</v>
      </c>
      <c r="E311" s="2"/>
      <c r="F311" s="3"/>
      <c r="G311" s="2"/>
      <c r="H311" s="4" t="str">
        <f>IF($K$178="Y","OR","...")</f>
        <v>...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</row>
    <row r="312" spans="1:59">
      <c r="A312" s="1" t="str">
        <f>IF($L$178="Y",'Population Definitions'!$A$12,"...")</f>
        <v>...</v>
      </c>
      <c r="B312" s="4" t="str">
        <f>IF($L$178="Y","---&gt;","...")</f>
        <v>...</v>
      </c>
      <c r="C312" s="1" t="str">
        <f>IF($L$178="Y",'Population Definitions'!$A$12,"...")</f>
        <v>...</v>
      </c>
      <c r="E312" s="2"/>
      <c r="F312" s="3"/>
      <c r="G312" s="2"/>
      <c r="H312" s="4" t="str">
        <f>IF($L$178="Y","OR","...")</f>
        <v>...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</row>
    <row r="313" spans="1:59">
      <c r="A313" s="1" t="str">
        <f>IF($M$178="Y",'Population Definitions'!$A$12,"...")</f>
        <v>...</v>
      </c>
      <c r="B313" s="4" t="str">
        <f>IF($M$178="Y","---&gt;","...")</f>
        <v>...</v>
      </c>
      <c r="C313" s="1" t="str">
        <f>IF($M$178="Y",'Population Definitions'!$A$13,"...")</f>
        <v>...</v>
      </c>
      <c r="E313" s="2"/>
      <c r="F313" s="3"/>
      <c r="G313" s="2"/>
      <c r="H313" s="4" t="str">
        <f>IF($M$178="Y","OR","...")</f>
        <v>...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</row>
    <row r="314" spans="1:59">
      <c r="A314" s="1" t="str">
        <f>IF($B$179="Y",'Population Definitions'!$A$13,"...")</f>
        <v>...</v>
      </c>
      <c r="B314" s="4" t="str">
        <f>IF($B$179="Y","---&gt;","...")</f>
        <v>...</v>
      </c>
      <c r="C314" s="1" t="str">
        <f>IF($B$179="Y",'Population Definitions'!$A$2,"...")</f>
        <v>...</v>
      </c>
      <c r="E314" s="2"/>
      <c r="F314" s="3"/>
      <c r="G314" s="2"/>
      <c r="H314" s="4" t="str">
        <f>IF($B$179="Y","OR","...")</f>
        <v>...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</row>
    <row r="315" spans="1:59">
      <c r="A315" s="1" t="str">
        <f>IF($C$179="Y",'Population Definitions'!$A$13,"...")</f>
        <v>...</v>
      </c>
      <c r="B315" s="4" t="str">
        <f>IF($C$179="Y","---&gt;","...")</f>
        <v>...</v>
      </c>
      <c r="C315" s="1" t="str">
        <f>IF($C$179="Y",'Population Definitions'!$A$3,"...")</f>
        <v>...</v>
      </c>
      <c r="E315" s="2"/>
      <c r="F315" s="3"/>
      <c r="G315" s="2"/>
      <c r="H315" s="4" t="str">
        <f>IF($C$179="Y","OR","...")</f>
        <v>...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</row>
    <row r="316" spans="1:59">
      <c r="A316" s="1" t="str">
        <f>IF($D$179="Y",'Population Definitions'!$A$13,"...")</f>
        <v>...</v>
      </c>
      <c r="B316" s="4" t="str">
        <f>IF($D$179="Y","---&gt;","...")</f>
        <v>...</v>
      </c>
      <c r="C316" s="1" t="str">
        <f>IF($D$179="Y",'Population Definitions'!$A$4,"...")</f>
        <v>...</v>
      </c>
      <c r="E316" s="2"/>
      <c r="F316" s="3"/>
      <c r="G316" s="2"/>
      <c r="H316" s="4" t="str">
        <f>IF($D$179="Y","OR","...")</f>
        <v>...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</row>
    <row r="317" spans="1:59">
      <c r="A317" s="1" t="str">
        <f>IF($E$179="Y",'Population Definitions'!$A$13,"...")</f>
        <v>...</v>
      </c>
      <c r="B317" s="4" t="str">
        <f>IF($E$179="Y","---&gt;","...")</f>
        <v>...</v>
      </c>
      <c r="C317" s="1" t="str">
        <f>IF($E$179="Y",'Population Definitions'!$A$5,"...")</f>
        <v>...</v>
      </c>
      <c r="E317" s="2"/>
      <c r="F317" s="3"/>
      <c r="G317" s="2"/>
      <c r="H317" s="4" t="str">
        <f>IF($E$179="Y","OR","...")</f>
        <v>...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</row>
    <row r="318" spans="1:59">
      <c r="A318" s="1" t="str">
        <f>IF($F$179="Y",'Population Definitions'!$A$13,"...")</f>
        <v>...</v>
      </c>
      <c r="B318" s="4" t="str">
        <f>IF($F$179="Y","---&gt;","...")</f>
        <v>...</v>
      </c>
      <c r="C318" s="1" t="str">
        <f>IF($F$179="Y",'Population Definitions'!$A$6,"...")</f>
        <v>...</v>
      </c>
      <c r="E318" s="2"/>
      <c r="F318" s="3"/>
      <c r="G318" s="2"/>
      <c r="H318" s="4" t="str">
        <f>IF($F$179="Y","OR","...")</f>
        <v>...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</row>
    <row r="319" spans="1:59">
      <c r="A319" s="1" t="str">
        <f>IF($G$179="Y",'Population Definitions'!$A$13,"...")</f>
        <v>...</v>
      </c>
      <c r="B319" s="4" t="str">
        <f>IF($G$179="Y","---&gt;","...")</f>
        <v>...</v>
      </c>
      <c r="C319" s="1" t="str">
        <f>IF($G$179="Y",'Population Definitions'!$A$7,"...")</f>
        <v>...</v>
      </c>
      <c r="E319" s="2"/>
      <c r="F319" s="3"/>
      <c r="G319" s="2"/>
      <c r="H319" s="4" t="str">
        <f>IF($G$179="Y","OR","...")</f>
        <v>...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</row>
    <row r="320" spans="1:59">
      <c r="A320" s="1" t="str">
        <f>IF($H$179="Y",'Population Definitions'!$A$13,"...")</f>
        <v>...</v>
      </c>
      <c r="B320" s="4" t="str">
        <f>IF($H$179="Y","---&gt;","...")</f>
        <v>...</v>
      </c>
      <c r="C320" s="1" t="str">
        <f>IF($H$179="Y",'Population Definitions'!$A$8,"...")</f>
        <v>...</v>
      </c>
      <c r="E320" s="2"/>
      <c r="F320" s="3"/>
      <c r="G320" s="2"/>
      <c r="H320" s="4" t="str">
        <f>IF($H$179="Y","OR","...")</f>
        <v>...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</row>
    <row r="321" spans="1:59">
      <c r="A321" s="1" t="str">
        <f>IF($I$179="Y",'Population Definitions'!$A$13,"...")</f>
        <v>...</v>
      </c>
      <c r="B321" s="4" t="str">
        <f>IF($I$179="Y","---&gt;","...")</f>
        <v>...</v>
      </c>
      <c r="C321" s="1" t="str">
        <f>IF($I$179="Y",'Population Definitions'!$A$9,"...")</f>
        <v>...</v>
      </c>
      <c r="E321" s="2"/>
      <c r="F321" s="3"/>
      <c r="G321" s="2"/>
      <c r="H321" s="4" t="str">
        <f>IF($I$179="Y","OR","...")</f>
        <v>...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</row>
    <row r="322" spans="1:59">
      <c r="A322" s="1" t="str">
        <f>IF($J$179="Y",'Population Definitions'!$A$13,"...")</f>
        <v>...</v>
      </c>
      <c r="B322" s="4" t="str">
        <f>IF($J$179="Y","---&gt;","...")</f>
        <v>...</v>
      </c>
      <c r="C322" s="1" t="str">
        <f>IF($J$179="Y",'Population Definitions'!$A$10,"...")</f>
        <v>...</v>
      </c>
      <c r="E322" s="2"/>
      <c r="F322" s="3"/>
      <c r="G322" s="2"/>
      <c r="H322" s="4" t="str">
        <f>IF($J$179="Y","OR","...")</f>
        <v>...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</row>
    <row r="323" spans="1:59">
      <c r="A323" s="1" t="str">
        <f>IF($K$179="Y",'Population Definitions'!$A$13,"...")</f>
        <v>...</v>
      </c>
      <c r="B323" s="4" t="str">
        <f>IF($K$179="Y","---&gt;","...")</f>
        <v>...</v>
      </c>
      <c r="C323" s="1" t="str">
        <f>IF($K$179="Y",'Population Definitions'!$A$11,"...")</f>
        <v>...</v>
      </c>
      <c r="E323" s="2"/>
      <c r="F323" s="3"/>
      <c r="G323" s="2"/>
      <c r="H323" s="4" t="str">
        <f>IF($K$179="Y","OR","...")</f>
        <v>...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</row>
    <row r="324" spans="1:59">
      <c r="A324" s="1" t="str">
        <f>IF($L$179="Y",'Population Definitions'!$A$13,"...")</f>
        <v>...</v>
      </c>
      <c r="B324" s="4" t="str">
        <f>IF($L$179="Y","---&gt;","...")</f>
        <v>...</v>
      </c>
      <c r="C324" s="1" t="str">
        <f>IF($L$179="Y",'Population Definitions'!$A$12,"...")</f>
        <v>...</v>
      </c>
      <c r="E324" s="2"/>
      <c r="F324" s="3"/>
      <c r="G324" s="2"/>
      <c r="H324" s="4" t="str">
        <f>IF($L$179="Y","OR","...")</f>
        <v>...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</row>
    <row r="325" spans="1:59">
      <c r="A325" s="1" t="str">
        <f>IF($M$179="Y",'Population Definitions'!$A$13,"...")</f>
        <v>...</v>
      </c>
      <c r="B325" s="4" t="str">
        <f>IF($M$179="Y","---&gt;","...")</f>
        <v>...</v>
      </c>
      <c r="C325" s="1" t="str">
        <f>IF($M$179="Y",'Population Definitions'!$A$13,"...")</f>
        <v>...</v>
      </c>
      <c r="E325" s="2"/>
      <c r="F325" s="3"/>
      <c r="G325" s="2"/>
      <c r="H325" s="4" t="str">
        <f>IF($M$179="Y","OR","...")</f>
        <v>...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</row>
    <row r="327" spans="1:59">
      <c r="A327" s="1" t="s">
        <v>0</v>
      </c>
      <c r="B327" s="1" t="s">
        <v>1</v>
      </c>
      <c r="C327" s="1" t="s">
        <v>223</v>
      </c>
      <c r="D327" s="1" t="s">
        <v>224</v>
      </c>
    </row>
    <row r="328" spans="1:59">
      <c r="A328" t="s">
        <v>642</v>
      </c>
      <c r="B328" t="s">
        <v>643</v>
      </c>
      <c r="C328" t="s">
        <v>5</v>
      </c>
      <c r="D328" t="s">
        <v>5</v>
      </c>
    </row>
    <row r="330" spans="1:59">
      <c r="B330" s="1" t="str">
        <f>'Population Definitions'!$A$2</f>
        <v>PWID_males</v>
      </c>
      <c r="C330" s="1" t="str">
        <f>'Population Definitions'!$A$3</f>
        <v>PWID_females</v>
      </c>
      <c r="D330" s="1" t="str">
        <f>'Population Definitions'!$A$4</f>
        <v>0-9_males</v>
      </c>
      <c r="E330" s="1" t="str">
        <f>'Population Definitions'!$A$5</f>
        <v>0-9_females</v>
      </c>
      <c r="F330" s="1" t="str">
        <f>'Population Definitions'!$A$6</f>
        <v>10-17_males</v>
      </c>
      <c r="G330" s="1" t="str">
        <f>'Population Definitions'!$A$7</f>
        <v>10-17_females</v>
      </c>
      <c r="H330" s="1" t="str">
        <f>'Population Definitions'!$A$8</f>
        <v>18-64_males</v>
      </c>
      <c r="I330" s="1" t="str">
        <f>'Population Definitions'!$A$9</f>
        <v>18-64_females</v>
      </c>
      <c r="J330" s="1" t="str">
        <f>'Population Definitions'!$A$10</f>
        <v>65+_males</v>
      </c>
      <c r="K330" s="1" t="str">
        <f>'Population Definitions'!$A$11</f>
        <v>65+_females</v>
      </c>
      <c r="L330" s="1" t="str">
        <f>'Population Definitions'!$A$12</f>
        <v>Prisoners_males</v>
      </c>
      <c r="M330" s="1" t="str">
        <f>'Population Definitions'!$A$13</f>
        <v>Prisoners_females</v>
      </c>
    </row>
    <row r="331" spans="1:59">
      <c r="A331" s="1" t="str">
        <f>'Population Definitions'!$A$2</f>
        <v>PWID_males</v>
      </c>
      <c r="B331" s="4" t="s">
        <v>56</v>
      </c>
      <c r="C331" s="5" t="s">
        <v>226</v>
      </c>
      <c r="D331" s="5" t="s">
        <v>226</v>
      </c>
      <c r="E331" s="5" t="s">
        <v>226</v>
      </c>
      <c r="F331" s="5" t="s">
        <v>226</v>
      </c>
      <c r="G331" s="5" t="s">
        <v>226</v>
      </c>
      <c r="H331" s="5" t="s">
        <v>226</v>
      </c>
      <c r="I331" s="5" t="s">
        <v>226</v>
      </c>
      <c r="J331" s="5" t="s">
        <v>226</v>
      </c>
      <c r="K331" s="5" t="s">
        <v>226</v>
      </c>
      <c r="L331" s="5" t="s">
        <v>225</v>
      </c>
      <c r="M331" s="5" t="s">
        <v>226</v>
      </c>
    </row>
    <row r="332" spans="1:59">
      <c r="A332" s="1" t="str">
        <f>'Population Definitions'!$A$3</f>
        <v>PWID_females</v>
      </c>
      <c r="B332" s="5" t="s">
        <v>226</v>
      </c>
      <c r="C332" s="4" t="s">
        <v>56</v>
      </c>
      <c r="D332" s="5" t="s">
        <v>226</v>
      </c>
      <c r="E332" s="5" t="s">
        <v>226</v>
      </c>
      <c r="F332" s="5" t="s">
        <v>226</v>
      </c>
      <c r="G332" s="5" t="s">
        <v>226</v>
      </c>
      <c r="H332" s="5" t="s">
        <v>226</v>
      </c>
      <c r="I332" s="5" t="s">
        <v>226</v>
      </c>
      <c r="J332" s="5" t="s">
        <v>226</v>
      </c>
      <c r="K332" s="5" t="s">
        <v>226</v>
      </c>
      <c r="L332" s="5" t="s">
        <v>226</v>
      </c>
      <c r="M332" s="5" t="s">
        <v>225</v>
      </c>
    </row>
    <row r="333" spans="1:59">
      <c r="A333" s="1" t="str">
        <f>'Population Definitions'!$A$4</f>
        <v>0-9_males</v>
      </c>
      <c r="B333" s="5" t="s">
        <v>226</v>
      </c>
      <c r="C333" s="5" t="s">
        <v>226</v>
      </c>
      <c r="D333" s="4" t="s">
        <v>56</v>
      </c>
      <c r="E333" s="5" t="s">
        <v>226</v>
      </c>
      <c r="F333" s="5" t="s">
        <v>226</v>
      </c>
      <c r="G333" s="5" t="s">
        <v>226</v>
      </c>
      <c r="H333" s="5" t="s">
        <v>226</v>
      </c>
      <c r="I333" s="5" t="s">
        <v>226</v>
      </c>
      <c r="J333" s="5" t="s">
        <v>226</v>
      </c>
      <c r="K333" s="5" t="s">
        <v>226</v>
      </c>
      <c r="L333" s="5" t="s">
        <v>226</v>
      </c>
      <c r="M333" s="5" t="s">
        <v>226</v>
      </c>
    </row>
    <row r="334" spans="1:59">
      <c r="A334" s="1" t="str">
        <f>'Population Definitions'!$A$5</f>
        <v>0-9_females</v>
      </c>
      <c r="B334" s="5" t="s">
        <v>226</v>
      </c>
      <c r="C334" s="5" t="s">
        <v>226</v>
      </c>
      <c r="D334" s="5" t="s">
        <v>226</v>
      </c>
      <c r="E334" s="4" t="s">
        <v>56</v>
      </c>
      <c r="F334" s="5" t="s">
        <v>226</v>
      </c>
      <c r="G334" s="5" t="s">
        <v>226</v>
      </c>
      <c r="H334" s="5" t="s">
        <v>226</v>
      </c>
      <c r="I334" s="5" t="s">
        <v>226</v>
      </c>
      <c r="J334" s="5" t="s">
        <v>226</v>
      </c>
      <c r="K334" s="5" t="s">
        <v>226</v>
      </c>
      <c r="L334" s="5" t="s">
        <v>226</v>
      </c>
      <c r="M334" s="5" t="s">
        <v>226</v>
      </c>
    </row>
    <row r="335" spans="1:59">
      <c r="A335" s="1" t="str">
        <f>'Population Definitions'!$A$6</f>
        <v>10-17_males</v>
      </c>
      <c r="B335" s="5" t="s">
        <v>226</v>
      </c>
      <c r="C335" s="5" t="s">
        <v>226</v>
      </c>
      <c r="D335" s="5" t="s">
        <v>226</v>
      </c>
      <c r="E335" s="5" t="s">
        <v>226</v>
      </c>
      <c r="F335" s="4" t="s">
        <v>56</v>
      </c>
      <c r="G335" s="5" t="s">
        <v>226</v>
      </c>
      <c r="H335" s="5" t="s">
        <v>226</v>
      </c>
      <c r="I335" s="5" t="s">
        <v>226</v>
      </c>
      <c r="J335" s="5" t="s">
        <v>226</v>
      </c>
      <c r="K335" s="5" t="s">
        <v>226</v>
      </c>
      <c r="L335" s="5" t="s">
        <v>226</v>
      </c>
      <c r="M335" s="5" t="s">
        <v>226</v>
      </c>
    </row>
    <row r="336" spans="1:59">
      <c r="A336" s="1" t="str">
        <f>'Population Definitions'!$A$7</f>
        <v>10-17_females</v>
      </c>
      <c r="B336" s="5" t="s">
        <v>226</v>
      </c>
      <c r="C336" s="5" t="s">
        <v>226</v>
      </c>
      <c r="D336" s="5" t="s">
        <v>226</v>
      </c>
      <c r="E336" s="5" t="s">
        <v>226</v>
      </c>
      <c r="F336" s="5" t="s">
        <v>226</v>
      </c>
      <c r="G336" s="4" t="s">
        <v>56</v>
      </c>
      <c r="H336" s="5" t="s">
        <v>226</v>
      </c>
      <c r="I336" s="5" t="s">
        <v>226</v>
      </c>
      <c r="J336" s="5" t="s">
        <v>226</v>
      </c>
      <c r="K336" s="5" t="s">
        <v>226</v>
      </c>
      <c r="L336" s="5" t="s">
        <v>226</v>
      </c>
      <c r="M336" s="5" t="s">
        <v>226</v>
      </c>
    </row>
    <row r="337" spans="1:59">
      <c r="A337" s="1" t="str">
        <f>'Population Definitions'!$A$8</f>
        <v>18-64_males</v>
      </c>
      <c r="B337" s="5" t="s">
        <v>226</v>
      </c>
      <c r="C337" s="5" t="s">
        <v>226</v>
      </c>
      <c r="D337" s="5" t="s">
        <v>226</v>
      </c>
      <c r="E337" s="5" t="s">
        <v>226</v>
      </c>
      <c r="F337" s="5" t="s">
        <v>226</v>
      </c>
      <c r="G337" s="5" t="s">
        <v>226</v>
      </c>
      <c r="H337" s="4" t="s">
        <v>56</v>
      </c>
      <c r="I337" s="5" t="s">
        <v>226</v>
      </c>
      <c r="J337" s="5" t="s">
        <v>226</v>
      </c>
      <c r="K337" s="5" t="s">
        <v>226</v>
      </c>
      <c r="L337" s="5" t="s">
        <v>225</v>
      </c>
      <c r="M337" s="5" t="s">
        <v>226</v>
      </c>
    </row>
    <row r="338" spans="1:59">
      <c r="A338" s="1" t="str">
        <f>'Population Definitions'!$A$9</f>
        <v>18-64_females</v>
      </c>
      <c r="B338" s="5" t="s">
        <v>226</v>
      </c>
      <c r="C338" s="5" t="s">
        <v>226</v>
      </c>
      <c r="D338" s="5" t="s">
        <v>226</v>
      </c>
      <c r="E338" s="5" t="s">
        <v>226</v>
      </c>
      <c r="F338" s="5" t="s">
        <v>226</v>
      </c>
      <c r="G338" s="5" t="s">
        <v>226</v>
      </c>
      <c r="H338" s="5" t="s">
        <v>226</v>
      </c>
      <c r="I338" s="4" t="s">
        <v>56</v>
      </c>
      <c r="J338" s="5" t="s">
        <v>226</v>
      </c>
      <c r="K338" s="5" t="s">
        <v>226</v>
      </c>
      <c r="L338" s="5" t="s">
        <v>226</v>
      </c>
      <c r="M338" s="5" t="s">
        <v>225</v>
      </c>
    </row>
    <row r="339" spans="1:59">
      <c r="A339" s="1" t="str">
        <f>'Population Definitions'!$A$10</f>
        <v>65+_males</v>
      </c>
      <c r="B339" s="5" t="s">
        <v>226</v>
      </c>
      <c r="C339" s="5" t="s">
        <v>226</v>
      </c>
      <c r="D339" s="5" t="s">
        <v>226</v>
      </c>
      <c r="E339" s="5" t="s">
        <v>226</v>
      </c>
      <c r="F339" s="5" t="s">
        <v>226</v>
      </c>
      <c r="G339" s="5" t="s">
        <v>226</v>
      </c>
      <c r="H339" s="5" t="s">
        <v>226</v>
      </c>
      <c r="I339" s="5" t="s">
        <v>226</v>
      </c>
      <c r="J339" s="4" t="s">
        <v>56</v>
      </c>
      <c r="K339" s="5" t="s">
        <v>226</v>
      </c>
      <c r="L339" s="5" t="s">
        <v>226</v>
      </c>
      <c r="M339" s="5" t="s">
        <v>226</v>
      </c>
    </row>
    <row r="340" spans="1:59">
      <c r="A340" s="1" t="str">
        <f>'Population Definitions'!$A$11</f>
        <v>65+_females</v>
      </c>
      <c r="B340" s="5" t="s">
        <v>226</v>
      </c>
      <c r="C340" s="5" t="s">
        <v>226</v>
      </c>
      <c r="D340" s="5" t="s">
        <v>226</v>
      </c>
      <c r="E340" s="5" t="s">
        <v>226</v>
      </c>
      <c r="F340" s="5" t="s">
        <v>226</v>
      </c>
      <c r="G340" s="5" t="s">
        <v>226</v>
      </c>
      <c r="H340" s="5" t="s">
        <v>226</v>
      </c>
      <c r="I340" s="5" t="s">
        <v>226</v>
      </c>
      <c r="J340" s="5" t="s">
        <v>226</v>
      </c>
      <c r="K340" s="4" t="s">
        <v>56</v>
      </c>
      <c r="L340" s="5" t="s">
        <v>226</v>
      </c>
      <c r="M340" s="5" t="s">
        <v>226</v>
      </c>
    </row>
    <row r="341" spans="1:59">
      <c r="A341" s="1" t="str">
        <f>'Population Definitions'!$A$12</f>
        <v>Prisoners_males</v>
      </c>
      <c r="B341" s="5" t="s">
        <v>225</v>
      </c>
      <c r="C341" s="5" t="s">
        <v>226</v>
      </c>
      <c r="D341" s="5" t="s">
        <v>226</v>
      </c>
      <c r="E341" s="5" t="s">
        <v>226</v>
      </c>
      <c r="F341" s="5" t="s">
        <v>226</v>
      </c>
      <c r="G341" s="5" t="s">
        <v>226</v>
      </c>
      <c r="H341" s="5" t="s">
        <v>225</v>
      </c>
      <c r="I341" s="5" t="s">
        <v>226</v>
      </c>
      <c r="J341" s="5" t="s">
        <v>226</v>
      </c>
      <c r="K341" s="5" t="s">
        <v>226</v>
      </c>
      <c r="L341" s="4" t="s">
        <v>56</v>
      </c>
      <c r="M341" s="5" t="s">
        <v>226</v>
      </c>
    </row>
    <row r="342" spans="1:59">
      <c r="A342" s="1" t="str">
        <f>'Population Definitions'!$A$13</f>
        <v>Prisoners_females</v>
      </c>
      <c r="B342" s="5" t="s">
        <v>226</v>
      </c>
      <c r="C342" s="5" t="s">
        <v>225</v>
      </c>
      <c r="D342" s="5" t="s">
        <v>226</v>
      </c>
      <c r="E342" s="5" t="s">
        <v>226</v>
      </c>
      <c r="F342" s="5" t="s">
        <v>226</v>
      </c>
      <c r="G342" s="5" t="s">
        <v>226</v>
      </c>
      <c r="H342" s="5" t="s">
        <v>226</v>
      </c>
      <c r="I342" s="5" t="s">
        <v>225</v>
      </c>
      <c r="J342" s="5" t="s">
        <v>226</v>
      </c>
      <c r="K342" s="5" t="s">
        <v>226</v>
      </c>
      <c r="L342" s="5" t="s">
        <v>226</v>
      </c>
      <c r="M342" s="4" t="s">
        <v>56</v>
      </c>
    </row>
    <row r="344" spans="1:59">
      <c r="A344" s="1" t="s">
        <v>227</v>
      </c>
      <c r="B344" s="1"/>
      <c r="C344" s="1" t="s">
        <v>228</v>
      </c>
      <c r="D344" s="1" t="s">
        <v>29</v>
      </c>
      <c r="E344" s="1" t="s">
        <v>30</v>
      </c>
      <c r="F344" s="1" t="s">
        <v>31</v>
      </c>
      <c r="G344" s="1" t="s">
        <v>36</v>
      </c>
      <c r="H344" s="1"/>
      <c r="I344" s="1">
        <v>2000</v>
      </c>
      <c r="J344" s="1">
        <v>2001</v>
      </c>
      <c r="K344" s="1">
        <v>2002</v>
      </c>
      <c r="L344" s="1">
        <v>2003</v>
      </c>
      <c r="M344" s="1">
        <v>2004</v>
      </c>
      <c r="N344" s="1">
        <v>2005</v>
      </c>
      <c r="O344" s="1">
        <v>2006</v>
      </c>
      <c r="P344" s="1">
        <v>2007</v>
      </c>
      <c r="Q344" s="1">
        <v>2008</v>
      </c>
      <c r="R344" s="1">
        <v>2009</v>
      </c>
      <c r="S344" s="1">
        <v>2010</v>
      </c>
      <c r="T344" s="1">
        <v>2011</v>
      </c>
      <c r="U344" s="1">
        <v>2012</v>
      </c>
      <c r="V344" s="1">
        <v>2013</v>
      </c>
      <c r="W344" s="1">
        <v>2014</v>
      </c>
      <c r="X344" s="1">
        <v>2015</v>
      </c>
      <c r="Y344" s="1">
        <v>2016</v>
      </c>
      <c r="Z344" s="1">
        <v>2017</v>
      </c>
      <c r="AA344" s="1">
        <v>2018</v>
      </c>
      <c r="AB344" s="1">
        <v>2019</v>
      </c>
      <c r="AC344" s="1">
        <v>2020</v>
      </c>
      <c r="AD344" s="1">
        <v>2021</v>
      </c>
      <c r="AE344" s="1">
        <v>2022</v>
      </c>
      <c r="AF344" s="1">
        <v>2023</v>
      </c>
      <c r="AG344" s="1">
        <v>2024</v>
      </c>
      <c r="AH344" s="1">
        <v>2025</v>
      </c>
      <c r="AI344" s="1">
        <v>2026</v>
      </c>
      <c r="AJ344" s="1">
        <v>2027</v>
      </c>
      <c r="AK344" s="1">
        <v>2028</v>
      </c>
      <c r="AL344" s="1">
        <v>2029</v>
      </c>
      <c r="AM344" s="1">
        <v>2030</v>
      </c>
      <c r="AN344" s="1">
        <v>2031</v>
      </c>
      <c r="AO344" s="1">
        <v>2032</v>
      </c>
      <c r="AP344" s="1">
        <v>2033</v>
      </c>
      <c r="AQ344" s="1">
        <v>2034</v>
      </c>
      <c r="AR344" s="1">
        <v>2035</v>
      </c>
      <c r="AS344" s="1">
        <v>2036</v>
      </c>
      <c r="AT344" s="1">
        <v>2037</v>
      </c>
      <c r="AU344" s="1">
        <v>2038</v>
      </c>
      <c r="AV344" s="1">
        <v>2039</v>
      </c>
      <c r="AW344" s="1">
        <v>2040</v>
      </c>
      <c r="AX344" s="1">
        <v>2041</v>
      </c>
      <c r="AY344" s="1">
        <v>2042</v>
      </c>
      <c r="AZ344" s="1">
        <v>2043</v>
      </c>
      <c r="BA344" s="1">
        <v>2044</v>
      </c>
      <c r="BB344" s="1">
        <v>2045</v>
      </c>
      <c r="BC344" s="1">
        <v>2046</v>
      </c>
      <c r="BD344" s="1">
        <v>2047</v>
      </c>
      <c r="BE344" s="1">
        <v>2048</v>
      </c>
      <c r="BF344" s="1">
        <v>2049</v>
      </c>
      <c r="BG344" s="1">
        <v>2050</v>
      </c>
    </row>
    <row r="345" spans="1:59">
      <c r="A345" s="1" t="str">
        <f>IF($B$331="Y",'Population Definitions'!$A$2,"...")</f>
        <v>...</v>
      </c>
      <c r="B345" s="4" t="str">
        <f>IF($B$331="Y","---&gt;","...")</f>
        <v>...</v>
      </c>
      <c r="C345" s="1" t="str">
        <f>IF($B$331="Y",'Population Definitions'!$A$2,"...")</f>
        <v>...</v>
      </c>
      <c r="E345" s="2"/>
      <c r="F345" s="3"/>
      <c r="G345" s="2"/>
      <c r="H345" s="4" t="str">
        <f>IF($B$331="Y","OR","...")</f>
        <v>...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</row>
    <row r="346" spans="1:59">
      <c r="A346" s="1" t="str">
        <f>IF($C$331="Y",'Population Definitions'!$A$2,"...")</f>
        <v>...</v>
      </c>
      <c r="B346" s="4" t="str">
        <f>IF($C$331="Y","---&gt;","...")</f>
        <v>...</v>
      </c>
      <c r="C346" s="1" t="str">
        <f>IF($C$331="Y",'Population Definitions'!$A$3,"...")</f>
        <v>...</v>
      </c>
      <c r="E346" s="2"/>
      <c r="F346" s="3"/>
      <c r="G346" s="2"/>
      <c r="H346" s="4" t="str">
        <f>IF($C$331="Y","OR","...")</f>
        <v>...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</row>
    <row r="347" spans="1:59">
      <c r="A347" s="1" t="str">
        <f>IF($D$331="Y",'Population Definitions'!$A$2,"...")</f>
        <v>...</v>
      </c>
      <c r="B347" s="4" t="str">
        <f>IF($D$331="Y","---&gt;","...")</f>
        <v>...</v>
      </c>
      <c r="C347" s="1" t="str">
        <f>IF($D$331="Y",'Population Definitions'!$A$4,"...")</f>
        <v>...</v>
      </c>
      <c r="E347" s="2"/>
      <c r="F347" s="3"/>
      <c r="G347" s="2"/>
      <c r="H347" s="4" t="str">
        <f>IF($D$331="Y","OR","...")</f>
        <v>...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</row>
    <row r="348" spans="1:59">
      <c r="A348" s="1" t="str">
        <f>IF($E$331="Y",'Population Definitions'!$A$2,"...")</f>
        <v>...</v>
      </c>
      <c r="B348" s="4" t="str">
        <f>IF($E$331="Y","---&gt;","...")</f>
        <v>...</v>
      </c>
      <c r="C348" s="1" t="str">
        <f>IF($E$331="Y",'Population Definitions'!$A$5,"...")</f>
        <v>...</v>
      </c>
      <c r="E348" s="2"/>
      <c r="F348" s="3"/>
      <c r="G348" s="2"/>
      <c r="H348" s="4" t="str">
        <f>IF($E$331="Y","OR","...")</f>
        <v>...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</row>
    <row r="349" spans="1:59">
      <c r="A349" s="1" t="str">
        <f>IF($F$331="Y",'Population Definitions'!$A$2,"...")</f>
        <v>...</v>
      </c>
      <c r="B349" s="4" t="str">
        <f>IF($F$331="Y","---&gt;","...")</f>
        <v>...</v>
      </c>
      <c r="C349" s="1" t="str">
        <f>IF($F$331="Y",'Population Definitions'!$A$6,"...")</f>
        <v>...</v>
      </c>
      <c r="E349" s="2"/>
      <c r="F349" s="3"/>
      <c r="G349" s="2"/>
      <c r="H349" s="4" t="str">
        <f>IF($F$331="Y","OR","...")</f>
        <v>...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</row>
    <row r="350" spans="1:59">
      <c r="A350" s="1" t="str">
        <f>IF($G$331="Y",'Population Definitions'!$A$2,"...")</f>
        <v>...</v>
      </c>
      <c r="B350" s="4" t="str">
        <f>IF($G$331="Y","---&gt;","...")</f>
        <v>...</v>
      </c>
      <c r="C350" s="1" t="str">
        <f>IF($G$331="Y",'Population Definitions'!$A$7,"...")</f>
        <v>...</v>
      </c>
      <c r="E350" s="2"/>
      <c r="F350" s="3"/>
      <c r="G350" s="2"/>
      <c r="H350" s="4" t="str">
        <f>IF($G$331="Y","OR","...")</f>
        <v>...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</row>
    <row r="351" spans="1:59">
      <c r="A351" s="1" t="str">
        <f>IF($H$331="Y",'Population Definitions'!$A$2,"...")</f>
        <v>...</v>
      </c>
      <c r="B351" s="4" t="str">
        <f>IF($H$331="Y","---&gt;","...")</f>
        <v>...</v>
      </c>
      <c r="C351" s="1" t="str">
        <f>IF($H$331="Y",'Population Definitions'!$A$8,"...")</f>
        <v>...</v>
      </c>
      <c r="E351" s="2"/>
      <c r="F351" s="3"/>
      <c r="G351" s="2"/>
      <c r="H351" s="4" t="str">
        <f>IF($H$331="Y","OR","...")</f>
        <v>...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</row>
    <row r="352" spans="1:59">
      <c r="A352" s="1" t="str">
        <f>IF($I$331="Y",'Population Definitions'!$A$2,"...")</f>
        <v>...</v>
      </c>
      <c r="B352" s="4" t="str">
        <f>IF($I$331="Y","---&gt;","...")</f>
        <v>...</v>
      </c>
      <c r="C352" s="1" t="str">
        <f>IF($I$331="Y",'Population Definitions'!$A$9,"...")</f>
        <v>...</v>
      </c>
      <c r="E352" s="2"/>
      <c r="F352" s="3"/>
      <c r="G352" s="2"/>
      <c r="H352" s="4" t="str">
        <f>IF($I$331="Y","OR","...")</f>
        <v>...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</row>
    <row r="353" spans="1:59">
      <c r="A353" s="1" t="str">
        <f>IF($J$331="Y",'Population Definitions'!$A$2,"...")</f>
        <v>...</v>
      </c>
      <c r="B353" s="4" t="str">
        <f>IF($J$331="Y","---&gt;","...")</f>
        <v>...</v>
      </c>
      <c r="C353" s="1" t="str">
        <f>IF($J$331="Y",'Population Definitions'!$A$10,"...")</f>
        <v>...</v>
      </c>
      <c r="E353" s="2"/>
      <c r="F353" s="3"/>
      <c r="G353" s="2"/>
      <c r="H353" s="4" t="str">
        <f>IF($J$331="Y","OR","...")</f>
        <v>...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</row>
    <row r="354" spans="1:59">
      <c r="A354" s="1" t="str">
        <f>IF($K$331="Y",'Population Definitions'!$A$2,"...")</f>
        <v>...</v>
      </c>
      <c r="B354" s="4" t="str">
        <f>IF($K$331="Y","---&gt;","...")</f>
        <v>...</v>
      </c>
      <c r="C354" s="1" t="str">
        <f>IF($K$331="Y",'Population Definitions'!$A$11,"...")</f>
        <v>...</v>
      </c>
      <c r="E354" s="2"/>
      <c r="F354" s="3"/>
      <c r="G354" s="2"/>
      <c r="H354" s="4" t="str">
        <f>IF($K$331="Y","OR","...")</f>
        <v>...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</row>
    <row r="355" spans="1:59">
      <c r="A355" s="1" t="str">
        <f>IF($L$331="Y",'Population Definitions'!$A$2,"...")</f>
        <v>PWID_males</v>
      </c>
      <c r="B355" s="4" t="str">
        <f>IF($L$331="Y","---&gt;","...")</f>
        <v>---&gt;</v>
      </c>
      <c r="C355" s="1" t="str">
        <f>IF($L$331="Y",'Population Definitions'!$A$12,"...")</f>
        <v>Prisoners_males</v>
      </c>
      <c r="E355" s="3" t="s">
        <v>53</v>
      </c>
      <c r="F355" s="3"/>
      <c r="G355" s="3">
        <v>2.522234094303598</v>
      </c>
      <c r="H355" s="4" t="str">
        <f>IF($L$331="Y","OR","...")</f>
        <v>OR</v>
      </c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</row>
    <row r="356" spans="1:59">
      <c r="A356" s="1" t="str">
        <f>IF($M$331="Y",'Population Definitions'!$A$2,"...")</f>
        <v>...</v>
      </c>
      <c r="B356" s="4" t="str">
        <f>IF($M$331="Y","---&gt;","...")</f>
        <v>...</v>
      </c>
      <c r="C356" s="1" t="str">
        <f>IF($M$331="Y",'Population Definitions'!$A$13,"...")</f>
        <v>...</v>
      </c>
      <c r="E356" s="2"/>
      <c r="F356" s="3"/>
      <c r="G356" s="2"/>
      <c r="H356" s="4" t="str">
        <f>IF($M$331="Y","OR","...")</f>
        <v>...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</row>
    <row r="357" spans="1:59">
      <c r="A357" s="1" t="str">
        <f>IF($B$332="Y",'Population Definitions'!$A$3,"...")</f>
        <v>...</v>
      </c>
      <c r="B357" s="4" t="str">
        <f>IF($B$332="Y","---&gt;","...")</f>
        <v>...</v>
      </c>
      <c r="C357" s="1" t="str">
        <f>IF($B$332="Y",'Population Definitions'!$A$2,"...")</f>
        <v>...</v>
      </c>
      <c r="E357" s="2"/>
      <c r="F357" s="3"/>
      <c r="G357" s="2"/>
      <c r="H357" s="4" t="str">
        <f>IF($B$332="Y","OR","...")</f>
        <v>...</v>
      </c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</row>
    <row r="358" spans="1:59">
      <c r="A358" s="1" t="str">
        <f>IF($C$332="Y",'Population Definitions'!$A$3,"...")</f>
        <v>...</v>
      </c>
      <c r="B358" s="4" t="str">
        <f>IF($C$332="Y","---&gt;","...")</f>
        <v>...</v>
      </c>
      <c r="C358" s="1" t="str">
        <f>IF($C$332="Y",'Population Definitions'!$A$3,"...")</f>
        <v>...</v>
      </c>
      <c r="E358" s="2"/>
      <c r="F358" s="3"/>
      <c r="G358" s="2"/>
      <c r="H358" s="4" t="str">
        <f>IF($C$332="Y","OR","...")</f>
        <v>...</v>
      </c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</row>
    <row r="359" spans="1:59">
      <c r="A359" s="1" t="str">
        <f>IF($D$332="Y",'Population Definitions'!$A$3,"...")</f>
        <v>...</v>
      </c>
      <c r="B359" s="4" t="str">
        <f>IF($D$332="Y","---&gt;","...")</f>
        <v>...</v>
      </c>
      <c r="C359" s="1" t="str">
        <f>IF($D$332="Y",'Population Definitions'!$A$4,"...")</f>
        <v>...</v>
      </c>
      <c r="E359" s="2"/>
      <c r="F359" s="3"/>
      <c r="G359" s="2"/>
      <c r="H359" s="4" t="str">
        <f>IF($D$332="Y","OR","...")</f>
        <v>...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</row>
    <row r="360" spans="1:59">
      <c r="A360" s="1" t="str">
        <f>IF($E$332="Y",'Population Definitions'!$A$3,"...")</f>
        <v>...</v>
      </c>
      <c r="B360" s="4" t="str">
        <f>IF($E$332="Y","---&gt;","...")</f>
        <v>...</v>
      </c>
      <c r="C360" s="1" t="str">
        <f>IF($E$332="Y",'Population Definitions'!$A$5,"...")</f>
        <v>...</v>
      </c>
      <c r="E360" s="2"/>
      <c r="F360" s="3"/>
      <c r="G360" s="2"/>
      <c r="H360" s="4" t="str">
        <f>IF($E$332="Y","OR","...")</f>
        <v>...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</row>
    <row r="361" spans="1:59">
      <c r="A361" s="1" t="str">
        <f>IF($F$332="Y",'Population Definitions'!$A$3,"...")</f>
        <v>...</v>
      </c>
      <c r="B361" s="4" t="str">
        <f>IF($F$332="Y","---&gt;","...")</f>
        <v>...</v>
      </c>
      <c r="C361" s="1" t="str">
        <f>IF($F$332="Y",'Population Definitions'!$A$6,"...")</f>
        <v>...</v>
      </c>
      <c r="E361" s="2"/>
      <c r="F361" s="3"/>
      <c r="G361" s="2"/>
      <c r="H361" s="4" t="str">
        <f>IF($F$332="Y","OR","...")</f>
        <v>...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</row>
    <row r="362" spans="1:59">
      <c r="A362" s="1" t="str">
        <f>IF($G$332="Y",'Population Definitions'!$A$3,"...")</f>
        <v>...</v>
      </c>
      <c r="B362" s="4" t="str">
        <f>IF($G$332="Y","---&gt;","...")</f>
        <v>...</v>
      </c>
      <c r="C362" s="1" t="str">
        <f>IF($G$332="Y",'Population Definitions'!$A$7,"...")</f>
        <v>...</v>
      </c>
      <c r="E362" s="2"/>
      <c r="F362" s="3"/>
      <c r="G362" s="2"/>
      <c r="H362" s="4" t="str">
        <f>IF($G$332="Y","OR","...")</f>
        <v>...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</row>
    <row r="363" spans="1:59">
      <c r="A363" s="1" t="str">
        <f>IF($H$332="Y",'Population Definitions'!$A$3,"...")</f>
        <v>...</v>
      </c>
      <c r="B363" s="4" t="str">
        <f>IF($H$332="Y","---&gt;","...")</f>
        <v>...</v>
      </c>
      <c r="C363" s="1" t="str">
        <f>IF($H$332="Y",'Population Definitions'!$A$8,"...")</f>
        <v>...</v>
      </c>
      <c r="E363" s="2"/>
      <c r="F363" s="3"/>
      <c r="G363" s="2"/>
      <c r="H363" s="4" t="str">
        <f>IF($H$332="Y","OR","...")</f>
        <v>...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</row>
    <row r="364" spans="1:59">
      <c r="A364" s="1" t="str">
        <f>IF($I$332="Y",'Population Definitions'!$A$3,"...")</f>
        <v>...</v>
      </c>
      <c r="B364" s="4" t="str">
        <f>IF($I$332="Y","---&gt;","...")</f>
        <v>...</v>
      </c>
      <c r="C364" s="1" t="str">
        <f>IF($I$332="Y",'Population Definitions'!$A$9,"...")</f>
        <v>...</v>
      </c>
      <c r="E364" s="2"/>
      <c r="F364" s="3"/>
      <c r="G364" s="2"/>
      <c r="H364" s="4" t="str">
        <f>IF($I$332="Y","OR","...")</f>
        <v>...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</row>
    <row r="365" spans="1:59">
      <c r="A365" s="1" t="str">
        <f>IF($J$332="Y",'Population Definitions'!$A$3,"...")</f>
        <v>...</v>
      </c>
      <c r="B365" s="4" t="str">
        <f>IF($J$332="Y","---&gt;","...")</f>
        <v>...</v>
      </c>
      <c r="C365" s="1" t="str">
        <f>IF($J$332="Y",'Population Definitions'!$A$10,"...")</f>
        <v>...</v>
      </c>
      <c r="E365" s="2"/>
      <c r="F365" s="3"/>
      <c r="G365" s="2"/>
      <c r="H365" s="4" t="str">
        <f>IF($J$332="Y","OR","...")</f>
        <v>...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</row>
    <row r="366" spans="1:59">
      <c r="A366" s="1" t="str">
        <f>IF($K$332="Y",'Population Definitions'!$A$3,"...")</f>
        <v>...</v>
      </c>
      <c r="B366" s="4" t="str">
        <f>IF($K$332="Y","---&gt;","...")</f>
        <v>...</v>
      </c>
      <c r="C366" s="1" t="str">
        <f>IF($K$332="Y",'Population Definitions'!$A$11,"...")</f>
        <v>...</v>
      </c>
      <c r="E366" s="2"/>
      <c r="F366" s="3"/>
      <c r="G366" s="2"/>
      <c r="H366" s="4" t="str">
        <f>IF($K$332="Y","OR","...")</f>
        <v>...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</row>
    <row r="367" spans="1:59">
      <c r="A367" s="1" t="str">
        <f>IF($L$332="Y",'Population Definitions'!$A$3,"...")</f>
        <v>...</v>
      </c>
      <c r="B367" s="4" t="str">
        <f>IF($L$332="Y","---&gt;","...")</f>
        <v>...</v>
      </c>
      <c r="C367" s="1" t="str">
        <f>IF($L$332="Y",'Population Definitions'!$A$12,"...")</f>
        <v>...</v>
      </c>
      <c r="E367" s="2"/>
      <c r="F367" s="3"/>
      <c r="G367" s="2"/>
      <c r="H367" s="4" t="str">
        <f>IF($L$332="Y","OR","...")</f>
        <v>...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</row>
    <row r="368" spans="1:59">
      <c r="A368" s="1" t="str">
        <f>IF($M$332="Y",'Population Definitions'!$A$3,"...")</f>
        <v>PWID_females</v>
      </c>
      <c r="B368" s="4" t="str">
        <f>IF($M$332="Y","---&gt;","...")</f>
        <v>---&gt;</v>
      </c>
      <c r="C368" s="1" t="str">
        <f>IF($M$332="Y",'Population Definitions'!$A$13,"...")</f>
        <v>Prisoners_females</v>
      </c>
      <c r="E368" s="3" t="s">
        <v>53</v>
      </c>
      <c r="F368" s="3"/>
      <c r="G368" s="3">
        <v>1.436002411455111</v>
      </c>
      <c r="H368" s="4" t="str">
        <f>IF($M$332="Y","OR","...")</f>
        <v>OR</v>
      </c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</row>
    <row r="369" spans="1:59">
      <c r="A369" s="1" t="str">
        <f>IF($B$333="Y",'Population Definitions'!$A$4,"...")</f>
        <v>...</v>
      </c>
      <c r="B369" s="4" t="str">
        <f>IF($B$333="Y","---&gt;","...")</f>
        <v>...</v>
      </c>
      <c r="C369" s="1" t="str">
        <f>IF($B$333="Y",'Population Definitions'!$A$2,"...")</f>
        <v>...</v>
      </c>
      <c r="E369" s="2"/>
      <c r="F369" s="3"/>
      <c r="G369" s="2"/>
      <c r="H369" s="4" t="str">
        <f>IF($B$333="Y","OR","...")</f>
        <v>...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</row>
    <row r="370" spans="1:59">
      <c r="A370" s="1" t="str">
        <f>IF($C$333="Y",'Population Definitions'!$A$4,"...")</f>
        <v>...</v>
      </c>
      <c r="B370" s="4" t="str">
        <f>IF($C$333="Y","---&gt;","...")</f>
        <v>...</v>
      </c>
      <c r="C370" s="1" t="str">
        <f>IF($C$333="Y",'Population Definitions'!$A$3,"...")</f>
        <v>...</v>
      </c>
      <c r="E370" s="2"/>
      <c r="F370" s="3"/>
      <c r="G370" s="2"/>
      <c r="H370" s="4" t="str">
        <f>IF($C$333="Y","OR","...")</f>
        <v>...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</row>
    <row r="371" spans="1:59">
      <c r="A371" s="1" t="str">
        <f>IF($D$333="Y",'Population Definitions'!$A$4,"...")</f>
        <v>...</v>
      </c>
      <c r="B371" s="4" t="str">
        <f>IF($D$333="Y","---&gt;","...")</f>
        <v>...</v>
      </c>
      <c r="C371" s="1" t="str">
        <f>IF($D$333="Y",'Population Definitions'!$A$4,"...")</f>
        <v>...</v>
      </c>
      <c r="E371" s="2"/>
      <c r="F371" s="3"/>
      <c r="G371" s="2"/>
      <c r="H371" s="4" t="str">
        <f>IF($D$333="Y","OR","...")</f>
        <v>...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</row>
    <row r="372" spans="1:59">
      <c r="A372" s="1" t="str">
        <f>IF($E$333="Y",'Population Definitions'!$A$4,"...")</f>
        <v>...</v>
      </c>
      <c r="B372" s="4" t="str">
        <f>IF($E$333="Y","---&gt;","...")</f>
        <v>...</v>
      </c>
      <c r="C372" s="1" t="str">
        <f>IF($E$333="Y",'Population Definitions'!$A$5,"...")</f>
        <v>...</v>
      </c>
      <c r="E372" s="2"/>
      <c r="F372" s="3"/>
      <c r="G372" s="2"/>
      <c r="H372" s="4" t="str">
        <f>IF($E$333="Y","OR","...")</f>
        <v>...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</row>
    <row r="373" spans="1:59">
      <c r="A373" s="1" t="str">
        <f>IF($F$333="Y",'Population Definitions'!$A$4,"...")</f>
        <v>...</v>
      </c>
      <c r="B373" s="4" t="str">
        <f>IF($F$333="Y","---&gt;","...")</f>
        <v>...</v>
      </c>
      <c r="C373" s="1" t="str">
        <f>IF($F$333="Y",'Population Definitions'!$A$6,"...")</f>
        <v>...</v>
      </c>
      <c r="E373" s="2"/>
      <c r="F373" s="3"/>
      <c r="G373" s="2"/>
      <c r="H373" s="4" t="str">
        <f>IF($F$333="Y","OR","...")</f>
        <v>...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</row>
    <row r="374" spans="1:59">
      <c r="A374" s="1" t="str">
        <f>IF($G$333="Y",'Population Definitions'!$A$4,"...")</f>
        <v>...</v>
      </c>
      <c r="B374" s="4" t="str">
        <f>IF($G$333="Y","---&gt;","...")</f>
        <v>...</v>
      </c>
      <c r="C374" s="1" t="str">
        <f>IF($G$333="Y",'Population Definitions'!$A$7,"...")</f>
        <v>...</v>
      </c>
      <c r="E374" s="2"/>
      <c r="F374" s="3"/>
      <c r="G374" s="2"/>
      <c r="H374" s="4" t="str">
        <f>IF($G$333="Y","OR","...")</f>
        <v>...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</row>
    <row r="375" spans="1:59">
      <c r="A375" s="1" t="str">
        <f>IF($H$333="Y",'Population Definitions'!$A$4,"...")</f>
        <v>...</v>
      </c>
      <c r="B375" s="4" t="str">
        <f>IF($H$333="Y","---&gt;","...")</f>
        <v>...</v>
      </c>
      <c r="C375" s="1" t="str">
        <f>IF($H$333="Y",'Population Definitions'!$A$8,"...")</f>
        <v>...</v>
      </c>
      <c r="E375" s="2"/>
      <c r="F375" s="3"/>
      <c r="G375" s="2"/>
      <c r="H375" s="4" t="str">
        <f>IF($H$333="Y","OR","...")</f>
        <v>...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</row>
    <row r="376" spans="1:59">
      <c r="A376" s="1" t="str">
        <f>IF($I$333="Y",'Population Definitions'!$A$4,"...")</f>
        <v>...</v>
      </c>
      <c r="B376" s="4" t="str">
        <f>IF($I$333="Y","---&gt;","...")</f>
        <v>...</v>
      </c>
      <c r="C376" s="1" t="str">
        <f>IF($I$333="Y",'Population Definitions'!$A$9,"...")</f>
        <v>...</v>
      </c>
      <c r="E376" s="2"/>
      <c r="F376" s="3"/>
      <c r="G376" s="2"/>
      <c r="H376" s="4" t="str">
        <f>IF($I$333="Y","OR","...")</f>
        <v>...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</row>
    <row r="377" spans="1:59">
      <c r="A377" s="1" t="str">
        <f>IF($J$333="Y",'Population Definitions'!$A$4,"...")</f>
        <v>...</v>
      </c>
      <c r="B377" s="4" t="str">
        <f>IF($J$333="Y","---&gt;","...")</f>
        <v>...</v>
      </c>
      <c r="C377" s="1" t="str">
        <f>IF($J$333="Y",'Population Definitions'!$A$10,"...")</f>
        <v>...</v>
      </c>
      <c r="E377" s="2"/>
      <c r="F377" s="3"/>
      <c r="G377" s="2"/>
      <c r="H377" s="4" t="str">
        <f>IF($J$333="Y","OR","...")</f>
        <v>...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</row>
    <row r="378" spans="1:59">
      <c r="A378" s="1" t="str">
        <f>IF($K$333="Y",'Population Definitions'!$A$4,"...")</f>
        <v>...</v>
      </c>
      <c r="B378" s="4" t="str">
        <f>IF($K$333="Y","---&gt;","...")</f>
        <v>...</v>
      </c>
      <c r="C378" s="1" t="str">
        <f>IF($K$333="Y",'Population Definitions'!$A$11,"...")</f>
        <v>...</v>
      </c>
      <c r="E378" s="2"/>
      <c r="F378" s="3"/>
      <c r="G378" s="2"/>
      <c r="H378" s="4" t="str">
        <f>IF($K$333="Y","OR","...")</f>
        <v>...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</row>
    <row r="379" spans="1:59">
      <c r="A379" s="1" t="str">
        <f>IF($L$333="Y",'Population Definitions'!$A$4,"...")</f>
        <v>...</v>
      </c>
      <c r="B379" s="4" t="str">
        <f>IF($L$333="Y","---&gt;","...")</f>
        <v>...</v>
      </c>
      <c r="C379" s="1" t="str">
        <f>IF($L$333="Y",'Population Definitions'!$A$12,"...")</f>
        <v>...</v>
      </c>
      <c r="E379" s="2"/>
      <c r="F379" s="3"/>
      <c r="G379" s="2"/>
      <c r="H379" s="4" t="str">
        <f>IF($L$333="Y","OR","...")</f>
        <v>...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</row>
    <row r="380" spans="1:59">
      <c r="A380" s="1" t="str">
        <f>IF($M$333="Y",'Population Definitions'!$A$4,"...")</f>
        <v>...</v>
      </c>
      <c r="B380" s="4" t="str">
        <f>IF($M$333="Y","---&gt;","...")</f>
        <v>...</v>
      </c>
      <c r="C380" s="1" t="str">
        <f>IF($M$333="Y",'Population Definitions'!$A$13,"...")</f>
        <v>...</v>
      </c>
      <c r="E380" s="2"/>
      <c r="F380" s="3"/>
      <c r="G380" s="2"/>
      <c r="H380" s="4" t="str">
        <f>IF($M$333="Y","OR","...")</f>
        <v>...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</row>
    <row r="381" spans="1:59">
      <c r="A381" s="1" t="str">
        <f>IF($B$334="Y",'Population Definitions'!$A$5,"...")</f>
        <v>...</v>
      </c>
      <c r="B381" s="4" t="str">
        <f>IF($B$334="Y","---&gt;","...")</f>
        <v>...</v>
      </c>
      <c r="C381" s="1" t="str">
        <f>IF($B$334="Y",'Population Definitions'!$A$2,"...")</f>
        <v>...</v>
      </c>
      <c r="E381" s="2"/>
      <c r="F381" s="3"/>
      <c r="G381" s="2"/>
      <c r="H381" s="4" t="str">
        <f>IF($B$334="Y","OR","...")</f>
        <v>...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</row>
    <row r="382" spans="1:59">
      <c r="A382" s="1" t="str">
        <f>IF($C$334="Y",'Population Definitions'!$A$5,"...")</f>
        <v>...</v>
      </c>
      <c r="B382" s="4" t="str">
        <f>IF($C$334="Y","---&gt;","...")</f>
        <v>...</v>
      </c>
      <c r="C382" s="1" t="str">
        <f>IF($C$334="Y",'Population Definitions'!$A$3,"...")</f>
        <v>...</v>
      </c>
      <c r="E382" s="2"/>
      <c r="F382" s="3"/>
      <c r="G382" s="2"/>
      <c r="H382" s="4" t="str">
        <f>IF($C$334="Y","OR","...")</f>
        <v>...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</row>
    <row r="383" spans="1:59">
      <c r="A383" s="1" t="str">
        <f>IF($D$334="Y",'Population Definitions'!$A$5,"...")</f>
        <v>...</v>
      </c>
      <c r="B383" s="4" t="str">
        <f>IF($D$334="Y","---&gt;","...")</f>
        <v>...</v>
      </c>
      <c r="C383" s="1" t="str">
        <f>IF($D$334="Y",'Population Definitions'!$A$4,"...")</f>
        <v>...</v>
      </c>
      <c r="E383" s="2"/>
      <c r="F383" s="3"/>
      <c r="G383" s="2"/>
      <c r="H383" s="4" t="str">
        <f>IF($D$334="Y","OR","...")</f>
        <v>...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</row>
    <row r="384" spans="1:59">
      <c r="A384" s="1" t="str">
        <f>IF($E$334="Y",'Population Definitions'!$A$5,"...")</f>
        <v>...</v>
      </c>
      <c r="B384" s="4" t="str">
        <f>IF($E$334="Y","---&gt;","...")</f>
        <v>...</v>
      </c>
      <c r="C384" s="1" t="str">
        <f>IF($E$334="Y",'Population Definitions'!$A$5,"...")</f>
        <v>...</v>
      </c>
      <c r="E384" s="2"/>
      <c r="F384" s="3"/>
      <c r="G384" s="2"/>
      <c r="H384" s="4" t="str">
        <f>IF($E$334="Y","OR","...")</f>
        <v>...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</row>
    <row r="385" spans="1:59">
      <c r="A385" s="1" t="str">
        <f>IF($F$334="Y",'Population Definitions'!$A$5,"...")</f>
        <v>...</v>
      </c>
      <c r="B385" s="4" t="str">
        <f>IF($F$334="Y","---&gt;","...")</f>
        <v>...</v>
      </c>
      <c r="C385" s="1" t="str">
        <f>IF($F$334="Y",'Population Definitions'!$A$6,"...")</f>
        <v>...</v>
      </c>
      <c r="E385" s="2"/>
      <c r="F385" s="3"/>
      <c r="G385" s="2"/>
      <c r="H385" s="4" t="str">
        <f>IF($F$334="Y","OR","...")</f>
        <v>...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</row>
    <row r="386" spans="1:59">
      <c r="A386" s="1" t="str">
        <f>IF($G$334="Y",'Population Definitions'!$A$5,"...")</f>
        <v>...</v>
      </c>
      <c r="B386" s="4" t="str">
        <f>IF($G$334="Y","---&gt;","...")</f>
        <v>...</v>
      </c>
      <c r="C386" s="1" t="str">
        <f>IF($G$334="Y",'Population Definitions'!$A$7,"...")</f>
        <v>...</v>
      </c>
      <c r="E386" s="2"/>
      <c r="F386" s="3"/>
      <c r="G386" s="2"/>
      <c r="H386" s="4" t="str">
        <f>IF($G$334="Y","OR","...")</f>
        <v>...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</row>
    <row r="387" spans="1:59">
      <c r="A387" s="1" t="str">
        <f>IF($H$334="Y",'Population Definitions'!$A$5,"...")</f>
        <v>...</v>
      </c>
      <c r="B387" s="4" t="str">
        <f>IF($H$334="Y","---&gt;","...")</f>
        <v>...</v>
      </c>
      <c r="C387" s="1" t="str">
        <f>IF($H$334="Y",'Population Definitions'!$A$8,"...")</f>
        <v>...</v>
      </c>
      <c r="E387" s="2"/>
      <c r="F387" s="3"/>
      <c r="G387" s="2"/>
      <c r="H387" s="4" t="str">
        <f>IF($H$334="Y","OR","...")</f>
        <v>...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</row>
    <row r="388" spans="1:59">
      <c r="A388" s="1" t="str">
        <f>IF($I$334="Y",'Population Definitions'!$A$5,"...")</f>
        <v>...</v>
      </c>
      <c r="B388" s="4" t="str">
        <f>IF($I$334="Y","---&gt;","...")</f>
        <v>...</v>
      </c>
      <c r="C388" s="1" t="str">
        <f>IF($I$334="Y",'Population Definitions'!$A$9,"...")</f>
        <v>...</v>
      </c>
      <c r="E388" s="2"/>
      <c r="F388" s="3"/>
      <c r="G388" s="2"/>
      <c r="H388" s="4" t="str">
        <f>IF($I$334="Y","OR","...")</f>
        <v>...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</row>
    <row r="389" spans="1:59">
      <c r="A389" s="1" t="str">
        <f>IF($J$334="Y",'Population Definitions'!$A$5,"...")</f>
        <v>...</v>
      </c>
      <c r="B389" s="4" t="str">
        <f>IF($J$334="Y","---&gt;","...")</f>
        <v>...</v>
      </c>
      <c r="C389" s="1" t="str">
        <f>IF($J$334="Y",'Population Definitions'!$A$10,"...")</f>
        <v>...</v>
      </c>
      <c r="E389" s="2"/>
      <c r="F389" s="3"/>
      <c r="G389" s="2"/>
      <c r="H389" s="4" t="str">
        <f>IF($J$334="Y","OR","...")</f>
        <v>...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</row>
    <row r="390" spans="1:59">
      <c r="A390" s="1" t="str">
        <f>IF($K$334="Y",'Population Definitions'!$A$5,"...")</f>
        <v>...</v>
      </c>
      <c r="B390" s="4" t="str">
        <f>IF($K$334="Y","---&gt;","...")</f>
        <v>...</v>
      </c>
      <c r="C390" s="1" t="str">
        <f>IF($K$334="Y",'Population Definitions'!$A$11,"...")</f>
        <v>...</v>
      </c>
      <c r="E390" s="2"/>
      <c r="F390" s="3"/>
      <c r="G390" s="2"/>
      <c r="H390" s="4" t="str">
        <f>IF($K$334="Y","OR","...")</f>
        <v>...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</row>
    <row r="391" spans="1:59">
      <c r="A391" s="1" t="str">
        <f>IF($L$334="Y",'Population Definitions'!$A$5,"...")</f>
        <v>...</v>
      </c>
      <c r="B391" s="4" t="str">
        <f>IF($L$334="Y","---&gt;","...")</f>
        <v>...</v>
      </c>
      <c r="C391" s="1" t="str">
        <f>IF($L$334="Y",'Population Definitions'!$A$12,"...")</f>
        <v>...</v>
      </c>
      <c r="E391" s="2"/>
      <c r="F391" s="3"/>
      <c r="G391" s="2"/>
      <c r="H391" s="4" t="str">
        <f>IF($L$334="Y","OR","...")</f>
        <v>...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</row>
    <row r="392" spans="1:59">
      <c r="A392" s="1" t="str">
        <f>IF($M$334="Y",'Population Definitions'!$A$5,"...")</f>
        <v>...</v>
      </c>
      <c r="B392" s="4" t="str">
        <f>IF($M$334="Y","---&gt;","...")</f>
        <v>...</v>
      </c>
      <c r="C392" s="1" t="str">
        <f>IF($M$334="Y",'Population Definitions'!$A$13,"...")</f>
        <v>...</v>
      </c>
      <c r="E392" s="2"/>
      <c r="F392" s="3"/>
      <c r="G392" s="2"/>
      <c r="H392" s="4" t="str">
        <f>IF($M$334="Y","OR","...")</f>
        <v>...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</row>
    <row r="393" spans="1:59">
      <c r="A393" s="1" t="str">
        <f>IF($B$335="Y",'Population Definitions'!$A$6,"...")</f>
        <v>...</v>
      </c>
      <c r="B393" s="4" t="str">
        <f>IF($B$335="Y","---&gt;","...")</f>
        <v>...</v>
      </c>
      <c r="C393" s="1" t="str">
        <f>IF($B$335="Y",'Population Definitions'!$A$2,"...")</f>
        <v>...</v>
      </c>
      <c r="E393" s="2"/>
      <c r="F393" s="3"/>
      <c r="G393" s="2"/>
      <c r="H393" s="4" t="str">
        <f>IF($B$335="Y","OR","...")</f>
        <v>...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</row>
    <row r="394" spans="1:59">
      <c r="A394" s="1" t="str">
        <f>IF($C$335="Y",'Population Definitions'!$A$6,"...")</f>
        <v>...</v>
      </c>
      <c r="B394" s="4" t="str">
        <f>IF($C$335="Y","---&gt;","...")</f>
        <v>...</v>
      </c>
      <c r="C394" s="1" t="str">
        <f>IF($C$335="Y",'Population Definitions'!$A$3,"...")</f>
        <v>...</v>
      </c>
      <c r="E394" s="2"/>
      <c r="F394" s="3"/>
      <c r="G394" s="2"/>
      <c r="H394" s="4" t="str">
        <f>IF($C$335="Y","OR","...")</f>
        <v>...</v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</row>
    <row r="395" spans="1:59">
      <c r="A395" s="1" t="str">
        <f>IF($D$335="Y",'Population Definitions'!$A$6,"...")</f>
        <v>...</v>
      </c>
      <c r="B395" s="4" t="str">
        <f>IF($D$335="Y","---&gt;","...")</f>
        <v>...</v>
      </c>
      <c r="C395" s="1" t="str">
        <f>IF($D$335="Y",'Population Definitions'!$A$4,"...")</f>
        <v>...</v>
      </c>
      <c r="E395" s="2"/>
      <c r="F395" s="3"/>
      <c r="G395" s="2"/>
      <c r="H395" s="4" t="str">
        <f>IF($D$335="Y","OR","...")</f>
        <v>...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</row>
    <row r="396" spans="1:59">
      <c r="A396" s="1" t="str">
        <f>IF($E$335="Y",'Population Definitions'!$A$6,"...")</f>
        <v>...</v>
      </c>
      <c r="B396" s="4" t="str">
        <f>IF($E$335="Y","---&gt;","...")</f>
        <v>...</v>
      </c>
      <c r="C396" s="1" t="str">
        <f>IF($E$335="Y",'Population Definitions'!$A$5,"...")</f>
        <v>...</v>
      </c>
      <c r="E396" s="2"/>
      <c r="F396" s="3"/>
      <c r="G396" s="2"/>
      <c r="H396" s="4" t="str">
        <f>IF($E$335="Y","OR","...")</f>
        <v>...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</row>
    <row r="397" spans="1:59">
      <c r="A397" s="1" t="str">
        <f>IF($F$335="Y",'Population Definitions'!$A$6,"...")</f>
        <v>...</v>
      </c>
      <c r="B397" s="4" t="str">
        <f>IF($F$335="Y","---&gt;","...")</f>
        <v>...</v>
      </c>
      <c r="C397" s="1" t="str">
        <f>IF($F$335="Y",'Population Definitions'!$A$6,"...")</f>
        <v>...</v>
      </c>
      <c r="E397" s="2"/>
      <c r="F397" s="3"/>
      <c r="G397" s="2"/>
      <c r="H397" s="4" t="str">
        <f>IF($F$335="Y","OR","...")</f>
        <v>...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</row>
    <row r="398" spans="1:59">
      <c r="A398" s="1" t="str">
        <f>IF($G$335="Y",'Population Definitions'!$A$6,"...")</f>
        <v>...</v>
      </c>
      <c r="B398" s="4" t="str">
        <f>IF($G$335="Y","---&gt;","...")</f>
        <v>...</v>
      </c>
      <c r="C398" s="1" t="str">
        <f>IF($G$335="Y",'Population Definitions'!$A$7,"...")</f>
        <v>...</v>
      </c>
      <c r="E398" s="2"/>
      <c r="F398" s="3"/>
      <c r="G398" s="2"/>
      <c r="H398" s="4" t="str">
        <f>IF($G$335="Y","OR","...")</f>
        <v>...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</row>
    <row r="399" spans="1:59">
      <c r="A399" s="1" t="str">
        <f>IF($H$335="Y",'Population Definitions'!$A$6,"...")</f>
        <v>...</v>
      </c>
      <c r="B399" s="4" t="str">
        <f>IF($H$335="Y","---&gt;","...")</f>
        <v>...</v>
      </c>
      <c r="C399" s="1" t="str">
        <f>IF($H$335="Y",'Population Definitions'!$A$8,"...")</f>
        <v>...</v>
      </c>
      <c r="E399" s="2"/>
      <c r="F399" s="3"/>
      <c r="G399" s="2"/>
      <c r="H399" s="4" t="str">
        <f>IF($H$335="Y","OR","...")</f>
        <v>...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</row>
    <row r="400" spans="1:59">
      <c r="A400" s="1" t="str">
        <f>IF($I$335="Y",'Population Definitions'!$A$6,"...")</f>
        <v>...</v>
      </c>
      <c r="B400" s="4" t="str">
        <f>IF($I$335="Y","---&gt;","...")</f>
        <v>...</v>
      </c>
      <c r="C400" s="1" t="str">
        <f>IF($I$335="Y",'Population Definitions'!$A$9,"...")</f>
        <v>...</v>
      </c>
      <c r="E400" s="2"/>
      <c r="F400" s="3"/>
      <c r="G400" s="2"/>
      <c r="H400" s="4" t="str">
        <f>IF($I$335="Y","OR","...")</f>
        <v>...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</row>
    <row r="401" spans="1:59">
      <c r="A401" s="1" t="str">
        <f>IF($J$335="Y",'Population Definitions'!$A$6,"...")</f>
        <v>...</v>
      </c>
      <c r="B401" s="4" t="str">
        <f>IF($J$335="Y","---&gt;","...")</f>
        <v>...</v>
      </c>
      <c r="C401" s="1" t="str">
        <f>IF($J$335="Y",'Population Definitions'!$A$10,"...")</f>
        <v>...</v>
      </c>
      <c r="E401" s="2"/>
      <c r="F401" s="3"/>
      <c r="G401" s="2"/>
      <c r="H401" s="4" t="str">
        <f>IF($J$335="Y","OR","...")</f>
        <v>...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</row>
    <row r="402" spans="1:59">
      <c r="A402" s="1" t="str">
        <f>IF($K$335="Y",'Population Definitions'!$A$6,"...")</f>
        <v>...</v>
      </c>
      <c r="B402" s="4" t="str">
        <f>IF($K$335="Y","---&gt;","...")</f>
        <v>...</v>
      </c>
      <c r="C402" s="1" t="str">
        <f>IF($K$335="Y",'Population Definitions'!$A$11,"...")</f>
        <v>...</v>
      </c>
      <c r="E402" s="2"/>
      <c r="F402" s="3"/>
      <c r="G402" s="2"/>
      <c r="H402" s="4" t="str">
        <f>IF($K$335="Y","OR","...")</f>
        <v>...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</row>
    <row r="403" spans="1:59">
      <c r="A403" s="1" t="str">
        <f>IF($L$335="Y",'Population Definitions'!$A$6,"...")</f>
        <v>...</v>
      </c>
      <c r="B403" s="4" t="str">
        <f>IF($L$335="Y","---&gt;","...")</f>
        <v>...</v>
      </c>
      <c r="C403" s="1" t="str">
        <f>IF($L$335="Y",'Population Definitions'!$A$12,"...")</f>
        <v>...</v>
      </c>
      <c r="E403" s="2"/>
      <c r="F403" s="3"/>
      <c r="G403" s="2"/>
      <c r="H403" s="4" t="str">
        <f>IF($L$335="Y","OR","...")</f>
        <v>...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</row>
    <row r="404" spans="1:59">
      <c r="A404" s="1" t="str">
        <f>IF($M$335="Y",'Population Definitions'!$A$6,"...")</f>
        <v>...</v>
      </c>
      <c r="B404" s="4" t="str">
        <f>IF($M$335="Y","---&gt;","...")</f>
        <v>...</v>
      </c>
      <c r="C404" s="1" t="str">
        <f>IF($M$335="Y",'Population Definitions'!$A$13,"...")</f>
        <v>...</v>
      </c>
      <c r="E404" s="2"/>
      <c r="F404" s="3"/>
      <c r="G404" s="2"/>
      <c r="H404" s="4" t="str">
        <f>IF($M$335="Y","OR","...")</f>
        <v>...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</row>
    <row r="405" spans="1:59">
      <c r="A405" s="1" t="str">
        <f>IF($B$336="Y",'Population Definitions'!$A$7,"...")</f>
        <v>...</v>
      </c>
      <c r="B405" s="4" t="str">
        <f>IF($B$336="Y","---&gt;","...")</f>
        <v>...</v>
      </c>
      <c r="C405" s="1" t="str">
        <f>IF($B$336="Y",'Population Definitions'!$A$2,"...")</f>
        <v>...</v>
      </c>
      <c r="E405" s="2"/>
      <c r="F405" s="3"/>
      <c r="G405" s="2"/>
      <c r="H405" s="4" t="str">
        <f>IF($B$336="Y","OR","...")</f>
        <v>...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</row>
    <row r="406" spans="1:59">
      <c r="A406" s="1" t="str">
        <f>IF($C$336="Y",'Population Definitions'!$A$7,"...")</f>
        <v>...</v>
      </c>
      <c r="B406" s="4" t="str">
        <f>IF($C$336="Y","---&gt;","...")</f>
        <v>...</v>
      </c>
      <c r="C406" s="1" t="str">
        <f>IF($C$336="Y",'Population Definitions'!$A$3,"...")</f>
        <v>...</v>
      </c>
      <c r="E406" s="2"/>
      <c r="F406" s="3"/>
      <c r="G406" s="2"/>
      <c r="H406" s="4" t="str">
        <f>IF($C$336="Y","OR","...")</f>
        <v>...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</row>
    <row r="407" spans="1:59">
      <c r="A407" s="1" t="str">
        <f>IF($D$336="Y",'Population Definitions'!$A$7,"...")</f>
        <v>...</v>
      </c>
      <c r="B407" s="4" t="str">
        <f>IF($D$336="Y","---&gt;","...")</f>
        <v>...</v>
      </c>
      <c r="C407" s="1" t="str">
        <f>IF($D$336="Y",'Population Definitions'!$A$4,"...")</f>
        <v>...</v>
      </c>
      <c r="E407" s="2"/>
      <c r="F407" s="3"/>
      <c r="G407" s="2"/>
      <c r="H407" s="4" t="str">
        <f>IF($D$336="Y","OR","...")</f>
        <v>...</v>
      </c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</row>
    <row r="408" spans="1:59">
      <c r="A408" s="1" t="str">
        <f>IF($E$336="Y",'Population Definitions'!$A$7,"...")</f>
        <v>...</v>
      </c>
      <c r="B408" s="4" t="str">
        <f>IF($E$336="Y","---&gt;","...")</f>
        <v>...</v>
      </c>
      <c r="C408" s="1" t="str">
        <f>IF($E$336="Y",'Population Definitions'!$A$5,"...")</f>
        <v>...</v>
      </c>
      <c r="E408" s="2"/>
      <c r="F408" s="3"/>
      <c r="G408" s="2"/>
      <c r="H408" s="4" t="str">
        <f>IF($E$336="Y","OR","...")</f>
        <v>...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</row>
    <row r="409" spans="1:59">
      <c r="A409" s="1" t="str">
        <f>IF($F$336="Y",'Population Definitions'!$A$7,"...")</f>
        <v>...</v>
      </c>
      <c r="B409" s="4" t="str">
        <f>IF($F$336="Y","---&gt;","...")</f>
        <v>...</v>
      </c>
      <c r="C409" s="1" t="str">
        <f>IF($F$336="Y",'Population Definitions'!$A$6,"...")</f>
        <v>...</v>
      </c>
      <c r="E409" s="2"/>
      <c r="F409" s="3"/>
      <c r="G409" s="2"/>
      <c r="H409" s="4" t="str">
        <f>IF($F$336="Y","OR","...")</f>
        <v>...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</row>
    <row r="410" spans="1:59">
      <c r="A410" s="1" t="str">
        <f>IF($G$336="Y",'Population Definitions'!$A$7,"...")</f>
        <v>...</v>
      </c>
      <c r="B410" s="4" t="str">
        <f>IF($G$336="Y","---&gt;","...")</f>
        <v>...</v>
      </c>
      <c r="C410" s="1" t="str">
        <f>IF($G$336="Y",'Population Definitions'!$A$7,"...")</f>
        <v>...</v>
      </c>
      <c r="E410" s="2"/>
      <c r="F410" s="3"/>
      <c r="G410" s="2"/>
      <c r="H410" s="4" t="str">
        <f>IF($G$336="Y","OR","...")</f>
        <v>...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</row>
    <row r="411" spans="1:59">
      <c r="A411" s="1" t="str">
        <f>IF($H$336="Y",'Population Definitions'!$A$7,"...")</f>
        <v>...</v>
      </c>
      <c r="B411" s="4" t="str">
        <f>IF($H$336="Y","---&gt;","...")</f>
        <v>...</v>
      </c>
      <c r="C411" s="1" t="str">
        <f>IF($H$336="Y",'Population Definitions'!$A$8,"...")</f>
        <v>...</v>
      </c>
      <c r="E411" s="2"/>
      <c r="F411" s="3"/>
      <c r="G411" s="2"/>
      <c r="H411" s="4" t="str">
        <f>IF($H$336="Y","OR","...")</f>
        <v>...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</row>
    <row r="412" spans="1:59">
      <c r="A412" s="1" t="str">
        <f>IF($I$336="Y",'Population Definitions'!$A$7,"...")</f>
        <v>...</v>
      </c>
      <c r="B412" s="4" t="str">
        <f>IF($I$336="Y","---&gt;","...")</f>
        <v>...</v>
      </c>
      <c r="C412" s="1" t="str">
        <f>IF($I$336="Y",'Population Definitions'!$A$9,"...")</f>
        <v>...</v>
      </c>
      <c r="E412" s="2"/>
      <c r="F412" s="3"/>
      <c r="G412" s="2"/>
      <c r="H412" s="4" t="str">
        <f>IF($I$336="Y","OR","...")</f>
        <v>...</v>
      </c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</row>
    <row r="413" spans="1:59">
      <c r="A413" s="1" t="str">
        <f>IF($J$336="Y",'Population Definitions'!$A$7,"...")</f>
        <v>...</v>
      </c>
      <c r="B413" s="4" t="str">
        <f>IF($J$336="Y","---&gt;","...")</f>
        <v>...</v>
      </c>
      <c r="C413" s="1" t="str">
        <f>IF($J$336="Y",'Population Definitions'!$A$10,"...")</f>
        <v>...</v>
      </c>
      <c r="E413" s="2"/>
      <c r="F413" s="3"/>
      <c r="G413" s="2"/>
      <c r="H413" s="4" t="str">
        <f>IF($J$336="Y","OR","...")</f>
        <v>...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</row>
    <row r="414" spans="1:59">
      <c r="A414" s="1" t="str">
        <f>IF($K$336="Y",'Population Definitions'!$A$7,"...")</f>
        <v>...</v>
      </c>
      <c r="B414" s="4" t="str">
        <f>IF($K$336="Y","---&gt;","...")</f>
        <v>...</v>
      </c>
      <c r="C414" s="1" t="str">
        <f>IF($K$336="Y",'Population Definitions'!$A$11,"...")</f>
        <v>...</v>
      </c>
      <c r="E414" s="2"/>
      <c r="F414" s="3"/>
      <c r="G414" s="2"/>
      <c r="H414" s="4" t="str">
        <f>IF($K$336="Y","OR","...")</f>
        <v>...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</row>
    <row r="415" spans="1:59">
      <c r="A415" s="1" t="str">
        <f>IF($L$336="Y",'Population Definitions'!$A$7,"...")</f>
        <v>...</v>
      </c>
      <c r="B415" s="4" t="str">
        <f>IF($L$336="Y","---&gt;","...")</f>
        <v>...</v>
      </c>
      <c r="C415" s="1" t="str">
        <f>IF($L$336="Y",'Population Definitions'!$A$12,"...")</f>
        <v>...</v>
      </c>
      <c r="E415" s="2"/>
      <c r="F415" s="3"/>
      <c r="G415" s="2"/>
      <c r="H415" s="4" t="str">
        <f>IF($L$336="Y","OR","...")</f>
        <v>...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</row>
    <row r="416" spans="1:59">
      <c r="A416" s="1" t="str">
        <f>IF($M$336="Y",'Population Definitions'!$A$7,"...")</f>
        <v>...</v>
      </c>
      <c r="B416" s="4" t="str">
        <f>IF($M$336="Y","---&gt;","...")</f>
        <v>...</v>
      </c>
      <c r="C416" s="1" t="str">
        <f>IF($M$336="Y",'Population Definitions'!$A$13,"...")</f>
        <v>...</v>
      </c>
      <c r="E416" s="2"/>
      <c r="F416" s="3"/>
      <c r="G416" s="2"/>
      <c r="H416" s="4" t="str">
        <f>IF($M$336="Y","OR","...")</f>
        <v>...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</row>
    <row r="417" spans="1:59">
      <c r="A417" s="1" t="str">
        <f>IF($B$337="Y",'Population Definitions'!$A$8,"...")</f>
        <v>...</v>
      </c>
      <c r="B417" s="4" t="str">
        <f>IF($B$337="Y","---&gt;","...")</f>
        <v>...</v>
      </c>
      <c r="C417" s="1" t="str">
        <f>IF($B$337="Y",'Population Definitions'!$A$2,"...")</f>
        <v>...</v>
      </c>
      <c r="E417" s="2"/>
      <c r="F417" s="3"/>
      <c r="G417" s="2"/>
      <c r="H417" s="4" t="str">
        <f>IF($B$337="Y","OR","...")</f>
        <v>...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</row>
    <row r="418" spans="1:59">
      <c r="A418" s="1" t="str">
        <f>IF($C$337="Y",'Population Definitions'!$A$8,"...")</f>
        <v>...</v>
      </c>
      <c r="B418" s="4" t="str">
        <f>IF($C$337="Y","---&gt;","...")</f>
        <v>...</v>
      </c>
      <c r="C418" s="1" t="str">
        <f>IF($C$337="Y",'Population Definitions'!$A$3,"...")</f>
        <v>...</v>
      </c>
      <c r="E418" s="2"/>
      <c r="F418" s="3"/>
      <c r="G418" s="2"/>
      <c r="H418" s="4" t="str">
        <f>IF($C$337="Y","OR","...")</f>
        <v>...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</row>
    <row r="419" spans="1:59">
      <c r="A419" s="1" t="str">
        <f>IF($D$337="Y",'Population Definitions'!$A$8,"...")</f>
        <v>...</v>
      </c>
      <c r="B419" s="4" t="str">
        <f>IF($D$337="Y","---&gt;","...")</f>
        <v>...</v>
      </c>
      <c r="C419" s="1" t="str">
        <f>IF($D$337="Y",'Population Definitions'!$A$4,"...")</f>
        <v>...</v>
      </c>
      <c r="E419" s="2"/>
      <c r="F419" s="3"/>
      <c r="G419" s="2"/>
      <c r="H419" s="4" t="str">
        <f>IF($D$337="Y","OR","...")</f>
        <v>...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</row>
    <row r="420" spans="1:59">
      <c r="A420" s="1" t="str">
        <f>IF($E$337="Y",'Population Definitions'!$A$8,"...")</f>
        <v>...</v>
      </c>
      <c r="B420" s="4" t="str">
        <f>IF($E$337="Y","---&gt;","...")</f>
        <v>...</v>
      </c>
      <c r="C420" s="1" t="str">
        <f>IF($E$337="Y",'Population Definitions'!$A$5,"...")</f>
        <v>...</v>
      </c>
      <c r="E420" s="2"/>
      <c r="F420" s="3"/>
      <c r="G420" s="2"/>
      <c r="H420" s="4" t="str">
        <f>IF($E$337="Y","OR","...")</f>
        <v>...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</row>
    <row r="421" spans="1:59">
      <c r="A421" s="1" t="str">
        <f>IF($F$337="Y",'Population Definitions'!$A$8,"...")</f>
        <v>...</v>
      </c>
      <c r="B421" s="4" t="str">
        <f>IF($F$337="Y","---&gt;","...")</f>
        <v>...</v>
      </c>
      <c r="C421" s="1" t="str">
        <f>IF($F$337="Y",'Population Definitions'!$A$6,"...")</f>
        <v>...</v>
      </c>
      <c r="E421" s="2"/>
      <c r="F421" s="3"/>
      <c r="G421" s="2"/>
      <c r="H421" s="4" t="str">
        <f>IF($F$337="Y","OR","...")</f>
        <v>...</v>
      </c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</row>
    <row r="422" spans="1:59">
      <c r="A422" s="1" t="str">
        <f>IF($G$337="Y",'Population Definitions'!$A$8,"...")</f>
        <v>...</v>
      </c>
      <c r="B422" s="4" t="str">
        <f>IF($G$337="Y","---&gt;","...")</f>
        <v>...</v>
      </c>
      <c r="C422" s="1" t="str">
        <f>IF($G$337="Y",'Population Definitions'!$A$7,"...")</f>
        <v>...</v>
      </c>
      <c r="E422" s="2"/>
      <c r="F422" s="3"/>
      <c r="G422" s="2"/>
      <c r="H422" s="4" t="str">
        <f>IF($G$337="Y","OR","...")</f>
        <v>...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</row>
    <row r="423" spans="1:59">
      <c r="A423" s="1" t="str">
        <f>IF($H$337="Y",'Population Definitions'!$A$8,"...")</f>
        <v>...</v>
      </c>
      <c r="B423" s="4" t="str">
        <f>IF($H$337="Y","---&gt;","...")</f>
        <v>...</v>
      </c>
      <c r="C423" s="1" t="str">
        <f>IF($H$337="Y",'Population Definitions'!$A$8,"...")</f>
        <v>...</v>
      </c>
      <c r="E423" s="2"/>
      <c r="F423" s="3"/>
      <c r="G423" s="2"/>
      <c r="H423" s="4" t="str">
        <f>IF($H$337="Y","OR","...")</f>
        <v>...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</row>
    <row r="424" spans="1:59">
      <c r="A424" s="1" t="str">
        <f>IF($I$337="Y",'Population Definitions'!$A$8,"...")</f>
        <v>...</v>
      </c>
      <c r="B424" s="4" t="str">
        <f>IF($I$337="Y","---&gt;","...")</f>
        <v>...</v>
      </c>
      <c r="C424" s="1" t="str">
        <f>IF($I$337="Y",'Population Definitions'!$A$9,"...")</f>
        <v>...</v>
      </c>
      <c r="E424" s="2"/>
      <c r="F424" s="3"/>
      <c r="G424" s="2"/>
      <c r="H424" s="4" t="str">
        <f>IF($I$337="Y","OR","...")</f>
        <v>...</v>
      </c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</row>
    <row r="425" spans="1:59">
      <c r="A425" s="1" t="str">
        <f>IF($J$337="Y",'Population Definitions'!$A$8,"...")</f>
        <v>...</v>
      </c>
      <c r="B425" s="4" t="str">
        <f>IF($J$337="Y","---&gt;","...")</f>
        <v>...</v>
      </c>
      <c r="C425" s="1" t="str">
        <f>IF($J$337="Y",'Population Definitions'!$A$10,"...")</f>
        <v>...</v>
      </c>
      <c r="E425" s="2"/>
      <c r="F425" s="3"/>
      <c r="G425" s="2"/>
      <c r="H425" s="4" t="str">
        <f>IF($J$337="Y","OR","...")</f>
        <v>...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</row>
    <row r="426" spans="1:59">
      <c r="A426" s="1" t="str">
        <f>IF($K$337="Y",'Population Definitions'!$A$8,"...")</f>
        <v>...</v>
      </c>
      <c r="B426" s="4" t="str">
        <f>IF($K$337="Y","---&gt;","...")</f>
        <v>...</v>
      </c>
      <c r="C426" s="1" t="str">
        <f>IF($K$337="Y",'Population Definitions'!$A$11,"...")</f>
        <v>...</v>
      </c>
      <c r="E426" s="2"/>
      <c r="F426" s="3"/>
      <c r="G426" s="2"/>
      <c r="H426" s="4" t="str">
        <f>IF($K$337="Y","OR","...")</f>
        <v>...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</row>
    <row r="427" spans="1:59">
      <c r="A427" s="1" t="str">
        <f>IF($L$337="Y",'Population Definitions'!$A$8,"...")</f>
        <v>18-64_males</v>
      </c>
      <c r="B427" s="4" t="str">
        <f>IF($L$337="Y","---&gt;","...")</f>
        <v>---&gt;</v>
      </c>
      <c r="C427" s="1" t="str">
        <f>IF($L$337="Y",'Population Definitions'!$A$12,"...")</f>
        <v>Prisoners_males</v>
      </c>
      <c r="E427" s="3" t="s">
        <v>53</v>
      </c>
      <c r="F427" s="3"/>
      <c r="G427" s="3">
        <v>0.002067742260796209</v>
      </c>
      <c r="H427" s="4" t="str">
        <f>IF($L$337="Y","OR","...")</f>
        <v>OR</v>
      </c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</row>
    <row r="428" spans="1:59">
      <c r="A428" s="1" t="str">
        <f>IF($M$337="Y",'Population Definitions'!$A$8,"...")</f>
        <v>...</v>
      </c>
      <c r="B428" s="4" t="str">
        <f>IF($M$337="Y","---&gt;","...")</f>
        <v>...</v>
      </c>
      <c r="C428" s="1" t="str">
        <f>IF($M$337="Y",'Population Definitions'!$A$13,"...")</f>
        <v>...</v>
      </c>
      <c r="E428" s="2"/>
      <c r="F428" s="3"/>
      <c r="G428" s="2"/>
      <c r="H428" s="4" t="str">
        <f>IF($M$337="Y","OR","...")</f>
        <v>...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</row>
    <row r="429" spans="1:59">
      <c r="A429" s="1" t="str">
        <f>IF($B$338="Y",'Population Definitions'!$A$9,"...")</f>
        <v>...</v>
      </c>
      <c r="B429" s="4" t="str">
        <f>IF($B$338="Y","---&gt;","...")</f>
        <v>...</v>
      </c>
      <c r="C429" s="1" t="str">
        <f>IF($B$338="Y",'Population Definitions'!$A$2,"...")</f>
        <v>...</v>
      </c>
      <c r="E429" s="2"/>
      <c r="F429" s="3"/>
      <c r="G429" s="2"/>
      <c r="H429" s="4" t="str">
        <f>IF($B$338="Y","OR","...")</f>
        <v>...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</row>
    <row r="430" spans="1:59">
      <c r="A430" s="1" t="str">
        <f>IF($C$338="Y",'Population Definitions'!$A$9,"...")</f>
        <v>...</v>
      </c>
      <c r="B430" s="4" t="str">
        <f>IF($C$338="Y","---&gt;","...")</f>
        <v>...</v>
      </c>
      <c r="C430" s="1" t="str">
        <f>IF($C$338="Y",'Population Definitions'!$A$3,"...")</f>
        <v>...</v>
      </c>
      <c r="E430" s="2"/>
      <c r="F430" s="3"/>
      <c r="G430" s="2"/>
      <c r="H430" s="4" t="str">
        <f>IF($C$338="Y","OR","...")</f>
        <v>...</v>
      </c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</row>
    <row r="431" spans="1:59">
      <c r="A431" s="1" t="str">
        <f>IF($D$338="Y",'Population Definitions'!$A$9,"...")</f>
        <v>...</v>
      </c>
      <c r="B431" s="4" t="str">
        <f>IF($D$338="Y","---&gt;","...")</f>
        <v>...</v>
      </c>
      <c r="C431" s="1" t="str">
        <f>IF($D$338="Y",'Population Definitions'!$A$4,"...")</f>
        <v>...</v>
      </c>
      <c r="E431" s="2"/>
      <c r="F431" s="3"/>
      <c r="G431" s="2"/>
      <c r="H431" s="4" t="str">
        <f>IF($D$338="Y","OR","...")</f>
        <v>...</v>
      </c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</row>
    <row r="432" spans="1:59">
      <c r="A432" s="1" t="str">
        <f>IF($E$338="Y",'Population Definitions'!$A$9,"...")</f>
        <v>...</v>
      </c>
      <c r="B432" s="4" t="str">
        <f>IF($E$338="Y","---&gt;","...")</f>
        <v>...</v>
      </c>
      <c r="C432" s="1" t="str">
        <f>IF($E$338="Y",'Population Definitions'!$A$5,"...")</f>
        <v>...</v>
      </c>
      <c r="E432" s="2"/>
      <c r="F432" s="3"/>
      <c r="G432" s="2"/>
      <c r="H432" s="4" t="str">
        <f>IF($E$338="Y","OR","...")</f>
        <v>...</v>
      </c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</row>
    <row r="433" spans="1:59">
      <c r="A433" s="1" t="str">
        <f>IF($F$338="Y",'Population Definitions'!$A$9,"...")</f>
        <v>...</v>
      </c>
      <c r="B433" s="4" t="str">
        <f>IF($F$338="Y","---&gt;","...")</f>
        <v>...</v>
      </c>
      <c r="C433" s="1" t="str">
        <f>IF($F$338="Y",'Population Definitions'!$A$6,"...")</f>
        <v>...</v>
      </c>
      <c r="E433" s="2"/>
      <c r="F433" s="3"/>
      <c r="G433" s="2"/>
      <c r="H433" s="4" t="str">
        <f>IF($F$338="Y","OR","...")</f>
        <v>...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</row>
    <row r="434" spans="1:59">
      <c r="A434" s="1" t="str">
        <f>IF($G$338="Y",'Population Definitions'!$A$9,"...")</f>
        <v>...</v>
      </c>
      <c r="B434" s="4" t="str">
        <f>IF($G$338="Y","---&gt;","...")</f>
        <v>...</v>
      </c>
      <c r="C434" s="1" t="str">
        <f>IF($G$338="Y",'Population Definitions'!$A$7,"...")</f>
        <v>...</v>
      </c>
      <c r="E434" s="2"/>
      <c r="F434" s="3"/>
      <c r="G434" s="2"/>
      <c r="H434" s="4" t="str">
        <f>IF($G$338="Y","OR","...")</f>
        <v>...</v>
      </c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</row>
    <row r="435" spans="1:59">
      <c r="A435" s="1" t="str">
        <f>IF($H$338="Y",'Population Definitions'!$A$9,"...")</f>
        <v>...</v>
      </c>
      <c r="B435" s="4" t="str">
        <f>IF($H$338="Y","---&gt;","...")</f>
        <v>...</v>
      </c>
      <c r="C435" s="1" t="str">
        <f>IF($H$338="Y",'Population Definitions'!$A$8,"...")</f>
        <v>...</v>
      </c>
      <c r="E435" s="2"/>
      <c r="F435" s="3"/>
      <c r="G435" s="2"/>
      <c r="H435" s="4" t="str">
        <f>IF($H$338="Y","OR","...")</f>
        <v>...</v>
      </c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</row>
    <row r="436" spans="1:59">
      <c r="A436" s="1" t="str">
        <f>IF($I$338="Y",'Population Definitions'!$A$9,"...")</f>
        <v>...</v>
      </c>
      <c r="B436" s="4" t="str">
        <f>IF($I$338="Y","---&gt;","...")</f>
        <v>...</v>
      </c>
      <c r="C436" s="1" t="str">
        <f>IF($I$338="Y",'Population Definitions'!$A$9,"...")</f>
        <v>...</v>
      </c>
      <c r="E436" s="2"/>
      <c r="F436" s="3"/>
      <c r="G436" s="2"/>
      <c r="H436" s="4" t="str">
        <f>IF($I$338="Y","OR","...")</f>
        <v>...</v>
      </c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</row>
    <row r="437" spans="1:59">
      <c r="A437" s="1" t="str">
        <f>IF($J$338="Y",'Population Definitions'!$A$9,"...")</f>
        <v>...</v>
      </c>
      <c r="B437" s="4" t="str">
        <f>IF($J$338="Y","---&gt;","...")</f>
        <v>...</v>
      </c>
      <c r="C437" s="1" t="str">
        <f>IF($J$338="Y",'Population Definitions'!$A$10,"...")</f>
        <v>...</v>
      </c>
      <c r="E437" s="2"/>
      <c r="F437" s="3"/>
      <c r="G437" s="2"/>
      <c r="H437" s="4" t="str">
        <f>IF($J$338="Y","OR","...")</f>
        <v>...</v>
      </c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</row>
    <row r="438" spans="1:59">
      <c r="A438" s="1" t="str">
        <f>IF($K$338="Y",'Population Definitions'!$A$9,"...")</f>
        <v>...</v>
      </c>
      <c r="B438" s="4" t="str">
        <f>IF($K$338="Y","---&gt;","...")</f>
        <v>...</v>
      </c>
      <c r="C438" s="1" t="str">
        <f>IF($K$338="Y",'Population Definitions'!$A$11,"...")</f>
        <v>...</v>
      </c>
      <c r="E438" s="2"/>
      <c r="F438" s="3"/>
      <c r="G438" s="2"/>
      <c r="H438" s="4" t="str">
        <f>IF($K$338="Y","OR","...")</f>
        <v>...</v>
      </c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</row>
    <row r="439" spans="1:59">
      <c r="A439" s="1" t="str">
        <f>IF($L$338="Y",'Population Definitions'!$A$9,"...")</f>
        <v>...</v>
      </c>
      <c r="B439" s="4" t="str">
        <f>IF($L$338="Y","---&gt;","...")</f>
        <v>...</v>
      </c>
      <c r="C439" s="1" t="str">
        <f>IF($L$338="Y",'Population Definitions'!$A$12,"...")</f>
        <v>...</v>
      </c>
      <c r="E439" s="2"/>
      <c r="F439" s="3"/>
      <c r="G439" s="2"/>
      <c r="H439" s="4" t="str">
        <f>IF($L$338="Y","OR","...")</f>
        <v>...</v>
      </c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</row>
    <row r="440" spans="1:59">
      <c r="A440" s="1" t="str">
        <f>IF($M$338="Y",'Population Definitions'!$A$9,"...")</f>
        <v>18-64_females</v>
      </c>
      <c r="B440" s="4" t="str">
        <f>IF($M$338="Y","---&gt;","...")</f>
        <v>---&gt;</v>
      </c>
      <c r="C440" s="1" t="str">
        <f>IF($M$338="Y",'Population Definitions'!$A$13,"...")</f>
        <v>Prisoners_females</v>
      </c>
      <c r="E440" s="3" t="s">
        <v>53</v>
      </c>
      <c r="F440" s="3"/>
      <c r="G440" s="3">
        <v>0.0001392604979670771</v>
      </c>
      <c r="H440" s="4" t="str">
        <f>IF($M$338="Y","OR","...")</f>
        <v>OR</v>
      </c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</row>
    <row r="441" spans="1:59">
      <c r="A441" s="1" t="str">
        <f>IF($B$339="Y",'Population Definitions'!$A$10,"...")</f>
        <v>...</v>
      </c>
      <c r="B441" s="4" t="str">
        <f>IF($B$339="Y","---&gt;","...")</f>
        <v>...</v>
      </c>
      <c r="C441" s="1" t="str">
        <f>IF($B$339="Y",'Population Definitions'!$A$2,"...")</f>
        <v>...</v>
      </c>
      <c r="E441" s="2"/>
      <c r="F441" s="3"/>
      <c r="G441" s="2"/>
      <c r="H441" s="4" t="str">
        <f>IF($B$339="Y","OR","...")</f>
        <v>...</v>
      </c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</row>
    <row r="442" spans="1:59">
      <c r="A442" s="1" t="str">
        <f>IF($C$339="Y",'Population Definitions'!$A$10,"...")</f>
        <v>...</v>
      </c>
      <c r="B442" s="4" t="str">
        <f>IF($C$339="Y","---&gt;","...")</f>
        <v>...</v>
      </c>
      <c r="C442" s="1" t="str">
        <f>IF($C$339="Y",'Population Definitions'!$A$3,"...")</f>
        <v>...</v>
      </c>
      <c r="E442" s="2"/>
      <c r="F442" s="3"/>
      <c r="G442" s="2"/>
      <c r="H442" s="4" t="str">
        <f>IF($C$339="Y","OR","...")</f>
        <v>...</v>
      </c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</row>
    <row r="443" spans="1:59">
      <c r="A443" s="1" t="str">
        <f>IF($D$339="Y",'Population Definitions'!$A$10,"...")</f>
        <v>...</v>
      </c>
      <c r="B443" s="4" t="str">
        <f>IF($D$339="Y","---&gt;","...")</f>
        <v>...</v>
      </c>
      <c r="C443" s="1" t="str">
        <f>IF($D$339="Y",'Population Definitions'!$A$4,"...")</f>
        <v>...</v>
      </c>
      <c r="E443" s="2"/>
      <c r="F443" s="3"/>
      <c r="G443" s="2"/>
      <c r="H443" s="4" t="str">
        <f>IF($D$339="Y","OR","...")</f>
        <v>...</v>
      </c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</row>
    <row r="444" spans="1:59">
      <c r="A444" s="1" t="str">
        <f>IF($E$339="Y",'Population Definitions'!$A$10,"...")</f>
        <v>...</v>
      </c>
      <c r="B444" s="4" t="str">
        <f>IF($E$339="Y","---&gt;","...")</f>
        <v>...</v>
      </c>
      <c r="C444" s="1" t="str">
        <f>IF($E$339="Y",'Population Definitions'!$A$5,"...")</f>
        <v>...</v>
      </c>
      <c r="E444" s="2"/>
      <c r="F444" s="3"/>
      <c r="G444" s="2"/>
      <c r="H444" s="4" t="str">
        <f>IF($E$339="Y","OR","...")</f>
        <v>...</v>
      </c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</row>
    <row r="445" spans="1:59">
      <c r="A445" s="1" t="str">
        <f>IF($F$339="Y",'Population Definitions'!$A$10,"...")</f>
        <v>...</v>
      </c>
      <c r="B445" s="4" t="str">
        <f>IF($F$339="Y","---&gt;","...")</f>
        <v>...</v>
      </c>
      <c r="C445" s="1" t="str">
        <f>IF($F$339="Y",'Population Definitions'!$A$6,"...")</f>
        <v>...</v>
      </c>
      <c r="E445" s="2"/>
      <c r="F445" s="3"/>
      <c r="G445" s="2"/>
      <c r="H445" s="4" t="str">
        <f>IF($F$339="Y","OR","...")</f>
        <v>...</v>
      </c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</row>
    <row r="446" spans="1:59">
      <c r="A446" s="1" t="str">
        <f>IF($G$339="Y",'Population Definitions'!$A$10,"...")</f>
        <v>...</v>
      </c>
      <c r="B446" s="4" t="str">
        <f>IF($G$339="Y","---&gt;","...")</f>
        <v>...</v>
      </c>
      <c r="C446" s="1" t="str">
        <f>IF($G$339="Y",'Population Definitions'!$A$7,"...")</f>
        <v>...</v>
      </c>
      <c r="E446" s="2"/>
      <c r="F446" s="3"/>
      <c r="G446" s="2"/>
      <c r="H446" s="4" t="str">
        <f>IF($G$339="Y","OR","...")</f>
        <v>...</v>
      </c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</row>
    <row r="447" spans="1:59">
      <c r="A447" s="1" t="str">
        <f>IF($H$339="Y",'Population Definitions'!$A$10,"...")</f>
        <v>...</v>
      </c>
      <c r="B447" s="4" t="str">
        <f>IF($H$339="Y","---&gt;","...")</f>
        <v>...</v>
      </c>
      <c r="C447" s="1" t="str">
        <f>IF($H$339="Y",'Population Definitions'!$A$8,"...")</f>
        <v>...</v>
      </c>
      <c r="E447" s="2"/>
      <c r="F447" s="3"/>
      <c r="G447" s="2"/>
      <c r="H447" s="4" t="str">
        <f>IF($H$339="Y","OR","...")</f>
        <v>...</v>
      </c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</row>
    <row r="448" spans="1:59">
      <c r="A448" s="1" t="str">
        <f>IF($I$339="Y",'Population Definitions'!$A$10,"...")</f>
        <v>...</v>
      </c>
      <c r="B448" s="4" t="str">
        <f>IF($I$339="Y","---&gt;","...")</f>
        <v>...</v>
      </c>
      <c r="C448" s="1" t="str">
        <f>IF($I$339="Y",'Population Definitions'!$A$9,"...")</f>
        <v>...</v>
      </c>
      <c r="E448" s="2"/>
      <c r="F448" s="3"/>
      <c r="G448" s="2"/>
      <c r="H448" s="4" t="str">
        <f>IF($I$339="Y","OR","...")</f>
        <v>...</v>
      </c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</row>
    <row r="449" spans="1:59">
      <c r="A449" s="1" t="str">
        <f>IF($J$339="Y",'Population Definitions'!$A$10,"...")</f>
        <v>...</v>
      </c>
      <c r="B449" s="4" t="str">
        <f>IF($J$339="Y","---&gt;","...")</f>
        <v>...</v>
      </c>
      <c r="C449" s="1" t="str">
        <f>IF($J$339="Y",'Population Definitions'!$A$10,"...")</f>
        <v>...</v>
      </c>
      <c r="E449" s="2"/>
      <c r="F449" s="3"/>
      <c r="G449" s="2"/>
      <c r="H449" s="4" t="str">
        <f>IF($J$339="Y","OR","...")</f>
        <v>...</v>
      </c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</row>
    <row r="450" spans="1:59">
      <c r="A450" s="1" t="str">
        <f>IF($K$339="Y",'Population Definitions'!$A$10,"...")</f>
        <v>...</v>
      </c>
      <c r="B450" s="4" t="str">
        <f>IF($K$339="Y","---&gt;","...")</f>
        <v>...</v>
      </c>
      <c r="C450" s="1" t="str">
        <f>IF($K$339="Y",'Population Definitions'!$A$11,"...")</f>
        <v>...</v>
      </c>
      <c r="E450" s="2"/>
      <c r="F450" s="3"/>
      <c r="G450" s="2"/>
      <c r="H450" s="4" t="str">
        <f>IF($K$339="Y","OR","...")</f>
        <v>...</v>
      </c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</row>
    <row r="451" spans="1:59">
      <c r="A451" s="1" t="str">
        <f>IF($L$339="Y",'Population Definitions'!$A$10,"...")</f>
        <v>...</v>
      </c>
      <c r="B451" s="4" t="str">
        <f>IF($L$339="Y","---&gt;","...")</f>
        <v>...</v>
      </c>
      <c r="C451" s="1" t="str">
        <f>IF($L$339="Y",'Population Definitions'!$A$12,"...")</f>
        <v>...</v>
      </c>
      <c r="E451" s="2"/>
      <c r="F451" s="3"/>
      <c r="G451" s="2"/>
      <c r="H451" s="4" t="str">
        <f>IF($L$339="Y","OR","...")</f>
        <v>...</v>
      </c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</row>
    <row r="452" spans="1:59">
      <c r="A452" s="1" t="str">
        <f>IF($M$339="Y",'Population Definitions'!$A$10,"...")</f>
        <v>...</v>
      </c>
      <c r="B452" s="4" t="str">
        <f>IF($M$339="Y","---&gt;","...")</f>
        <v>...</v>
      </c>
      <c r="C452" s="1" t="str">
        <f>IF($M$339="Y",'Population Definitions'!$A$13,"...")</f>
        <v>...</v>
      </c>
      <c r="E452" s="2"/>
      <c r="F452" s="3"/>
      <c r="G452" s="2"/>
      <c r="H452" s="4" t="str">
        <f>IF($M$339="Y","OR","...")</f>
        <v>...</v>
      </c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</row>
    <row r="453" spans="1:59">
      <c r="A453" s="1" t="str">
        <f>IF($B$340="Y",'Population Definitions'!$A$11,"...")</f>
        <v>...</v>
      </c>
      <c r="B453" s="4" t="str">
        <f>IF($B$340="Y","---&gt;","...")</f>
        <v>...</v>
      </c>
      <c r="C453" s="1" t="str">
        <f>IF($B$340="Y",'Population Definitions'!$A$2,"...")</f>
        <v>...</v>
      </c>
      <c r="E453" s="2"/>
      <c r="F453" s="3"/>
      <c r="G453" s="2"/>
      <c r="H453" s="4" t="str">
        <f>IF($B$340="Y","OR","...")</f>
        <v>...</v>
      </c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</row>
    <row r="454" spans="1:59">
      <c r="A454" s="1" t="str">
        <f>IF($C$340="Y",'Population Definitions'!$A$11,"...")</f>
        <v>...</v>
      </c>
      <c r="B454" s="4" t="str">
        <f>IF($C$340="Y","---&gt;","...")</f>
        <v>...</v>
      </c>
      <c r="C454" s="1" t="str">
        <f>IF($C$340="Y",'Population Definitions'!$A$3,"...")</f>
        <v>...</v>
      </c>
      <c r="E454" s="2"/>
      <c r="F454" s="3"/>
      <c r="G454" s="2"/>
      <c r="H454" s="4" t="str">
        <f>IF($C$340="Y","OR","...")</f>
        <v>...</v>
      </c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</row>
    <row r="455" spans="1:59">
      <c r="A455" s="1" t="str">
        <f>IF($D$340="Y",'Population Definitions'!$A$11,"...")</f>
        <v>...</v>
      </c>
      <c r="B455" s="4" t="str">
        <f>IF($D$340="Y","---&gt;","...")</f>
        <v>...</v>
      </c>
      <c r="C455" s="1" t="str">
        <f>IF($D$340="Y",'Population Definitions'!$A$4,"...")</f>
        <v>...</v>
      </c>
      <c r="E455" s="2"/>
      <c r="F455" s="3"/>
      <c r="G455" s="2"/>
      <c r="H455" s="4" t="str">
        <f>IF($D$340="Y","OR","...")</f>
        <v>...</v>
      </c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</row>
    <row r="456" spans="1:59">
      <c r="A456" s="1" t="str">
        <f>IF($E$340="Y",'Population Definitions'!$A$11,"...")</f>
        <v>...</v>
      </c>
      <c r="B456" s="4" t="str">
        <f>IF($E$340="Y","---&gt;","...")</f>
        <v>...</v>
      </c>
      <c r="C456" s="1" t="str">
        <f>IF($E$340="Y",'Population Definitions'!$A$5,"...")</f>
        <v>...</v>
      </c>
      <c r="E456" s="2"/>
      <c r="F456" s="3"/>
      <c r="G456" s="2"/>
      <c r="H456" s="4" t="str">
        <f>IF($E$340="Y","OR","...")</f>
        <v>...</v>
      </c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</row>
    <row r="457" spans="1:59">
      <c r="A457" s="1" t="str">
        <f>IF($F$340="Y",'Population Definitions'!$A$11,"...")</f>
        <v>...</v>
      </c>
      <c r="B457" s="4" t="str">
        <f>IF($F$340="Y","---&gt;","...")</f>
        <v>...</v>
      </c>
      <c r="C457" s="1" t="str">
        <f>IF($F$340="Y",'Population Definitions'!$A$6,"...")</f>
        <v>...</v>
      </c>
      <c r="E457" s="2"/>
      <c r="F457" s="3"/>
      <c r="G457" s="2"/>
      <c r="H457" s="4" t="str">
        <f>IF($F$340="Y","OR","...")</f>
        <v>...</v>
      </c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</row>
    <row r="458" spans="1:59">
      <c r="A458" s="1" t="str">
        <f>IF($G$340="Y",'Population Definitions'!$A$11,"...")</f>
        <v>...</v>
      </c>
      <c r="B458" s="4" t="str">
        <f>IF($G$340="Y","---&gt;","...")</f>
        <v>...</v>
      </c>
      <c r="C458" s="1" t="str">
        <f>IF($G$340="Y",'Population Definitions'!$A$7,"...")</f>
        <v>...</v>
      </c>
      <c r="E458" s="2"/>
      <c r="F458" s="3"/>
      <c r="G458" s="2"/>
      <c r="H458" s="4" t="str">
        <f>IF($G$340="Y","OR","...")</f>
        <v>...</v>
      </c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</row>
    <row r="459" spans="1:59">
      <c r="A459" s="1" t="str">
        <f>IF($H$340="Y",'Population Definitions'!$A$11,"...")</f>
        <v>...</v>
      </c>
      <c r="B459" s="4" t="str">
        <f>IF($H$340="Y","---&gt;","...")</f>
        <v>...</v>
      </c>
      <c r="C459" s="1" t="str">
        <f>IF($H$340="Y",'Population Definitions'!$A$8,"...")</f>
        <v>...</v>
      </c>
      <c r="E459" s="2"/>
      <c r="F459" s="3"/>
      <c r="G459" s="2"/>
      <c r="H459" s="4" t="str">
        <f>IF($H$340="Y","OR","...")</f>
        <v>...</v>
      </c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</row>
    <row r="460" spans="1:59">
      <c r="A460" s="1" t="str">
        <f>IF($I$340="Y",'Population Definitions'!$A$11,"...")</f>
        <v>...</v>
      </c>
      <c r="B460" s="4" t="str">
        <f>IF($I$340="Y","---&gt;","...")</f>
        <v>...</v>
      </c>
      <c r="C460" s="1" t="str">
        <f>IF($I$340="Y",'Population Definitions'!$A$9,"...")</f>
        <v>...</v>
      </c>
      <c r="E460" s="2"/>
      <c r="F460" s="3"/>
      <c r="G460" s="2"/>
      <c r="H460" s="4" t="str">
        <f>IF($I$340="Y","OR","...")</f>
        <v>...</v>
      </c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</row>
    <row r="461" spans="1:59">
      <c r="A461" s="1" t="str">
        <f>IF($J$340="Y",'Population Definitions'!$A$11,"...")</f>
        <v>...</v>
      </c>
      <c r="B461" s="4" t="str">
        <f>IF($J$340="Y","---&gt;","...")</f>
        <v>...</v>
      </c>
      <c r="C461" s="1" t="str">
        <f>IF($J$340="Y",'Population Definitions'!$A$10,"...")</f>
        <v>...</v>
      </c>
      <c r="E461" s="2"/>
      <c r="F461" s="3"/>
      <c r="G461" s="2"/>
      <c r="H461" s="4" t="str">
        <f>IF($J$340="Y","OR","...")</f>
        <v>...</v>
      </c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</row>
    <row r="462" spans="1:59">
      <c r="A462" s="1" t="str">
        <f>IF($K$340="Y",'Population Definitions'!$A$11,"...")</f>
        <v>...</v>
      </c>
      <c r="B462" s="4" t="str">
        <f>IF($K$340="Y","---&gt;","...")</f>
        <v>...</v>
      </c>
      <c r="C462" s="1" t="str">
        <f>IF($K$340="Y",'Population Definitions'!$A$11,"...")</f>
        <v>...</v>
      </c>
      <c r="E462" s="2"/>
      <c r="F462" s="3"/>
      <c r="G462" s="2"/>
      <c r="H462" s="4" t="str">
        <f>IF($K$340="Y","OR","...")</f>
        <v>...</v>
      </c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</row>
    <row r="463" spans="1:59">
      <c r="A463" s="1" t="str">
        <f>IF($L$340="Y",'Population Definitions'!$A$11,"...")</f>
        <v>...</v>
      </c>
      <c r="B463" s="4" t="str">
        <f>IF($L$340="Y","---&gt;","...")</f>
        <v>...</v>
      </c>
      <c r="C463" s="1" t="str">
        <f>IF($L$340="Y",'Population Definitions'!$A$12,"...")</f>
        <v>...</v>
      </c>
      <c r="E463" s="2"/>
      <c r="F463" s="3"/>
      <c r="G463" s="2"/>
      <c r="H463" s="4" t="str">
        <f>IF($L$340="Y","OR","...")</f>
        <v>...</v>
      </c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</row>
    <row r="464" spans="1:59">
      <c r="A464" s="1" t="str">
        <f>IF($M$340="Y",'Population Definitions'!$A$11,"...")</f>
        <v>...</v>
      </c>
      <c r="B464" s="4" t="str">
        <f>IF($M$340="Y","---&gt;","...")</f>
        <v>...</v>
      </c>
      <c r="C464" s="1" t="str">
        <f>IF($M$340="Y",'Population Definitions'!$A$13,"...")</f>
        <v>...</v>
      </c>
      <c r="E464" s="2"/>
      <c r="F464" s="3"/>
      <c r="G464" s="2"/>
      <c r="H464" s="4" t="str">
        <f>IF($M$340="Y","OR","...")</f>
        <v>...</v>
      </c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</row>
    <row r="465" spans="1:59">
      <c r="A465" s="1" t="str">
        <f>IF($B$341="Y",'Population Definitions'!$A$12,"...")</f>
        <v>Prisoners_males</v>
      </c>
      <c r="B465" s="4" t="str">
        <f>IF($B$341="Y","---&gt;","...")</f>
        <v>---&gt;</v>
      </c>
      <c r="C465" s="1" t="str">
        <f>IF($B$341="Y",'Population Definitions'!$A$2,"...")</f>
        <v>PWID_males</v>
      </c>
      <c r="E465" s="3" t="s">
        <v>53</v>
      </c>
      <c r="F465" s="3"/>
      <c r="G465" s="3">
        <v>7.332589728811683</v>
      </c>
      <c r="H465" s="4" t="str">
        <f>IF($B$341="Y","OR","...")</f>
        <v>OR</v>
      </c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</row>
    <row r="466" spans="1:59">
      <c r="A466" s="1" t="str">
        <f>IF($C$341="Y",'Population Definitions'!$A$12,"...")</f>
        <v>...</v>
      </c>
      <c r="B466" s="4" t="str">
        <f>IF($C$341="Y","---&gt;","...")</f>
        <v>...</v>
      </c>
      <c r="C466" s="1" t="str">
        <f>IF($C$341="Y",'Population Definitions'!$A$3,"...")</f>
        <v>...</v>
      </c>
      <c r="E466" s="2"/>
      <c r="F466" s="3"/>
      <c r="G466" s="2"/>
      <c r="H466" s="4" t="str">
        <f>IF($C$341="Y","OR","...")</f>
        <v>...</v>
      </c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</row>
    <row r="467" spans="1:59">
      <c r="A467" s="1" t="str">
        <f>IF($D$341="Y",'Population Definitions'!$A$12,"...")</f>
        <v>...</v>
      </c>
      <c r="B467" s="4" t="str">
        <f>IF($D$341="Y","---&gt;","...")</f>
        <v>...</v>
      </c>
      <c r="C467" s="1" t="str">
        <f>IF($D$341="Y",'Population Definitions'!$A$4,"...")</f>
        <v>...</v>
      </c>
      <c r="E467" s="2"/>
      <c r="F467" s="3"/>
      <c r="G467" s="2"/>
      <c r="H467" s="4" t="str">
        <f>IF($D$341="Y","OR","...")</f>
        <v>...</v>
      </c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</row>
    <row r="468" spans="1:59">
      <c r="A468" s="1" t="str">
        <f>IF($E$341="Y",'Population Definitions'!$A$12,"...")</f>
        <v>...</v>
      </c>
      <c r="B468" s="4" t="str">
        <f>IF($E$341="Y","---&gt;","...")</f>
        <v>...</v>
      </c>
      <c r="C468" s="1" t="str">
        <f>IF($E$341="Y",'Population Definitions'!$A$5,"...")</f>
        <v>...</v>
      </c>
      <c r="E468" s="2"/>
      <c r="F468" s="3"/>
      <c r="G468" s="2"/>
      <c r="H468" s="4" t="str">
        <f>IF($E$341="Y","OR","...")</f>
        <v>...</v>
      </c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</row>
    <row r="469" spans="1:59">
      <c r="A469" s="1" t="str">
        <f>IF($F$341="Y",'Population Definitions'!$A$12,"...")</f>
        <v>...</v>
      </c>
      <c r="B469" s="4" t="str">
        <f>IF($F$341="Y","---&gt;","...")</f>
        <v>...</v>
      </c>
      <c r="C469" s="1" t="str">
        <f>IF($F$341="Y",'Population Definitions'!$A$6,"...")</f>
        <v>...</v>
      </c>
      <c r="E469" s="2"/>
      <c r="F469" s="3"/>
      <c r="G469" s="2"/>
      <c r="H469" s="4" t="str">
        <f>IF($F$341="Y","OR","...")</f>
        <v>...</v>
      </c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</row>
    <row r="470" spans="1:59">
      <c r="A470" s="1" t="str">
        <f>IF($G$341="Y",'Population Definitions'!$A$12,"...")</f>
        <v>...</v>
      </c>
      <c r="B470" s="4" t="str">
        <f>IF($G$341="Y","---&gt;","...")</f>
        <v>...</v>
      </c>
      <c r="C470" s="1" t="str">
        <f>IF($G$341="Y",'Population Definitions'!$A$7,"...")</f>
        <v>...</v>
      </c>
      <c r="E470" s="2"/>
      <c r="F470" s="3"/>
      <c r="G470" s="2"/>
      <c r="H470" s="4" t="str">
        <f>IF($G$341="Y","OR","...")</f>
        <v>...</v>
      </c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</row>
    <row r="471" spans="1:59">
      <c r="A471" s="1" t="str">
        <f>IF($H$341="Y",'Population Definitions'!$A$12,"...")</f>
        <v>Prisoners_males</v>
      </c>
      <c r="B471" s="4" t="str">
        <f>IF($H$341="Y","---&gt;","...")</f>
        <v>---&gt;</v>
      </c>
      <c r="C471" s="1" t="str">
        <f>IF($H$341="Y",'Population Definitions'!$A$8,"...")</f>
        <v>18-64_males</v>
      </c>
      <c r="E471" s="3" t="s">
        <v>53</v>
      </c>
      <c r="F471" s="3"/>
      <c r="G471" s="3">
        <v>2.444196576270561</v>
      </c>
      <c r="H471" s="4" t="str">
        <f>IF($H$341="Y","OR","...")</f>
        <v>OR</v>
      </c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</row>
    <row r="472" spans="1:59">
      <c r="A472" s="1" t="str">
        <f>IF($I$341="Y",'Population Definitions'!$A$12,"...")</f>
        <v>...</v>
      </c>
      <c r="B472" s="4" t="str">
        <f>IF($I$341="Y","---&gt;","...")</f>
        <v>...</v>
      </c>
      <c r="C472" s="1" t="str">
        <f>IF($I$341="Y",'Population Definitions'!$A$9,"...")</f>
        <v>...</v>
      </c>
      <c r="E472" s="2"/>
      <c r="F472" s="3"/>
      <c r="G472" s="2"/>
      <c r="H472" s="4" t="str">
        <f>IF($I$341="Y","OR","...")</f>
        <v>...</v>
      </c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</row>
    <row r="473" spans="1:59">
      <c r="A473" s="1" t="str">
        <f>IF($J$341="Y",'Population Definitions'!$A$12,"...")</f>
        <v>...</v>
      </c>
      <c r="B473" s="4" t="str">
        <f>IF($J$341="Y","---&gt;","...")</f>
        <v>...</v>
      </c>
      <c r="C473" s="1" t="str">
        <f>IF($J$341="Y",'Population Definitions'!$A$10,"...")</f>
        <v>...</v>
      </c>
      <c r="E473" s="2"/>
      <c r="F473" s="3"/>
      <c r="G473" s="2"/>
      <c r="H473" s="4" t="str">
        <f>IF($J$341="Y","OR","...")</f>
        <v>...</v>
      </c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</row>
    <row r="474" spans="1:59">
      <c r="A474" s="1" t="str">
        <f>IF($K$341="Y",'Population Definitions'!$A$12,"...")</f>
        <v>...</v>
      </c>
      <c r="B474" s="4" t="str">
        <f>IF($K$341="Y","---&gt;","...")</f>
        <v>...</v>
      </c>
      <c r="C474" s="1" t="str">
        <f>IF($K$341="Y",'Population Definitions'!$A$11,"...")</f>
        <v>...</v>
      </c>
      <c r="E474" s="2"/>
      <c r="F474" s="3"/>
      <c r="G474" s="2"/>
      <c r="H474" s="4" t="str">
        <f>IF($K$341="Y","OR","...")</f>
        <v>...</v>
      </c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</row>
    <row r="475" spans="1:59">
      <c r="A475" s="1" t="str">
        <f>IF($L$341="Y",'Population Definitions'!$A$12,"...")</f>
        <v>...</v>
      </c>
      <c r="B475" s="4" t="str">
        <f>IF($L$341="Y","---&gt;","...")</f>
        <v>...</v>
      </c>
      <c r="C475" s="1" t="str">
        <f>IF($L$341="Y",'Population Definitions'!$A$12,"...")</f>
        <v>...</v>
      </c>
      <c r="E475" s="2"/>
      <c r="F475" s="3"/>
      <c r="G475" s="2"/>
      <c r="H475" s="4" t="str">
        <f>IF($L$341="Y","OR","...")</f>
        <v>...</v>
      </c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</row>
    <row r="476" spans="1:59">
      <c r="A476" s="1" t="str">
        <f>IF($M$341="Y",'Population Definitions'!$A$12,"...")</f>
        <v>...</v>
      </c>
      <c r="B476" s="4" t="str">
        <f>IF($M$341="Y","---&gt;","...")</f>
        <v>...</v>
      </c>
      <c r="C476" s="1" t="str">
        <f>IF($M$341="Y",'Population Definitions'!$A$13,"...")</f>
        <v>...</v>
      </c>
      <c r="E476" s="2"/>
      <c r="F476" s="3"/>
      <c r="G476" s="2"/>
      <c r="H476" s="4" t="str">
        <f>IF($M$341="Y","OR","...")</f>
        <v>...</v>
      </c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</row>
    <row r="477" spans="1:59">
      <c r="A477" s="1" t="str">
        <f>IF($B$342="Y",'Population Definitions'!$A$13,"...")</f>
        <v>...</v>
      </c>
      <c r="B477" s="4" t="str">
        <f>IF($B$342="Y","---&gt;","...")</f>
        <v>...</v>
      </c>
      <c r="C477" s="1" t="str">
        <f>IF($B$342="Y",'Population Definitions'!$A$2,"...")</f>
        <v>...</v>
      </c>
      <c r="E477" s="2"/>
      <c r="F477" s="3"/>
      <c r="G477" s="2"/>
      <c r="H477" s="4" t="str">
        <f>IF($B$342="Y","OR","...")</f>
        <v>...</v>
      </c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</row>
    <row r="478" spans="1:59">
      <c r="A478" s="1" t="str">
        <f>IF($C$342="Y",'Population Definitions'!$A$13,"...")</f>
        <v>Prisoners_females</v>
      </c>
      <c r="B478" s="4" t="str">
        <f>IF($C$342="Y","---&gt;","...")</f>
        <v>---&gt;</v>
      </c>
      <c r="C478" s="1" t="str">
        <f>IF($C$342="Y",'Population Definitions'!$A$3,"...")</f>
        <v>PWID_females</v>
      </c>
      <c r="E478" s="3" t="s">
        <v>53</v>
      </c>
      <c r="F478" s="3"/>
      <c r="G478" s="3">
        <v>5.907766378499113</v>
      </c>
      <c r="H478" s="4" t="str">
        <f>IF($C$342="Y","OR","...")</f>
        <v>OR</v>
      </c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</row>
    <row r="479" spans="1:59">
      <c r="A479" s="1" t="str">
        <f>IF($D$342="Y",'Population Definitions'!$A$13,"...")</f>
        <v>...</v>
      </c>
      <c r="B479" s="4" t="str">
        <f>IF($D$342="Y","---&gt;","...")</f>
        <v>...</v>
      </c>
      <c r="C479" s="1" t="str">
        <f>IF($D$342="Y",'Population Definitions'!$A$4,"...")</f>
        <v>...</v>
      </c>
      <c r="E479" s="2"/>
      <c r="F479" s="3"/>
      <c r="G479" s="2"/>
      <c r="H479" s="4" t="str">
        <f>IF($D$342="Y","OR","...")</f>
        <v>...</v>
      </c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</row>
    <row r="480" spans="1:59">
      <c r="A480" s="1" t="str">
        <f>IF($E$342="Y",'Population Definitions'!$A$13,"...")</f>
        <v>...</v>
      </c>
      <c r="B480" s="4" t="str">
        <f>IF($E$342="Y","---&gt;","...")</f>
        <v>...</v>
      </c>
      <c r="C480" s="1" t="str">
        <f>IF($E$342="Y",'Population Definitions'!$A$5,"...")</f>
        <v>...</v>
      </c>
      <c r="E480" s="2"/>
      <c r="F480" s="3"/>
      <c r="G480" s="2"/>
      <c r="H480" s="4" t="str">
        <f>IF($E$342="Y","OR","...")</f>
        <v>...</v>
      </c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</row>
    <row r="481" spans="1:59">
      <c r="A481" s="1" t="str">
        <f>IF($F$342="Y",'Population Definitions'!$A$13,"...")</f>
        <v>...</v>
      </c>
      <c r="B481" s="4" t="str">
        <f>IF($F$342="Y","---&gt;","...")</f>
        <v>...</v>
      </c>
      <c r="C481" s="1" t="str">
        <f>IF($F$342="Y",'Population Definitions'!$A$6,"...")</f>
        <v>...</v>
      </c>
      <c r="E481" s="2"/>
      <c r="F481" s="3"/>
      <c r="G481" s="2"/>
      <c r="H481" s="4" t="str">
        <f>IF($F$342="Y","OR","...")</f>
        <v>...</v>
      </c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</row>
    <row r="482" spans="1:59">
      <c r="A482" s="1" t="str">
        <f>IF($G$342="Y",'Population Definitions'!$A$13,"...")</f>
        <v>...</v>
      </c>
      <c r="B482" s="4" t="str">
        <f>IF($G$342="Y","---&gt;","...")</f>
        <v>...</v>
      </c>
      <c r="C482" s="1" t="str">
        <f>IF($G$342="Y",'Population Definitions'!$A$7,"...")</f>
        <v>...</v>
      </c>
      <c r="E482" s="2"/>
      <c r="F482" s="3"/>
      <c r="G482" s="2"/>
      <c r="H482" s="4" t="str">
        <f>IF($G$342="Y","OR","...")</f>
        <v>...</v>
      </c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</row>
    <row r="483" spans="1:59">
      <c r="A483" s="1" t="str">
        <f>IF($H$342="Y",'Population Definitions'!$A$13,"...")</f>
        <v>...</v>
      </c>
      <c r="B483" s="4" t="str">
        <f>IF($H$342="Y","---&gt;","...")</f>
        <v>...</v>
      </c>
      <c r="C483" s="1" t="str">
        <f>IF($H$342="Y",'Population Definitions'!$A$8,"...")</f>
        <v>...</v>
      </c>
      <c r="E483" s="2"/>
      <c r="F483" s="3"/>
      <c r="G483" s="2"/>
      <c r="H483" s="4" t="str">
        <f>IF($H$342="Y","OR","...")</f>
        <v>...</v>
      </c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</row>
    <row r="484" spans="1:59">
      <c r="A484" s="1" t="str">
        <f>IF($I$342="Y",'Population Definitions'!$A$13,"...")</f>
        <v>Prisoners_females</v>
      </c>
      <c r="B484" s="4" t="str">
        <f>IF($I$342="Y","---&gt;","...")</f>
        <v>---&gt;</v>
      </c>
      <c r="C484" s="1" t="str">
        <f>IF($I$342="Y",'Population Definitions'!$A$9,"...")</f>
        <v>18-64_females</v>
      </c>
      <c r="E484" s="3" t="s">
        <v>53</v>
      </c>
      <c r="F484" s="3"/>
      <c r="G484" s="3">
        <v>1.969255459499704</v>
      </c>
      <c r="H484" s="4" t="str">
        <f>IF($I$342="Y","OR","...")</f>
        <v>OR</v>
      </c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</row>
    <row r="485" spans="1:59">
      <c r="A485" s="1" t="str">
        <f>IF($J$342="Y",'Population Definitions'!$A$13,"...")</f>
        <v>...</v>
      </c>
      <c r="B485" s="4" t="str">
        <f>IF($J$342="Y","---&gt;","...")</f>
        <v>...</v>
      </c>
      <c r="C485" s="1" t="str">
        <f>IF($J$342="Y",'Population Definitions'!$A$10,"...")</f>
        <v>...</v>
      </c>
      <c r="E485" s="2"/>
      <c r="F485" s="3"/>
      <c r="G485" s="2"/>
      <c r="H485" s="4" t="str">
        <f>IF($J$342="Y","OR","...")</f>
        <v>...</v>
      </c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</row>
    <row r="486" spans="1:59">
      <c r="A486" s="1" t="str">
        <f>IF($K$342="Y",'Population Definitions'!$A$13,"...")</f>
        <v>...</v>
      </c>
      <c r="B486" s="4" t="str">
        <f>IF($K$342="Y","---&gt;","...")</f>
        <v>...</v>
      </c>
      <c r="C486" s="1" t="str">
        <f>IF($K$342="Y",'Population Definitions'!$A$11,"...")</f>
        <v>...</v>
      </c>
      <c r="E486" s="2"/>
      <c r="F486" s="3"/>
      <c r="G486" s="2"/>
      <c r="H486" s="4" t="str">
        <f>IF($K$342="Y","OR","...")</f>
        <v>...</v>
      </c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</row>
    <row r="487" spans="1:59">
      <c r="A487" s="1" t="str">
        <f>IF($L$342="Y",'Population Definitions'!$A$13,"...")</f>
        <v>...</v>
      </c>
      <c r="B487" s="4" t="str">
        <f>IF($L$342="Y","---&gt;","...")</f>
        <v>...</v>
      </c>
      <c r="C487" s="1" t="str">
        <f>IF($L$342="Y",'Population Definitions'!$A$12,"...")</f>
        <v>...</v>
      </c>
      <c r="E487" s="2"/>
      <c r="F487" s="3"/>
      <c r="G487" s="2"/>
      <c r="H487" s="4" t="str">
        <f>IF($L$342="Y","OR","...")</f>
        <v>...</v>
      </c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</row>
    <row r="488" spans="1:59">
      <c r="A488" s="1" t="str">
        <f>IF($M$342="Y",'Population Definitions'!$A$13,"...")</f>
        <v>...</v>
      </c>
      <c r="B488" s="4" t="str">
        <f>IF($M$342="Y","---&gt;","...")</f>
        <v>...</v>
      </c>
      <c r="C488" s="1" t="str">
        <f>IF($M$342="Y",'Population Definitions'!$A$13,"...")</f>
        <v>...</v>
      </c>
      <c r="E488" s="2"/>
      <c r="F488" s="3"/>
      <c r="G488" s="2"/>
      <c r="H488" s="4" t="str">
        <f>IF($M$342="Y","OR","...")</f>
        <v>...</v>
      </c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</row>
  </sheetData>
  <conditionalFormatting sqref="B10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B11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B12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B13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B14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B15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B16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B169">
    <cfRule type="cellIs" dxfId="2" priority="719" operator="equal">
      <formula>"Y"</formula>
    </cfRule>
    <cfRule type="cellIs" dxfId="3" priority="720" operator="equal">
      <formula>"N"</formula>
    </cfRule>
  </conditionalFormatting>
  <conditionalFormatting sqref="B170">
    <cfRule type="cellIs" dxfId="2" priority="741" operator="equal">
      <formula>"Y"</formula>
    </cfRule>
    <cfRule type="cellIs" dxfId="3" priority="742" operator="equal">
      <formula>"N"</formula>
    </cfRule>
  </conditionalFormatting>
  <conditionalFormatting sqref="B171">
    <cfRule type="cellIs" dxfId="2" priority="763" operator="equal">
      <formula>"Y"</formula>
    </cfRule>
    <cfRule type="cellIs" dxfId="3" priority="764" operator="equal">
      <formula>"N"</formula>
    </cfRule>
  </conditionalFormatting>
  <conditionalFormatting sqref="B172">
    <cfRule type="cellIs" dxfId="2" priority="785" operator="equal">
      <formula>"Y"</formula>
    </cfRule>
    <cfRule type="cellIs" dxfId="3" priority="786" operator="equal">
      <formula>"N"</formula>
    </cfRule>
  </conditionalFormatting>
  <conditionalFormatting sqref="B173">
    <cfRule type="cellIs" dxfId="2" priority="807" operator="equal">
      <formula>"Y"</formula>
    </cfRule>
    <cfRule type="cellIs" dxfId="3" priority="808" operator="equal">
      <formula>"N"</formula>
    </cfRule>
  </conditionalFormatting>
  <conditionalFormatting sqref="B174">
    <cfRule type="cellIs" dxfId="2" priority="829" operator="equal">
      <formula>"Y"</formula>
    </cfRule>
    <cfRule type="cellIs" dxfId="3" priority="830" operator="equal">
      <formula>"N"</formula>
    </cfRule>
  </conditionalFormatting>
  <conditionalFormatting sqref="B175">
    <cfRule type="cellIs" dxfId="2" priority="851" operator="equal">
      <formula>"Y"</formula>
    </cfRule>
    <cfRule type="cellIs" dxfId="3" priority="852" operator="equal">
      <formula>"N"</formula>
    </cfRule>
  </conditionalFormatting>
  <conditionalFormatting sqref="B176">
    <cfRule type="cellIs" dxfId="2" priority="873" operator="equal">
      <formula>"Y"</formula>
    </cfRule>
    <cfRule type="cellIs" dxfId="3" priority="874" operator="equal">
      <formula>"N"</formula>
    </cfRule>
  </conditionalFormatting>
  <conditionalFormatting sqref="B177">
    <cfRule type="cellIs" dxfId="2" priority="895" operator="equal">
      <formula>"Y"</formula>
    </cfRule>
    <cfRule type="cellIs" dxfId="3" priority="896" operator="equal">
      <formula>"N"</formula>
    </cfRule>
  </conditionalFormatting>
  <conditionalFormatting sqref="B178">
    <cfRule type="cellIs" dxfId="2" priority="917" operator="equal">
      <formula>"Y"</formula>
    </cfRule>
    <cfRule type="cellIs" dxfId="3" priority="918" operator="equal">
      <formula>"N"</formula>
    </cfRule>
  </conditionalFormatting>
  <conditionalFormatting sqref="B179">
    <cfRule type="cellIs" dxfId="2" priority="939" operator="equal">
      <formula>"Y"</formula>
    </cfRule>
    <cfRule type="cellIs" dxfId="3" priority="940" operator="equal">
      <formula>"N"</formula>
    </cfRule>
  </conditionalFormatting>
  <conditionalFormatting sqref="B332">
    <cfRule type="cellIs" dxfId="2" priority="1415" operator="equal">
      <formula>"Y"</formula>
    </cfRule>
    <cfRule type="cellIs" dxfId="3" priority="1416" operator="equal">
      <formula>"N"</formula>
    </cfRule>
  </conditionalFormatting>
  <conditionalFormatting sqref="B333">
    <cfRule type="cellIs" dxfId="2" priority="1437" operator="equal">
      <formula>"Y"</formula>
    </cfRule>
    <cfRule type="cellIs" dxfId="3" priority="1438" operator="equal">
      <formula>"N"</formula>
    </cfRule>
  </conditionalFormatting>
  <conditionalFormatting sqref="B334">
    <cfRule type="cellIs" dxfId="2" priority="1459" operator="equal">
      <formula>"Y"</formula>
    </cfRule>
    <cfRule type="cellIs" dxfId="3" priority="1460" operator="equal">
      <formula>"N"</formula>
    </cfRule>
  </conditionalFormatting>
  <conditionalFormatting sqref="B335">
    <cfRule type="cellIs" dxfId="2" priority="1481" operator="equal">
      <formula>"Y"</formula>
    </cfRule>
    <cfRule type="cellIs" dxfId="3" priority="1482" operator="equal">
      <formula>"N"</formula>
    </cfRule>
  </conditionalFormatting>
  <conditionalFormatting sqref="B336">
    <cfRule type="cellIs" dxfId="2" priority="1503" operator="equal">
      <formula>"Y"</formula>
    </cfRule>
    <cfRule type="cellIs" dxfId="3" priority="1504" operator="equal">
      <formula>"N"</formula>
    </cfRule>
  </conditionalFormatting>
  <conditionalFormatting sqref="B337">
    <cfRule type="cellIs" dxfId="2" priority="1525" operator="equal">
      <formula>"Y"</formula>
    </cfRule>
    <cfRule type="cellIs" dxfId="3" priority="1526" operator="equal">
      <formula>"N"</formula>
    </cfRule>
  </conditionalFormatting>
  <conditionalFormatting sqref="B338">
    <cfRule type="cellIs" dxfId="2" priority="1547" operator="equal">
      <formula>"Y"</formula>
    </cfRule>
    <cfRule type="cellIs" dxfId="3" priority="1548" operator="equal">
      <formula>"N"</formula>
    </cfRule>
  </conditionalFormatting>
  <conditionalFormatting sqref="B339">
    <cfRule type="cellIs" dxfId="2" priority="1569" operator="equal">
      <formula>"Y"</formula>
    </cfRule>
    <cfRule type="cellIs" dxfId="3" priority="1570" operator="equal">
      <formula>"N"</formula>
    </cfRule>
  </conditionalFormatting>
  <conditionalFormatting sqref="B340">
    <cfRule type="cellIs" dxfId="2" priority="1591" operator="equal">
      <formula>"Y"</formula>
    </cfRule>
    <cfRule type="cellIs" dxfId="3" priority="1592" operator="equal">
      <formula>"N"</formula>
    </cfRule>
  </conditionalFormatting>
  <conditionalFormatting sqref="B341">
    <cfRule type="cellIs" dxfId="2" priority="1613" operator="equal">
      <formula>"Y"</formula>
    </cfRule>
    <cfRule type="cellIs" dxfId="3" priority="1614" operator="equal">
      <formula>"N"</formula>
    </cfRule>
  </conditionalFormatting>
  <conditionalFormatting sqref="B342">
    <cfRule type="cellIs" dxfId="2" priority="1635" operator="equal">
      <formula>"Y"</formula>
    </cfRule>
    <cfRule type="cellIs" dxfId="3" priority="1636" operator="equal">
      <formula>"N"</formula>
    </cfRule>
  </conditionalFormatting>
  <conditionalFormatting sqref="B6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B7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B8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B9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C10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C11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C12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C13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C14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C15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C16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C168">
    <cfRule type="cellIs" dxfId="2" priority="697" operator="equal">
      <formula>"Y"</formula>
    </cfRule>
    <cfRule type="cellIs" dxfId="3" priority="698" operator="equal">
      <formula>"N"</formula>
    </cfRule>
  </conditionalFormatting>
  <conditionalFormatting sqref="C170">
    <cfRule type="cellIs" dxfId="2" priority="743" operator="equal">
      <formula>"Y"</formula>
    </cfRule>
    <cfRule type="cellIs" dxfId="3" priority="744" operator="equal">
      <formula>"N"</formula>
    </cfRule>
  </conditionalFormatting>
  <conditionalFormatting sqref="C171">
    <cfRule type="cellIs" dxfId="2" priority="765" operator="equal">
      <formula>"Y"</formula>
    </cfRule>
    <cfRule type="cellIs" dxfId="3" priority="766" operator="equal">
      <formula>"N"</formula>
    </cfRule>
  </conditionalFormatting>
  <conditionalFormatting sqref="C172">
    <cfRule type="cellIs" dxfId="2" priority="787" operator="equal">
      <formula>"Y"</formula>
    </cfRule>
    <cfRule type="cellIs" dxfId="3" priority="788" operator="equal">
      <formula>"N"</formula>
    </cfRule>
  </conditionalFormatting>
  <conditionalFormatting sqref="C173">
    <cfRule type="cellIs" dxfId="2" priority="809" operator="equal">
      <formula>"Y"</formula>
    </cfRule>
    <cfRule type="cellIs" dxfId="3" priority="810" operator="equal">
      <formula>"N"</formula>
    </cfRule>
  </conditionalFormatting>
  <conditionalFormatting sqref="C174">
    <cfRule type="cellIs" dxfId="2" priority="831" operator="equal">
      <formula>"Y"</formula>
    </cfRule>
    <cfRule type="cellIs" dxfId="3" priority="832" operator="equal">
      <formula>"N"</formula>
    </cfRule>
  </conditionalFormatting>
  <conditionalFormatting sqref="C175">
    <cfRule type="cellIs" dxfId="2" priority="853" operator="equal">
      <formula>"Y"</formula>
    </cfRule>
    <cfRule type="cellIs" dxfId="3" priority="854" operator="equal">
      <formula>"N"</formula>
    </cfRule>
  </conditionalFormatting>
  <conditionalFormatting sqref="C176">
    <cfRule type="cellIs" dxfId="2" priority="875" operator="equal">
      <formula>"Y"</formula>
    </cfRule>
    <cfRule type="cellIs" dxfId="3" priority="876" operator="equal">
      <formula>"N"</formula>
    </cfRule>
  </conditionalFormatting>
  <conditionalFormatting sqref="C177">
    <cfRule type="cellIs" dxfId="2" priority="897" operator="equal">
      <formula>"Y"</formula>
    </cfRule>
    <cfRule type="cellIs" dxfId="3" priority="898" operator="equal">
      <formula>"N"</formula>
    </cfRule>
  </conditionalFormatting>
  <conditionalFormatting sqref="C178">
    <cfRule type="cellIs" dxfId="2" priority="919" operator="equal">
      <formula>"Y"</formula>
    </cfRule>
    <cfRule type="cellIs" dxfId="3" priority="920" operator="equal">
      <formula>"N"</formula>
    </cfRule>
  </conditionalFormatting>
  <conditionalFormatting sqref="C179">
    <cfRule type="cellIs" dxfId="2" priority="941" operator="equal">
      <formula>"Y"</formula>
    </cfRule>
    <cfRule type="cellIs" dxfId="3" priority="942" operator="equal">
      <formula>"N"</formula>
    </cfRule>
  </conditionalFormatting>
  <conditionalFormatting sqref="C331">
    <cfRule type="cellIs" dxfId="2" priority="1393" operator="equal">
      <formula>"Y"</formula>
    </cfRule>
    <cfRule type="cellIs" dxfId="3" priority="1394" operator="equal">
      <formula>"N"</formula>
    </cfRule>
  </conditionalFormatting>
  <conditionalFormatting sqref="C333">
    <cfRule type="cellIs" dxfId="2" priority="1439" operator="equal">
      <formula>"Y"</formula>
    </cfRule>
    <cfRule type="cellIs" dxfId="3" priority="1440" operator="equal">
      <formula>"N"</formula>
    </cfRule>
  </conditionalFormatting>
  <conditionalFormatting sqref="C334">
    <cfRule type="cellIs" dxfId="2" priority="1461" operator="equal">
      <formula>"Y"</formula>
    </cfRule>
    <cfRule type="cellIs" dxfId="3" priority="1462" operator="equal">
      <formula>"N"</formula>
    </cfRule>
  </conditionalFormatting>
  <conditionalFormatting sqref="C335">
    <cfRule type="cellIs" dxfId="2" priority="1483" operator="equal">
      <formula>"Y"</formula>
    </cfRule>
    <cfRule type="cellIs" dxfId="3" priority="1484" operator="equal">
      <formula>"N"</formula>
    </cfRule>
  </conditionalFormatting>
  <conditionalFormatting sqref="C336">
    <cfRule type="cellIs" dxfId="2" priority="1505" operator="equal">
      <formula>"Y"</formula>
    </cfRule>
    <cfRule type="cellIs" dxfId="3" priority="1506" operator="equal">
      <formula>"N"</formula>
    </cfRule>
  </conditionalFormatting>
  <conditionalFormatting sqref="C337">
    <cfRule type="cellIs" dxfId="2" priority="1527" operator="equal">
      <formula>"Y"</formula>
    </cfRule>
    <cfRule type="cellIs" dxfId="3" priority="1528" operator="equal">
      <formula>"N"</formula>
    </cfRule>
  </conditionalFormatting>
  <conditionalFormatting sqref="C338">
    <cfRule type="cellIs" dxfId="2" priority="1549" operator="equal">
      <formula>"Y"</formula>
    </cfRule>
    <cfRule type="cellIs" dxfId="3" priority="1550" operator="equal">
      <formula>"N"</formula>
    </cfRule>
  </conditionalFormatting>
  <conditionalFormatting sqref="C339">
    <cfRule type="cellIs" dxfId="2" priority="1571" operator="equal">
      <formula>"Y"</formula>
    </cfRule>
    <cfRule type="cellIs" dxfId="3" priority="1572" operator="equal">
      <formula>"N"</formula>
    </cfRule>
  </conditionalFormatting>
  <conditionalFormatting sqref="C340">
    <cfRule type="cellIs" dxfId="2" priority="1593" operator="equal">
      <formula>"Y"</formula>
    </cfRule>
    <cfRule type="cellIs" dxfId="3" priority="1594" operator="equal">
      <formula>"N"</formula>
    </cfRule>
  </conditionalFormatting>
  <conditionalFormatting sqref="C341">
    <cfRule type="cellIs" dxfId="2" priority="1615" operator="equal">
      <formula>"Y"</formula>
    </cfRule>
    <cfRule type="cellIs" dxfId="3" priority="1616" operator="equal">
      <formula>"N"</formula>
    </cfRule>
  </conditionalFormatting>
  <conditionalFormatting sqref="C342">
    <cfRule type="cellIs" dxfId="2" priority="1637" operator="equal">
      <formula>"Y"</formula>
    </cfRule>
    <cfRule type="cellIs" dxfId="3" priority="1638" operator="equal">
      <formula>"N"</formula>
    </cfRule>
  </conditionalFormatting>
  <conditionalFormatting sqref="C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C7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C8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C9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D10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D100:BG100">
    <cfRule type="expression" dxfId="4" priority="510">
      <formula>$K$11&lt;&gt;"Y"</formula>
    </cfRule>
  </conditionalFormatting>
  <conditionalFormatting sqref="D101:BG101">
    <cfRule type="expression" dxfId="4" priority="513">
      <formula>$L$11&lt;&gt;"Y"</formula>
    </cfRule>
  </conditionalFormatting>
  <conditionalFormatting sqref="D102:BG102">
    <cfRule type="expression" dxfId="4" priority="516">
      <formula>$M$11&lt;&gt;"Y"</formula>
    </cfRule>
  </conditionalFormatting>
  <conditionalFormatting sqref="D103:BG103">
    <cfRule type="expression" dxfId="4" priority="519">
      <formula>$B$12&lt;&gt;"Y"</formula>
    </cfRule>
  </conditionalFormatting>
  <conditionalFormatting sqref="D104:BG104">
    <cfRule type="expression" dxfId="4" priority="522">
      <formula>$C$12&lt;&gt;"Y"</formula>
    </cfRule>
  </conditionalFormatting>
  <conditionalFormatting sqref="D105:BG105">
    <cfRule type="expression" dxfId="4" priority="525">
      <formula>$D$12&lt;&gt;"Y"</formula>
    </cfRule>
  </conditionalFormatting>
  <conditionalFormatting sqref="D106:BG106">
    <cfRule type="expression" dxfId="4" priority="528">
      <formula>$E$12&lt;&gt;"Y"</formula>
    </cfRule>
  </conditionalFormatting>
  <conditionalFormatting sqref="D107:BG107">
    <cfRule type="expression" dxfId="4" priority="531">
      <formula>$F$12&lt;&gt;"Y"</formula>
    </cfRule>
  </conditionalFormatting>
  <conditionalFormatting sqref="D108:BG108">
    <cfRule type="expression" dxfId="4" priority="534">
      <formula>$G$12&lt;&gt;"Y"</formula>
    </cfRule>
  </conditionalFormatting>
  <conditionalFormatting sqref="D109:BG109">
    <cfRule type="expression" dxfId="4" priority="537">
      <formula>$H$12&lt;&gt;"Y"</formula>
    </cfRule>
  </conditionalFormatting>
  <conditionalFormatting sqref="D11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D110:BG110">
    <cfRule type="expression" dxfId="4" priority="540">
      <formula>$I$12&lt;&gt;"Y"</formula>
    </cfRule>
  </conditionalFormatting>
  <conditionalFormatting sqref="D111:BG111">
    <cfRule type="expression" dxfId="4" priority="543">
      <formula>$J$12&lt;&gt;"Y"</formula>
    </cfRule>
  </conditionalFormatting>
  <conditionalFormatting sqref="D112:BG112">
    <cfRule type="expression" dxfId="4" priority="546">
      <formula>$K$12&lt;&gt;"Y"</formula>
    </cfRule>
  </conditionalFormatting>
  <conditionalFormatting sqref="D113:BG113">
    <cfRule type="expression" dxfId="4" priority="549">
      <formula>$L$12&lt;&gt;"Y"</formula>
    </cfRule>
  </conditionalFormatting>
  <conditionalFormatting sqref="D114:BG114">
    <cfRule type="expression" dxfId="4" priority="552">
      <formula>$M$12&lt;&gt;"Y"</formula>
    </cfRule>
  </conditionalFormatting>
  <conditionalFormatting sqref="D115:BG115">
    <cfRule type="expression" dxfId="4" priority="555">
      <formula>$B$13&lt;&gt;"Y"</formula>
    </cfRule>
  </conditionalFormatting>
  <conditionalFormatting sqref="D116:BG116">
    <cfRule type="expression" dxfId="4" priority="558">
      <formula>$C$13&lt;&gt;"Y"</formula>
    </cfRule>
  </conditionalFormatting>
  <conditionalFormatting sqref="D117:BG117">
    <cfRule type="expression" dxfId="4" priority="561">
      <formula>$D$13&lt;&gt;"Y"</formula>
    </cfRule>
  </conditionalFormatting>
  <conditionalFormatting sqref="D118:BG118">
    <cfRule type="expression" dxfId="4" priority="564">
      <formula>$E$13&lt;&gt;"Y"</formula>
    </cfRule>
  </conditionalFormatting>
  <conditionalFormatting sqref="D119:BG119">
    <cfRule type="expression" dxfId="4" priority="567">
      <formula>$F$13&lt;&gt;"Y"</formula>
    </cfRule>
  </conditionalFormatting>
  <conditionalFormatting sqref="D12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D120:BG120">
    <cfRule type="expression" dxfId="4" priority="570">
      <formula>$G$13&lt;&gt;"Y"</formula>
    </cfRule>
  </conditionalFormatting>
  <conditionalFormatting sqref="D121:BG121">
    <cfRule type="expression" dxfId="4" priority="573">
      <formula>$H$13&lt;&gt;"Y"</formula>
    </cfRule>
  </conditionalFormatting>
  <conditionalFormatting sqref="D122:BG122">
    <cfRule type="expression" dxfId="4" priority="576">
      <formula>$I$13&lt;&gt;"Y"</formula>
    </cfRule>
  </conditionalFormatting>
  <conditionalFormatting sqref="D123:BG123">
    <cfRule type="expression" dxfId="4" priority="579">
      <formula>$J$13&lt;&gt;"Y"</formula>
    </cfRule>
  </conditionalFormatting>
  <conditionalFormatting sqref="D124:BG124">
    <cfRule type="expression" dxfId="4" priority="582">
      <formula>$K$13&lt;&gt;"Y"</formula>
    </cfRule>
  </conditionalFormatting>
  <conditionalFormatting sqref="D125:BG125">
    <cfRule type="expression" dxfId="4" priority="585">
      <formula>$L$13&lt;&gt;"Y"</formula>
    </cfRule>
  </conditionalFormatting>
  <conditionalFormatting sqref="D126:BG126">
    <cfRule type="expression" dxfId="4" priority="588">
      <formula>$M$13&lt;&gt;"Y"</formula>
    </cfRule>
  </conditionalFormatting>
  <conditionalFormatting sqref="D127:BG127">
    <cfRule type="expression" dxfId="4" priority="591">
      <formula>$B$14&lt;&gt;"Y"</formula>
    </cfRule>
  </conditionalFormatting>
  <conditionalFormatting sqref="D128:BG128">
    <cfRule type="expression" dxfId="4" priority="594">
      <formula>$C$14&lt;&gt;"Y"</formula>
    </cfRule>
  </conditionalFormatting>
  <conditionalFormatting sqref="D129:BG129">
    <cfRule type="expression" dxfId="4" priority="597">
      <formula>$D$14&lt;&gt;"Y"</formula>
    </cfRule>
  </conditionalFormatting>
  <conditionalFormatting sqref="D13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D130:BG130">
    <cfRule type="expression" dxfId="4" priority="600">
      <formula>$E$14&lt;&gt;"Y"</formula>
    </cfRule>
  </conditionalFormatting>
  <conditionalFormatting sqref="D131:BG131">
    <cfRule type="expression" dxfId="4" priority="603">
      <formula>$F$14&lt;&gt;"Y"</formula>
    </cfRule>
  </conditionalFormatting>
  <conditionalFormatting sqref="D132:BG132">
    <cfRule type="expression" dxfId="4" priority="606">
      <formula>$G$14&lt;&gt;"Y"</formula>
    </cfRule>
  </conditionalFormatting>
  <conditionalFormatting sqref="D133:BG133">
    <cfRule type="expression" dxfId="4" priority="609">
      <formula>$H$14&lt;&gt;"Y"</formula>
    </cfRule>
  </conditionalFormatting>
  <conditionalFormatting sqref="D134:BG134">
    <cfRule type="expression" dxfId="4" priority="612">
      <formula>$I$14&lt;&gt;"Y"</formula>
    </cfRule>
  </conditionalFormatting>
  <conditionalFormatting sqref="D135:BG135">
    <cfRule type="expression" dxfId="4" priority="615">
      <formula>$J$14&lt;&gt;"Y"</formula>
    </cfRule>
  </conditionalFormatting>
  <conditionalFormatting sqref="D136:BG136">
    <cfRule type="expression" dxfId="4" priority="618">
      <formula>$K$14&lt;&gt;"Y"</formula>
    </cfRule>
  </conditionalFormatting>
  <conditionalFormatting sqref="D137:BG137">
    <cfRule type="expression" dxfId="4" priority="621">
      <formula>$L$14&lt;&gt;"Y"</formula>
    </cfRule>
  </conditionalFormatting>
  <conditionalFormatting sqref="D138:BG138">
    <cfRule type="expression" dxfId="4" priority="624">
      <formula>$M$14&lt;&gt;"Y"</formula>
    </cfRule>
  </conditionalFormatting>
  <conditionalFormatting sqref="D139:BG139">
    <cfRule type="expression" dxfId="4" priority="627">
      <formula>$B$15&lt;&gt;"Y"</formula>
    </cfRule>
  </conditionalFormatting>
  <conditionalFormatting sqref="D14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D140:BG140">
    <cfRule type="expression" dxfId="4" priority="630">
      <formula>$C$15&lt;&gt;"Y"</formula>
    </cfRule>
  </conditionalFormatting>
  <conditionalFormatting sqref="D141:BG141">
    <cfRule type="expression" dxfId="4" priority="633">
      <formula>$D$15&lt;&gt;"Y"</formula>
    </cfRule>
  </conditionalFormatting>
  <conditionalFormatting sqref="D142:BG142">
    <cfRule type="expression" dxfId="4" priority="636">
      <formula>$E$15&lt;&gt;"Y"</formula>
    </cfRule>
  </conditionalFormatting>
  <conditionalFormatting sqref="D143:BG143">
    <cfRule type="expression" dxfId="4" priority="639">
      <formula>$F$15&lt;&gt;"Y"</formula>
    </cfRule>
  </conditionalFormatting>
  <conditionalFormatting sqref="D144:BG144">
    <cfRule type="expression" dxfId="4" priority="642">
      <formula>$G$15&lt;&gt;"Y"</formula>
    </cfRule>
  </conditionalFormatting>
  <conditionalFormatting sqref="D145:BG145">
    <cfRule type="expression" dxfId="4" priority="645">
      <formula>$H$15&lt;&gt;"Y"</formula>
    </cfRule>
  </conditionalFormatting>
  <conditionalFormatting sqref="D146:BG146">
    <cfRule type="expression" dxfId="4" priority="648">
      <formula>$I$15&lt;&gt;"Y"</formula>
    </cfRule>
  </conditionalFormatting>
  <conditionalFormatting sqref="D147:BG147">
    <cfRule type="expression" dxfId="4" priority="651">
      <formula>$J$15&lt;&gt;"Y"</formula>
    </cfRule>
  </conditionalFormatting>
  <conditionalFormatting sqref="D148:BG148">
    <cfRule type="expression" dxfId="4" priority="654">
      <formula>$K$15&lt;&gt;"Y"</formula>
    </cfRule>
  </conditionalFormatting>
  <conditionalFormatting sqref="D149:BG149">
    <cfRule type="expression" dxfId="4" priority="657">
      <formula>$L$15&lt;&gt;"Y"</formula>
    </cfRule>
  </conditionalFormatting>
  <conditionalFormatting sqref="D15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D150:BG150">
    <cfRule type="expression" dxfId="4" priority="660">
      <formula>$M$15&lt;&gt;"Y"</formula>
    </cfRule>
  </conditionalFormatting>
  <conditionalFormatting sqref="D151:BG151">
    <cfRule type="expression" dxfId="4" priority="663">
      <formula>$B$16&lt;&gt;"Y"</formula>
    </cfRule>
  </conditionalFormatting>
  <conditionalFormatting sqref="D152:BG152">
    <cfRule type="expression" dxfId="4" priority="666">
      <formula>$C$16&lt;&gt;"Y"</formula>
    </cfRule>
  </conditionalFormatting>
  <conditionalFormatting sqref="D153:BG153">
    <cfRule type="expression" dxfId="4" priority="669">
      <formula>$D$16&lt;&gt;"Y"</formula>
    </cfRule>
  </conditionalFormatting>
  <conditionalFormatting sqref="D154:BG154">
    <cfRule type="expression" dxfId="4" priority="672">
      <formula>$E$16&lt;&gt;"Y"</formula>
    </cfRule>
  </conditionalFormatting>
  <conditionalFormatting sqref="D155:BG155">
    <cfRule type="expression" dxfId="4" priority="675">
      <formula>$F$16&lt;&gt;"Y"</formula>
    </cfRule>
  </conditionalFormatting>
  <conditionalFormatting sqref="D156:BG156">
    <cfRule type="expression" dxfId="4" priority="678">
      <formula>$G$16&lt;&gt;"Y"</formula>
    </cfRule>
  </conditionalFormatting>
  <conditionalFormatting sqref="D157:BG157">
    <cfRule type="expression" dxfId="4" priority="681">
      <formula>$H$16&lt;&gt;"Y"</formula>
    </cfRule>
  </conditionalFormatting>
  <conditionalFormatting sqref="D158:BG158">
    <cfRule type="expression" dxfId="4" priority="684">
      <formula>$I$16&lt;&gt;"Y"</formula>
    </cfRule>
  </conditionalFormatting>
  <conditionalFormatting sqref="D159:BG159">
    <cfRule type="expression" dxfId="4" priority="687">
      <formula>$J$16&lt;&gt;"Y"</formula>
    </cfRule>
  </conditionalFormatting>
  <conditionalFormatting sqref="D16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D160:BG160">
    <cfRule type="expression" dxfId="4" priority="690">
      <formula>$K$16&lt;&gt;"Y"</formula>
    </cfRule>
  </conditionalFormatting>
  <conditionalFormatting sqref="D161:BG161">
    <cfRule type="expression" dxfId="4" priority="693">
      <formula>$L$16&lt;&gt;"Y"</formula>
    </cfRule>
  </conditionalFormatting>
  <conditionalFormatting sqref="D162:BG162">
    <cfRule type="expression" dxfId="4" priority="696">
      <formula>$M$16&lt;&gt;"Y"</formula>
    </cfRule>
  </conditionalFormatting>
  <conditionalFormatting sqref="D168">
    <cfRule type="cellIs" dxfId="2" priority="699" operator="equal">
      <formula>"Y"</formula>
    </cfRule>
    <cfRule type="cellIs" dxfId="3" priority="700" operator="equal">
      <formula>"N"</formula>
    </cfRule>
  </conditionalFormatting>
  <conditionalFormatting sqref="D169">
    <cfRule type="cellIs" dxfId="2" priority="721" operator="equal">
      <formula>"Y"</formula>
    </cfRule>
    <cfRule type="cellIs" dxfId="3" priority="722" operator="equal">
      <formula>"N"</formula>
    </cfRule>
  </conditionalFormatting>
  <conditionalFormatting sqref="D171">
    <cfRule type="cellIs" dxfId="2" priority="767" operator="equal">
      <formula>"Y"</formula>
    </cfRule>
    <cfRule type="cellIs" dxfId="3" priority="768" operator="equal">
      <formula>"N"</formula>
    </cfRule>
  </conditionalFormatting>
  <conditionalFormatting sqref="D172">
    <cfRule type="cellIs" dxfId="2" priority="789" operator="equal">
      <formula>"Y"</formula>
    </cfRule>
    <cfRule type="cellIs" dxfId="3" priority="790" operator="equal">
      <formula>"N"</formula>
    </cfRule>
  </conditionalFormatting>
  <conditionalFormatting sqref="D173">
    <cfRule type="cellIs" dxfId="2" priority="811" operator="equal">
      <formula>"Y"</formula>
    </cfRule>
    <cfRule type="cellIs" dxfId="3" priority="812" operator="equal">
      <formula>"N"</formula>
    </cfRule>
  </conditionalFormatting>
  <conditionalFormatting sqref="D174">
    <cfRule type="cellIs" dxfId="2" priority="833" operator="equal">
      <formula>"Y"</formula>
    </cfRule>
    <cfRule type="cellIs" dxfId="3" priority="834" operator="equal">
      <formula>"N"</formula>
    </cfRule>
  </conditionalFormatting>
  <conditionalFormatting sqref="D175">
    <cfRule type="cellIs" dxfId="2" priority="855" operator="equal">
      <formula>"Y"</formula>
    </cfRule>
    <cfRule type="cellIs" dxfId="3" priority="856" operator="equal">
      <formula>"N"</formula>
    </cfRule>
  </conditionalFormatting>
  <conditionalFormatting sqref="D176">
    <cfRule type="cellIs" dxfId="2" priority="877" operator="equal">
      <formula>"Y"</formula>
    </cfRule>
    <cfRule type="cellIs" dxfId="3" priority="878" operator="equal">
      <formula>"N"</formula>
    </cfRule>
  </conditionalFormatting>
  <conditionalFormatting sqref="D177">
    <cfRule type="cellIs" dxfId="2" priority="899" operator="equal">
      <formula>"Y"</formula>
    </cfRule>
    <cfRule type="cellIs" dxfId="3" priority="900" operator="equal">
      <formula>"N"</formula>
    </cfRule>
  </conditionalFormatting>
  <conditionalFormatting sqref="D178">
    <cfRule type="cellIs" dxfId="2" priority="921" operator="equal">
      <formula>"Y"</formula>
    </cfRule>
    <cfRule type="cellIs" dxfId="3" priority="922" operator="equal">
      <formula>"N"</formula>
    </cfRule>
  </conditionalFormatting>
  <conditionalFormatting sqref="D179">
    <cfRule type="cellIs" dxfId="2" priority="943" operator="equal">
      <formula>"Y"</formula>
    </cfRule>
    <cfRule type="cellIs" dxfId="3" priority="944" operator="equal">
      <formula>"N"</formula>
    </cfRule>
  </conditionalFormatting>
  <conditionalFormatting sqref="D182:BG182">
    <cfRule type="expression" dxfId="4" priority="963">
      <formula>$B$168&lt;&gt;"Y"</formula>
    </cfRule>
  </conditionalFormatting>
  <conditionalFormatting sqref="D183:BG183">
    <cfRule type="expression" dxfId="4" priority="966">
      <formula>$C$168&lt;&gt;"Y"</formula>
    </cfRule>
  </conditionalFormatting>
  <conditionalFormatting sqref="D184:BG184">
    <cfRule type="expression" dxfId="4" priority="969">
      <formula>$D$168&lt;&gt;"Y"</formula>
    </cfRule>
  </conditionalFormatting>
  <conditionalFormatting sqref="D185:BG185">
    <cfRule type="expression" dxfId="4" priority="972">
      <formula>$E$168&lt;&gt;"Y"</formula>
    </cfRule>
  </conditionalFormatting>
  <conditionalFormatting sqref="D186:BG186">
    <cfRule type="expression" dxfId="4" priority="975">
      <formula>$F$168&lt;&gt;"Y"</formula>
    </cfRule>
  </conditionalFormatting>
  <conditionalFormatting sqref="D187:BG187">
    <cfRule type="expression" dxfId="4" priority="978">
      <formula>$G$168&lt;&gt;"Y"</formula>
    </cfRule>
  </conditionalFormatting>
  <conditionalFormatting sqref="D188:BG188">
    <cfRule type="expression" dxfId="4" priority="981">
      <formula>$H$168&lt;&gt;"Y"</formula>
    </cfRule>
  </conditionalFormatting>
  <conditionalFormatting sqref="D189:BG189">
    <cfRule type="expression" dxfId="4" priority="984">
      <formula>$I$168&lt;&gt;"Y"</formula>
    </cfRule>
  </conditionalFormatting>
  <conditionalFormatting sqref="D190:BG190">
    <cfRule type="expression" dxfId="4" priority="987">
      <formula>$J$168&lt;&gt;"Y"</formula>
    </cfRule>
  </conditionalFormatting>
  <conditionalFormatting sqref="D191:BG191">
    <cfRule type="expression" dxfId="4" priority="990">
      <formula>$K$168&lt;&gt;"Y"</formula>
    </cfRule>
  </conditionalFormatting>
  <conditionalFormatting sqref="D192:BG192">
    <cfRule type="expression" dxfId="4" priority="993">
      <formula>$L$168&lt;&gt;"Y"</formula>
    </cfRule>
  </conditionalFormatting>
  <conditionalFormatting sqref="D193:BG193">
    <cfRule type="expression" dxfId="4" priority="996">
      <formula>$M$168&lt;&gt;"Y"</formula>
    </cfRule>
  </conditionalFormatting>
  <conditionalFormatting sqref="D194:BG194">
    <cfRule type="expression" dxfId="4" priority="999">
      <formula>$B$169&lt;&gt;"Y"</formula>
    </cfRule>
  </conditionalFormatting>
  <conditionalFormatting sqref="D195:BG195">
    <cfRule type="expression" dxfId="4" priority="1002">
      <formula>$C$169&lt;&gt;"Y"</formula>
    </cfRule>
  </conditionalFormatting>
  <conditionalFormatting sqref="D196:BG196">
    <cfRule type="expression" dxfId="4" priority="1005">
      <formula>$D$169&lt;&gt;"Y"</formula>
    </cfRule>
  </conditionalFormatting>
  <conditionalFormatting sqref="D197:BG197">
    <cfRule type="expression" dxfId="4" priority="1008">
      <formula>$E$169&lt;&gt;"Y"</formula>
    </cfRule>
  </conditionalFormatting>
  <conditionalFormatting sqref="D198:BG198">
    <cfRule type="expression" dxfId="4" priority="1011">
      <formula>$F$169&lt;&gt;"Y"</formula>
    </cfRule>
  </conditionalFormatting>
  <conditionalFormatting sqref="D199:BG199">
    <cfRule type="expression" dxfId="4" priority="1014">
      <formula>$G$169&lt;&gt;"Y"</formula>
    </cfRule>
  </conditionalFormatting>
  <conditionalFormatting sqref="D19:BG19">
    <cfRule type="expression" dxfId="4" priority="267">
      <formula>$B$5&lt;&gt;"Y"</formula>
    </cfRule>
  </conditionalFormatting>
  <conditionalFormatting sqref="D200:BG200">
    <cfRule type="expression" dxfId="4" priority="1017">
      <formula>$H$169&lt;&gt;"Y"</formula>
    </cfRule>
  </conditionalFormatting>
  <conditionalFormatting sqref="D201:BG201">
    <cfRule type="expression" dxfId="4" priority="1020">
      <formula>$I$169&lt;&gt;"Y"</formula>
    </cfRule>
  </conditionalFormatting>
  <conditionalFormatting sqref="D202:BG202">
    <cfRule type="expression" dxfId="4" priority="1023">
      <formula>$J$169&lt;&gt;"Y"</formula>
    </cfRule>
  </conditionalFormatting>
  <conditionalFormatting sqref="D203:BG203">
    <cfRule type="expression" dxfId="4" priority="1026">
      <formula>$K$169&lt;&gt;"Y"</formula>
    </cfRule>
  </conditionalFormatting>
  <conditionalFormatting sqref="D204:BG204">
    <cfRule type="expression" dxfId="4" priority="1029">
      <formula>$L$169&lt;&gt;"Y"</formula>
    </cfRule>
  </conditionalFormatting>
  <conditionalFormatting sqref="D205:BG205">
    <cfRule type="expression" dxfId="4" priority="1032">
      <formula>$M$169&lt;&gt;"Y"</formula>
    </cfRule>
  </conditionalFormatting>
  <conditionalFormatting sqref="D206:BG206">
    <cfRule type="expression" dxfId="4" priority="1035">
      <formula>$B$170&lt;&gt;"Y"</formula>
    </cfRule>
  </conditionalFormatting>
  <conditionalFormatting sqref="D207:BG207">
    <cfRule type="expression" dxfId="4" priority="1038">
      <formula>$C$170&lt;&gt;"Y"</formula>
    </cfRule>
  </conditionalFormatting>
  <conditionalFormatting sqref="D208:BG208">
    <cfRule type="expression" dxfId="4" priority="1041">
      <formula>$D$170&lt;&gt;"Y"</formula>
    </cfRule>
  </conditionalFormatting>
  <conditionalFormatting sqref="D209:BG209">
    <cfRule type="expression" dxfId="4" priority="1044">
      <formula>$E$170&lt;&gt;"Y"</formula>
    </cfRule>
  </conditionalFormatting>
  <conditionalFormatting sqref="D20:BG20">
    <cfRule type="expression" dxfId="4" priority="270">
      <formula>$C$5&lt;&gt;"Y"</formula>
    </cfRule>
  </conditionalFormatting>
  <conditionalFormatting sqref="D210:BG210">
    <cfRule type="expression" dxfId="4" priority="1047">
      <formula>$F$170&lt;&gt;"Y"</formula>
    </cfRule>
  </conditionalFormatting>
  <conditionalFormatting sqref="D211:BG211">
    <cfRule type="expression" dxfId="4" priority="1050">
      <formula>$G$170&lt;&gt;"Y"</formula>
    </cfRule>
  </conditionalFormatting>
  <conditionalFormatting sqref="D212:BG212">
    <cfRule type="expression" dxfId="4" priority="1053">
      <formula>$H$170&lt;&gt;"Y"</formula>
    </cfRule>
  </conditionalFormatting>
  <conditionalFormatting sqref="D213:BG213">
    <cfRule type="expression" dxfId="4" priority="1056">
      <formula>$I$170&lt;&gt;"Y"</formula>
    </cfRule>
  </conditionalFormatting>
  <conditionalFormatting sqref="D214:BG214">
    <cfRule type="expression" dxfId="4" priority="1059">
      <formula>$J$170&lt;&gt;"Y"</formula>
    </cfRule>
  </conditionalFormatting>
  <conditionalFormatting sqref="D215:BG215">
    <cfRule type="expression" dxfId="4" priority="1062">
      <formula>$K$170&lt;&gt;"Y"</formula>
    </cfRule>
  </conditionalFormatting>
  <conditionalFormatting sqref="D216:BG216">
    <cfRule type="expression" dxfId="4" priority="1065">
      <formula>$L$170&lt;&gt;"Y"</formula>
    </cfRule>
  </conditionalFormatting>
  <conditionalFormatting sqref="D217:BG217">
    <cfRule type="expression" dxfId="4" priority="1068">
      <formula>$M$170&lt;&gt;"Y"</formula>
    </cfRule>
  </conditionalFormatting>
  <conditionalFormatting sqref="D218:BG218">
    <cfRule type="expression" dxfId="4" priority="1071">
      <formula>$B$171&lt;&gt;"Y"</formula>
    </cfRule>
  </conditionalFormatting>
  <conditionalFormatting sqref="D219:BG219">
    <cfRule type="expression" dxfId="4" priority="1074">
      <formula>$C$171&lt;&gt;"Y"</formula>
    </cfRule>
  </conditionalFormatting>
  <conditionalFormatting sqref="D21:BG21">
    <cfRule type="expression" dxfId="4" priority="273">
      <formula>$D$5&lt;&gt;"Y"</formula>
    </cfRule>
  </conditionalFormatting>
  <conditionalFormatting sqref="D220:BG220">
    <cfRule type="expression" dxfId="4" priority="1077">
      <formula>$D$171&lt;&gt;"Y"</formula>
    </cfRule>
  </conditionalFormatting>
  <conditionalFormatting sqref="D221:BG221">
    <cfRule type="expression" dxfId="4" priority="1080">
      <formula>$E$171&lt;&gt;"Y"</formula>
    </cfRule>
  </conditionalFormatting>
  <conditionalFormatting sqref="D222:BG222">
    <cfRule type="expression" dxfId="4" priority="1083">
      <formula>$F$171&lt;&gt;"Y"</formula>
    </cfRule>
  </conditionalFormatting>
  <conditionalFormatting sqref="D223:BG223">
    <cfRule type="expression" dxfId="4" priority="1086">
      <formula>$G$171&lt;&gt;"Y"</formula>
    </cfRule>
  </conditionalFormatting>
  <conditionalFormatting sqref="D224:BG224">
    <cfRule type="expression" dxfId="4" priority="1089">
      <formula>$H$171&lt;&gt;"Y"</formula>
    </cfRule>
  </conditionalFormatting>
  <conditionalFormatting sqref="D225:BG225">
    <cfRule type="expression" dxfId="4" priority="1092">
      <formula>$I$171&lt;&gt;"Y"</formula>
    </cfRule>
  </conditionalFormatting>
  <conditionalFormatting sqref="D226:BG226">
    <cfRule type="expression" dxfId="4" priority="1095">
      <formula>$J$171&lt;&gt;"Y"</formula>
    </cfRule>
  </conditionalFormatting>
  <conditionalFormatting sqref="D227:BG227">
    <cfRule type="expression" dxfId="4" priority="1098">
      <formula>$K$171&lt;&gt;"Y"</formula>
    </cfRule>
  </conditionalFormatting>
  <conditionalFormatting sqref="D228:BG228">
    <cfRule type="expression" dxfId="4" priority="1101">
      <formula>$L$171&lt;&gt;"Y"</formula>
    </cfRule>
  </conditionalFormatting>
  <conditionalFormatting sqref="D229:BG229">
    <cfRule type="expression" dxfId="4" priority="1104">
      <formula>$M$171&lt;&gt;"Y"</formula>
    </cfRule>
  </conditionalFormatting>
  <conditionalFormatting sqref="D22:BG22">
    <cfRule type="expression" dxfId="4" priority="276">
      <formula>$E$5&lt;&gt;"Y"</formula>
    </cfRule>
  </conditionalFormatting>
  <conditionalFormatting sqref="D230:BG230">
    <cfRule type="expression" dxfId="4" priority="1107">
      <formula>$B$172&lt;&gt;"Y"</formula>
    </cfRule>
  </conditionalFormatting>
  <conditionalFormatting sqref="D231:BG231">
    <cfRule type="expression" dxfId="4" priority="1110">
      <formula>$C$172&lt;&gt;"Y"</formula>
    </cfRule>
  </conditionalFormatting>
  <conditionalFormatting sqref="D232:BG232">
    <cfRule type="expression" dxfId="4" priority="1113">
      <formula>$D$172&lt;&gt;"Y"</formula>
    </cfRule>
  </conditionalFormatting>
  <conditionalFormatting sqref="D233:BG233">
    <cfRule type="expression" dxfId="4" priority="1116">
      <formula>$E$172&lt;&gt;"Y"</formula>
    </cfRule>
  </conditionalFormatting>
  <conditionalFormatting sqref="D234:BG234">
    <cfRule type="expression" dxfId="4" priority="1119">
      <formula>$F$172&lt;&gt;"Y"</formula>
    </cfRule>
  </conditionalFormatting>
  <conditionalFormatting sqref="D235:BG235">
    <cfRule type="expression" dxfId="4" priority="1122">
      <formula>$G$172&lt;&gt;"Y"</formula>
    </cfRule>
  </conditionalFormatting>
  <conditionalFormatting sqref="D236:BG236">
    <cfRule type="expression" dxfId="4" priority="1125">
      <formula>$H$172&lt;&gt;"Y"</formula>
    </cfRule>
  </conditionalFormatting>
  <conditionalFormatting sqref="D237:BG237">
    <cfRule type="expression" dxfId="4" priority="1128">
      <formula>$I$172&lt;&gt;"Y"</formula>
    </cfRule>
  </conditionalFormatting>
  <conditionalFormatting sqref="D238:BG238">
    <cfRule type="expression" dxfId="4" priority="1131">
      <formula>$J$172&lt;&gt;"Y"</formula>
    </cfRule>
  </conditionalFormatting>
  <conditionalFormatting sqref="D239:BG239">
    <cfRule type="expression" dxfId="4" priority="1134">
      <formula>$K$172&lt;&gt;"Y"</formula>
    </cfRule>
  </conditionalFormatting>
  <conditionalFormatting sqref="D23:BG23">
    <cfRule type="expression" dxfId="4" priority="279">
      <formula>$F$5&lt;&gt;"Y"</formula>
    </cfRule>
  </conditionalFormatting>
  <conditionalFormatting sqref="D240:BG240">
    <cfRule type="expression" dxfId="4" priority="1137">
      <formula>$L$172&lt;&gt;"Y"</formula>
    </cfRule>
  </conditionalFormatting>
  <conditionalFormatting sqref="D241:BG241">
    <cfRule type="expression" dxfId="4" priority="1140">
      <formula>$M$172&lt;&gt;"Y"</formula>
    </cfRule>
  </conditionalFormatting>
  <conditionalFormatting sqref="D242:BG242">
    <cfRule type="expression" dxfId="4" priority="1143">
      <formula>$B$173&lt;&gt;"Y"</formula>
    </cfRule>
  </conditionalFormatting>
  <conditionalFormatting sqref="D243:BG243">
    <cfRule type="expression" dxfId="4" priority="1146">
      <formula>$C$173&lt;&gt;"Y"</formula>
    </cfRule>
  </conditionalFormatting>
  <conditionalFormatting sqref="D244:BG244">
    <cfRule type="expression" dxfId="4" priority="1149">
      <formula>$D$173&lt;&gt;"Y"</formula>
    </cfRule>
  </conditionalFormatting>
  <conditionalFormatting sqref="D245:BG245">
    <cfRule type="expression" dxfId="4" priority="1152">
      <formula>$E$173&lt;&gt;"Y"</formula>
    </cfRule>
  </conditionalFormatting>
  <conditionalFormatting sqref="D246:BG246">
    <cfRule type="expression" dxfId="4" priority="1155">
      <formula>$F$173&lt;&gt;"Y"</formula>
    </cfRule>
  </conditionalFormatting>
  <conditionalFormatting sqref="D247:BG247">
    <cfRule type="expression" dxfId="4" priority="1158">
      <formula>$G$173&lt;&gt;"Y"</formula>
    </cfRule>
  </conditionalFormatting>
  <conditionalFormatting sqref="D248:BG248">
    <cfRule type="expression" dxfId="4" priority="1161">
      <formula>$H$173&lt;&gt;"Y"</formula>
    </cfRule>
  </conditionalFormatting>
  <conditionalFormatting sqref="D249:BG249">
    <cfRule type="expression" dxfId="4" priority="1164">
      <formula>$I$173&lt;&gt;"Y"</formula>
    </cfRule>
  </conditionalFormatting>
  <conditionalFormatting sqref="D24:BG24">
    <cfRule type="expression" dxfId="4" priority="282">
      <formula>$G$5&lt;&gt;"Y"</formula>
    </cfRule>
  </conditionalFormatting>
  <conditionalFormatting sqref="D250:BG250">
    <cfRule type="expression" dxfId="4" priority="1167">
      <formula>$J$173&lt;&gt;"Y"</formula>
    </cfRule>
  </conditionalFormatting>
  <conditionalFormatting sqref="D251:BG251">
    <cfRule type="expression" dxfId="4" priority="1170">
      <formula>$K$173&lt;&gt;"Y"</formula>
    </cfRule>
  </conditionalFormatting>
  <conditionalFormatting sqref="D252:BG252">
    <cfRule type="expression" dxfId="4" priority="1173">
      <formula>$L$173&lt;&gt;"Y"</formula>
    </cfRule>
  </conditionalFormatting>
  <conditionalFormatting sqref="D253:BG253">
    <cfRule type="expression" dxfId="4" priority="1176">
      <formula>$M$173&lt;&gt;"Y"</formula>
    </cfRule>
  </conditionalFormatting>
  <conditionalFormatting sqref="D254:BG254">
    <cfRule type="expression" dxfId="4" priority="1179">
      <formula>$B$174&lt;&gt;"Y"</formula>
    </cfRule>
  </conditionalFormatting>
  <conditionalFormatting sqref="D255:BG255">
    <cfRule type="expression" dxfId="4" priority="1182">
      <formula>$C$174&lt;&gt;"Y"</formula>
    </cfRule>
  </conditionalFormatting>
  <conditionalFormatting sqref="D256:BG256">
    <cfRule type="expression" dxfId="4" priority="1185">
      <formula>$D$174&lt;&gt;"Y"</formula>
    </cfRule>
  </conditionalFormatting>
  <conditionalFormatting sqref="D257:BG257">
    <cfRule type="expression" dxfId="4" priority="1188">
      <formula>$E$174&lt;&gt;"Y"</formula>
    </cfRule>
  </conditionalFormatting>
  <conditionalFormatting sqref="D258:BG258">
    <cfRule type="expression" dxfId="4" priority="1191">
      <formula>$F$174&lt;&gt;"Y"</formula>
    </cfRule>
  </conditionalFormatting>
  <conditionalFormatting sqref="D259:BG259">
    <cfRule type="expression" dxfId="4" priority="1194">
      <formula>$G$174&lt;&gt;"Y"</formula>
    </cfRule>
  </conditionalFormatting>
  <conditionalFormatting sqref="D25:BG25">
    <cfRule type="expression" dxfId="4" priority="285">
      <formula>$H$5&lt;&gt;"Y"</formula>
    </cfRule>
  </conditionalFormatting>
  <conditionalFormatting sqref="D260:BG260">
    <cfRule type="expression" dxfId="4" priority="1197">
      <formula>$H$174&lt;&gt;"Y"</formula>
    </cfRule>
  </conditionalFormatting>
  <conditionalFormatting sqref="D261:BG261">
    <cfRule type="expression" dxfId="4" priority="1200">
      <formula>$I$174&lt;&gt;"Y"</formula>
    </cfRule>
  </conditionalFormatting>
  <conditionalFormatting sqref="D262:BG262">
    <cfRule type="expression" dxfId="4" priority="1203">
      <formula>$J$174&lt;&gt;"Y"</formula>
    </cfRule>
  </conditionalFormatting>
  <conditionalFormatting sqref="D263:BG263">
    <cfRule type="expression" dxfId="4" priority="1206">
      <formula>$K$174&lt;&gt;"Y"</formula>
    </cfRule>
  </conditionalFormatting>
  <conditionalFormatting sqref="D264:BG264">
    <cfRule type="expression" dxfId="4" priority="1209">
      <formula>$L$174&lt;&gt;"Y"</formula>
    </cfRule>
  </conditionalFormatting>
  <conditionalFormatting sqref="D265:BG265">
    <cfRule type="expression" dxfId="4" priority="1212">
      <formula>$M$174&lt;&gt;"Y"</formula>
    </cfRule>
  </conditionalFormatting>
  <conditionalFormatting sqref="D266:BG266">
    <cfRule type="expression" dxfId="4" priority="1215">
      <formula>$B$175&lt;&gt;"Y"</formula>
    </cfRule>
  </conditionalFormatting>
  <conditionalFormatting sqref="D267:BG267">
    <cfRule type="expression" dxfId="4" priority="1218">
      <formula>$C$175&lt;&gt;"Y"</formula>
    </cfRule>
  </conditionalFormatting>
  <conditionalFormatting sqref="D268:BG268">
    <cfRule type="expression" dxfId="4" priority="1221">
      <formula>$D$175&lt;&gt;"Y"</formula>
    </cfRule>
  </conditionalFormatting>
  <conditionalFormatting sqref="D269:BG269">
    <cfRule type="expression" dxfId="4" priority="1224">
      <formula>$E$175&lt;&gt;"Y"</formula>
    </cfRule>
  </conditionalFormatting>
  <conditionalFormatting sqref="D26:BG26">
    <cfRule type="expression" dxfId="4" priority="288">
      <formula>$I$5&lt;&gt;"Y"</formula>
    </cfRule>
  </conditionalFormatting>
  <conditionalFormatting sqref="D270:BG270">
    <cfRule type="expression" dxfId="4" priority="1227">
      <formula>$F$175&lt;&gt;"Y"</formula>
    </cfRule>
  </conditionalFormatting>
  <conditionalFormatting sqref="D271:BG271">
    <cfRule type="expression" dxfId="4" priority="1230">
      <formula>$G$175&lt;&gt;"Y"</formula>
    </cfRule>
  </conditionalFormatting>
  <conditionalFormatting sqref="D272:BG272">
    <cfRule type="expression" dxfId="4" priority="1233">
      <formula>$H$175&lt;&gt;"Y"</formula>
    </cfRule>
  </conditionalFormatting>
  <conditionalFormatting sqref="D273:BG273">
    <cfRule type="expression" dxfId="4" priority="1236">
      <formula>$I$175&lt;&gt;"Y"</formula>
    </cfRule>
  </conditionalFormatting>
  <conditionalFormatting sqref="D274:BG274">
    <cfRule type="expression" dxfId="4" priority="1239">
      <formula>$J$175&lt;&gt;"Y"</formula>
    </cfRule>
  </conditionalFormatting>
  <conditionalFormatting sqref="D275:BG275">
    <cfRule type="expression" dxfId="4" priority="1242">
      <formula>$K$175&lt;&gt;"Y"</formula>
    </cfRule>
  </conditionalFormatting>
  <conditionalFormatting sqref="D276:BG276">
    <cfRule type="expression" dxfId="4" priority="1245">
      <formula>$L$175&lt;&gt;"Y"</formula>
    </cfRule>
  </conditionalFormatting>
  <conditionalFormatting sqref="D277:BG277">
    <cfRule type="expression" dxfId="4" priority="1248">
      <formula>$M$175&lt;&gt;"Y"</formula>
    </cfRule>
  </conditionalFormatting>
  <conditionalFormatting sqref="D278:BG278">
    <cfRule type="expression" dxfId="4" priority="1251">
      <formula>$B$176&lt;&gt;"Y"</formula>
    </cfRule>
  </conditionalFormatting>
  <conditionalFormatting sqref="D279:BG279">
    <cfRule type="expression" dxfId="4" priority="1254">
      <formula>$C$176&lt;&gt;"Y"</formula>
    </cfRule>
  </conditionalFormatting>
  <conditionalFormatting sqref="D27:BG27">
    <cfRule type="expression" dxfId="4" priority="291">
      <formula>$J$5&lt;&gt;"Y"</formula>
    </cfRule>
  </conditionalFormatting>
  <conditionalFormatting sqref="D280:BG280">
    <cfRule type="expression" dxfId="4" priority="1257">
      <formula>$D$176&lt;&gt;"Y"</formula>
    </cfRule>
  </conditionalFormatting>
  <conditionalFormatting sqref="D281:BG281">
    <cfRule type="expression" dxfId="4" priority="1260">
      <formula>$E$176&lt;&gt;"Y"</formula>
    </cfRule>
  </conditionalFormatting>
  <conditionalFormatting sqref="D282:BG282">
    <cfRule type="expression" dxfId="4" priority="1263">
      <formula>$F$176&lt;&gt;"Y"</formula>
    </cfRule>
  </conditionalFormatting>
  <conditionalFormatting sqref="D283:BG283">
    <cfRule type="expression" dxfId="4" priority="1266">
      <formula>$G$176&lt;&gt;"Y"</formula>
    </cfRule>
  </conditionalFormatting>
  <conditionalFormatting sqref="D284:BG284">
    <cfRule type="expression" dxfId="4" priority="1269">
      <formula>$H$176&lt;&gt;"Y"</formula>
    </cfRule>
  </conditionalFormatting>
  <conditionalFormatting sqref="D285:BG285">
    <cfRule type="expression" dxfId="4" priority="1272">
      <formula>$I$176&lt;&gt;"Y"</formula>
    </cfRule>
  </conditionalFormatting>
  <conditionalFormatting sqref="D286:BG286">
    <cfRule type="expression" dxfId="4" priority="1275">
      <formula>$J$176&lt;&gt;"Y"</formula>
    </cfRule>
  </conditionalFormatting>
  <conditionalFormatting sqref="D287:BG287">
    <cfRule type="expression" dxfId="4" priority="1278">
      <formula>$K$176&lt;&gt;"Y"</formula>
    </cfRule>
  </conditionalFormatting>
  <conditionalFormatting sqref="D288:BG288">
    <cfRule type="expression" dxfId="4" priority="1281">
      <formula>$L$176&lt;&gt;"Y"</formula>
    </cfRule>
  </conditionalFormatting>
  <conditionalFormatting sqref="D289:BG289">
    <cfRule type="expression" dxfId="4" priority="1284">
      <formula>$M$176&lt;&gt;"Y"</formula>
    </cfRule>
  </conditionalFormatting>
  <conditionalFormatting sqref="D28:BG28">
    <cfRule type="expression" dxfId="4" priority="294">
      <formula>$K$5&lt;&gt;"Y"</formula>
    </cfRule>
  </conditionalFormatting>
  <conditionalFormatting sqref="D290:BG290">
    <cfRule type="expression" dxfId="4" priority="1287">
      <formula>$B$177&lt;&gt;"Y"</formula>
    </cfRule>
  </conditionalFormatting>
  <conditionalFormatting sqref="D291:BG291">
    <cfRule type="expression" dxfId="4" priority="1290">
      <formula>$C$177&lt;&gt;"Y"</formula>
    </cfRule>
  </conditionalFormatting>
  <conditionalFormatting sqref="D292:BG292">
    <cfRule type="expression" dxfId="4" priority="1293">
      <formula>$D$177&lt;&gt;"Y"</formula>
    </cfRule>
  </conditionalFormatting>
  <conditionalFormatting sqref="D293:BG293">
    <cfRule type="expression" dxfId="4" priority="1296">
      <formula>$E$177&lt;&gt;"Y"</formula>
    </cfRule>
  </conditionalFormatting>
  <conditionalFormatting sqref="D294:BG294">
    <cfRule type="expression" dxfId="4" priority="1299">
      <formula>$F$177&lt;&gt;"Y"</formula>
    </cfRule>
  </conditionalFormatting>
  <conditionalFormatting sqref="D295:BG295">
    <cfRule type="expression" dxfId="4" priority="1302">
      <formula>$G$177&lt;&gt;"Y"</formula>
    </cfRule>
  </conditionalFormatting>
  <conditionalFormatting sqref="D296:BG296">
    <cfRule type="expression" dxfId="4" priority="1305">
      <formula>$H$177&lt;&gt;"Y"</formula>
    </cfRule>
  </conditionalFormatting>
  <conditionalFormatting sqref="D297:BG297">
    <cfRule type="expression" dxfId="4" priority="1308">
      <formula>$I$177&lt;&gt;"Y"</formula>
    </cfRule>
  </conditionalFormatting>
  <conditionalFormatting sqref="D298:BG298">
    <cfRule type="expression" dxfId="4" priority="1311">
      <formula>$J$177&lt;&gt;"Y"</formula>
    </cfRule>
  </conditionalFormatting>
  <conditionalFormatting sqref="D299:BG299">
    <cfRule type="expression" dxfId="4" priority="1314">
      <formula>$K$177&lt;&gt;"Y"</formula>
    </cfRule>
  </conditionalFormatting>
  <conditionalFormatting sqref="D29:BG29">
    <cfRule type="expression" dxfId="4" priority="297">
      <formula>$L$5&lt;&gt;"Y"</formula>
    </cfRule>
  </conditionalFormatting>
  <conditionalFormatting sqref="D300:BG300">
    <cfRule type="expression" dxfId="4" priority="1317">
      <formula>$L$177&lt;&gt;"Y"</formula>
    </cfRule>
  </conditionalFormatting>
  <conditionalFormatting sqref="D301:BG301">
    <cfRule type="expression" dxfId="4" priority="1320">
      <formula>$M$177&lt;&gt;"Y"</formula>
    </cfRule>
  </conditionalFormatting>
  <conditionalFormatting sqref="D302:BG302">
    <cfRule type="expression" dxfId="4" priority="1323">
      <formula>$B$178&lt;&gt;"Y"</formula>
    </cfRule>
  </conditionalFormatting>
  <conditionalFormatting sqref="D303:BG303">
    <cfRule type="expression" dxfId="4" priority="1326">
      <formula>$C$178&lt;&gt;"Y"</formula>
    </cfRule>
  </conditionalFormatting>
  <conditionalFormatting sqref="D304:BG304">
    <cfRule type="expression" dxfId="4" priority="1329">
      <formula>$D$178&lt;&gt;"Y"</formula>
    </cfRule>
  </conditionalFormatting>
  <conditionalFormatting sqref="D305:BG305">
    <cfRule type="expression" dxfId="4" priority="1332">
      <formula>$E$178&lt;&gt;"Y"</formula>
    </cfRule>
  </conditionalFormatting>
  <conditionalFormatting sqref="D306:BG306">
    <cfRule type="expression" dxfId="4" priority="1335">
      <formula>$F$178&lt;&gt;"Y"</formula>
    </cfRule>
  </conditionalFormatting>
  <conditionalFormatting sqref="D307:BG307">
    <cfRule type="expression" dxfId="4" priority="1338">
      <formula>$G$178&lt;&gt;"Y"</formula>
    </cfRule>
  </conditionalFormatting>
  <conditionalFormatting sqref="D308:BG308">
    <cfRule type="expression" dxfId="4" priority="1341">
      <formula>$H$178&lt;&gt;"Y"</formula>
    </cfRule>
  </conditionalFormatting>
  <conditionalFormatting sqref="D309:BG309">
    <cfRule type="expression" dxfId="4" priority="1344">
      <formula>$I$178&lt;&gt;"Y"</formula>
    </cfRule>
  </conditionalFormatting>
  <conditionalFormatting sqref="D30:BG30">
    <cfRule type="expression" dxfId="4" priority="300">
      <formula>$M$5&lt;&gt;"Y"</formula>
    </cfRule>
  </conditionalFormatting>
  <conditionalFormatting sqref="D310:BG310">
    <cfRule type="expression" dxfId="4" priority="1347">
      <formula>$J$178&lt;&gt;"Y"</formula>
    </cfRule>
  </conditionalFormatting>
  <conditionalFormatting sqref="D311:BG311">
    <cfRule type="expression" dxfId="4" priority="1350">
      <formula>$K$178&lt;&gt;"Y"</formula>
    </cfRule>
  </conditionalFormatting>
  <conditionalFormatting sqref="D312:BG312">
    <cfRule type="expression" dxfId="4" priority="1353">
      <formula>$L$178&lt;&gt;"Y"</formula>
    </cfRule>
  </conditionalFormatting>
  <conditionalFormatting sqref="D313:BG313">
    <cfRule type="expression" dxfId="4" priority="1356">
      <formula>$M$178&lt;&gt;"Y"</formula>
    </cfRule>
  </conditionalFormatting>
  <conditionalFormatting sqref="D314:BG314">
    <cfRule type="expression" dxfId="4" priority="1359">
      <formula>$B$179&lt;&gt;"Y"</formula>
    </cfRule>
  </conditionalFormatting>
  <conditionalFormatting sqref="D315:BG315">
    <cfRule type="expression" dxfId="4" priority="1362">
      <formula>$C$179&lt;&gt;"Y"</formula>
    </cfRule>
  </conditionalFormatting>
  <conditionalFormatting sqref="D316:BG316">
    <cfRule type="expression" dxfId="4" priority="1365">
      <formula>$D$179&lt;&gt;"Y"</formula>
    </cfRule>
  </conditionalFormatting>
  <conditionalFormatting sqref="D317:BG317">
    <cfRule type="expression" dxfId="4" priority="1368">
      <formula>$E$179&lt;&gt;"Y"</formula>
    </cfRule>
  </conditionalFormatting>
  <conditionalFormatting sqref="D318:BG318">
    <cfRule type="expression" dxfId="4" priority="1371">
      <formula>$F$179&lt;&gt;"Y"</formula>
    </cfRule>
  </conditionalFormatting>
  <conditionalFormatting sqref="D319:BG319">
    <cfRule type="expression" dxfId="4" priority="1374">
      <formula>$G$179&lt;&gt;"Y"</formula>
    </cfRule>
  </conditionalFormatting>
  <conditionalFormatting sqref="D31:BG31">
    <cfRule type="expression" dxfId="4" priority="303">
      <formula>$B$6&lt;&gt;"Y"</formula>
    </cfRule>
  </conditionalFormatting>
  <conditionalFormatting sqref="D320:BG320">
    <cfRule type="expression" dxfId="4" priority="1377">
      <formula>$H$179&lt;&gt;"Y"</formula>
    </cfRule>
  </conditionalFormatting>
  <conditionalFormatting sqref="D321:BG321">
    <cfRule type="expression" dxfId="4" priority="1380">
      <formula>$I$179&lt;&gt;"Y"</formula>
    </cfRule>
  </conditionalFormatting>
  <conditionalFormatting sqref="D322:BG322">
    <cfRule type="expression" dxfId="4" priority="1383">
      <formula>$J$179&lt;&gt;"Y"</formula>
    </cfRule>
  </conditionalFormatting>
  <conditionalFormatting sqref="D323:BG323">
    <cfRule type="expression" dxfId="4" priority="1386">
      <formula>$K$179&lt;&gt;"Y"</formula>
    </cfRule>
  </conditionalFormatting>
  <conditionalFormatting sqref="D324:BG324">
    <cfRule type="expression" dxfId="4" priority="1389">
      <formula>$L$179&lt;&gt;"Y"</formula>
    </cfRule>
  </conditionalFormatting>
  <conditionalFormatting sqref="D325:BG325">
    <cfRule type="expression" dxfId="4" priority="1392">
      <formula>$M$179&lt;&gt;"Y"</formula>
    </cfRule>
  </conditionalFormatting>
  <conditionalFormatting sqref="D32:BG32">
    <cfRule type="expression" dxfId="4" priority="306">
      <formula>$C$6&lt;&gt;"Y"</formula>
    </cfRule>
  </conditionalFormatting>
  <conditionalFormatting sqref="D331">
    <cfRule type="cellIs" dxfId="2" priority="1395" operator="equal">
      <formula>"Y"</formula>
    </cfRule>
    <cfRule type="cellIs" dxfId="3" priority="1396" operator="equal">
      <formula>"N"</formula>
    </cfRule>
  </conditionalFormatting>
  <conditionalFormatting sqref="D332">
    <cfRule type="cellIs" dxfId="2" priority="1417" operator="equal">
      <formula>"Y"</formula>
    </cfRule>
    <cfRule type="cellIs" dxfId="3" priority="1418" operator="equal">
      <formula>"N"</formula>
    </cfRule>
  </conditionalFormatting>
  <conditionalFormatting sqref="D334">
    <cfRule type="cellIs" dxfId="2" priority="1463" operator="equal">
      <formula>"Y"</formula>
    </cfRule>
    <cfRule type="cellIs" dxfId="3" priority="1464" operator="equal">
      <formula>"N"</formula>
    </cfRule>
  </conditionalFormatting>
  <conditionalFormatting sqref="D335">
    <cfRule type="cellIs" dxfId="2" priority="1485" operator="equal">
      <formula>"Y"</formula>
    </cfRule>
    <cfRule type="cellIs" dxfId="3" priority="1486" operator="equal">
      <formula>"N"</formula>
    </cfRule>
  </conditionalFormatting>
  <conditionalFormatting sqref="D336">
    <cfRule type="cellIs" dxfId="2" priority="1507" operator="equal">
      <formula>"Y"</formula>
    </cfRule>
    <cfRule type="cellIs" dxfId="3" priority="1508" operator="equal">
      <formula>"N"</formula>
    </cfRule>
  </conditionalFormatting>
  <conditionalFormatting sqref="D337">
    <cfRule type="cellIs" dxfId="2" priority="1529" operator="equal">
      <formula>"Y"</formula>
    </cfRule>
    <cfRule type="cellIs" dxfId="3" priority="1530" operator="equal">
      <formula>"N"</formula>
    </cfRule>
  </conditionalFormatting>
  <conditionalFormatting sqref="D338">
    <cfRule type="cellIs" dxfId="2" priority="1551" operator="equal">
      <formula>"Y"</formula>
    </cfRule>
    <cfRule type="cellIs" dxfId="3" priority="1552" operator="equal">
      <formula>"N"</formula>
    </cfRule>
  </conditionalFormatting>
  <conditionalFormatting sqref="D339">
    <cfRule type="cellIs" dxfId="2" priority="1573" operator="equal">
      <formula>"Y"</formula>
    </cfRule>
    <cfRule type="cellIs" dxfId="3" priority="1574" operator="equal">
      <formula>"N"</formula>
    </cfRule>
  </conditionalFormatting>
  <conditionalFormatting sqref="D33:BG33">
    <cfRule type="expression" dxfId="4" priority="309">
      <formula>$D$6&lt;&gt;"Y"</formula>
    </cfRule>
  </conditionalFormatting>
  <conditionalFormatting sqref="D340">
    <cfRule type="cellIs" dxfId="2" priority="1595" operator="equal">
      <formula>"Y"</formula>
    </cfRule>
    <cfRule type="cellIs" dxfId="3" priority="1596" operator="equal">
      <formula>"N"</formula>
    </cfRule>
  </conditionalFormatting>
  <conditionalFormatting sqref="D341">
    <cfRule type="cellIs" dxfId="2" priority="1617" operator="equal">
      <formula>"Y"</formula>
    </cfRule>
    <cfRule type="cellIs" dxfId="3" priority="1618" operator="equal">
      <formula>"N"</formula>
    </cfRule>
  </conditionalFormatting>
  <conditionalFormatting sqref="D342">
    <cfRule type="cellIs" dxfId="2" priority="1639" operator="equal">
      <formula>"Y"</formula>
    </cfRule>
    <cfRule type="cellIs" dxfId="3" priority="1640" operator="equal">
      <formula>"N"</formula>
    </cfRule>
  </conditionalFormatting>
  <conditionalFormatting sqref="D345:BG345">
    <cfRule type="expression" dxfId="4" priority="1659">
      <formula>$B$331&lt;&gt;"Y"</formula>
    </cfRule>
  </conditionalFormatting>
  <conditionalFormatting sqref="D346:BG346">
    <cfRule type="expression" dxfId="4" priority="1662">
      <formula>$C$331&lt;&gt;"Y"</formula>
    </cfRule>
  </conditionalFormatting>
  <conditionalFormatting sqref="D347:BG347">
    <cfRule type="expression" dxfId="4" priority="1665">
      <formula>$D$331&lt;&gt;"Y"</formula>
    </cfRule>
  </conditionalFormatting>
  <conditionalFormatting sqref="D348:BG348">
    <cfRule type="expression" dxfId="4" priority="1668">
      <formula>$E$331&lt;&gt;"Y"</formula>
    </cfRule>
  </conditionalFormatting>
  <conditionalFormatting sqref="D349:BG349">
    <cfRule type="expression" dxfId="4" priority="1671">
      <formula>$F$331&lt;&gt;"Y"</formula>
    </cfRule>
  </conditionalFormatting>
  <conditionalFormatting sqref="D34:BG34">
    <cfRule type="expression" dxfId="4" priority="312">
      <formula>$E$6&lt;&gt;"Y"</formula>
    </cfRule>
  </conditionalFormatting>
  <conditionalFormatting sqref="D350:BG350">
    <cfRule type="expression" dxfId="4" priority="1674">
      <formula>$G$331&lt;&gt;"Y"</formula>
    </cfRule>
  </conditionalFormatting>
  <conditionalFormatting sqref="D351:BG351">
    <cfRule type="expression" dxfId="4" priority="1677">
      <formula>$H$331&lt;&gt;"Y"</formula>
    </cfRule>
  </conditionalFormatting>
  <conditionalFormatting sqref="D352:BG352">
    <cfRule type="expression" dxfId="4" priority="1680">
      <formula>$I$331&lt;&gt;"Y"</formula>
    </cfRule>
  </conditionalFormatting>
  <conditionalFormatting sqref="D353:BG353">
    <cfRule type="expression" dxfId="4" priority="1683">
      <formula>$J$331&lt;&gt;"Y"</formula>
    </cfRule>
  </conditionalFormatting>
  <conditionalFormatting sqref="D354:BG354">
    <cfRule type="expression" dxfId="4" priority="1686">
      <formula>$K$331&lt;&gt;"Y"</formula>
    </cfRule>
  </conditionalFormatting>
  <conditionalFormatting sqref="D355:BG355">
    <cfRule type="expression" dxfId="4" priority="1689">
      <formula>$L$331&lt;&gt;"Y"</formula>
    </cfRule>
  </conditionalFormatting>
  <conditionalFormatting sqref="D356:BG356">
    <cfRule type="expression" dxfId="4" priority="1692">
      <formula>$M$331&lt;&gt;"Y"</formula>
    </cfRule>
  </conditionalFormatting>
  <conditionalFormatting sqref="D357:BG357">
    <cfRule type="expression" dxfId="4" priority="1695">
      <formula>$B$332&lt;&gt;"Y"</formula>
    </cfRule>
  </conditionalFormatting>
  <conditionalFormatting sqref="D358:BG358">
    <cfRule type="expression" dxfId="4" priority="1698">
      <formula>$C$332&lt;&gt;"Y"</formula>
    </cfRule>
  </conditionalFormatting>
  <conditionalFormatting sqref="D359:BG359">
    <cfRule type="expression" dxfId="4" priority="1701">
      <formula>$D$332&lt;&gt;"Y"</formula>
    </cfRule>
  </conditionalFormatting>
  <conditionalFormatting sqref="D35:BG35">
    <cfRule type="expression" dxfId="4" priority="315">
      <formula>$F$6&lt;&gt;"Y"</formula>
    </cfRule>
  </conditionalFormatting>
  <conditionalFormatting sqref="D360:BG360">
    <cfRule type="expression" dxfId="4" priority="1704">
      <formula>$E$332&lt;&gt;"Y"</formula>
    </cfRule>
  </conditionalFormatting>
  <conditionalFormatting sqref="D361:BG361">
    <cfRule type="expression" dxfId="4" priority="1707">
      <formula>$F$332&lt;&gt;"Y"</formula>
    </cfRule>
  </conditionalFormatting>
  <conditionalFormatting sqref="D362:BG362">
    <cfRule type="expression" dxfId="4" priority="1710">
      <formula>$G$332&lt;&gt;"Y"</formula>
    </cfRule>
  </conditionalFormatting>
  <conditionalFormatting sqref="D363:BG363">
    <cfRule type="expression" dxfId="4" priority="1713">
      <formula>$H$332&lt;&gt;"Y"</formula>
    </cfRule>
  </conditionalFormatting>
  <conditionalFormatting sqref="D364:BG364">
    <cfRule type="expression" dxfId="4" priority="1716">
      <formula>$I$332&lt;&gt;"Y"</formula>
    </cfRule>
  </conditionalFormatting>
  <conditionalFormatting sqref="D365:BG365">
    <cfRule type="expression" dxfId="4" priority="1719">
      <formula>$J$332&lt;&gt;"Y"</formula>
    </cfRule>
  </conditionalFormatting>
  <conditionalFormatting sqref="D366:BG366">
    <cfRule type="expression" dxfId="4" priority="1722">
      <formula>$K$332&lt;&gt;"Y"</formula>
    </cfRule>
  </conditionalFormatting>
  <conditionalFormatting sqref="D367:BG367">
    <cfRule type="expression" dxfId="4" priority="1725">
      <formula>$L$332&lt;&gt;"Y"</formula>
    </cfRule>
  </conditionalFormatting>
  <conditionalFormatting sqref="D368:BG368">
    <cfRule type="expression" dxfId="4" priority="1728">
      <formula>$M$332&lt;&gt;"Y"</formula>
    </cfRule>
  </conditionalFormatting>
  <conditionalFormatting sqref="D369:BG369">
    <cfRule type="expression" dxfId="4" priority="1731">
      <formula>$B$333&lt;&gt;"Y"</formula>
    </cfRule>
  </conditionalFormatting>
  <conditionalFormatting sqref="D36:BG36">
    <cfRule type="expression" dxfId="4" priority="318">
      <formula>$G$6&lt;&gt;"Y"</formula>
    </cfRule>
  </conditionalFormatting>
  <conditionalFormatting sqref="D370:BG370">
    <cfRule type="expression" dxfId="4" priority="1734">
      <formula>$C$333&lt;&gt;"Y"</formula>
    </cfRule>
  </conditionalFormatting>
  <conditionalFormatting sqref="D371:BG371">
    <cfRule type="expression" dxfId="4" priority="1737">
      <formula>$D$333&lt;&gt;"Y"</formula>
    </cfRule>
  </conditionalFormatting>
  <conditionalFormatting sqref="D372:BG372">
    <cfRule type="expression" dxfId="4" priority="1740">
      <formula>$E$333&lt;&gt;"Y"</formula>
    </cfRule>
  </conditionalFormatting>
  <conditionalFormatting sqref="D373:BG373">
    <cfRule type="expression" dxfId="4" priority="1743">
      <formula>$F$333&lt;&gt;"Y"</formula>
    </cfRule>
  </conditionalFormatting>
  <conditionalFormatting sqref="D374:BG374">
    <cfRule type="expression" dxfId="4" priority="1746">
      <formula>$G$333&lt;&gt;"Y"</formula>
    </cfRule>
  </conditionalFormatting>
  <conditionalFormatting sqref="D375:BG375">
    <cfRule type="expression" dxfId="4" priority="1749">
      <formula>$H$333&lt;&gt;"Y"</formula>
    </cfRule>
  </conditionalFormatting>
  <conditionalFormatting sqref="D376:BG376">
    <cfRule type="expression" dxfId="4" priority="1752">
      <formula>$I$333&lt;&gt;"Y"</formula>
    </cfRule>
  </conditionalFormatting>
  <conditionalFormatting sqref="D377:BG377">
    <cfRule type="expression" dxfId="4" priority="1755">
      <formula>$J$333&lt;&gt;"Y"</formula>
    </cfRule>
  </conditionalFormatting>
  <conditionalFormatting sqref="D378:BG378">
    <cfRule type="expression" dxfId="4" priority="1758">
      <formula>$K$333&lt;&gt;"Y"</formula>
    </cfRule>
  </conditionalFormatting>
  <conditionalFormatting sqref="D379:BG379">
    <cfRule type="expression" dxfId="4" priority="1761">
      <formula>$L$333&lt;&gt;"Y"</formula>
    </cfRule>
  </conditionalFormatting>
  <conditionalFormatting sqref="D37:BG37">
    <cfRule type="expression" dxfId="4" priority="321">
      <formula>$H$6&lt;&gt;"Y"</formula>
    </cfRule>
  </conditionalFormatting>
  <conditionalFormatting sqref="D380:BG380">
    <cfRule type="expression" dxfId="4" priority="1764">
      <formula>$M$333&lt;&gt;"Y"</formula>
    </cfRule>
  </conditionalFormatting>
  <conditionalFormatting sqref="D381:BG381">
    <cfRule type="expression" dxfId="4" priority="1767">
      <formula>$B$334&lt;&gt;"Y"</formula>
    </cfRule>
  </conditionalFormatting>
  <conditionalFormatting sqref="D382:BG382">
    <cfRule type="expression" dxfId="4" priority="1770">
      <formula>$C$334&lt;&gt;"Y"</formula>
    </cfRule>
  </conditionalFormatting>
  <conditionalFormatting sqref="D383:BG383">
    <cfRule type="expression" dxfId="4" priority="1773">
      <formula>$D$334&lt;&gt;"Y"</formula>
    </cfRule>
  </conditionalFormatting>
  <conditionalFormatting sqref="D384:BG384">
    <cfRule type="expression" dxfId="4" priority="1776">
      <formula>$E$334&lt;&gt;"Y"</formula>
    </cfRule>
  </conditionalFormatting>
  <conditionalFormatting sqref="D385:BG385">
    <cfRule type="expression" dxfId="4" priority="1779">
      <formula>$F$334&lt;&gt;"Y"</formula>
    </cfRule>
  </conditionalFormatting>
  <conditionalFormatting sqref="D386:BG386">
    <cfRule type="expression" dxfId="4" priority="1782">
      <formula>$G$334&lt;&gt;"Y"</formula>
    </cfRule>
  </conditionalFormatting>
  <conditionalFormatting sqref="D387:BG387">
    <cfRule type="expression" dxfId="4" priority="1785">
      <formula>$H$334&lt;&gt;"Y"</formula>
    </cfRule>
  </conditionalFormatting>
  <conditionalFormatting sqref="D388:BG388">
    <cfRule type="expression" dxfId="4" priority="1788">
      <formula>$I$334&lt;&gt;"Y"</formula>
    </cfRule>
  </conditionalFormatting>
  <conditionalFormatting sqref="D389:BG389">
    <cfRule type="expression" dxfId="4" priority="1791">
      <formula>$J$334&lt;&gt;"Y"</formula>
    </cfRule>
  </conditionalFormatting>
  <conditionalFormatting sqref="D38:BG38">
    <cfRule type="expression" dxfId="4" priority="324">
      <formula>$I$6&lt;&gt;"Y"</formula>
    </cfRule>
  </conditionalFormatting>
  <conditionalFormatting sqref="D390:BG390">
    <cfRule type="expression" dxfId="4" priority="1794">
      <formula>$K$334&lt;&gt;"Y"</formula>
    </cfRule>
  </conditionalFormatting>
  <conditionalFormatting sqref="D391:BG391">
    <cfRule type="expression" dxfId="4" priority="1797">
      <formula>$L$334&lt;&gt;"Y"</formula>
    </cfRule>
  </conditionalFormatting>
  <conditionalFormatting sqref="D392:BG392">
    <cfRule type="expression" dxfId="4" priority="1800">
      <formula>$M$334&lt;&gt;"Y"</formula>
    </cfRule>
  </conditionalFormatting>
  <conditionalFormatting sqref="D393:BG393">
    <cfRule type="expression" dxfId="4" priority="1803">
      <formula>$B$335&lt;&gt;"Y"</formula>
    </cfRule>
  </conditionalFormatting>
  <conditionalFormatting sqref="D394:BG394">
    <cfRule type="expression" dxfId="4" priority="1806">
      <formula>$C$335&lt;&gt;"Y"</formula>
    </cfRule>
  </conditionalFormatting>
  <conditionalFormatting sqref="D395:BG395">
    <cfRule type="expression" dxfId="4" priority="1809">
      <formula>$D$335&lt;&gt;"Y"</formula>
    </cfRule>
  </conditionalFormatting>
  <conditionalFormatting sqref="D396:BG396">
    <cfRule type="expression" dxfId="4" priority="1812">
      <formula>$E$335&lt;&gt;"Y"</formula>
    </cfRule>
  </conditionalFormatting>
  <conditionalFormatting sqref="D397:BG397">
    <cfRule type="expression" dxfId="4" priority="1815">
      <formula>$F$335&lt;&gt;"Y"</formula>
    </cfRule>
  </conditionalFormatting>
  <conditionalFormatting sqref="D398:BG398">
    <cfRule type="expression" dxfId="4" priority="1818">
      <formula>$G$335&lt;&gt;"Y"</formula>
    </cfRule>
  </conditionalFormatting>
  <conditionalFormatting sqref="D399:BG399">
    <cfRule type="expression" dxfId="4" priority="1821">
      <formula>$H$335&lt;&gt;"Y"</formula>
    </cfRule>
  </conditionalFormatting>
  <conditionalFormatting sqref="D39:BG39">
    <cfRule type="expression" dxfId="4" priority="327">
      <formula>$J$6&lt;&gt;"Y"</formula>
    </cfRule>
  </conditionalFormatting>
  <conditionalFormatting sqref="D400:BG400">
    <cfRule type="expression" dxfId="4" priority="1824">
      <formula>$I$335&lt;&gt;"Y"</formula>
    </cfRule>
  </conditionalFormatting>
  <conditionalFormatting sqref="D401:BG401">
    <cfRule type="expression" dxfId="4" priority="1827">
      <formula>$J$335&lt;&gt;"Y"</formula>
    </cfRule>
  </conditionalFormatting>
  <conditionalFormatting sqref="D402:BG402">
    <cfRule type="expression" dxfId="4" priority="1830">
      <formula>$K$335&lt;&gt;"Y"</formula>
    </cfRule>
  </conditionalFormatting>
  <conditionalFormatting sqref="D403:BG403">
    <cfRule type="expression" dxfId="4" priority="1833">
      <formula>$L$335&lt;&gt;"Y"</formula>
    </cfRule>
  </conditionalFormatting>
  <conditionalFormatting sqref="D404:BG404">
    <cfRule type="expression" dxfId="4" priority="1836">
      <formula>$M$335&lt;&gt;"Y"</formula>
    </cfRule>
  </conditionalFormatting>
  <conditionalFormatting sqref="D405:BG405">
    <cfRule type="expression" dxfId="4" priority="1839">
      <formula>$B$336&lt;&gt;"Y"</formula>
    </cfRule>
  </conditionalFormatting>
  <conditionalFormatting sqref="D406:BG406">
    <cfRule type="expression" dxfId="4" priority="1842">
      <formula>$C$336&lt;&gt;"Y"</formula>
    </cfRule>
  </conditionalFormatting>
  <conditionalFormatting sqref="D407:BG407">
    <cfRule type="expression" dxfId="4" priority="1845">
      <formula>$D$336&lt;&gt;"Y"</formula>
    </cfRule>
  </conditionalFormatting>
  <conditionalFormatting sqref="D408:BG408">
    <cfRule type="expression" dxfId="4" priority="1848">
      <formula>$E$336&lt;&gt;"Y"</formula>
    </cfRule>
  </conditionalFormatting>
  <conditionalFormatting sqref="D409:BG409">
    <cfRule type="expression" dxfId="4" priority="1851">
      <formula>$F$336&lt;&gt;"Y"</formula>
    </cfRule>
  </conditionalFormatting>
  <conditionalFormatting sqref="D40:BG40">
    <cfRule type="expression" dxfId="4" priority="330">
      <formula>$K$6&lt;&gt;"Y"</formula>
    </cfRule>
  </conditionalFormatting>
  <conditionalFormatting sqref="D410:BG410">
    <cfRule type="expression" dxfId="4" priority="1854">
      <formula>$G$336&lt;&gt;"Y"</formula>
    </cfRule>
  </conditionalFormatting>
  <conditionalFormatting sqref="D411:BG411">
    <cfRule type="expression" dxfId="4" priority="1857">
      <formula>$H$336&lt;&gt;"Y"</formula>
    </cfRule>
  </conditionalFormatting>
  <conditionalFormatting sqref="D412:BG412">
    <cfRule type="expression" dxfId="4" priority="1860">
      <formula>$I$336&lt;&gt;"Y"</formula>
    </cfRule>
  </conditionalFormatting>
  <conditionalFormatting sqref="D413:BG413">
    <cfRule type="expression" dxfId="4" priority="1863">
      <formula>$J$336&lt;&gt;"Y"</formula>
    </cfRule>
  </conditionalFormatting>
  <conditionalFormatting sqref="D414:BG414">
    <cfRule type="expression" dxfId="4" priority="1866">
      <formula>$K$336&lt;&gt;"Y"</formula>
    </cfRule>
  </conditionalFormatting>
  <conditionalFormatting sqref="D415:BG415">
    <cfRule type="expression" dxfId="4" priority="1869">
      <formula>$L$336&lt;&gt;"Y"</formula>
    </cfRule>
  </conditionalFormatting>
  <conditionalFormatting sqref="D416:BG416">
    <cfRule type="expression" dxfId="4" priority="1872">
      <formula>$M$336&lt;&gt;"Y"</formula>
    </cfRule>
  </conditionalFormatting>
  <conditionalFormatting sqref="D417:BG417">
    <cfRule type="expression" dxfId="4" priority="1875">
      <formula>$B$337&lt;&gt;"Y"</formula>
    </cfRule>
  </conditionalFormatting>
  <conditionalFormatting sqref="D418:BG418">
    <cfRule type="expression" dxfId="4" priority="1878">
      <formula>$C$337&lt;&gt;"Y"</formula>
    </cfRule>
  </conditionalFormatting>
  <conditionalFormatting sqref="D419:BG419">
    <cfRule type="expression" dxfId="4" priority="1881">
      <formula>$D$337&lt;&gt;"Y"</formula>
    </cfRule>
  </conditionalFormatting>
  <conditionalFormatting sqref="D41:BG41">
    <cfRule type="expression" dxfId="4" priority="333">
      <formula>$L$6&lt;&gt;"Y"</formula>
    </cfRule>
  </conditionalFormatting>
  <conditionalFormatting sqref="D420:BG420">
    <cfRule type="expression" dxfId="4" priority="1884">
      <formula>$E$337&lt;&gt;"Y"</formula>
    </cfRule>
  </conditionalFormatting>
  <conditionalFormatting sqref="D421:BG421">
    <cfRule type="expression" dxfId="4" priority="1887">
      <formula>$F$337&lt;&gt;"Y"</formula>
    </cfRule>
  </conditionalFormatting>
  <conditionalFormatting sqref="D422:BG422">
    <cfRule type="expression" dxfId="4" priority="1890">
      <formula>$G$337&lt;&gt;"Y"</formula>
    </cfRule>
  </conditionalFormatting>
  <conditionalFormatting sqref="D423:BG423">
    <cfRule type="expression" dxfId="4" priority="1893">
      <formula>$H$337&lt;&gt;"Y"</formula>
    </cfRule>
  </conditionalFormatting>
  <conditionalFormatting sqref="D424:BG424">
    <cfRule type="expression" dxfId="4" priority="1896">
      <formula>$I$337&lt;&gt;"Y"</formula>
    </cfRule>
  </conditionalFormatting>
  <conditionalFormatting sqref="D425:BG425">
    <cfRule type="expression" dxfId="4" priority="1899">
      <formula>$J$337&lt;&gt;"Y"</formula>
    </cfRule>
  </conditionalFormatting>
  <conditionalFormatting sqref="D426:BG426">
    <cfRule type="expression" dxfId="4" priority="1902">
      <formula>$K$337&lt;&gt;"Y"</formula>
    </cfRule>
  </conditionalFormatting>
  <conditionalFormatting sqref="D427:BG427">
    <cfRule type="expression" dxfId="4" priority="1905">
      <formula>$L$337&lt;&gt;"Y"</formula>
    </cfRule>
  </conditionalFormatting>
  <conditionalFormatting sqref="D428:BG428">
    <cfRule type="expression" dxfId="4" priority="1908">
      <formula>$M$337&lt;&gt;"Y"</formula>
    </cfRule>
  </conditionalFormatting>
  <conditionalFormatting sqref="D429:BG429">
    <cfRule type="expression" dxfId="4" priority="1911">
      <formula>$B$338&lt;&gt;"Y"</formula>
    </cfRule>
  </conditionalFormatting>
  <conditionalFormatting sqref="D42:BG42">
    <cfRule type="expression" dxfId="4" priority="336">
      <formula>$M$6&lt;&gt;"Y"</formula>
    </cfRule>
  </conditionalFormatting>
  <conditionalFormatting sqref="D430:BG430">
    <cfRule type="expression" dxfId="4" priority="1914">
      <formula>$C$338&lt;&gt;"Y"</formula>
    </cfRule>
  </conditionalFormatting>
  <conditionalFormatting sqref="D431:BG431">
    <cfRule type="expression" dxfId="4" priority="1917">
      <formula>$D$338&lt;&gt;"Y"</formula>
    </cfRule>
  </conditionalFormatting>
  <conditionalFormatting sqref="D432:BG432">
    <cfRule type="expression" dxfId="4" priority="1920">
      <formula>$E$338&lt;&gt;"Y"</formula>
    </cfRule>
  </conditionalFormatting>
  <conditionalFormatting sqref="D433:BG433">
    <cfRule type="expression" dxfId="4" priority="1923">
      <formula>$F$338&lt;&gt;"Y"</formula>
    </cfRule>
  </conditionalFormatting>
  <conditionalFormatting sqref="D434:BG434">
    <cfRule type="expression" dxfId="4" priority="1926">
      <formula>$G$338&lt;&gt;"Y"</formula>
    </cfRule>
  </conditionalFormatting>
  <conditionalFormatting sqref="D435:BG435">
    <cfRule type="expression" dxfId="4" priority="1929">
      <formula>$H$338&lt;&gt;"Y"</formula>
    </cfRule>
  </conditionalFormatting>
  <conditionalFormatting sqref="D436:BG436">
    <cfRule type="expression" dxfId="4" priority="1932">
      <formula>$I$338&lt;&gt;"Y"</formula>
    </cfRule>
  </conditionalFormatting>
  <conditionalFormatting sqref="D437:BG437">
    <cfRule type="expression" dxfId="4" priority="1935">
      <formula>$J$338&lt;&gt;"Y"</formula>
    </cfRule>
  </conditionalFormatting>
  <conditionalFormatting sqref="D438:BG438">
    <cfRule type="expression" dxfId="4" priority="1938">
      <formula>$K$338&lt;&gt;"Y"</formula>
    </cfRule>
  </conditionalFormatting>
  <conditionalFormatting sqref="D439:BG439">
    <cfRule type="expression" dxfId="4" priority="1941">
      <formula>$L$338&lt;&gt;"Y"</formula>
    </cfRule>
  </conditionalFormatting>
  <conditionalFormatting sqref="D43:BG43">
    <cfRule type="expression" dxfId="4" priority="339">
      <formula>$B$7&lt;&gt;"Y"</formula>
    </cfRule>
  </conditionalFormatting>
  <conditionalFormatting sqref="D440:BG440">
    <cfRule type="expression" dxfId="4" priority="1944">
      <formula>$M$338&lt;&gt;"Y"</formula>
    </cfRule>
  </conditionalFormatting>
  <conditionalFormatting sqref="D441:BG441">
    <cfRule type="expression" dxfId="4" priority="1947">
      <formula>$B$339&lt;&gt;"Y"</formula>
    </cfRule>
  </conditionalFormatting>
  <conditionalFormatting sqref="D442:BG442">
    <cfRule type="expression" dxfId="4" priority="1950">
      <formula>$C$339&lt;&gt;"Y"</formula>
    </cfRule>
  </conditionalFormatting>
  <conditionalFormatting sqref="D443:BG443">
    <cfRule type="expression" dxfId="4" priority="1953">
      <formula>$D$339&lt;&gt;"Y"</formula>
    </cfRule>
  </conditionalFormatting>
  <conditionalFormatting sqref="D444:BG444">
    <cfRule type="expression" dxfId="4" priority="1956">
      <formula>$E$339&lt;&gt;"Y"</formula>
    </cfRule>
  </conditionalFormatting>
  <conditionalFormatting sqref="D445:BG445">
    <cfRule type="expression" dxfId="4" priority="1959">
      <formula>$F$339&lt;&gt;"Y"</formula>
    </cfRule>
  </conditionalFormatting>
  <conditionalFormatting sqref="D446:BG446">
    <cfRule type="expression" dxfId="4" priority="1962">
      <formula>$G$339&lt;&gt;"Y"</formula>
    </cfRule>
  </conditionalFormatting>
  <conditionalFormatting sqref="D447:BG447">
    <cfRule type="expression" dxfId="4" priority="1965">
      <formula>$H$339&lt;&gt;"Y"</formula>
    </cfRule>
  </conditionalFormatting>
  <conditionalFormatting sqref="D448:BG448">
    <cfRule type="expression" dxfId="4" priority="1968">
      <formula>$I$339&lt;&gt;"Y"</formula>
    </cfRule>
  </conditionalFormatting>
  <conditionalFormatting sqref="D449:BG449">
    <cfRule type="expression" dxfId="4" priority="1971">
      <formula>$J$339&lt;&gt;"Y"</formula>
    </cfRule>
  </conditionalFormatting>
  <conditionalFormatting sqref="D44:BG44">
    <cfRule type="expression" dxfId="4" priority="342">
      <formula>$C$7&lt;&gt;"Y"</formula>
    </cfRule>
  </conditionalFormatting>
  <conditionalFormatting sqref="D450:BG450">
    <cfRule type="expression" dxfId="4" priority="1974">
      <formula>$K$339&lt;&gt;"Y"</formula>
    </cfRule>
  </conditionalFormatting>
  <conditionalFormatting sqref="D451:BG451">
    <cfRule type="expression" dxfId="4" priority="1977">
      <formula>$L$339&lt;&gt;"Y"</formula>
    </cfRule>
  </conditionalFormatting>
  <conditionalFormatting sqref="D452:BG452">
    <cfRule type="expression" dxfId="4" priority="1980">
      <formula>$M$339&lt;&gt;"Y"</formula>
    </cfRule>
  </conditionalFormatting>
  <conditionalFormatting sqref="D453:BG453">
    <cfRule type="expression" dxfId="4" priority="1983">
      <formula>$B$340&lt;&gt;"Y"</formula>
    </cfRule>
  </conditionalFormatting>
  <conditionalFormatting sqref="D454:BG454">
    <cfRule type="expression" dxfId="4" priority="1986">
      <formula>$C$340&lt;&gt;"Y"</formula>
    </cfRule>
  </conditionalFormatting>
  <conditionalFormatting sqref="D455:BG455">
    <cfRule type="expression" dxfId="4" priority="1989">
      <formula>$D$340&lt;&gt;"Y"</formula>
    </cfRule>
  </conditionalFormatting>
  <conditionalFormatting sqref="D456:BG456">
    <cfRule type="expression" dxfId="4" priority="1992">
      <formula>$E$340&lt;&gt;"Y"</formula>
    </cfRule>
  </conditionalFormatting>
  <conditionalFormatting sqref="D457:BG457">
    <cfRule type="expression" dxfId="4" priority="1995">
      <formula>$F$340&lt;&gt;"Y"</formula>
    </cfRule>
  </conditionalFormatting>
  <conditionalFormatting sqref="D458:BG458">
    <cfRule type="expression" dxfId="4" priority="1998">
      <formula>$G$340&lt;&gt;"Y"</formula>
    </cfRule>
  </conditionalFormatting>
  <conditionalFormatting sqref="D459:BG459">
    <cfRule type="expression" dxfId="4" priority="2001">
      <formula>$H$340&lt;&gt;"Y"</formula>
    </cfRule>
  </conditionalFormatting>
  <conditionalFormatting sqref="D45:BG45">
    <cfRule type="expression" dxfId="4" priority="345">
      <formula>$D$7&lt;&gt;"Y"</formula>
    </cfRule>
  </conditionalFormatting>
  <conditionalFormatting sqref="D460:BG460">
    <cfRule type="expression" dxfId="4" priority="2004">
      <formula>$I$340&lt;&gt;"Y"</formula>
    </cfRule>
  </conditionalFormatting>
  <conditionalFormatting sqref="D461:BG461">
    <cfRule type="expression" dxfId="4" priority="2007">
      <formula>$J$340&lt;&gt;"Y"</formula>
    </cfRule>
  </conditionalFormatting>
  <conditionalFormatting sqref="D462:BG462">
    <cfRule type="expression" dxfId="4" priority="2010">
      <formula>$K$340&lt;&gt;"Y"</formula>
    </cfRule>
  </conditionalFormatting>
  <conditionalFormatting sqref="D463:BG463">
    <cfRule type="expression" dxfId="4" priority="2013">
      <formula>$L$340&lt;&gt;"Y"</formula>
    </cfRule>
  </conditionalFormatting>
  <conditionalFormatting sqref="D464:BG464">
    <cfRule type="expression" dxfId="4" priority="2016">
      <formula>$M$340&lt;&gt;"Y"</formula>
    </cfRule>
  </conditionalFormatting>
  <conditionalFormatting sqref="D465:BG465">
    <cfRule type="expression" dxfId="4" priority="2019">
      <formula>$B$341&lt;&gt;"Y"</formula>
    </cfRule>
  </conditionalFormatting>
  <conditionalFormatting sqref="D466:BG466">
    <cfRule type="expression" dxfId="4" priority="2022">
      <formula>$C$341&lt;&gt;"Y"</formula>
    </cfRule>
  </conditionalFormatting>
  <conditionalFormatting sqref="D467:BG467">
    <cfRule type="expression" dxfId="4" priority="2025">
      <formula>$D$341&lt;&gt;"Y"</formula>
    </cfRule>
  </conditionalFormatting>
  <conditionalFormatting sqref="D468:BG468">
    <cfRule type="expression" dxfId="4" priority="2028">
      <formula>$E$341&lt;&gt;"Y"</formula>
    </cfRule>
  </conditionalFormatting>
  <conditionalFormatting sqref="D469:BG469">
    <cfRule type="expression" dxfId="4" priority="2031">
      <formula>$F$341&lt;&gt;"Y"</formula>
    </cfRule>
  </conditionalFormatting>
  <conditionalFormatting sqref="D46:BG46">
    <cfRule type="expression" dxfId="4" priority="348">
      <formula>$E$7&lt;&gt;"Y"</formula>
    </cfRule>
  </conditionalFormatting>
  <conditionalFormatting sqref="D470:BG470">
    <cfRule type="expression" dxfId="4" priority="2034">
      <formula>$G$341&lt;&gt;"Y"</formula>
    </cfRule>
  </conditionalFormatting>
  <conditionalFormatting sqref="D471:BG471">
    <cfRule type="expression" dxfId="4" priority="2037">
      <formula>$H$341&lt;&gt;"Y"</formula>
    </cfRule>
  </conditionalFormatting>
  <conditionalFormatting sqref="D472:BG472">
    <cfRule type="expression" dxfId="4" priority="2040">
      <formula>$I$341&lt;&gt;"Y"</formula>
    </cfRule>
  </conditionalFormatting>
  <conditionalFormatting sqref="D473:BG473">
    <cfRule type="expression" dxfId="4" priority="2043">
      <formula>$J$341&lt;&gt;"Y"</formula>
    </cfRule>
  </conditionalFormatting>
  <conditionalFormatting sqref="D474:BG474">
    <cfRule type="expression" dxfId="4" priority="2046">
      <formula>$K$341&lt;&gt;"Y"</formula>
    </cfRule>
  </conditionalFormatting>
  <conditionalFormatting sqref="D475:BG475">
    <cfRule type="expression" dxfId="4" priority="2049">
      <formula>$L$341&lt;&gt;"Y"</formula>
    </cfRule>
  </conditionalFormatting>
  <conditionalFormatting sqref="D476:BG476">
    <cfRule type="expression" dxfId="4" priority="2052">
      <formula>$M$341&lt;&gt;"Y"</formula>
    </cfRule>
  </conditionalFormatting>
  <conditionalFormatting sqref="D477:BG477">
    <cfRule type="expression" dxfId="4" priority="2055">
      <formula>$B$342&lt;&gt;"Y"</formula>
    </cfRule>
  </conditionalFormatting>
  <conditionalFormatting sqref="D478:BG478">
    <cfRule type="expression" dxfId="4" priority="2058">
      <formula>$C$342&lt;&gt;"Y"</formula>
    </cfRule>
  </conditionalFormatting>
  <conditionalFormatting sqref="D479:BG479">
    <cfRule type="expression" dxfId="4" priority="2061">
      <formula>$D$342&lt;&gt;"Y"</formula>
    </cfRule>
  </conditionalFormatting>
  <conditionalFormatting sqref="D47:BG47">
    <cfRule type="expression" dxfId="4" priority="351">
      <formula>$F$7&lt;&gt;"Y"</formula>
    </cfRule>
  </conditionalFormatting>
  <conditionalFormatting sqref="D480:BG480">
    <cfRule type="expression" dxfId="4" priority="2064">
      <formula>$E$342&lt;&gt;"Y"</formula>
    </cfRule>
  </conditionalFormatting>
  <conditionalFormatting sqref="D481:BG481">
    <cfRule type="expression" dxfId="4" priority="2067">
      <formula>$F$342&lt;&gt;"Y"</formula>
    </cfRule>
  </conditionalFormatting>
  <conditionalFormatting sqref="D482:BG482">
    <cfRule type="expression" dxfId="4" priority="2070">
      <formula>$G$342&lt;&gt;"Y"</formula>
    </cfRule>
  </conditionalFormatting>
  <conditionalFormatting sqref="D483:BG483">
    <cfRule type="expression" dxfId="4" priority="2073">
      <formula>$H$342&lt;&gt;"Y"</formula>
    </cfRule>
  </conditionalFormatting>
  <conditionalFormatting sqref="D484:BG484">
    <cfRule type="expression" dxfId="4" priority="2076">
      <formula>$I$342&lt;&gt;"Y"</formula>
    </cfRule>
  </conditionalFormatting>
  <conditionalFormatting sqref="D485:BG485">
    <cfRule type="expression" dxfId="4" priority="2079">
      <formula>$J$342&lt;&gt;"Y"</formula>
    </cfRule>
  </conditionalFormatting>
  <conditionalFormatting sqref="D486:BG486">
    <cfRule type="expression" dxfId="4" priority="2082">
      <formula>$K$342&lt;&gt;"Y"</formula>
    </cfRule>
  </conditionalFormatting>
  <conditionalFormatting sqref="D487:BG487">
    <cfRule type="expression" dxfId="4" priority="2085">
      <formula>$L$342&lt;&gt;"Y"</formula>
    </cfRule>
  </conditionalFormatting>
  <conditionalFormatting sqref="D488:BG488">
    <cfRule type="expression" dxfId="4" priority="2088">
      <formula>$M$342&lt;&gt;"Y"</formula>
    </cfRule>
  </conditionalFormatting>
  <conditionalFormatting sqref="D48:BG48">
    <cfRule type="expression" dxfId="4" priority="354">
      <formula>$G$7&lt;&gt;"Y"</formula>
    </cfRule>
  </conditionalFormatting>
  <conditionalFormatting sqref="D49:BG49">
    <cfRule type="expression" dxfId="4" priority="357">
      <formula>$H$7&lt;&gt;"Y"</formula>
    </cfRule>
  </conditionalFormatting>
  <conditionalFormatting sqref="D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D50:BG50">
    <cfRule type="expression" dxfId="4" priority="360">
      <formula>$I$7&lt;&gt;"Y"</formula>
    </cfRule>
  </conditionalFormatting>
  <conditionalFormatting sqref="D51:BG51">
    <cfRule type="expression" dxfId="4" priority="363">
      <formula>$J$7&lt;&gt;"Y"</formula>
    </cfRule>
  </conditionalFormatting>
  <conditionalFormatting sqref="D52:BG52">
    <cfRule type="expression" dxfId="4" priority="366">
      <formula>$K$7&lt;&gt;"Y"</formula>
    </cfRule>
  </conditionalFormatting>
  <conditionalFormatting sqref="D53:BG53">
    <cfRule type="expression" dxfId="4" priority="369">
      <formula>$L$7&lt;&gt;"Y"</formula>
    </cfRule>
  </conditionalFormatting>
  <conditionalFormatting sqref="D54:BG54">
    <cfRule type="expression" dxfId="4" priority="372">
      <formula>$M$7&lt;&gt;"Y"</formula>
    </cfRule>
  </conditionalFormatting>
  <conditionalFormatting sqref="D55:BG55">
    <cfRule type="expression" dxfId="4" priority="375">
      <formula>$B$8&lt;&gt;"Y"</formula>
    </cfRule>
  </conditionalFormatting>
  <conditionalFormatting sqref="D56:BG56">
    <cfRule type="expression" dxfId="4" priority="378">
      <formula>$C$8&lt;&gt;"Y"</formula>
    </cfRule>
  </conditionalFormatting>
  <conditionalFormatting sqref="D57:BG57">
    <cfRule type="expression" dxfId="4" priority="381">
      <formula>$D$8&lt;&gt;"Y"</formula>
    </cfRule>
  </conditionalFormatting>
  <conditionalFormatting sqref="D58:BG58">
    <cfRule type="expression" dxfId="4" priority="384">
      <formula>$E$8&lt;&gt;"Y"</formula>
    </cfRule>
  </conditionalFormatting>
  <conditionalFormatting sqref="D59:BG59">
    <cfRule type="expression" dxfId="4" priority="387">
      <formula>$F$8&lt;&gt;"Y"</formula>
    </cfRule>
  </conditionalFormatting>
  <conditionalFormatting sqref="D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D60:BG60">
    <cfRule type="expression" dxfId="4" priority="390">
      <formula>$G$8&lt;&gt;"Y"</formula>
    </cfRule>
  </conditionalFormatting>
  <conditionalFormatting sqref="D61:BG61">
    <cfRule type="expression" dxfId="4" priority="393">
      <formula>$H$8&lt;&gt;"Y"</formula>
    </cfRule>
  </conditionalFormatting>
  <conditionalFormatting sqref="D62:BG62">
    <cfRule type="expression" dxfId="4" priority="396">
      <formula>$I$8&lt;&gt;"Y"</formula>
    </cfRule>
  </conditionalFormatting>
  <conditionalFormatting sqref="D63:BG63">
    <cfRule type="expression" dxfId="4" priority="399">
      <formula>$J$8&lt;&gt;"Y"</formula>
    </cfRule>
  </conditionalFormatting>
  <conditionalFormatting sqref="D64:BG64">
    <cfRule type="expression" dxfId="4" priority="402">
      <formula>$K$8&lt;&gt;"Y"</formula>
    </cfRule>
  </conditionalFormatting>
  <conditionalFormatting sqref="D65:BG65">
    <cfRule type="expression" dxfId="4" priority="405">
      <formula>$L$8&lt;&gt;"Y"</formula>
    </cfRule>
  </conditionalFormatting>
  <conditionalFormatting sqref="D66:BG66">
    <cfRule type="expression" dxfId="4" priority="408">
      <formula>$M$8&lt;&gt;"Y"</formula>
    </cfRule>
  </conditionalFormatting>
  <conditionalFormatting sqref="D67:BG67">
    <cfRule type="expression" dxfId="4" priority="411">
      <formula>$B$9&lt;&gt;"Y"</formula>
    </cfRule>
  </conditionalFormatting>
  <conditionalFormatting sqref="D68:BG68">
    <cfRule type="expression" dxfId="4" priority="414">
      <formula>$C$9&lt;&gt;"Y"</formula>
    </cfRule>
  </conditionalFormatting>
  <conditionalFormatting sqref="D69:BG69">
    <cfRule type="expression" dxfId="4" priority="417">
      <formula>$D$9&lt;&gt;"Y"</formula>
    </cfRule>
  </conditionalFormatting>
  <conditionalFormatting sqref="D70:BG70">
    <cfRule type="expression" dxfId="4" priority="420">
      <formula>$E$9&lt;&gt;"Y"</formula>
    </cfRule>
  </conditionalFormatting>
  <conditionalFormatting sqref="D71:BG71">
    <cfRule type="expression" dxfId="4" priority="423">
      <formula>$F$9&lt;&gt;"Y"</formula>
    </cfRule>
  </conditionalFormatting>
  <conditionalFormatting sqref="D72:BG72">
    <cfRule type="expression" dxfId="4" priority="426">
      <formula>$G$9&lt;&gt;"Y"</formula>
    </cfRule>
  </conditionalFormatting>
  <conditionalFormatting sqref="D73:BG73">
    <cfRule type="expression" dxfId="4" priority="429">
      <formula>$H$9&lt;&gt;"Y"</formula>
    </cfRule>
  </conditionalFormatting>
  <conditionalFormatting sqref="D74:BG74">
    <cfRule type="expression" dxfId="4" priority="432">
      <formula>$I$9&lt;&gt;"Y"</formula>
    </cfRule>
  </conditionalFormatting>
  <conditionalFormatting sqref="D75:BG75">
    <cfRule type="expression" dxfId="4" priority="435">
      <formula>$J$9&lt;&gt;"Y"</formula>
    </cfRule>
  </conditionalFormatting>
  <conditionalFormatting sqref="D76:BG76">
    <cfRule type="expression" dxfId="4" priority="438">
      <formula>$K$9&lt;&gt;"Y"</formula>
    </cfRule>
  </conditionalFormatting>
  <conditionalFormatting sqref="D77:BG77">
    <cfRule type="expression" dxfId="4" priority="441">
      <formula>$L$9&lt;&gt;"Y"</formula>
    </cfRule>
  </conditionalFormatting>
  <conditionalFormatting sqref="D78:BG78">
    <cfRule type="expression" dxfId="4" priority="444">
      <formula>$M$9&lt;&gt;"Y"</formula>
    </cfRule>
  </conditionalFormatting>
  <conditionalFormatting sqref="D79:BG79">
    <cfRule type="expression" dxfId="4" priority="447">
      <formula>$B$10&lt;&gt;"Y"</formula>
    </cfRule>
  </conditionalFormatting>
  <conditionalFormatting sqref="D8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D80:BG80">
    <cfRule type="expression" dxfId="4" priority="450">
      <formula>$C$10&lt;&gt;"Y"</formula>
    </cfRule>
  </conditionalFormatting>
  <conditionalFormatting sqref="D81:BG81">
    <cfRule type="expression" dxfId="4" priority="453">
      <formula>$D$10&lt;&gt;"Y"</formula>
    </cfRule>
  </conditionalFormatting>
  <conditionalFormatting sqref="D82:BG82">
    <cfRule type="expression" dxfId="4" priority="456">
      <formula>$E$10&lt;&gt;"Y"</formula>
    </cfRule>
  </conditionalFormatting>
  <conditionalFormatting sqref="D83:BG83">
    <cfRule type="expression" dxfId="4" priority="459">
      <formula>$F$10&lt;&gt;"Y"</formula>
    </cfRule>
  </conditionalFormatting>
  <conditionalFormatting sqref="D84:BG84">
    <cfRule type="expression" dxfId="4" priority="462">
      <formula>$G$10&lt;&gt;"Y"</formula>
    </cfRule>
  </conditionalFormatting>
  <conditionalFormatting sqref="D85:BG85">
    <cfRule type="expression" dxfId="4" priority="465">
      <formula>$H$10&lt;&gt;"Y"</formula>
    </cfRule>
  </conditionalFormatting>
  <conditionalFormatting sqref="D86:BG86">
    <cfRule type="expression" dxfId="4" priority="468">
      <formula>$I$10&lt;&gt;"Y"</formula>
    </cfRule>
  </conditionalFormatting>
  <conditionalFormatting sqref="D87:BG87">
    <cfRule type="expression" dxfId="4" priority="471">
      <formula>$J$10&lt;&gt;"Y"</formula>
    </cfRule>
  </conditionalFormatting>
  <conditionalFormatting sqref="D88:BG88">
    <cfRule type="expression" dxfId="4" priority="474">
      <formula>$K$10&lt;&gt;"Y"</formula>
    </cfRule>
  </conditionalFormatting>
  <conditionalFormatting sqref="D89:BG89">
    <cfRule type="expression" dxfId="4" priority="477">
      <formula>$L$10&lt;&gt;"Y"</formula>
    </cfRule>
  </conditionalFormatting>
  <conditionalFormatting sqref="D9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D90:BG90">
    <cfRule type="expression" dxfId="4" priority="480">
      <formula>$M$10&lt;&gt;"Y"</formula>
    </cfRule>
  </conditionalFormatting>
  <conditionalFormatting sqref="D91:BG91">
    <cfRule type="expression" dxfId="4" priority="483">
      <formula>$B$11&lt;&gt;"Y"</formula>
    </cfRule>
  </conditionalFormatting>
  <conditionalFormatting sqref="D92:BG92">
    <cfRule type="expression" dxfId="4" priority="486">
      <formula>$C$11&lt;&gt;"Y"</formula>
    </cfRule>
  </conditionalFormatting>
  <conditionalFormatting sqref="D93:BG93">
    <cfRule type="expression" dxfId="4" priority="489">
      <formula>$D$11&lt;&gt;"Y"</formula>
    </cfRule>
  </conditionalFormatting>
  <conditionalFormatting sqref="D94:BG94">
    <cfRule type="expression" dxfId="4" priority="492">
      <formula>$E$11&lt;&gt;"Y"</formula>
    </cfRule>
  </conditionalFormatting>
  <conditionalFormatting sqref="D95:BG95">
    <cfRule type="expression" dxfId="4" priority="495">
      <formula>$F$11&lt;&gt;"Y"</formula>
    </cfRule>
  </conditionalFormatting>
  <conditionalFormatting sqref="D96:BG96">
    <cfRule type="expression" dxfId="4" priority="498">
      <formula>$G$11&lt;&gt;"Y"</formula>
    </cfRule>
  </conditionalFormatting>
  <conditionalFormatting sqref="D97:BG97">
    <cfRule type="expression" dxfId="4" priority="501">
      <formula>$H$11&lt;&gt;"Y"</formula>
    </cfRule>
  </conditionalFormatting>
  <conditionalFormatting sqref="D98:BG98">
    <cfRule type="expression" dxfId="4" priority="504">
      <formula>$I$11&lt;&gt;"Y"</formula>
    </cfRule>
  </conditionalFormatting>
  <conditionalFormatting sqref="D99:BG99">
    <cfRule type="expression" dxfId="4" priority="507">
      <formula>$J$11&lt;&gt;"Y"</formula>
    </cfRule>
  </conditionalFormatting>
  <conditionalFormatting sqref="E10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E11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E12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E13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E14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E15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E16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E168">
    <cfRule type="cellIs" dxfId="2" priority="701" operator="equal">
      <formula>"Y"</formula>
    </cfRule>
    <cfRule type="cellIs" dxfId="3" priority="702" operator="equal">
      <formula>"N"</formula>
    </cfRule>
  </conditionalFormatting>
  <conditionalFormatting sqref="E169">
    <cfRule type="cellIs" dxfId="2" priority="723" operator="equal">
      <formula>"Y"</formula>
    </cfRule>
    <cfRule type="cellIs" dxfId="3" priority="724" operator="equal">
      <formula>"N"</formula>
    </cfRule>
  </conditionalFormatting>
  <conditionalFormatting sqref="E170">
    <cfRule type="cellIs" dxfId="2" priority="745" operator="equal">
      <formula>"Y"</formula>
    </cfRule>
    <cfRule type="cellIs" dxfId="3" priority="746" operator="equal">
      <formula>"N"</formula>
    </cfRule>
  </conditionalFormatting>
  <conditionalFormatting sqref="E172">
    <cfRule type="cellIs" dxfId="2" priority="791" operator="equal">
      <formula>"Y"</formula>
    </cfRule>
    <cfRule type="cellIs" dxfId="3" priority="792" operator="equal">
      <formula>"N"</formula>
    </cfRule>
  </conditionalFormatting>
  <conditionalFormatting sqref="E173">
    <cfRule type="cellIs" dxfId="2" priority="813" operator="equal">
      <formula>"Y"</formula>
    </cfRule>
    <cfRule type="cellIs" dxfId="3" priority="814" operator="equal">
      <formula>"N"</formula>
    </cfRule>
  </conditionalFormatting>
  <conditionalFormatting sqref="E174">
    <cfRule type="cellIs" dxfId="2" priority="835" operator="equal">
      <formula>"Y"</formula>
    </cfRule>
    <cfRule type="cellIs" dxfId="3" priority="836" operator="equal">
      <formula>"N"</formula>
    </cfRule>
  </conditionalFormatting>
  <conditionalFormatting sqref="E175">
    <cfRule type="cellIs" dxfId="2" priority="857" operator="equal">
      <formula>"Y"</formula>
    </cfRule>
    <cfRule type="cellIs" dxfId="3" priority="858" operator="equal">
      <formula>"N"</formula>
    </cfRule>
  </conditionalFormatting>
  <conditionalFormatting sqref="E176">
    <cfRule type="cellIs" dxfId="2" priority="879" operator="equal">
      <formula>"Y"</formula>
    </cfRule>
    <cfRule type="cellIs" dxfId="3" priority="880" operator="equal">
      <formula>"N"</formula>
    </cfRule>
  </conditionalFormatting>
  <conditionalFormatting sqref="E177">
    <cfRule type="cellIs" dxfId="2" priority="901" operator="equal">
      <formula>"Y"</formula>
    </cfRule>
    <cfRule type="cellIs" dxfId="3" priority="902" operator="equal">
      <formula>"N"</formula>
    </cfRule>
  </conditionalFormatting>
  <conditionalFormatting sqref="E178">
    <cfRule type="cellIs" dxfId="2" priority="923" operator="equal">
      <formula>"Y"</formula>
    </cfRule>
    <cfRule type="cellIs" dxfId="3" priority="924" operator="equal">
      <formula>"N"</formula>
    </cfRule>
  </conditionalFormatting>
  <conditionalFormatting sqref="E179">
    <cfRule type="cellIs" dxfId="2" priority="945" operator="equal">
      <formula>"Y"</formula>
    </cfRule>
    <cfRule type="cellIs" dxfId="3" priority="946" operator="equal">
      <formula>"N"</formula>
    </cfRule>
  </conditionalFormatting>
  <conditionalFormatting sqref="E331">
    <cfRule type="cellIs" dxfId="2" priority="1397" operator="equal">
      <formula>"Y"</formula>
    </cfRule>
    <cfRule type="cellIs" dxfId="3" priority="1398" operator="equal">
      <formula>"N"</formula>
    </cfRule>
  </conditionalFormatting>
  <conditionalFormatting sqref="E332">
    <cfRule type="cellIs" dxfId="2" priority="1419" operator="equal">
      <formula>"Y"</formula>
    </cfRule>
    <cfRule type="cellIs" dxfId="3" priority="1420" operator="equal">
      <formula>"N"</formula>
    </cfRule>
  </conditionalFormatting>
  <conditionalFormatting sqref="E333">
    <cfRule type="cellIs" dxfId="2" priority="1441" operator="equal">
      <formula>"Y"</formula>
    </cfRule>
    <cfRule type="cellIs" dxfId="3" priority="1442" operator="equal">
      <formula>"N"</formula>
    </cfRule>
  </conditionalFormatting>
  <conditionalFormatting sqref="E335">
    <cfRule type="cellIs" dxfId="2" priority="1487" operator="equal">
      <formula>"Y"</formula>
    </cfRule>
    <cfRule type="cellIs" dxfId="3" priority="1488" operator="equal">
      <formula>"N"</formula>
    </cfRule>
  </conditionalFormatting>
  <conditionalFormatting sqref="E336">
    <cfRule type="cellIs" dxfId="2" priority="1509" operator="equal">
      <formula>"Y"</formula>
    </cfRule>
    <cfRule type="cellIs" dxfId="3" priority="1510" operator="equal">
      <formula>"N"</formula>
    </cfRule>
  </conditionalFormatting>
  <conditionalFormatting sqref="E337">
    <cfRule type="cellIs" dxfId="2" priority="1531" operator="equal">
      <formula>"Y"</formula>
    </cfRule>
    <cfRule type="cellIs" dxfId="3" priority="1532" operator="equal">
      <formula>"N"</formula>
    </cfRule>
  </conditionalFormatting>
  <conditionalFormatting sqref="E338">
    <cfRule type="cellIs" dxfId="2" priority="1553" operator="equal">
      <formula>"Y"</formula>
    </cfRule>
    <cfRule type="cellIs" dxfId="3" priority="1554" operator="equal">
      <formula>"N"</formula>
    </cfRule>
  </conditionalFormatting>
  <conditionalFormatting sqref="E339">
    <cfRule type="cellIs" dxfId="2" priority="1575" operator="equal">
      <formula>"Y"</formula>
    </cfRule>
    <cfRule type="cellIs" dxfId="3" priority="1576" operator="equal">
      <formula>"N"</formula>
    </cfRule>
  </conditionalFormatting>
  <conditionalFormatting sqref="E340">
    <cfRule type="cellIs" dxfId="2" priority="1597" operator="equal">
      <formula>"Y"</formula>
    </cfRule>
    <cfRule type="cellIs" dxfId="3" priority="1598" operator="equal">
      <formula>"N"</formula>
    </cfRule>
  </conditionalFormatting>
  <conditionalFormatting sqref="E341">
    <cfRule type="cellIs" dxfId="2" priority="1619" operator="equal">
      <formula>"Y"</formula>
    </cfRule>
    <cfRule type="cellIs" dxfId="3" priority="1620" operator="equal">
      <formula>"N"</formula>
    </cfRule>
  </conditionalFormatting>
  <conditionalFormatting sqref="E342">
    <cfRule type="cellIs" dxfId="2" priority="1641" operator="equal">
      <formula>"Y"</formula>
    </cfRule>
    <cfRule type="cellIs" dxfId="3" priority="1642" operator="equal">
      <formula>"N"</formula>
    </cfRule>
  </conditionalFormatting>
  <conditionalFormatting sqref="E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E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E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E9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F10">
    <cfRule type="cellIs" dxfId="2" priority="119" operator="equal">
      <formula>"Y"</formula>
    </cfRule>
    <cfRule type="cellIs" dxfId="3" priority="120" operator="equal">
      <formula>"N"</formula>
    </cfRule>
  </conditionalFormatting>
  <conditionalFormatting sqref="F11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F12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F13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F14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F15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F16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F168">
    <cfRule type="cellIs" dxfId="2" priority="703" operator="equal">
      <formula>"Y"</formula>
    </cfRule>
    <cfRule type="cellIs" dxfId="3" priority="704" operator="equal">
      <formula>"N"</formula>
    </cfRule>
  </conditionalFormatting>
  <conditionalFormatting sqref="F169">
    <cfRule type="cellIs" dxfId="2" priority="725" operator="equal">
      <formula>"Y"</formula>
    </cfRule>
    <cfRule type="cellIs" dxfId="3" priority="726" operator="equal">
      <formula>"N"</formula>
    </cfRule>
  </conditionalFormatting>
  <conditionalFormatting sqref="F170">
    <cfRule type="cellIs" dxfId="2" priority="747" operator="equal">
      <formula>"Y"</formula>
    </cfRule>
    <cfRule type="cellIs" dxfId="3" priority="748" operator="equal">
      <formula>"N"</formula>
    </cfRule>
  </conditionalFormatting>
  <conditionalFormatting sqref="F171">
    <cfRule type="cellIs" dxfId="2" priority="769" operator="equal">
      <formula>"Y"</formula>
    </cfRule>
    <cfRule type="cellIs" dxfId="3" priority="770" operator="equal">
      <formula>"N"</formula>
    </cfRule>
  </conditionalFormatting>
  <conditionalFormatting sqref="F173">
    <cfRule type="cellIs" dxfId="2" priority="815" operator="equal">
      <formula>"Y"</formula>
    </cfRule>
    <cfRule type="cellIs" dxfId="3" priority="816" operator="equal">
      <formula>"N"</formula>
    </cfRule>
  </conditionalFormatting>
  <conditionalFormatting sqref="F174">
    <cfRule type="cellIs" dxfId="2" priority="837" operator="equal">
      <formula>"Y"</formula>
    </cfRule>
    <cfRule type="cellIs" dxfId="3" priority="838" operator="equal">
      <formula>"N"</formula>
    </cfRule>
  </conditionalFormatting>
  <conditionalFormatting sqref="F175">
    <cfRule type="cellIs" dxfId="2" priority="859" operator="equal">
      <formula>"Y"</formula>
    </cfRule>
    <cfRule type="cellIs" dxfId="3" priority="860" operator="equal">
      <formula>"N"</formula>
    </cfRule>
  </conditionalFormatting>
  <conditionalFormatting sqref="F176">
    <cfRule type="cellIs" dxfId="2" priority="881" operator="equal">
      <formula>"Y"</formula>
    </cfRule>
    <cfRule type="cellIs" dxfId="3" priority="882" operator="equal">
      <formula>"N"</formula>
    </cfRule>
  </conditionalFormatting>
  <conditionalFormatting sqref="F177">
    <cfRule type="cellIs" dxfId="2" priority="903" operator="equal">
      <formula>"Y"</formula>
    </cfRule>
    <cfRule type="cellIs" dxfId="3" priority="904" operator="equal">
      <formula>"N"</formula>
    </cfRule>
  </conditionalFormatting>
  <conditionalFormatting sqref="F178">
    <cfRule type="cellIs" dxfId="2" priority="925" operator="equal">
      <formula>"Y"</formula>
    </cfRule>
    <cfRule type="cellIs" dxfId="3" priority="926" operator="equal">
      <formula>"N"</formula>
    </cfRule>
  </conditionalFormatting>
  <conditionalFormatting sqref="F179">
    <cfRule type="cellIs" dxfId="2" priority="947" operator="equal">
      <formula>"Y"</formula>
    </cfRule>
    <cfRule type="cellIs" dxfId="3" priority="948" operator="equal">
      <formula>"N"</formula>
    </cfRule>
  </conditionalFormatting>
  <conditionalFormatting sqref="F331">
    <cfRule type="cellIs" dxfId="2" priority="1399" operator="equal">
      <formula>"Y"</formula>
    </cfRule>
    <cfRule type="cellIs" dxfId="3" priority="1400" operator="equal">
      <formula>"N"</formula>
    </cfRule>
  </conditionalFormatting>
  <conditionalFormatting sqref="F332">
    <cfRule type="cellIs" dxfId="2" priority="1421" operator="equal">
      <formula>"Y"</formula>
    </cfRule>
    <cfRule type="cellIs" dxfId="3" priority="1422" operator="equal">
      <formula>"N"</formula>
    </cfRule>
  </conditionalFormatting>
  <conditionalFormatting sqref="F333">
    <cfRule type="cellIs" dxfId="2" priority="1443" operator="equal">
      <formula>"Y"</formula>
    </cfRule>
    <cfRule type="cellIs" dxfId="3" priority="1444" operator="equal">
      <formula>"N"</formula>
    </cfRule>
  </conditionalFormatting>
  <conditionalFormatting sqref="F334">
    <cfRule type="cellIs" dxfId="2" priority="1465" operator="equal">
      <formula>"Y"</formula>
    </cfRule>
    <cfRule type="cellIs" dxfId="3" priority="1466" operator="equal">
      <formula>"N"</formula>
    </cfRule>
  </conditionalFormatting>
  <conditionalFormatting sqref="F336">
    <cfRule type="cellIs" dxfId="2" priority="1511" operator="equal">
      <formula>"Y"</formula>
    </cfRule>
    <cfRule type="cellIs" dxfId="3" priority="1512" operator="equal">
      <formula>"N"</formula>
    </cfRule>
  </conditionalFormatting>
  <conditionalFormatting sqref="F337">
    <cfRule type="cellIs" dxfId="2" priority="1533" operator="equal">
      <formula>"Y"</formula>
    </cfRule>
    <cfRule type="cellIs" dxfId="3" priority="1534" operator="equal">
      <formula>"N"</formula>
    </cfRule>
  </conditionalFormatting>
  <conditionalFormatting sqref="F338">
    <cfRule type="cellIs" dxfId="2" priority="1555" operator="equal">
      <formula>"Y"</formula>
    </cfRule>
    <cfRule type="cellIs" dxfId="3" priority="1556" operator="equal">
      <formula>"N"</formula>
    </cfRule>
  </conditionalFormatting>
  <conditionalFormatting sqref="F339">
    <cfRule type="cellIs" dxfId="2" priority="1577" operator="equal">
      <formula>"Y"</formula>
    </cfRule>
    <cfRule type="cellIs" dxfId="3" priority="1578" operator="equal">
      <formula>"N"</formula>
    </cfRule>
  </conditionalFormatting>
  <conditionalFormatting sqref="F340">
    <cfRule type="cellIs" dxfId="2" priority="1599" operator="equal">
      <formula>"Y"</formula>
    </cfRule>
    <cfRule type="cellIs" dxfId="3" priority="1600" operator="equal">
      <formula>"N"</formula>
    </cfRule>
  </conditionalFormatting>
  <conditionalFormatting sqref="F341">
    <cfRule type="cellIs" dxfId="2" priority="1621" operator="equal">
      <formula>"Y"</formula>
    </cfRule>
    <cfRule type="cellIs" dxfId="3" priority="1622" operator="equal">
      <formula>"N"</formula>
    </cfRule>
  </conditionalFormatting>
  <conditionalFormatting sqref="F342">
    <cfRule type="cellIs" dxfId="2" priority="1643" operator="equal">
      <formula>"Y"</formula>
    </cfRule>
    <cfRule type="cellIs" dxfId="3" priority="1644" operator="equal">
      <formula>"N"</formula>
    </cfRule>
  </conditionalFormatting>
  <conditionalFormatting sqref="F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F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F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F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G100">
    <cfRule type="expression" dxfId="0" priority="508">
      <formula>COUNTIF(I100:BG100,"&lt;&gt;" &amp; "")&gt;0</formula>
    </cfRule>
    <cfRule type="expression" dxfId="1" priority="509">
      <formula>AND(COUNTIF(I100:BG100,"&lt;&gt;" &amp; "")&gt;0,NOT(ISBLANK(G100)))</formula>
    </cfRule>
  </conditionalFormatting>
  <conditionalFormatting sqref="G101">
    <cfRule type="expression" dxfId="0" priority="511">
      <formula>COUNTIF(I101:BG101,"&lt;&gt;" &amp; "")&gt;0</formula>
    </cfRule>
    <cfRule type="expression" dxfId="1" priority="512">
      <formula>AND(COUNTIF(I101:BG101,"&lt;&gt;" &amp; "")&gt;0,NOT(ISBLANK(G101)))</formula>
    </cfRule>
  </conditionalFormatting>
  <conditionalFormatting sqref="G102">
    <cfRule type="expression" dxfId="0" priority="514">
      <formula>COUNTIF(I102:BG102,"&lt;&gt;" &amp; "")&gt;0</formula>
    </cfRule>
    <cfRule type="expression" dxfId="1" priority="515">
      <formula>AND(COUNTIF(I102:BG102,"&lt;&gt;" &amp; "")&gt;0,NOT(ISBLANK(G102)))</formula>
    </cfRule>
  </conditionalFormatting>
  <conditionalFormatting sqref="G103">
    <cfRule type="expression" dxfId="0" priority="517">
      <formula>COUNTIF(I103:BG103,"&lt;&gt;" &amp; "")&gt;0</formula>
    </cfRule>
    <cfRule type="expression" dxfId="1" priority="518">
      <formula>AND(COUNTIF(I103:BG103,"&lt;&gt;" &amp; "")&gt;0,NOT(ISBLANK(G103)))</formula>
    </cfRule>
  </conditionalFormatting>
  <conditionalFormatting sqref="G104">
    <cfRule type="expression" dxfId="0" priority="520">
      <formula>COUNTIF(I104:BG104,"&lt;&gt;" &amp; "")&gt;0</formula>
    </cfRule>
    <cfRule type="expression" dxfId="1" priority="521">
      <formula>AND(COUNTIF(I104:BG104,"&lt;&gt;" &amp; "")&gt;0,NOT(ISBLANK(G104)))</formula>
    </cfRule>
  </conditionalFormatting>
  <conditionalFormatting sqref="G105">
    <cfRule type="expression" dxfId="0" priority="523">
      <formula>COUNTIF(I105:BG105,"&lt;&gt;" &amp; "")&gt;0</formula>
    </cfRule>
    <cfRule type="expression" dxfId="1" priority="524">
      <formula>AND(COUNTIF(I105:BG105,"&lt;&gt;" &amp; "")&gt;0,NOT(ISBLANK(G105)))</formula>
    </cfRule>
  </conditionalFormatting>
  <conditionalFormatting sqref="G106">
    <cfRule type="expression" dxfId="0" priority="526">
      <formula>COUNTIF(I106:BG106,"&lt;&gt;" &amp; "")&gt;0</formula>
    </cfRule>
    <cfRule type="expression" dxfId="1" priority="527">
      <formula>AND(COUNTIF(I106:BG106,"&lt;&gt;" &amp; "")&gt;0,NOT(ISBLANK(G106)))</formula>
    </cfRule>
  </conditionalFormatting>
  <conditionalFormatting sqref="G107">
    <cfRule type="expression" dxfId="0" priority="529">
      <formula>COUNTIF(I107:BG107,"&lt;&gt;" &amp; "")&gt;0</formula>
    </cfRule>
    <cfRule type="expression" dxfId="1" priority="530">
      <formula>AND(COUNTIF(I107:BG107,"&lt;&gt;" &amp; "")&gt;0,NOT(ISBLANK(G107)))</formula>
    </cfRule>
  </conditionalFormatting>
  <conditionalFormatting sqref="G108">
    <cfRule type="expression" dxfId="0" priority="532">
      <formula>COUNTIF(I108:BG108,"&lt;&gt;" &amp; "")&gt;0</formula>
    </cfRule>
    <cfRule type="expression" dxfId="1" priority="533">
      <formula>AND(COUNTIF(I108:BG108,"&lt;&gt;" &amp; "")&gt;0,NOT(ISBLANK(G108)))</formula>
    </cfRule>
  </conditionalFormatting>
  <conditionalFormatting sqref="G109">
    <cfRule type="expression" dxfId="0" priority="535">
      <formula>COUNTIF(I109:BG109,"&lt;&gt;" &amp; "")&gt;0</formula>
    </cfRule>
    <cfRule type="expression" dxfId="1" priority="536">
      <formula>AND(COUNTIF(I109:BG109,"&lt;&gt;" &amp; "")&gt;0,NOT(ISBLANK(G109)))</formula>
    </cfRule>
  </conditionalFormatting>
  <conditionalFormatting sqref="G11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G110">
    <cfRule type="expression" dxfId="0" priority="538">
      <formula>COUNTIF(I110:BG110,"&lt;&gt;" &amp; "")&gt;0</formula>
    </cfRule>
    <cfRule type="expression" dxfId="1" priority="539">
      <formula>AND(COUNTIF(I110:BG110,"&lt;&gt;" &amp; "")&gt;0,NOT(ISBLANK(G110)))</formula>
    </cfRule>
  </conditionalFormatting>
  <conditionalFormatting sqref="G111">
    <cfRule type="expression" dxfId="0" priority="541">
      <formula>COUNTIF(I111:BG111,"&lt;&gt;" &amp; "")&gt;0</formula>
    </cfRule>
    <cfRule type="expression" dxfId="1" priority="542">
      <formula>AND(COUNTIF(I111:BG111,"&lt;&gt;" &amp; "")&gt;0,NOT(ISBLANK(G111)))</formula>
    </cfRule>
  </conditionalFormatting>
  <conditionalFormatting sqref="G112">
    <cfRule type="expression" dxfId="0" priority="544">
      <formula>COUNTIF(I112:BG112,"&lt;&gt;" &amp; "")&gt;0</formula>
    </cfRule>
    <cfRule type="expression" dxfId="1" priority="545">
      <formula>AND(COUNTIF(I112:BG112,"&lt;&gt;" &amp; "")&gt;0,NOT(ISBLANK(G112)))</formula>
    </cfRule>
  </conditionalFormatting>
  <conditionalFormatting sqref="G113">
    <cfRule type="expression" dxfId="0" priority="547">
      <formula>COUNTIF(I113:BG113,"&lt;&gt;" &amp; "")&gt;0</formula>
    </cfRule>
    <cfRule type="expression" dxfId="1" priority="548">
      <formula>AND(COUNTIF(I113:BG113,"&lt;&gt;" &amp; "")&gt;0,NOT(ISBLANK(G113)))</formula>
    </cfRule>
  </conditionalFormatting>
  <conditionalFormatting sqref="G114">
    <cfRule type="expression" dxfId="0" priority="550">
      <formula>COUNTIF(I114:BG114,"&lt;&gt;" &amp; "")&gt;0</formula>
    </cfRule>
    <cfRule type="expression" dxfId="1" priority="551">
      <formula>AND(COUNTIF(I114:BG114,"&lt;&gt;" &amp; "")&gt;0,NOT(ISBLANK(G114)))</formula>
    </cfRule>
  </conditionalFormatting>
  <conditionalFormatting sqref="G115">
    <cfRule type="expression" dxfId="0" priority="553">
      <formula>COUNTIF(I115:BG115,"&lt;&gt;" &amp; "")&gt;0</formula>
    </cfRule>
    <cfRule type="expression" dxfId="1" priority="554">
      <formula>AND(COUNTIF(I115:BG115,"&lt;&gt;" &amp; "")&gt;0,NOT(ISBLANK(G115)))</formula>
    </cfRule>
  </conditionalFormatting>
  <conditionalFormatting sqref="G116">
    <cfRule type="expression" dxfId="0" priority="556">
      <formula>COUNTIF(I116:BG116,"&lt;&gt;" &amp; "")&gt;0</formula>
    </cfRule>
    <cfRule type="expression" dxfId="1" priority="557">
      <formula>AND(COUNTIF(I116:BG116,"&lt;&gt;" &amp; "")&gt;0,NOT(ISBLANK(G116)))</formula>
    </cfRule>
  </conditionalFormatting>
  <conditionalFormatting sqref="G117">
    <cfRule type="expression" dxfId="0" priority="559">
      <formula>COUNTIF(I117:BG117,"&lt;&gt;" &amp; "")&gt;0</formula>
    </cfRule>
    <cfRule type="expression" dxfId="1" priority="560">
      <formula>AND(COUNTIF(I117:BG117,"&lt;&gt;" &amp; "")&gt;0,NOT(ISBLANK(G117)))</formula>
    </cfRule>
  </conditionalFormatting>
  <conditionalFormatting sqref="G118">
    <cfRule type="expression" dxfId="0" priority="562">
      <formula>COUNTIF(I118:BG118,"&lt;&gt;" &amp; "")&gt;0</formula>
    </cfRule>
    <cfRule type="expression" dxfId="1" priority="563">
      <formula>AND(COUNTIF(I118:BG118,"&lt;&gt;" &amp; "")&gt;0,NOT(ISBLANK(G118)))</formula>
    </cfRule>
  </conditionalFormatting>
  <conditionalFormatting sqref="G119">
    <cfRule type="expression" dxfId="0" priority="565">
      <formula>COUNTIF(I119:BG119,"&lt;&gt;" &amp; "")&gt;0</formula>
    </cfRule>
    <cfRule type="expression" dxfId="1" priority="566">
      <formula>AND(COUNTIF(I119:BG119,"&lt;&gt;" &amp; "")&gt;0,NOT(ISBLANK(G119)))</formula>
    </cfRule>
  </conditionalFormatting>
  <conditionalFormatting sqref="G12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G120">
    <cfRule type="expression" dxfId="0" priority="568">
      <formula>COUNTIF(I120:BG120,"&lt;&gt;" &amp; "")&gt;0</formula>
    </cfRule>
    <cfRule type="expression" dxfId="1" priority="569">
      <formula>AND(COUNTIF(I120:BG120,"&lt;&gt;" &amp; "")&gt;0,NOT(ISBLANK(G120)))</formula>
    </cfRule>
  </conditionalFormatting>
  <conditionalFormatting sqref="G121">
    <cfRule type="expression" dxfId="0" priority="571">
      <formula>COUNTIF(I121:BG121,"&lt;&gt;" &amp; "")&gt;0</formula>
    </cfRule>
    <cfRule type="expression" dxfId="1" priority="572">
      <formula>AND(COUNTIF(I121:BG121,"&lt;&gt;" &amp; "")&gt;0,NOT(ISBLANK(G121)))</formula>
    </cfRule>
  </conditionalFormatting>
  <conditionalFormatting sqref="G122">
    <cfRule type="expression" dxfId="0" priority="574">
      <formula>COUNTIF(I122:BG122,"&lt;&gt;" &amp; "")&gt;0</formula>
    </cfRule>
    <cfRule type="expression" dxfId="1" priority="575">
      <formula>AND(COUNTIF(I122:BG122,"&lt;&gt;" &amp; "")&gt;0,NOT(ISBLANK(G122)))</formula>
    </cfRule>
  </conditionalFormatting>
  <conditionalFormatting sqref="G123">
    <cfRule type="expression" dxfId="0" priority="577">
      <formula>COUNTIF(I123:BG123,"&lt;&gt;" &amp; "")&gt;0</formula>
    </cfRule>
    <cfRule type="expression" dxfId="1" priority="578">
      <formula>AND(COUNTIF(I123:BG123,"&lt;&gt;" &amp; "")&gt;0,NOT(ISBLANK(G123)))</formula>
    </cfRule>
  </conditionalFormatting>
  <conditionalFormatting sqref="G124">
    <cfRule type="expression" dxfId="0" priority="580">
      <formula>COUNTIF(I124:BG124,"&lt;&gt;" &amp; "")&gt;0</formula>
    </cfRule>
    <cfRule type="expression" dxfId="1" priority="581">
      <formula>AND(COUNTIF(I124:BG124,"&lt;&gt;" &amp; "")&gt;0,NOT(ISBLANK(G124)))</formula>
    </cfRule>
  </conditionalFormatting>
  <conditionalFormatting sqref="G125">
    <cfRule type="expression" dxfId="0" priority="583">
      <formula>COUNTIF(I125:BG125,"&lt;&gt;" &amp; "")&gt;0</formula>
    </cfRule>
    <cfRule type="expression" dxfId="1" priority="584">
      <formula>AND(COUNTIF(I125:BG125,"&lt;&gt;" &amp; "")&gt;0,NOT(ISBLANK(G125)))</formula>
    </cfRule>
  </conditionalFormatting>
  <conditionalFormatting sqref="G126">
    <cfRule type="expression" dxfId="0" priority="586">
      <formula>COUNTIF(I126:BG126,"&lt;&gt;" &amp; "")&gt;0</formula>
    </cfRule>
    <cfRule type="expression" dxfId="1" priority="587">
      <formula>AND(COUNTIF(I126:BG126,"&lt;&gt;" &amp; "")&gt;0,NOT(ISBLANK(G126)))</formula>
    </cfRule>
  </conditionalFormatting>
  <conditionalFormatting sqref="G127">
    <cfRule type="expression" dxfId="0" priority="589">
      <formula>COUNTIF(I127:BG127,"&lt;&gt;" &amp; "")&gt;0</formula>
    </cfRule>
    <cfRule type="expression" dxfId="1" priority="590">
      <formula>AND(COUNTIF(I127:BG127,"&lt;&gt;" &amp; "")&gt;0,NOT(ISBLANK(G127)))</formula>
    </cfRule>
  </conditionalFormatting>
  <conditionalFormatting sqref="G128">
    <cfRule type="expression" dxfId="0" priority="592">
      <formula>COUNTIF(I128:BG128,"&lt;&gt;" &amp; "")&gt;0</formula>
    </cfRule>
    <cfRule type="expression" dxfId="1" priority="593">
      <formula>AND(COUNTIF(I128:BG128,"&lt;&gt;" &amp; "")&gt;0,NOT(ISBLANK(G128)))</formula>
    </cfRule>
  </conditionalFormatting>
  <conditionalFormatting sqref="G129">
    <cfRule type="expression" dxfId="0" priority="595">
      <formula>COUNTIF(I129:BG129,"&lt;&gt;" &amp; "")&gt;0</formula>
    </cfRule>
    <cfRule type="expression" dxfId="1" priority="596">
      <formula>AND(COUNTIF(I129:BG129,"&lt;&gt;" &amp; "")&gt;0,NOT(ISBLANK(G129)))</formula>
    </cfRule>
  </conditionalFormatting>
  <conditionalFormatting sqref="G13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G130">
    <cfRule type="expression" dxfId="0" priority="598">
      <formula>COUNTIF(I130:BG130,"&lt;&gt;" &amp; "")&gt;0</formula>
    </cfRule>
    <cfRule type="expression" dxfId="1" priority="599">
      <formula>AND(COUNTIF(I130:BG130,"&lt;&gt;" &amp; "")&gt;0,NOT(ISBLANK(G130)))</formula>
    </cfRule>
  </conditionalFormatting>
  <conditionalFormatting sqref="G131">
    <cfRule type="expression" dxfId="0" priority="601">
      <formula>COUNTIF(I131:BG131,"&lt;&gt;" &amp; "")&gt;0</formula>
    </cfRule>
    <cfRule type="expression" dxfId="1" priority="602">
      <formula>AND(COUNTIF(I131:BG131,"&lt;&gt;" &amp; "")&gt;0,NOT(ISBLANK(G131)))</formula>
    </cfRule>
  </conditionalFormatting>
  <conditionalFormatting sqref="G132">
    <cfRule type="expression" dxfId="0" priority="604">
      <formula>COUNTIF(I132:BG132,"&lt;&gt;" &amp; "")&gt;0</formula>
    </cfRule>
    <cfRule type="expression" dxfId="1" priority="605">
      <formula>AND(COUNTIF(I132:BG132,"&lt;&gt;" &amp; "")&gt;0,NOT(ISBLANK(G132)))</formula>
    </cfRule>
  </conditionalFormatting>
  <conditionalFormatting sqref="G133">
    <cfRule type="expression" dxfId="0" priority="607">
      <formula>COUNTIF(I133:BG133,"&lt;&gt;" &amp; "")&gt;0</formula>
    </cfRule>
    <cfRule type="expression" dxfId="1" priority="608">
      <formula>AND(COUNTIF(I133:BG133,"&lt;&gt;" &amp; "")&gt;0,NOT(ISBLANK(G133)))</formula>
    </cfRule>
  </conditionalFormatting>
  <conditionalFormatting sqref="G134">
    <cfRule type="expression" dxfId="0" priority="610">
      <formula>COUNTIF(I134:BG134,"&lt;&gt;" &amp; "")&gt;0</formula>
    </cfRule>
    <cfRule type="expression" dxfId="1" priority="611">
      <formula>AND(COUNTIF(I134:BG134,"&lt;&gt;" &amp; "")&gt;0,NOT(ISBLANK(G134)))</formula>
    </cfRule>
  </conditionalFormatting>
  <conditionalFormatting sqref="G135">
    <cfRule type="expression" dxfId="0" priority="613">
      <formula>COUNTIF(I135:BG135,"&lt;&gt;" &amp; "")&gt;0</formula>
    </cfRule>
    <cfRule type="expression" dxfId="1" priority="614">
      <formula>AND(COUNTIF(I135:BG135,"&lt;&gt;" &amp; "")&gt;0,NOT(ISBLANK(G135)))</formula>
    </cfRule>
  </conditionalFormatting>
  <conditionalFormatting sqref="G136">
    <cfRule type="expression" dxfId="0" priority="616">
      <formula>COUNTIF(I136:BG136,"&lt;&gt;" &amp; "")&gt;0</formula>
    </cfRule>
    <cfRule type="expression" dxfId="1" priority="617">
      <formula>AND(COUNTIF(I136:BG136,"&lt;&gt;" &amp; "")&gt;0,NOT(ISBLANK(G136)))</formula>
    </cfRule>
  </conditionalFormatting>
  <conditionalFormatting sqref="G137">
    <cfRule type="expression" dxfId="0" priority="619">
      <formula>COUNTIF(I137:BG137,"&lt;&gt;" &amp; "")&gt;0</formula>
    </cfRule>
    <cfRule type="expression" dxfId="1" priority="620">
      <formula>AND(COUNTIF(I137:BG137,"&lt;&gt;" &amp; "")&gt;0,NOT(ISBLANK(G137)))</formula>
    </cfRule>
  </conditionalFormatting>
  <conditionalFormatting sqref="G138">
    <cfRule type="expression" dxfId="0" priority="622">
      <formula>COUNTIF(I138:BG138,"&lt;&gt;" &amp; "")&gt;0</formula>
    </cfRule>
    <cfRule type="expression" dxfId="1" priority="623">
      <formula>AND(COUNTIF(I138:BG138,"&lt;&gt;" &amp; "")&gt;0,NOT(ISBLANK(G138)))</formula>
    </cfRule>
  </conditionalFormatting>
  <conditionalFormatting sqref="G139">
    <cfRule type="expression" dxfId="0" priority="625">
      <formula>COUNTIF(I139:BG139,"&lt;&gt;" &amp; "")&gt;0</formula>
    </cfRule>
    <cfRule type="expression" dxfId="1" priority="626">
      <formula>AND(COUNTIF(I139:BG139,"&lt;&gt;" &amp; "")&gt;0,NOT(ISBLANK(G139)))</formula>
    </cfRule>
  </conditionalFormatting>
  <conditionalFormatting sqref="G14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G140">
    <cfRule type="expression" dxfId="0" priority="628">
      <formula>COUNTIF(I140:BG140,"&lt;&gt;" &amp; "")&gt;0</formula>
    </cfRule>
    <cfRule type="expression" dxfId="1" priority="629">
      <formula>AND(COUNTIF(I140:BG140,"&lt;&gt;" &amp; "")&gt;0,NOT(ISBLANK(G140)))</formula>
    </cfRule>
  </conditionalFormatting>
  <conditionalFormatting sqref="G141">
    <cfRule type="expression" dxfId="0" priority="631">
      <formula>COUNTIF(I141:BG141,"&lt;&gt;" &amp; "")&gt;0</formula>
    </cfRule>
    <cfRule type="expression" dxfId="1" priority="632">
      <formula>AND(COUNTIF(I141:BG141,"&lt;&gt;" &amp; "")&gt;0,NOT(ISBLANK(G141)))</formula>
    </cfRule>
  </conditionalFormatting>
  <conditionalFormatting sqref="G142">
    <cfRule type="expression" dxfId="0" priority="634">
      <formula>COUNTIF(I142:BG142,"&lt;&gt;" &amp; "")&gt;0</formula>
    </cfRule>
    <cfRule type="expression" dxfId="1" priority="635">
      <formula>AND(COUNTIF(I142:BG142,"&lt;&gt;" &amp; "")&gt;0,NOT(ISBLANK(G142)))</formula>
    </cfRule>
  </conditionalFormatting>
  <conditionalFormatting sqref="G143">
    <cfRule type="expression" dxfId="0" priority="637">
      <formula>COUNTIF(I143:BG143,"&lt;&gt;" &amp; "")&gt;0</formula>
    </cfRule>
    <cfRule type="expression" dxfId="1" priority="638">
      <formula>AND(COUNTIF(I143:BG143,"&lt;&gt;" &amp; "")&gt;0,NOT(ISBLANK(G143)))</formula>
    </cfRule>
  </conditionalFormatting>
  <conditionalFormatting sqref="G144">
    <cfRule type="expression" dxfId="0" priority="640">
      <formula>COUNTIF(I144:BG144,"&lt;&gt;" &amp; "")&gt;0</formula>
    </cfRule>
    <cfRule type="expression" dxfId="1" priority="641">
      <formula>AND(COUNTIF(I144:BG144,"&lt;&gt;" &amp; "")&gt;0,NOT(ISBLANK(G144)))</formula>
    </cfRule>
  </conditionalFormatting>
  <conditionalFormatting sqref="G145">
    <cfRule type="expression" dxfId="0" priority="643">
      <formula>COUNTIF(I145:BG145,"&lt;&gt;" &amp; "")&gt;0</formula>
    </cfRule>
    <cfRule type="expression" dxfId="1" priority="644">
      <formula>AND(COUNTIF(I145:BG145,"&lt;&gt;" &amp; "")&gt;0,NOT(ISBLANK(G145)))</formula>
    </cfRule>
  </conditionalFormatting>
  <conditionalFormatting sqref="G146">
    <cfRule type="expression" dxfId="0" priority="646">
      <formula>COUNTIF(I146:BG146,"&lt;&gt;" &amp; "")&gt;0</formula>
    </cfRule>
    <cfRule type="expression" dxfId="1" priority="647">
      <formula>AND(COUNTIF(I146:BG146,"&lt;&gt;" &amp; "")&gt;0,NOT(ISBLANK(G146)))</formula>
    </cfRule>
  </conditionalFormatting>
  <conditionalFormatting sqref="G147">
    <cfRule type="expression" dxfId="0" priority="649">
      <formula>COUNTIF(I147:BG147,"&lt;&gt;" &amp; "")&gt;0</formula>
    </cfRule>
    <cfRule type="expression" dxfId="1" priority="650">
      <formula>AND(COUNTIF(I147:BG147,"&lt;&gt;" &amp; "")&gt;0,NOT(ISBLANK(G147)))</formula>
    </cfRule>
  </conditionalFormatting>
  <conditionalFormatting sqref="G148">
    <cfRule type="expression" dxfId="0" priority="652">
      <formula>COUNTIF(I148:BG148,"&lt;&gt;" &amp; "")&gt;0</formula>
    </cfRule>
    <cfRule type="expression" dxfId="1" priority="653">
      <formula>AND(COUNTIF(I148:BG148,"&lt;&gt;" &amp; "")&gt;0,NOT(ISBLANK(G148)))</formula>
    </cfRule>
  </conditionalFormatting>
  <conditionalFormatting sqref="G149">
    <cfRule type="expression" dxfId="0" priority="655">
      <formula>COUNTIF(I149:BG149,"&lt;&gt;" &amp; "")&gt;0</formula>
    </cfRule>
    <cfRule type="expression" dxfId="1" priority="656">
      <formula>AND(COUNTIF(I149:BG149,"&lt;&gt;" &amp; "")&gt;0,NOT(ISBLANK(G149)))</formula>
    </cfRule>
  </conditionalFormatting>
  <conditionalFormatting sqref="G15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G150">
    <cfRule type="expression" dxfId="0" priority="658">
      <formula>COUNTIF(I150:BG150,"&lt;&gt;" &amp; "")&gt;0</formula>
    </cfRule>
    <cfRule type="expression" dxfId="1" priority="659">
      <formula>AND(COUNTIF(I150:BG150,"&lt;&gt;" &amp; "")&gt;0,NOT(ISBLANK(G150)))</formula>
    </cfRule>
  </conditionalFormatting>
  <conditionalFormatting sqref="G151">
    <cfRule type="expression" dxfId="0" priority="661">
      <formula>COUNTIF(I151:BG151,"&lt;&gt;" &amp; "")&gt;0</formula>
    </cfRule>
    <cfRule type="expression" dxfId="1" priority="662">
      <formula>AND(COUNTIF(I151:BG151,"&lt;&gt;" &amp; "")&gt;0,NOT(ISBLANK(G151)))</formula>
    </cfRule>
  </conditionalFormatting>
  <conditionalFormatting sqref="G152">
    <cfRule type="expression" dxfId="0" priority="664">
      <formula>COUNTIF(I152:BG152,"&lt;&gt;" &amp; "")&gt;0</formula>
    </cfRule>
    <cfRule type="expression" dxfId="1" priority="665">
      <formula>AND(COUNTIF(I152:BG152,"&lt;&gt;" &amp; "")&gt;0,NOT(ISBLANK(G152)))</formula>
    </cfRule>
  </conditionalFormatting>
  <conditionalFormatting sqref="G153">
    <cfRule type="expression" dxfId="0" priority="667">
      <formula>COUNTIF(I153:BG153,"&lt;&gt;" &amp; "")&gt;0</formula>
    </cfRule>
    <cfRule type="expression" dxfId="1" priority="668">
      <formula>AND(COUNTIF(I153:BG153,"&lt;&gt;" &amp; "")&gt;0,NOT(ISBLANK(G153)))</formula>
    </cfRule>
  </conditionalFormatting>
  <conditionalFormatting sqref="G154">
    <cfRule type="expression" dxfId="0" priority="670">
      <formula>COUNTIF(I154:BG154,"&lt;&gt;" &amp; "")&gt;0</formula>
    </cfRule>
    <cfRule type="expression" dxfId="1" priority="671">
      <formula>AND(COUNTIF(I154:BG154,"&lt;&gt;" &amp; "")&gt;0,NOT(ISBLANK(G154)))</formula>
    </cfRule>
  </conditionalFormatting>
  <conditionalFormatting sqref="G155">
    <cfRule type="expression" dxfId="0" priority="673">
      <formula>COUNTIF(I155:BG155,"&lt;&gt;" &amp; "")&gt;0</formula>
    </cfRule>
    <cfRule type="expression" dxfId="1" priority="674">
      <formula>AND(COUNTIF(I155:BG155,"&lt;&gt;" &amp; "")&gt;0,NOT(ISBLANK(G155)))</formula>
    </cfRule>
  </conditionalFormatting>
  <conditionalFormatting sqref="G156">
    <cfRule type="expression" dxfId="0" priority="676">
      <formula>COUNTIF(I156:BG156,"&lt;&gt;" &amp; "")&gt;0</formula>
    </cfRule>
    <cfRule type="expression" dxfId="1" priority="677">
      <formula>AND(COUNTIF(I156:BG156,"&lt;&gt;" &amp; "")&gt;0,NOT(ISBLANK(G156)))</formula>
    </cfRule>
  </conditionalFormatting>
  <conditionalFormatting sqref="G157">
    <cfRule type="expression" dxfId="0" priority="679">
      <formula>COUNTIF(I157:BG157,"&lt;&gt;" &amp; "")&gt;0</formula>
    </cfRule>
    <cfRule type="expression" dxfId="1" priority="680">
      <formula>AND(COUNTIF(I157:BG157,"&lt;&gt;" &amp; "")&gt;0,NOT(ISBLANK(G157)))</formula>
    </cfRule>
  </conditionalFormatting>
  <conditionalFormatting sqref="G158">
    <cfRule type="expression" dxfId="0" priority="682">
      <formula>COUNTIF(I158:BG158,"&lt;&gt;" &amp; "")&gt;0</formula>
    </cfRule>
    <cfRule type="expression" dxfId="1" priority="683">
      <formula>AND(COUNTIF(I158:BG158,"&lt;&gt;" &amp; "")&gt;0,NOT(ISBLANK(G158)))</formula>
    </cfRule>
  </conditionalFormatting>
  <conditionalFormatting sqref="G159">
    <cfRule type="expression" dxfId="0" priority="685">
      <formula>COUNTIF(I159:BG159,"&lt;&gt;" &amp; "")&gt;0</formula>
    </cfRule>
    <cfRule type="expression" dxfId="1" priority="686">
      <formula>AND(COUNTIF(I159:BG159,"&lt;&gt;" &amp; "")&gt;0,NOT(ISBLANK(G159)))</formula>
    </cfRule>
  </conditionalFormatting>
  <conditionalFormatting sqref="G16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G160">
    <cfRule type="expression" dxfId="0" priority="688">
      <formula>COUNTIF(I160:BG160,"&lt;&gt;" &amp; "")&gt;0</formula>
    </cfRule>
    <cfRule type="expression" dxfId="1" priority="689">
      <formula>AND(COUNTIF(I160:BG160,"&lt;&gt;" &amp; "")&gt;0,NOT(ISBLANK(G160)))</formula>
    </cfRule>
  </conditionalFormatting>
  <conditionalFormatting sqref="G161">
    <cfRule type="expression" dxfId="0" priority="691">
      <formula>COUNTIF(I161:BG161,"&lt;&gt;" &amp; "")&gt;0</formula>
    </cfRule>
    <cfRule type="expression" dxfId="1" priority="692">
      <formula>AND(COUNTIF(I161:BG161,"&lt;&gt;" &amp; "")&gt;0,NOT(ISBLANK(G161)))</formula>
    </cfRule>
  </conditionalFormatting>
  <conditionalFormatting sqref="G162">
    <cfRule type="expression" dxfId="0" priority="694">
      <formula>COUNTIF(I162:BG162,"&lt;&gt;" &amp; "")&gt;0</formula>
    </cfRule>
    <cfRule type="expression" dxfId="1" priority="695">
      <formula>AND(COUNTIF(I162:BG162,"&lt;&gt;" &amp; "")&gt;0,NOT(ISBLANK(G162)))</formula>
    </cfRule>
  </conditionalFormatting>
  <conditionalFormatting sqref="G168">
    <cfRule type="cellIs" dxfId="2" priority="705" operator="equal">
      <formula>"Y"</formula>
    </cfRule>
    <cfRule type="cellIs" dxfId="3" priority="706" operator="equal">
      <formula>"N"</formula>
    </cfRule>
  </conditionalFormatting>
  <conditionalFormatting sqref="G169">
    <cfRule type="cellIs" dxfId="2" priority="727" operator="equal">
      <formula>"Y"</formula>
    </cfRule>
    <cfRule type="cellIs" dxfId="3" priority="728" operator="equal">
      <formula>"N"</formula>
    </cfRule>
  </conditionalFormatting>
  <conditionalFormatting sqref="G170">
    <cfRule type="cellIs" dxfId="2" priority="749" operator="equal">
      <formula>"Y"</formula>
    </cfRule>
    <cfRule type="cellIs" dxfId="3" priority="750" operator="equal">
      <formula>"N"</formula>
    </cfRule>
  </conditionalFormatting>
  <conditionalFormatting sqref="G171">
    <cfRule type="cellIs" dxfId="2" priority="771" operator="equal">
      <formula>"Y"</formula>
    </cfRule>
    <cfRule type="cellIs" dxfId="3" priority="772" operator="equal">
      <formula>"N"</formula>
    </cfRule>
  </conditionalFormatting>
  <conditionalFormatting sqref="G172">
    <cfRule type="cellIs" dxfId="2" priority="793" operator="equal">
      <formula>"Y"</formula>
    </cfRule>
    <cfRule type="cellIs" dxfId="3" priority="794" operator="equal">
      <formula>"N"</formula>
    </cfRule>
  </conditionalFormatting>
  <conditionalFormatting sqref="G174">
    <cfRule type="cellIs" dxfId="2" priority="839" operator="equal">
      <formula>"Y"</formula>
    </cfRule>
    <cfRule type="cellIs" dxfId="3" priority="840" operator="equal">
      <formula>"N"</formula>
    </cfRule>
  </conditionalFormatting>
  <conditionalFormatting sqref="G175">
    <cfRule type="cellIs" dxfId="2" priority="861" operator="equal">
      <formula>"Y"</formula>
    </cfRule>
    <cfRule type="cellIs" dxfId="3" priority="862" operator="equal">
      <formula>"N"</formula>
    </cfRule>
  </conditionalFormatting>
  <conditionalFormatting sqref="G176">
    <cfRule type="cellIs" dxfId="2" priority="883" operator="equal">
      <formula>"Y"</formula>
    </cfRule>
    <cfRule type="cellIs" dxfId="3" priority="884" operator="equal">
      <formula>"N"</formula>
    </cfRule>
  </conditionalFormatting>
  <conditionalFormatting sqref="G177">
    <cfRule type="cellIs" dxfId="2" priority="905" operator="equal">
      <formula>"Y"</formula>
    </cfRule>
    <cfRule type="cellIs" dxfId="3" priority="906" operator="equal">
      <formula>"N"</formula>
    </cfRule>
  </conditionalFormatting>
  <conditionalFormatting sqref="G178">
    <cfRule type="cellIs" dxfId="2" priority="927" operator="equal">
      <formula>"Y"</formula>
    </cfRule>
    <cfRule type="cellIs" dxfId="3" priority="928" operator="equal">
      <formula>"N"</formula>
    </cfRule>
  </conditionalFormatting>
  <conditionalFormatting sqref="G179">
    <cfRule type="cellIs" dxfId="2" priority="949" operator="equal">
      <formula>"Y"</formula>
    </cfRule>
    <cfRule type="cellIs" dxfId="3" priority="950" operator="equal">
      <formula>"N"</formula>
    </cfRule>
  </conditionalFormatting>
  <conditionalFormatting sqref="G182">
    <cfRule type="expression" dxfId="0" priority="961">
      <formula>COUNTIF(I182:BG182,"&lt;&gt;" &amp; "")&gt;0</formula>
    </cfRule>
    <cfRule type="expression" dxfId="1" priority="962">
      <formula>AND(COUNTIF(I182:BG182,"&lt;&gt;" &amp; "")&gt;0,NOT(ISBLANK(G182)))</formula>
    </cfRule>
  </conditionalFormatting>
  <conditionalFormatting sqref="G183">
    <cfRule type="expression" dxfId="0" priority="964">
      <formula>COUNTIF(I183:BG183,"&lt;&gt;" &amp; "")&gt;0</formula>
    </cfRule>
    <cfRule type="expression" dxfId="1" priority="965">
      <formula>AND(COUNTIF(I183:BG183,"&lt;&gt;" &amp; "")&gt;0,NOT(ISBLANK(G183)))</formula>
    </cfRule>
  </conditionalFormatting>
  <conditionalFormatting sqref="G184">
    <cfRule type="expression" dxfId="0" priority="967">
      <formula>COUNTIF(I184:BG184,"&lt;&gt;" &amp; "")&gt;0</formula>
    </cfRule>
    <cfRule type="expression" dxfId="1" priority="968">
      <formula>AND(COUNTIF(I184:BG184,"&lt;&gt;" &amp; "")&gt;0,NOT(ISBLANK(G184)))</formula>
    </cfRule>
  </conditionalFormatting>
  <conditionalFormatting sqref="G185">
    <cfRule type="expression" dxfId="0" priority="970">
      <formula>COUNTIF(I185:BG185,"&lt;&gt;" &amp; "")&gt;0</formula>
    </cfRule>
    <cfRule type="expression" dxfId="1" priority="971">
      <formula>AND(COUNTIF(I185:BG185,"&lt;&gt;" &amp; "")&gt;0,NOT(ISBLANK(G185)))</formula>
    </cfRule>
  </conditionalFormatting>
  <conditionalFormatting sqref="G186">
    <cfRule type="expression" dxfId="0" priority="973">
      <formula>COUNTIF(I186:BG186,"&lt;&gt;" &amp; "")&gt;0</formula>
    </cfRule>
    <cfRule type="expression" dxfId="1" priority="974">
      <formula>AND(COUNTIF(I186:BG186,"&lt;&gt;" &amp; "")&gt;0,NOT(ISBLANK(G186)))</formula>
    </cfRule>
  </conditionalFormatting>
  <conditionalFormatting sqref="G187">
    <cfRule type="expression" dxfId="0" priority="976">
      <formula>COUNTIF(I187:BG187,"&lt;&gt;" &amp; "")&gt;0</formula>
    </cfRule>
    <cfRule type="expression" dxfId="1" priority="977">
      <formula>AND(COUNTIF(I187:BG187,"&lt;&gt;" &amp; "")&gt;0,NOT(ISBLANK(G187)))</formula>
    </cfRule>
  </conditionalFormatting>
  <conditionalFormatting sqref="G188">
    <cfRule type="expression" dxfId="0" priority="979">
      <formula>COUNTIF(I188:BG188,"&lt;&gt;" &amp; "")&gt;0</formula>
    </cfRule>
    <cfRule type="expression" dxfId="1" priority="980">
      <formula>AND(COUNTIF(I188:BG188,"&lt;&gt;" &amp; "")&gt;0,NOT(ISBLANK(G188)))</formula>
    </cfRule>
  </conditionalFormatting>
  <conditionalFormatting sqref="G189">
    <cfRule type="expression" dxfId="0" priority="982">
      <formula>COUNTIF(I189:BG189,"&lt;&gt;" &amp; "")&gt;0</formula>
    </cfRule>
    <cfRule type="expression" dxfId="1" priority="983">
      <formula>AND(COUNTIF(I189:BG189,"&lt;&gt;" &amp; "")&gt;0,NOT(ISBLANK(G189)))</formula>
    </cfRule>
  </conditionalFormatting>
  <conditionalFormatting sqref="G19">
    <cfRule type="expression" dxfId="0" priority="265">
      <formula>COUNTIF(I19:BG19,"&lt;&gt;" &amp; "")&gt;0</formula>
    </cfRule>
    <cfRule type="expression" dxfId="1" priority="266">
      <formula>AND(COUNTIF(I19:BG19,"&lt;&gt;" &amp; "")&gt;0,NOT(ISBLANK(G19)))</formula>
    </cfRule>
  </conditionalFormatting>
  <conditionalFormatting sqref="G190">
    <cfRule type="expression" dxfId="0" priority="985">
      <formula>COUNTIF(I190:BG190,"&lt;&gt;" &amp; "")&gt;0</formula>
    </cfRule>
    <cfRule type="expression" dxfId="1" priority="986">
      <formula>AND(COUNTIF(I190:BG190,"&lt;&gt;" &amp; "")&gt;0,NOT(ISBLANK(G190)))</formula>
    </cfRule>
  </conditionalFormatting>
  <conditionalFormatting sqref="G191">
    <cfRule type="expression" dxfId="0" priority="988">
      <formula>COUNTIF(I191:BG191,"&lt;&gt;" &amp; "")&gt;0</formula>
    </cfRule>
    <cfRule type="expression" dxfId="1" priority="989">
      <formula>AND(COUNTIF(I191:BG191,"&lt;&gt;" &amp; "")&gt;0,NOT(ISBLANK(G191)))</formula>
    </cfRule>
  </conditionalFormatting>
  <conditionalFormatting sqref="G192">
    <cfRule type="expression" dxfId="0" priority="991">
      <formula>COUNTIF(I192:BG192,"&lt;&gt;" &amp; "")&gt;0</formula>
    </cfRule>
    <cfRule type="expression" dxfId="1" priority="992">
      <formula>AND(COUNTIF(I192:BG192,"&lt;&gt;" &amp; "")&gt;0,NOT(ISBLANK(G192)))</formula>
    </cfRule>
  </conditionalFormatting>
  <conditionalFormatting sqref="G193">
    <cfRule type="expression" dxfId="0" priority="994">
      <formula>COUNTIF(I193:BG193,"&lt;&gt;" &amp; "")&gt;0</formula>
    </cfRule>
    <cfRule type="expression" dxfId="1" priority="995">
      <formula>AND(COUNTIF(I193:BG193,"&lt;&gt;" &amp; "")&gt;0,NOT(ISBLANK(G193)))</formula>
    </cfRule>
  </conditionalFormatting>
  <conditionalFormatting sqref="G194">
    <cfRule type="expression" dxfId="0" priority="997">
      <formula>COUNTIF(I194:BG194,"&lt;&gt;" &amp; "")&gt;0</formula>
    </cfRule>
    <cfRule type="expression" dxfId="1" priority="998">
      <formula>AND(COUNTIF(I194:BG194,"&lt;&gt;" &amp; "")&gt;0,NOT(ISBLANK(G194)))</formula>
    </cfRule>
  </conditionalFormatting>
  <conditionalFormatting sqref="G195">
    <cfRule type="expression" dxfId="0" priority="1000">
      <formula>COUNTIF(I195:BG195,"&lt;&gt;" &amp; "")&gt;0</formula>
    </cfRule>
    <cfRule type="expression" dxfId="1" priority="1001">
      <formula>AND(COUNTIF(I195:BG195,"&lt;&gt;" &amp; "")&gt;0,NOT(ISBLANK(G195)))</formula>
    </cfRule>
  </conditionalFormatting>
  <conditionalFormatting sqref="G196">
    <cfRule type="expression" dxfId="0" priority="1003">
      <formula>COUNTIF(I196:BG196,"&lt;&gt;" &amp; "")&gt;0</formula>
    </cfRule>
    <cfRule type="expression" dxfId="1" priority="1004">
      <formula>AND(COUNTIF(I196:BG196,"&lt;&gt;" &amp; "")&gt;0,NOT(ISBLANK(G196)))</formula>
    </cfRule>
  </conditionalFormatting>
  <conditionalFormatting sqref="G197">
    <cfRule type="expression" dxfId="0" priority="1006">
      <formula>COUNTIF(I197:BG197,"&lt;&gt;" &amp; "")&gt;0</formula>
    </cfRule>
    <cfRule type="expression" dxfId="1" priority="1007">
      <formula>AND(COUNTIF(I197:BG197,"&lt;&gt;" &amp; "")&gt;0,NOT(ISBLANK(G197)))</formula>
    </cfRule>
  </conditionalFormatting>
  <conditionalFormatting sqref="G198">
    <cfRule type="expression" dxfId="0" priority="1009">
      <formula>COUNTIF(I198:BG198,"&lt;&gt;" &amp; "")&gt;0</formula>
    </cfRule>
    <cfRule type="expression" dxfId="1" priority="1010">
      <formula>AND(COUNTIF(I198:BG198,"&lt;&gt;" &amp; "")&gt;0,NOT(ISBLANK(G198)))</formula>
    </cfRule>
  </conditionalFormatting>
  <conditionalFormatting sqref="G199">
    <cfRule type="expression" dxfId="0" priority="1012">
      <formula>COUNTIF(I199:BG199,"&lt;&gt;" &amp; "")&gt;0</formula>
    </cfRule>
    <cfRule type="expression" dxfId="1" priority="1013">
      <formula>AND(COUNTIF(I199:BG199,"&lt;&gt;" &amp; "")&gt;0,NOT(ISBLANK(G199)))</formula>
    </cfRule>
  </conditionalFormatting>
  <conditionalFormatting sqref="G20">
    <cfRule type="expression" dxfId="0" priority="268">
      <formula>COUNTIF(I20:BG20,"&lt;&gt;" &amp; "")&gt;0</formula>
    </cfRule>
    <cfRule type="expression" dxfId="1" priority="269">
      <formula>AND(COUNTIF(I20:BG20,"&lt;&gt;" &amp; "")&gt;0,NOT(ISBLANK(G20)))</formula>
    </cfRule>
  </conditionalFormatting>
  <conditionalFormatting sqref="G200">
    <cfRule type="expression" dxfId="0" priority="1015">
      <formula>COUNTIF(I200:BG200,"&lt;&gt;" &amp; "")&gt;0</formula>
    </cfRule>
    <cfRule type="expression" dxfId="1" priority="1016">
      <formula>AND(COUNTIF(I200:BG200,"&lt;&gt;" &amp; "")&gt;0,NOT(ISBLANK(G200)))</formula>
    </cfRule>
  </conditionalFormatting>
  <conditionalFormatting sqref="G201">
    <cfRule type="expression" dxfId="0" priority="1018">
      <formula>COUNTIF(I201:BG201,"&lt;&gt;" &amp; "")&gt;0</formula>
    </cfRule>
    <cfRule type="expression" dxfId="1" priority="1019">
      <formula>AND(COUNTIF(I201:BG201,"&lt;&gt;" &amp; "")&gt;0,NOT(ISBLANK(G201)))</formula>
    </cfRule>
  </conditionalFormatting>
  <conditionalFormatting sqref="G202">
    <cfRule type="expression" dxfId="0" priority="1021">
      <formula>COUNTIF(I202:BG202,"&lt;&gt;" &amp; "")&gt;0</formula>
    </cfRule>
    <cfRule type="expression" dxfId="1" priority="1022">
      <formula>AND(COUNTIF(I202:BG202,"&lt;&gt;" &amp; "")&gt;0,NOT(ISBLANK(G202)))</formula>
    </cfRule>
  </conditionalFormatting>
  <conditionalFormatting sqref="G203">
    <cfRule type="expression" dxfId="0" priority="1024">
      <formula>COUNTIF(I203:BG203,"&lt;&gt;" &amp; "")&gt;0</formula>
    </cfRule>
    <cfRule type="expression" dxfId="1" priority="1025">
      <formula>AND(COUNTIF(I203:BG203,"&lt;&gt;" &amp; "")&gt;0,NOT(ISBLANK(G203)))</formula>
    </cfRule>
  </conditionalFormatting>
  <conditionalFormatting sqref="G204">
    <cfRule type="expression" dxfId="0" priority="1027">
      <formula>COUNTIF(I204:BG204,"&lt;&gt;" &amp; "")&gt;0</formula>
    </cfRule>
    <cfRule type="expression" dxfId="1" priority="1028">
      <formula>AND(COUNTIF(I204:BG204,"&lt;&gt;" &amp; "")&gt;0,NOT(ISBLANK(G204)))</formula>
    </cfRule>
  </conditionalFormatting>
  <conditionalFormatting sqref="G205">
    <cfRule type="expression" dxfId="0" priority="1030">
      <formula>COUNTIF(I205:BG205,"&lt;&gt;" &amp; "")&gt;0</formula>
    </cfRule>
    <cfRule type="expression" dxfId="1" priority="1031">
      <formula>AND(COUNTIF(I205:BG205,"&lt;&gt;" &amp; "")&gt;0,NOT(ISBLANK(G205)))</formula>
    </cfRule>
  </conditionalFormatting>
  <conditionalFormatting sqref="G206">
    <cfRule type="expression" dxfId="0" priority="1033">
      <formula>COUNTIF(I206:BG206,"&lt;&gt;" &amp; "")&gt;0</formula>
    </cfRule>
    <cfRule type="expression" dxfId="1" priority="1034">
      <formula>AND(COUNTIF(I206:BG206,"&lt;&gt;" &amp; "")&gt;0,NOT(ISBLANK(G206)))</formula>
    </cfRule>
  </conditionalFormatting>
  <conditionalFormatting sqref="G207">
    <cfRule type="expression" dxfId="0" priority="1036">
      <formula>COUNTIF(I207:BG207,"&lt;&gt;" &amp; "")&gt;0</formula>
    </cfRule>
    <cfRule type="expression" dxfId="1" priority="1037">
      <formula>AND(COUNTIF(I207:BG207,"&lt;&gt;" &amp; "")&gt;0,NOT(ISBLANK(G207)))</formula>
    </cfRule>
  </conditionalFormatting>
  <conditionalFormatting sqref="G208">
    <cfRule type="expression" dxfId="0" priority="1039">
      <formula>COUNTIF(I208:BG208,"&lt;&gt;" &amp; "")&gt;0</formula>
    </cfRule>
    <cfRule type="expression" dxfId="1" priority="1040">
      <formula>AND(COUNTIF(I208:BG208,"&lt;&gt;" &amp; "")&gt;0,NOT(ISBLANK(G208)))</formula>
    </cfRule>
  </conditionalFormatting>
  <conditionalFormatting sqref="G209">
    <cfRule type="expression" dxfId="0" priority="1042">
      <formula>COUNTIF(I209:BG209,"&lt;&gt;" &amp; "")&gt;0</formula>
    </cfRule>
    <cfRule type="expression" dxfId="1" priority="1043">
      <formula>AND(COUNTIF(I209:BG209,"&lt;&gt;" &amp; "")&gt;0,NOT(ISBLANK(G209)))</formula>
    </cfRule>
  </conditionalFormatting>
  <conditionalFormatting sqref="G21">
    <cfRule type="expression" dxfId="0" priority="271">
      <formula>COUNTIF(I21:BG21,"&lt;&gt;" &amp; "")&gt;0</formula>
    </cfRule>
    <cfRule type="expression" dxfId="1" priority="272">
      <formula>AND(COUNTIF(I21:BG21,"&lt;&gt;" &amp; "")&gt;0,NOT(ISBLANK(G21)))</formula>
    </cfRule>
  </conditionalFormatting>
  <conditionalFormatting sqref="G210">
    <cfRule type="expression" dxfId="0" priority="1045">
      <formula>COUNTIF(I210:BG210,"&lt;&gt;" &amp; "")&gt;0</formula>
    </cfRule>
    <cfRule type="expression" dxfId="1" priority="1046">
      <formula>AND(COUNTIF(I210:BG210,"&lt;&gt;" &amp; "")&gt;0,NOT(ISBLANK(G210)))</formula>
    </cfRule>
  </conditionalFormatting>
  <conditionalFormatting sqref="G211">
    <cfRule type="expression" dxfId="0" priority="1048">
      <formula>COUNTIF(I211:BG211,"&lt;&gt;" &amp; "")&gt;0</formula>
    </cfRule>
    <cfRule type="expression" dxfId="1" priority="1049">
      <formula>AND(COUNTIF(I211:BG211,"&lt;&gt;" &amp; "")&gt;0,NOT(ISBLANK(G211)))</formula>
    </cfRule>
  </conditionalFormatting>
  <conditionalFormatting sqref="G212">
    <cfRule type="expression" dxfId="0" priority="1051">
      <formula>COUNTIF(I212:BG212,"&lt;&gt;" &amp; "")&gt;0</formula>
    </cfRule>
    <cfRule type="expression" dxfId="1" priority="1052">
      <formula>AND(COUNTIF(I212:BG212,"&lt;&gt;" &amp; "")&gt;0,NOT(ISBLANK(G212)))</formula>
    </cfRule>
  </conditionalFormatting>
  <conditionalFormatting sqref="G213">
    <cfRule type="expression" dxfId="0" priority="1054">
      <formula>COUNTIF(I213:BG213,"&lt;&gt;" &amp; "")&gt;0</formula>
    </cfRule>
    <cfRule type="expression" dxfId="1" priority="1055">
      <formula>AND(COUNTIF(I213:BG213,"&lt;&gt;" &amp; "")&gt;0,NOT(ISBLANK(G213)))</formula>
    </cfRule>
  </conditionalFormatting>
  <conditionalFormatting sqref="G214">
    <cfRule type="expression" dxfId="0" priority="1057">
      <formula>COUNTIF(I214:BG214,"&lt;&gt;" &amp; "")&gt;0</formula>
    </cfRule>
    <cfRule type="expression" dxfId="1" priority="1058">
      <formula>AND(COUNTIF(I214:BG214,"&lt;&gt;" &amp; "")&gt;0,NOT(ISBLANK(G214)))</formula>
    </cfRule>
  </conditionalFormatting>
  <conditionalFormatting sqref="G215">
    <cfRule type="expression" dxfId="0" priority="1060">
      <formula>COUNTIF(I215:BG215,"&lt;&gt;" &amp; "")&gt;0</formula>
    </cfRule>
    <cfRule type="expression" dxfId="1" priority="1061">
      <formula>AND(COUNTIF(I215:BG215,"&lt;&gt;" &amp; "")&gt;0,NOT(ISBLANK(G215)))</formula>
    </cfRule>
  </conditionalFormatting>
  <conditionalFormatting sqref="G216">
    <cfRule type="expression" dxfId="0" priority="1063">
      <formula>COUNTIF(I216:BG216,"&lt;&gt;" &amp; "")&gt;0</formula>
    </cfRule>
    <cfRule type="expression" dxfId="1" priority="1064">
      <formula>AND(COUNTIF(I216:BG216,"&lt;&gt;" &amp; "")&gt;0,NOT(ISBLANK(G216)))</formula>
    </cfRule>
  </conditionalFormatting>
  <conditionalFormatting sqref="G217">
    <cfRule type="expression" dxfId="0" priority="1066">
      <formula>COUNTIF(I217:BG217,"&lt;&gt;" &amp; "")&gt;0</formula>
    </cfRule>
    <cfRule type="expression" dxfId="1" priority="1067">
      <formula>AND(COUNTIF(I217:BG217,"&lt;&gt;" &amp; "")&gt;0,NOT(ISBLANK(G217)))</formula>
    </cfRule>
  </conditionalFormatting>
  <conditionalFormatting sqref="G218">
    <cfRule type="expression" dxfId="0" priority="1069">
      <formula>COUNTIF(I218:BG218,"&lt;&gt;" &amp; "")&gt;0</formula>
    </cfRule>
    <cfRule type="expression" dxfId="1" priority="1070">
      <formula>AND(COUNTIF(I218:BG218,"&lt;&gt;" &amp; "")&gt;0,NOT(ISBLANK(G218)))</formula>
    </cfRule>
  </conditionalFormatting>
  <conditionalFormatting sqref="G219">
    <cfRule type="expression" dxfId="0" priority="1072">
      <formula>COUNTIF(I219:BG219,"&lt;&gt;" &amp; "")&gt;0</formula>
    </cfRule>
    <cfRule type="expression" dxfId="1" priority="1073">
      <formula>AND(COUNTIF(I219:BG219,"&lt;&gt;" &amp; "")&gt;0,NOT(ISBLANK(G219)))</formula>
    </cfRule>
  </conditionalFormatting>
  <conditionalFormatting sqref="G22">
    <cfRule type="expression" dxfId="0" priority="274">
      <formula>COUNTIF(I22:BG22,"&lt;&gt;" &amp; "")&gt;0</formula>
    </cfRule>
    <cfRule type="expression" dxfId="1" priority="275">
      <formula>AND(COUNTIF(I22:BG22,"&lt;&gt;" &amp; "")&gt;0,NOT(ISBLANK(G22)))</formula>
    </cfRule>
  </conditionalFormatting>
  <conditionalFormatting sqref="G220">
    <cfRule type="expression" dxfId="0" priority="1075">
      <formula>COUNTIF(I220:BG220,"&lt;&gt;" &amp; "")&gt;0</formula>
    </cfRule>
    <cfRule type="expression" dxfId="1" priority="1076">
      <formula>AND(COUNTIF(I220:BG220,"&lt;&gt;" &amp; "")&gt;0,NOT(ISBLANK(G220)))</formula>
    </cfRule>
  </conditionalFormatting>
  <conditionalFormatting sqref="G221">
    <cfRule type="expression" dxfId="0" priority="1078">
      <formula>COUNTIF(I221:BG221,"&lt;&gt;" &amp; "")&gt;0</formula>
    </cfRule>
    <cfRule type="expression" dxfId="1" priority="1079">
      <formula>AND(COUNTIF(I221:BG221,"&lt;&gt;" &amp; "")&gt;0,NOT(ISBLANK(G221)))</formula>
    </cfRule>
  </conditionalFormatting>
  <conditionalFormatting sqref="G222">
    <cfRule type="expression" dxfId="0" priority="1081">
      <formula>COUNTIF(I222:BG222,"&lt;&gt;" &amp; "")&gt;0</formula>
    </cfRule>
    <cfRule type="expression" dxfId="1" priority="1082">
      <formula>AND(COUNTIF(I222:BG222,"&lt;&gt;" &amp; "")&gt;0,NOT(ISBLANK(G222)))</formula>
    </cfRule>
  </conditionalFormatting>
  <conditionalFormatting sqref="G223">
    <cfRule type="expression" dxfId="0" priority="1084">
      <formula>COUNTIF(I223:BG223,"&lt;&gt;" &amp; "")&gt;0</formula>
    </cfRule>
    <cfRule type="expression" dxfId="1" priority="1085">
      <formula>AND(COUNTIF(I223:BG223,"&lt;&gt;" &amp; "")&gt;0,NOT(ISBLANK(G223)))</formula>
    </cfRule>
  </conditionalFormatting>
  <conditionalFormatting sqref="G224">
    <cfRule type="expression" dxfId="0" priority="1087">
      <formula>COUNTIF(I224:BG224,"&lt;&gt;" &amp; "")&gt;0</formula>
    </cfRule>
    <cfRule type="expression" dxfId="1" priority="1088">
      <formula>AND(COUNTIF(I224:BG224,"&lt;&gt;" &amp; "")&gt;0,NOT(ISBLANK(G224)))</formula>
    </cfRule>
  </conditionalFormatting>
  <conditionalFormatting sqref="G225">
    <cfRule type="expression" dxfId="0" priority="1090">
      <formula>COUNTIF(I225:BG225,"&lt;&gt;" &amp; "")&gt;0</formula>
    </cfRule>
    <cfRule type="expression" dxfId="1" priority="1091">
      <formula>AND(COUNTIF(I225:BG225,"&lt;&gt;" &amp; "")&gt;0,NOT(ISBLANK(G225)))</formula>
    </cfRule>
  </conditionalFormatting>
  <conditionalFormatting sqref="G226">
    <cfRule type="expression" dxfId="0" priority="1093">
      <formula>COUNTIF(I226:BG226,"&lt;&gt;" &amp; "")&gt;0</formula>
    </cfRule>
    <cfRule type="expression" dxfId="1" priority="1094">
      <formula>AND(COUNTIF(I226:BG226,"&lt;&gt;" &amp; "")&gt;0,NOT(ISBLANK(G226)))</formula>
    </cfRule>
  </conditionalFormatting>
  <conditionalFormatting sqref="G227">
    <cfRule type="expression" dxfId="0" priority="1096">
      <formula>COUNTIF(I227:BG227,"&lt;&gt;" &amp; "")&gt;0</formula>
    </cfRule>
    <cfRule type="expression" dxfId="1" priority="1097">
      <formula>AND(COUNTIF(I227:BG227,"&lt;&gt;" &amp; "")&gt;0,NOT(ISBLANK(G227)))</formula>
    </cfRule>
  </conditionalFormatting>
  <conditionalFormatting sqref="G228">
    <cfRule type="expression" dxfId="0" priority="1099">
      <formula>COUNTIF(I228:BG228,"&lt;&gt;" &amp; "")&gt;0</formula>
    </cfRule>
    <cfRule type="expression" dxfId="1" priority="1100">
      <formula>AND(COUNTIF(I228:BG228,"&lt;&gt;" &amp; "")&gt;0,NOT(ISBLANK(G228)))</formula>
    </cfRule>
  </conditionalFormatting>
  <conditionalFormatting sqref="G229">
    <cfRule type="expression" dxfId="0" priority="1102">
      <formula>COUNTIF(I229:BG229,"&lt;&gt;" &amp; "")&gt;0</formula>
    </cfRule>
    <cfRule type="expression" dxfId="1" priority="1103">
      <formula>AND(COUNTIF(I229:BG229,"&lt;&gt;" &amp; "")&gt;0,NOT(ISBLANK(G229)))</formula>
    </cfRule>
  </conditionalFormatting>
  <conditionalFormatting sqref="G23">
    <cfRule type="expression" dxfId="0" priority="277">
      <formula>COUNTIF(I23:BG23,"&lt;&gt;" &amp; "")&gt;0</formula>
    </cfRule>
    <cfRule type="expression" dxfId="1" priority="278">
      <formula>AND(COUNTIF(I23:BG23,"&lt;&gt;" &amp; "")&gt;0,NOT(ISBLANK(G23)))</formula>
    </cfRule>
  </conditionalFormatting>
  <conditionalFormatting sqref="G230">
    <cfRule type="expression" dxfId="0" priority="1105">
      <formula>COUNTIF(I230:BG230,"&lt;&gt;" &amp; "")&gt;0</formula>
    </cfRule>
    <cfRule type="expression" dxfId="1" priority="1106">
      <formula>AND(COUNTIF(I230:BG230,"&lt;&gt;" &amp; "")&gt;0,NOT(ISBLANK(G230)))</formula>
    </cfRule>
  </conditionalFormatting>
  <conditionalFormatting sqref="G231">
    <cfRule type="expression" dxfId="0" priority="1108">
      <formula>COUNTIF(I231:BG231,"&lt;&gt;" &amp; "")&gt;0</formula>
    </cfRule>
    <cfRule type="expression" dxfId="1" priority="1109">
      <formula>AND(COUNTIF(I231:BG231,"&lt;&gt;" &amp; "")&gt;0,NOT(ISBLANK(G231)))</formula>
    </cfRule>
  </conditionalFormatting>
  <conditionalFormatting sqref="G232">
    <cfRule type="expression" dxfId="0" priority="1111">
      <formula>COUNTIF(I232:BG232,"&lt;&gt;" &amp; "")&gt;0</formula>
    </cfRule>
    <cfRule type="expression" dxfId="1" priority="1112">
      <formula>AND(COUNTIF(I232:BG232,"&lt;&gt;" &amp; "")&gt;0,NOT(ISBLANK(G232)))</formula>
    </cfRule>
  </conditionalFormatting>
  <conditionalFormatting sqref="G233">
    <cfRule type="expression" dxfId="0" priority="1114">
      <formula>COUNTIF(I233:BG233,"&lt;&gt;" &amp; "")&gt;0</formula>
    </cfRule>
    <cfRule type="expression" dxfId="1" priority="1115">
      <formula>AND(COUNTIF(I233:BG233,"&lt;&gt;" &amp; "")&gt;0,NOT(ISBLANK(G233)))</formula>
    </cfRule>
  </conditionalFormatting>
  <conditionalFormatting sqref="G234">
    <cfRule type="expression" dxfId="0" priority="1117">
      <formula>COUNTIF(I234:BG234,"&lt;&gt;" &amp; "")&gt;0</formula>
    </cfRule>
    <cfRule type="expression" dxfId="1" priority="1118">
      <formula>AND(COUNTIF(I234:BG234,"&lt;&gt;" &amp; "")&gt;0,NOT(ISBLANK(G234)))</formula>
    </cfRule>
  </conditionalFormatting>
  <conditionalFormatting sqref="G235">
    <cfRule type="expression" dxfId="0" priority="1120">
      <formula>COUNTIF(I235:BG235,"&lt;&gt;" &amp; "")&gt;0</formula>
    </cfRule>
    <cfRule type="expression" dxfId="1" priority="1121">
      <formula>AND(COUNTIF(I235:BG235,"&lt;&gt;" &amp; "")&gt;0,NOT(ISBLANK(G235)))</formula>
    </cfRule>
  </conditionalFormatting>
  <conditionalFormatting sqref="G236">
    <cfRule type="expression" dxfId="0" priority="1123">
      <formula>COUNTIF(I236:BG236,"&lt;&gt;" &amp; "")&gt;0</formula>
    </cfRule>
    <cfRule type="expression" dxfId="1" priority="1124">
      <formula>AND(COUNTIF(I236:BG236,"&lt;&gt;" &amp; "")&gt;0,NOT(ISBLANK(G236)))</formula>
    </cfRule>
  </conditionalFormatting>
  <conditionalFormatting sqref="G237">
    <cfRule type="expression" dxfId="0" priority="1126">
      <formula>COUNTIF(I237:BG237,"&lt;&gt;" &amp; "")&gt;0</formula>
    </cfRule>
    <cfRule type="expression" dxfId="1" priority="1127">
      <formula>AND(COUNTIF(I237:BG237,"&lt;&gt;" &amp; "")&gt;0,NOT(ISBLANK(G237)))</formula>
    </cfRule>
  </conditionalFormatting>
  <conditionalFormatting sqref="G238">
    <cfRule type="expression" dxfId="0" priority="1129">
      <formula>COUNTIF(I238:BG238,"&lt;&gt;" &amp; "")&gt;0</formula>
    </cfRule>
    <cfRule type="expression" dxfId="1" priority="1130">
      <formula>AND(COUNTIF(I238:BG238,"&lt;&gt;" &amp; "")&gt;0,NOT(ISBLANK(G238)))</formula>
    </cfRule>
  </conditionalFormatting>
  <conditionalFormatting sqref="G239">
    <cfRule type="expression" dxfId="0" priority="1132">
      <formula>COUNTIF(I239:BG239,"&lt;&gt;" &amp; "")&gt;0</formula>
    </cfRule>
    <cfRule type="expression" dxfId="1" priority="1133">
      <formula>AND(COUNTIF(I239:BG239,"&lt;&gt;" &amp; "")&gt;0,NOT(ISBLANK(G239)))</formula>
    </cfRule>
  </conditionalFormatting>
  <conditionalFormatting sqref="G24">
    <cfRule type="expression" dxfId="0" priority="280">
      <formula>COUNTIF(I24:BG24,"&lt;&gt;" &amp; "")&gt;0</formula>
    </cfRule>
    <cfRule type="expression" dxfId="1" priority="281">
      <formula>AND(COUNTIF(I24:BG24,"&lt;&gt;" &amp; "")&gt;0,NOT(ISBLANK(G24)))</formula>
    </cfRule>
  </conditionalFormatting>
  <conditionalFormatting sqref="G240">
    <cfRule type="expression" dxfId="0" priority="1135">
      <formula>COUNTIF(I240:BG240,"&lt;&gt;" &amp; "")&gt;0</formula>
    </cfRule>
    <cfRule type="expression" dxfId="1" priority="1136">
      <formula>AND(COUNTIF(I240:BG240,"&lt;&gt;" &amp; "")&gt;0,NOT(ISBLANK(G240)))</formula>
    </cfRule>
  </conditionalFormatting>
  <conditionalFormatting sqref="G241">
    <cfRule type="expression" dxfId="0" priority="1138">
      <formula>COUNTIF(I241:BG241,"&lt;&gt;" &amp; "")&gt;0</formula>
    </cfRule>
    <cfRule type="expression" dxfId="1" priority="1139">
      <formula>AND(COUNTIF(I241:BG241,"&lt;&gt;" &amp; "")&gt;0,NOT(ISBLANK(G241)))</formula>
    </cfRule>
  </conditionalFormatting>
  <conditionalFormatting sqref="G242">
    <cfRule type="expression" dxfId="0" priority="1141">
      <formula>COUNTIF(I242:BG242,"&lt;&gt;" &amp; "")&gt;0</formula>
    </cfRule>
    <cfRule type="expression" dxfId="1" priority="1142">
      <formula>AND(COUNTIF(I242:BG242,"&lt;&gt;" &amp; "")&gt;0,NOT(ISBLANK(G242)))</formula>
    </cfRule>
  </conditionalFormatting>
  <conditionalFormatting sqref="G243">
    <cfRule type="expression" dxfId="0" priority="1144">
      <formula>COUNTIF(I243:BG243,"&lt;&gt;" &amp; "")&gt;0</formula>
    </cfRule>
    <cfRule type="expression" dxfId="1" priority="1145">
      <formula>AND(COUNTIF(I243:BG243,"&lt;&gt;" &amp; "")&gt;0,NOT(ISBLANK(G243)))</formula>
    </cfRule>
  </conditionalFormatting>
  <conditionalFormatting sqref="G244">
    <cfRule type="expression" dxfId="0" priority="1147">
      <formula>COUNTIF(I244:BG244,"&lt;&gt;" &amp; "")&gt;0</formula>
    </cfRule>
    <cfRule type="expression" dxfId="1" priority="1148">
      <formula>AND(COUNTIF(I244:BG244,"&lt;&gt;" &amp; "")&gt;0,NOT(ISBLANK(G244)))</formula>
    </cfRule>
  </conditionalFormatting>
  <conditionalFormatting sqref="G245">
    <cfRule type="expression" dxfId="0" priority="1150">
      <formula>COUNTIF(I245:BG245,"&lt;&gt;" &amp; "")&gt;0</formula>
    </cfRule>
    <cfRule type="expression" dxfId="1" priority="1151">
      <formula>AND(COUNTIF(I245:BG245,"&lt;&gt;" &amp; "")&gt;0,NOT(ISBLANK(G245)))</formula>
    </cfRule>
  </conditionalFormatting>
  <conditionalFormatting sqref="G246">
    <cfRule type="expression" dxfId="0" priority="1153">
      <formula>COUNTIF(I246:BG246,"&lt;&gt;" &amp; "")&gt;0</formula>
    </cfRule>
    <cfRule type="expression" dxfId="1" priority="1154">
      <formula>AND(COUNTIF(I246:BG246,"&lt;&gt;" &amp; "")&gt;0,NOT(ISBLANK(G246)))</formula>
    </cfRule>
  </conditionalFormatting>
  <conditionalFormatting sqref="G247">
    <cfRule type="expression" dxfId="0" priority="1156">
      <formula>COUNTIF(I247:BG247,"&lt;&gt;" &amp; "")&gt;0</formula>
    </cfRule>
    <cfRule type="expression" dxfId="1" priority="1157">
      <formula>AND(COUNTIF(I247:BG247,"&lt;&gt;" &amp; "")&gt;0,NOT(ISBLANK(G247)))</formula>
    </cfRule>
  </conditionalFormatting>
  <conditionalFormatting sqref="G248">
    <cfRule type="expression" dxfId="0" priority="1159">
      <formula>COUNTIF(I248:BG248,"&lt;&gt;" &amp; "")&gt;0</formula>
    </cfRule>
    <cfRule type="expression" dxfId="1" priority="1160">
      <formula>AND(COUNTIF(I248:BG248,"&lt;&gt;" &amp; "")&gt;0,NOT(ISBLANK(G248)))</formula>
    </cfRule>
  </conditionalFormatting>
  <conditionalFormatting sqref="G249">
    <cfRule type="expression" dxfId="0" priority="1162">
      <formula>COUNTIF(I249:BG249,"&lt;&gt;" &amp; "")&gt;0</formula>
    </cfRule>
    <cfRule type="expression" dxfId="1" priority="1163">
      <formula>AND(COUNTIF(I249:BG249,"&lt;&gt;" &amp; "")&gt;0,NOT(ISBLANK(G249)))</formula>
    </cfRule>
  </conditionalFormatting>
  <conditionalFormatting sqref="G25">
    <cfRule type="expression" dxfId="0" priority="283">
      <formula>COUNTIF(I25:BG25,"&lt;&gt;" &amp; "")&gt;0</formula>
    </cfRule>
    <cfRule type="expression" dxfId="1" priority="284">
      <formula>AND(COUNTIF(I25:BG25,"&lt;&gt;" &amp; "")&gt;0,NOT(ISBLANK(G25)))</formula>
    </cfRule>
  </conditionalFormatting>
  <conditionalFormatting sqref="G250">
    <cfRule type="expression" dxfId="0" priority="1165">
      <formula>COUNTIF(I250:BG250,"&lt;&gt;" &amp; "")&gt;0</formula>
    </cfRule>
    <cfRule type="expression" dxfId="1" priority="1166">
      <formula>AND(COUNTIF(I250:BG250,"&lt;&gt;" &amp; "")&gt;0,NOT(ISBLANK(G250)))</formula>
    </cfRule>
  </conditionalFormatting>
  <conditionalFormatting sqref="G251">
    <cfRule type="expression" dxfId="0" priority="1168">
      <formula>COUNTIF(I251:BG251,"&lt;&gt;" &amp; "")&gt;0</formula>
    </cfRule>
    <cfRule type="expression" dxfId="1" priority="1169">
      <formula>AND(COUNTIF(I251:BG251,"&lt;&gt;" &amp; "")&gt;0,NOT(ISBLANK(G251)))</formula>
    </cfRule>
  </conditionalFormatting>
  <conditionalFormatting sqref="G252">
    <cfRule type="expression" dxfId="0" priority="1171">
      <formula>COUNTIF(I252:BG252,"&lt;&gt;" &amp; "")&gt;0</formula>
    </cfRule>
    <cfRule type="expression" dxfId="1" priority="1172">
      <formula>AND(COUNTIF(I252:BG252,"&lt;&gt;" &amp; "")&gt;0,NOT(ISBLANK(G252)))</formula>
    </cfRule>
  </conditionalFormatting>
  <conditionalFormatting sqref="G253">
    <cfRule type="expression" dxfId="0" priority="1174">
      <formula>COUNTIF(I253:BG253,"&lt;&gt;" &amp; "")&gt;0</formula>
    </cfRule>
    <cfRule type="expression" dxfId="1" priority="1175">
      <formula>AND(COUNTIF(I253:BG253,"&lt;&gt;" &amp; "")&gt;0,NOT(ISBLANK(G253)))</formula>
    </cfRule>
  </conditionalFormatting>
  <conditionalFormatting sqref="G254">
    <cfRule type="expression" dxfId="0" priority="1177">
      <formula>COUNTIF(I254:BG254,"&lt;&gt;" &amp; "")&gt;0</formula>
    </cfRule>
    <cfRule type="expression" dxfId="1" priority="1178">
      <formula>AND(COUNTIF(I254:BG254,"&lt;&gt;" &amp; "")&gt;0,NOT(ISBLANK(G254)))</formula>
    </cfRule>
  </conditionalFormatting>
  <conditionalFormatting sqref="G255">
    <cfRule type="expression" dxfId="0" priority="1180">
      <formula>COUNTIF(I255:BG255,"&lt;&gt;" &amp; "")&gt;0</formula>
    </cfRule>
    <cfRule type="expression" dxfId="1" priority="1181">
      <formula>AND(COUNTIF(I255:BG255,"&lt;&gt;" &amp; "")&gt;0,NOT(ISBLANK(G255)))</formula>
    </cfRule>
  </conditionalFormatting>
  <conditionalFormatting sqref="G256">
    <cfRule type="expression" dxfId="0" priority="1183">
      <formula>COUNTIF(I256:BG256,"&lt;&gt;" &amp; "")&gt;0</formula>
    </cfRule>
    <cfRule type="expression" dxfId="1" priority="1184">
      <formula>AND(COUNTIF(I256:BG256,"&lt;&gt;" &amp; "")&gt;0,NOT(ISBLANK(G256)))</formula>
    </cfRule>
  </conditionalFormatting>
  <conditionalFormatting sqref="G257">
    <cfRule type="expression" dxfId="0" priority="1186">
      <formula>COUNTIF(I257:BG257,"&lt;&gt;" &amp; "")&gt;0</formula>
    </cfRule>
    <cfRule type="expression" dxfId="1" priority="1187">
      <formula>AND(COUNTIF(I257:BG257,"&lt;&gt;" &amp; "")&gt;0,NOT(ISBLANK(G257)))</formula>
    </cfRule>
  </conditionalFormatting>
  <conditionalFormatting sqref="G258">
    <cfRule type="expression" dxfId="0" priority="1189">
      <formula>COUNTIF(I258:BG258,"&lt;&gt;" &amp; "")&gt;0</formula>
    </cfRule>
    <cfRule type="expression" dxfId="1" priority="1190">
      <formula>AND(COUNTIF(I258:BG258,"&lt;&gt;" &amp; "")&gt;0,NOT(ISBLANK(G258)))</formula>
    </cfRule>
  </conditionalFormatting>
  <conditionalFormatting sqref="G259">
    <cfRule type="expression" dxfId="0" priority="1192">
      <formula>COUNTIF(I259:BG259,"&lt;&gt;" &amp; "")&gt;0</formula>
    </cfRule>
    <cfRule type="expression" dxfId="1" priority="1193">
      <formula>AND(COUNTIF(I259:BG259,"&lt;&gt;" &amp; "")&gt;0,NOT(ISBLANK(G259)))</formula>
    </cfRule>
  </conditionalFormatting>
  <conditionalFormatting sqref="G26">
    <cfRule type="expression" dxfId="0" priority="286">
      <formula>COUNTIF(I26:BG26,"&lt;&gt;" &amp; "")&gt;0</formula>
    </cfRule>
    <cfRule type="expression" dxfId="1" priority="287">
      <formula>AND(COUNTIF(I26:BG26,"&lt;&gt;" &amp; "")&gt;0,NOT(ISBLANK(G26)))</formula>
    </cfRule>
  </conditionalFormatting>
  <conditionalFormatting sqref="G260">
    <cfRule type="expression" dxfId="0" priority="1195">
      <formula>COUNTIF(I260:BG260,"&lt;&gt;" &amp; "")&gt;0</formula>
    </cfRule>
    <cfRule type="expression" dxfId="1" priority="1196">
      <formula>AND(COUNTIF(I260:BG260,"&lt;&gt;" &amp; "")&gt;0,NOT(ISBLANK(G260)))</formula>
    </cfRule>
  </conditionalFormatting>
  <conditionalFormatting sqref="G261">
    <cfRule type="expression" dxfId="0" priority="1198">
      <formula>COUNTIF(I261:BG261,"&lt;&gt;" &amp; "")&gt;0</formula>
    </cfRule>
    <cfRule type="expression" dxfId="1" priority="1199">
      <formula>AND(COUNTIF(I261:BG261,"&lt;&gt;" &amp; "")&gt;0,NOT(ISBLANK(G261)))</formula>
    </cfRule>
  </conditionalFormatting>
  <conditionalFormatting sqref="G262">
    <cfRule type="expression" dxfId="0" priority="1201">
      <formula>COUNTIF(I262:BG262,"&lt;&gt;" &amp; "")&gt;0</formula>
    </cfRule>
    <cfRule type="expression" dxfId="1" priority="1202">
      <formula>AND(COUNTIF(I262:BG262,"&lt;&gt;" &amp; "")&gt;0,NOT(ISBLANK(G262)))</formula>
    </cfRule>
  </conditionalFormatting>
  <conditionalFormatting sqref="G263">
    <cfRule type="expression" dxfId="0" priority="1204">
      <formula>COUNTIF(I263:BG263,"&lt;&gt;" &amp; "")&gt;0</formula>
    </cfRule>
    <cfRule type="expression" dxfId="1" priority="1205">
      <formula>AND(COUNTIF(I263:BG263,"&lt;&gt;" &amp; "")&gt;0,NOT(ISBLANK(G263)))</formula>
    </cfRule>
  </conditionalFormatting>
  <conditionalFormatting sqref="G264">
    <cfRule type="expression" dxfId="0" priority="1207">
      <formula>COUNTIF(I264:BG264,"&lt;&gt;" &amp; "")&gt;0</formula>
    </cfRule>
    <cfRule type="expression" dxfId="1" priority="1208">
      <formula>AND(COUNTIF(I264:BG264,"&lt;&gt;" &amp; "")&gt;0,NOT(ISBLANK(G264)))</formula>
    </cfRule>
  </conditionalFormatting>
  <conditionalFormatting sqref="G265">
    <cfRule type="expression" dxfId="0" priority="1210">
      <formula>COUNTIF(I265:BG265,"&lt;&gt;" &amp; "")&gt;0</formula>
    </cfRule>
    <cfRule type="expression" dxfId="1" priority="1211">
      <formula>AND(COUNTIF(I265:BG265,"&lt;&gt;" &amp; "")&gt;0,NOT(ISBLANK(G265)))</formula>
    </cfRule>
  </conditionalFormatting>
  <conditionalFormatting sqref="G266">
    <cfRule type="expression" dxfId="0" priority="1213">
      <formula>COUNTIF(I266:BG266,"&lt;&gt;" &amp; "")&gt;0</formula>
    </cfRule>
    <cfRule type="expression" dxfId="1" priority="1214">
      <formula>AND(COUNTIF(I266:BG266,"&lt;&gt;" &amp; "")&gt;0,NOT(ISBLANK(G266)))</formula>
    </cfRule>
  </conditionalFormatting>
  <conditionalFormatting sqref="G267">
    <cfRule type="expression" dxfId="0" priority="1216">
      <formula>COUNTIF(I267:BG267,"&lt;&gt;" &amp; "")&gt;0</formula>
    </cfRule>
    <cfRule type="expression" dxfId="1" priority="1217">
      <formula>AND(COUNTIF(I267:BG267,"&lt;&gt;" &amp; "")&gt;0,NOT(ISBLANK(G267)))</formula>
    </cfRule>
  </conditionalFormatting>
  <conditionalFormatting sqref="G268">
    <cfRule type="expression" dxfId="0" priority="1219">
      <formula>COUNTIF(I268:BG268,"&lt;&gt;" &amp; "")&gt;0</formula>
    </cfRule>
    <cfRule type="expression" dxfId="1" priority="1220">
      <formula>AND(COUNTIF(I268:BG268,"&lt;&gt;" &amp; "")&gt;0,NOT(ISBLANK(G268)))</formula>
    </cfRule>
  </conditionalFormatting>
  <conditionalFormatting sqref="G269">
    <cfRule type="expression" dxfId="0" priority="1222">
      <formula>COUNTIF(I269:BG269,"&lt;&gt;" &amp; "")&gt;0</formula>
    </cfRule>
    <cfRule type="expression" dxfId="1" priority="1223">
      <formula>AND(COUNTIF(I269:BG269,"&lt;&gt;" &amp; "")&gt;0,NOT(ISBLANK(G269)))</formula>
    </cfRule>
  </conditionalFormatting>
  <conditionalFormatting sqref="G27">
    <cfRule type="expression" dxfId="0" priority="289">
      <formula>COUNTIF(I27:BG27,"&lt;&gt;" &amp; "")&gt;0</formula>
    </cfRule>
    <cfRule type="expression" dxfId="1" priority="290">
      <formula>AND(COUNTIF(I27:BG27,"&lt;&gt;" &amp; "")&gt;0,NOT(ISBLANK(G27)))</formula>
    </cfRule>
  </conditionalFormatting>
  <conditionalFormatting sqref="G270">
    <cfRule type="expression" dxfId="0" priority="1225">
      <formula>COUNTIF(I270:BG270,"&lt;&gt;" &amp; "")&gt;0</formula>
    </cfRule>
    <cfRule type="expression" dxfId="1" priority="1226">
      <formula>AND(COUNTIF(I270:BG270,"&lt;&gt;" &amp; "")&gt;0,NOT(ISBLANK(G270)))</formula>
    </cfRule>
  </conditionalFormatting>
  <conditionalFormatting sqref="G271">
    <cfRule type="expression" dxfId="0" priority="1228">
      <formula>COUNTIF(I271:BG271,"&lt;&gt;" &amp; "")&gt;0</formula>
    </cfRule>
    <cfRule type="expression" dxfId="1" priority="1229">
      <formula>AND(COUNTIF(I271:BG271,"&lt;&gt;" &amp; "")&gt;0,NOT(ISBLANK(G271)))</formula>
    </cfRule>
  </conditionalFormatting>
  <conditionalFormatting sqref="G272">
    <cfRule type="expression" dxfId="0" priority="1231">
      <formula>COUNTIF(I272:BG272,"&lt;&gt;" &amp; "")&gt;0</formula>
    </cfRule>
    <cfRule type="expression" dxfId="1" priority="1232">
      <formula>AND(COUNTIF(I272:BG272,"&lt;&gt;" &amp; "")&gt;0,NOT(ISBLANK(G272)))</formula>
    </cfRule>
  </conditionalFormatting>
  <conditionalFormatting sqref="G273">
    <cfRule type="expression" dxfId="0" priority="1234">
      <formula>COUNTIF(I273:BG273,"&lt;&gt;" &amp; "")&gt;0</formula>
    </cfRule>
    <cfRule type="expression" dxfId="1" priority="1235">
      <formula>AND(COUNTIF(I273:BG273,"&lt;&gt;" &amp; "")&gt;0,NOT(ISBLANK(G273)))</formula>
    </cfRule>
  </conditionalFormatting>
  <conditionalFormatting sqref="G274">
    <cfRule type="expression" dxfId="0" priority="1237">
      <formula>COUNTIF(I274:BG274,"&lt;&gt;" &amp; "")&gt;0</formula>
    </cfRule>
    <cfRule type="expression" dxfId="1" priority="1238">
      <formula>AND(COUNTIF(I274:BG274,"&lt;&gt;" &amp; "")&gt;0,NOT(ISBLANK(G274)))</formula>
    </cfRule>
  </conditionalFormatting>
  <conditionalFormatting sqref="G275">
    <cfRule type="expression" dxfId="0" priority="1240">
      <formula>COUNTIF(I275:BG275,"&lt;&gt;" &amp; "")&gt;0</formula>
    </cfRule>
    <cfRule type="expression" dxfId="1" priority="1241">
      <formula>AND(COUNTIF(I275:BG275,"&lt;&gt;" &amp; "")&gt;0,NOT(ISBLANK(G275)))</formula>
    </cfRule>
  </conditionalFormatting>
  <conditionalFormatting sqref="G276">
    <cfRule type="expression" dxfId="0" priority="1243">
      <formula>COUNTIF(I276:BG276,"&lt;&gt;" &amp; "")&gt;0</formula>
    </cfRule>
    <cfRule type="expression" dxfId="1" priority="1244">
      <formula>AND(COUNTIF(I276:BG276,"&lt;&gt;" &amp; "")&gt;0,NOT(ISBLANK(G276)))</formula>
    </cfRule>
  </conditionalFormatting>
  <conditionalFormatting sqref="G277">
    <cfRule type="expression" dxfId="0" priority="1246">
      <formula>COUNTIF(I277:BG277,"&lt;&gt;" &amp; "")&gt;0</formula>
    </cfRule>
    <cfRule type="expression" dxfId="1" priority="1247">
      <formula>AND(COUNTIF(I277:BG277,"&lt;&gt;" &amp; "")&gt;0,NOT(ISBLANK(G277)))</formula>
    </cfRule>
  </conditionalFormatting>
  <conditionalFormatting sqref="G278">
    <cfRule type="expression" dxfId="0" priority="1249">
      <formula>COUNTIF(I278:BG278,"&lt;&gt;" &amp; "")&gt;0</formula>
    </cfRule>
    <cfRule type="expression" dxfId="1" priority="1250">
      <formula>AND(COUNTIF(I278:BG278,"&lt;&gt;" &amp; "")&gt;0,NOT(ISBLANK(G278)))</formula>
    </cfRule>
  </conditionalFormatting>
  <conditionalFormatting sqref="G279">
    <cfRule type="expression" dxfId="0" priority="1252">
      <formula>COUNTIF(I279:BG279,"&lt;&gt;" &amp; "")&gt;0</formula>
    </cfRule>
    <cfRule type="expression" dxfId="1" priority="1253">
      <formula>AND(COUNTIF(I279:BG279,"&lt;&gt;" &amp; "")&gt;0,NOT(ISBLANK(G279)))</formula>
    </cfRule>
  </conditionalFormatting>
  <conditionalFormatting sqref="G28">
    <cfRule type="expression" dxfId="0" priority="292">
      <formula>COUNTIF(I28:BG28,"&lt;&gt;" &amp; "")&gt;0</formula>
    </cfRule>
    <cfRule type="expression" dxfId="1" priority="293">
      <formula>AND(COUNTIF(I28:BG28,"&lt;&gt;" &amp; "")&gt;0,NOT(ISBLANK(G28)))</formula>
    </cfRule>
  </conditionalFormatting>
  <conditionalFormatting sqref="G280">
    <cfRule type="expression" dxfId="0" priority="1255">
      <formula>COUNTIF(I280:BG280,"&lt;&gt;" &amp; "")&gt;0</formula>
    </cfRule>
    <cfRule type="expression" dxfId="1" priority="1256">
      <formula>AND(COUNTIF(I280:BG280,"&lt;&gt;" &amp; "")&gt;0,NOT(ISBLANK(G280)))</formula>
    </cfRule>
  </conditionalFormatting>
  <conditionalFormatting sqref="G281">
    <cfRule type="expression" dxfId="0" priority="1258">
      <formula>COUNTIF(I281:BG281,"&lt;&gt;" &amp; "")&gt;0</formula>
    </cfRule>
    <cfRule type="expression" dxfId="1" priority="1259">
      <formula>AND(COUNTIF(I281:BG281,"&lt;&gt;" &amp; "")&gt;0,NOT(ISBLANK(G281)))</formula>
    </cfRule>
  </conditionalFormatting>
  <conditionalFormatting sqref="G282">
    <cfRule type="expression" dxfId="0" priority="1261">
      <formula>COUNTIF(I282:BG282,"&lt;&gt;" &amp; "")&gt;0</formula>
    </cfRule>
    <cfRule type="expression" dxfId="1" priority="1262">
      <formula>AND(COUNTIF(I282:BG282,"&lt;&gt;" &amp; "")&gt;0,NOT(ISBLANK(G282)))</formula>
    </cfRule>
  </conditionalFormatting>
  <conditionalFormatting sqref="G283">
    <cfRule type="expression" dxfId="0" priority="1264">
      <formula>COUNTIF(I283:BG283,"&lt;&gt;" &amp; "")&gt;0</formula>
    </cfRule>
    <cfRule type="expression" dxfId="1" priority="1265">
      <formula>AND(COUNTIF(I283:BG283,"&lt;&gt;" &amp; "")&gt;0,NOT(ISBLANK(G283)))</formula>
    </cfRule>
  </conditionalFormatting>
  <conditionalFormatting sqref="G284">
    <cfRule type="expression" dxfId="0" priority="1267">
      <formula>COUNTIF(I284:BG284,"&lt;&gt;" &amp; "")&gt;0</formula>
    </cfRule>
    <cfRule type="expression" dxfId="1" priority="1268">
      <formula>AND(COUNTIF(I284:BG284,"&lt;&gt;" &amp; "")&gt;0,NOT(ISBLANK(G284)))</formula>
    </cfRule>
  </conditionalFormatting>
  <conditionalFormatting sqref="G285">
    <cfRule type="expression" dxfId="0" priority="1270">
      <formula>COUNTIF(I285:BG285,"&lt;&gt;" &amp; "")&gt;0</formula>
    </cfRule>
    <cfRule type="expression" dxfId="1" priority="1271">
      <formula>AND(COUNTIF(I285:BG285,"&lt;&gt;" &amp; "")&gt;0,NOT(ISBLANK(G285)))</formula>
    </cfRule>
  </conditionalFormatting>
  <conditionalFormatting sqref="G286">
    <cfRule type="expression" dxfId="0" priority="1273">
      <formula>COUNTIF(I286:BG286,"&lt;&gt;" &amp; "")&gt;0</formula>
    </cfRule>
    <cfRule type="expression" dxfId="1" priority="1274">
      <formula>AND(COUNTIF(I286:BG286,"&lt;&gt;" &amp; "")&gt;0,NOT(ISBLANK(G286)))</formula>
    </cfRule>
  </conditionalFormatting>
  <conditionalFormatting sqref="G287">
    <cfRule type="expression" dxfId="0" priority="1276">
      <formula>COUNTIF(I287:BG287,"&lt;&gt;" &amp; "")&gt;0</formula>
    </cfRule>
    <cfRule type="expression" dxfId="1" priority="1277">
      <formula>AND(COUNTIF(I287:BG287,"&lt;&gt;" &amp; "")&gt;0,NOT(ISBLANK(G287)))</formula>
    </cfRule>
  </conditionalFormatting>
  <conditionalFormatting sqref="G288">
    <cfRule type="expression" dxfId="0" priority="1279">
      <formula>COUNTIF(I288:BG288,"&lt;&gt;" &amp; "")&gt;0</formula>
    </cfRule>
    <cfRule type="expression" dxfId="1" priority="1280">
      <formula>AND(COUNTIF(I288:BG288,"&lt;&gt;" &amp; "")&gt;0,NOT(ISBLANK(G288)))</formula>
    </cfRule>
  </conditionalFormatting>
  <conditionalFormatting sqref="G289">
    <cfRule type="expression" dxfId="0" priority="1282">
      <formula>COUNTIF(I289:BG289,"&lt;&gt;" &amp; "")&gt;0</formula>
    </cfRule>
    <cfRule type="expression" dxfId="1" priority="1283">
      <formula>AND(COUNTIF(I289:BG289,"&lt;&gt;" &amp; "")&gt;0,NOT(ISBLANK(G289)))</formula>
    </cfRule>
  </conditionalFormatting>
  <conditionalFormatting sqref="G29">
    <cfRule type="expression" dxfId="0" priority="295">
      <formula>COUNTIF(I29:BG29,"&lt;&gt;" &amp; "")&gt;0</formula>
    </cfRule>
    <cfRule type="expression" dxfId="1" priority="296">
      <formula>AND(COUNTIF(I29:BG29,"&lt;&gt;" &amp; "")&gt;0,NOT(ISBLANK(G29)))</formula>
    </cfRule>
  </conditionalFormatting>
  <conditionalFormatting sqref="G290">
    <cfRule type="expression" dxfId="0" priority="1285">
      <formula>COUNTIF(I290:BG290,"&lt;&gt;" &amp; "")&gt;0</formula>
    </cfRule>
    <cfRule type="expression" dxfId="1" priority="1286">
      <formula>AND(COUNTIF(I290:BG290,"&lt;&gt;" &amp; "")&gt;0,NOT(ISBLANK(G290)))</formula>
    </cfRule>
  </conditionalFormatting>
  <conditionalFormatting sqref="G291">
    <cfRule type="expression" dxfId="0" priority="1288">
      <formula>COUNTIF(I291:BG291,"&lt;&gt;" &amp; "")&gt;0</formula>
    </cfRule>
    <cfRule type="expression" dxfId="1" priority="1289">
      <formula>AND(COUNTIF(I291:BG291,"&lt;&gt;" &amp; "")&gt;0,NOT(ISBLANK(G291)))</formula>
    </cfRule>
  </conditionalFormatting>
  <conditionalFormatting sqref="G292">
    <cfRule type="expression" dxfId="0" priority="1291">
      <formula>COUNTIF(I292:BG292,"&lt;&gt;" &amp; "")&gt;0</formula>
    </cfRule>
    <cfRule type="expression" dxfId="1" priority="1292">
      <formula>AND(COUNTIF(I292:BG292,"&lt;&gt;" &amp; "")&gt;0,NOT(ISBLANK(G292)))</formula>
    </cfRule>
  </conditionalFormatting>
  <conditionalFormatting sqref="G293">
    <cfRule type="expression" dxfId="0" priority="1294">
      <formula>COUNTIF(I293:BG293,"&lt;&gt;" &amp; "")&gt;0</formula>
    </cfRule>
    <cfRule type="expression" dxfId="1" priority="1295">
      <formula>AND(COUNTIF(I293:BG293,"&lt;&gt;" &amp; "")&gt;0,NOT(ISBLANK(G293)))</formula>
    </cfRule>
  </conditionalFormatting>
  <conditionalFormatting sqref="G294">
    <cfRule type="expression" dxfId="0" priority="1297">
      <formula>COUNTIF(I294:BG294,"&lt;&gt;" &amp; "")&gt;0</formula>
    </cfRule>
    <cfRule type="expression" dxfId="1" priority="1298">
      <formula>AND(COUNTIF(I294:BG294,"&lt;&gt;" &amp; "")&gt;0,NOT(ISBLANK(G294)))</formula>
    </cfRule>
  </conditionalFormatting>
  <conditionalFormatting sqref="G295">
    <cfRule type="expression" dxfId="0" priority="1300">
      <formula>COUNTIF(I295:BG295,"&lt;&gt;" &amp; "")&gt;0</formula>
    </cfRule>
    <cfRule type="expression" dxfId="1" priority="1301">
      <formula>AND(COUNTIF(I295:BG295,"&lt;&gt;" &amp; "")&gt;0,NOT(ISBLANK(G295)))</formula>
    </cfRule>
  </conditionalFormatting>
  <conditionalFormatting sqref="G296">
    <cfRule type="expression" dxfId="0" priority="1303">
      <formula>COUNTIF(I296:BG296,"&lt;&gt;" &amp; "")&gt;0</formula>
    </cfRule>
    <cfRule type="expression" dxfId="1" priority="1304">
      <formula>AND(COUNTIF(I296:BG296,"&lt;&gt;" &amp; "")&gt;0,NOT(ISBLANK(G296)))</formula>
    </cfRule>
  </conditionalFormatting>
  <conditionalFormatting sqref="G297">
    <cfRule type="expression" dxfId="0" priority="1306">
      <formula>COUNTIF(I297:BG297,"&lt;&gt;" &amp; "")&gt;0</formula>
    </cfRule>
    <cfRule type="expression" dxfId="1" priority="1307">
      <formula>AND(COUNTIF(I297:BG297,"&lt;&gt;" &amp; "")&gt;0,NOT(ISBLANK(G297)))</formula>
    </cfRule>
  </conditionalFormatting>
  <conditionalFormatting sqref="G298">
    <cfRule type="expression" dxfId="0" priority="1309">
      <formula>COUNTIF(I298:BG298,"&lt;&gt;" &amp; "")&gt;0</formula>
    </cfRule>
    <cfRule type="expression" dxfId="1" priority="1310">
      <formula>AND(COUNTIF(I298:BG298,"&lt;&gt;" &amp; "")&gt;0,NOT(ISBLANK(G298)))</formula>
    </cfRule>
  </conditionalFormatting>
  <conditionalFormatting sqref="G299">
    <cfRule type="expression" dxfId="0" priority="1312">
      <formula>COUNTIF(I299:BG299,"&lt;&gt;" &amp; "")&gt;0</formula>
    </cfRule>
    <cfRule type="expression" dxfId="1" priority="1313">
      <formula>AND(COUNTIF(I299:BG299,"&lt;&gt;" &amp; "")&gt;0,NOT(ISBLANK(G299)))</formula>
    </cfRule>
  </conditionalFormatting>
  <conditionalFormatting sqref="G30">
    <cfRule type="expression" dxfId="0" priority="298">
      <formula>COUNTIF(I30:BG30,"&lt;&gt;" &amp; "")&gt;0</formula>
    </cfRule>
    <cfRule type="expression" dxfId="1" priority="299">
      <formula>AND(COUNTIF(I30:BG30,"&lt;&gt;" &amp; "")&gt;0,NOT(ISBLANK(G30)))</formula>
    </cfRule>
  </conditionalFormatting>
  <conditionalFormatting sqref="G300">
    <cfRule type="expression" dxfId="0" priority="1315">
      <formula>COUNTIF(I300:BG300,"&lt;&gt;" &amp; "")&gt;0</formula>
    </cfRule>
    <cfRule type="expression" dxfId="1" priority="1316">
      <formula>AND(COUNTIF(I300:BG300,"&lt;&gt;" &amp; "")&gt;0,NOT(ISBLANK(G300)))</formula>
    </cfRule>
  </conditionalFormatting>
  <conditionalFormatting sqref="G301">
    <cfRule type="expression" dxfId="0" priority="1318">
      <formula>COUNTIF(I301:BG301,"&lt;&gt;" &amp; "")&gt;0</formula>
    </cfRule>
    <cfRule type="expression" dxfId="1" priority="1319">
      <formula>AND(COUNTIF(I301:BG301,"&lt;&gt;" &amp; "")&gt;0,NOT(ISBLANK(G301)))</formula>
    </cfRule>
  </conditionalFormatting>
  <conditionalFormatting sqref="G302">
    <cfRule type="expression" dxfId="0" priority="1321">
      <formula>COUNTIF(I302:BG302,"&lt;&gt;" &amp; "")&gt;0</formula>
    </cfRule>
    <cfRule type="expression" dxfId="1" priority="1322">
      <formula>AND(COUNTIF(I302:BG302,"&lt;&gt;" &amp; "")&gt;0,NOT(ISBLANK(G302)))</formula>
    </cfRule>
  </conditionalFormatting>
  <conditionalFormatting sqref="G303">
    <cfRule type="expression" dxfId="0" priority="1324">
      <formula>COUNTIF(I303:BG303,"&lt;&gt;" &amp; "")&gt;0</formula>
    </cfRule>
    <cfRule type="expression" dxfId="1" priority="1325">
      <formula>AND(COUNTIF(I303:BG303,"&lt;&gt;" &amp; "")&gt;0,NOT(ISBLANK(G303)))</formula>
    </cfRule>
  </conditionalFormatting>
  <conditionalFormatting sqref="G304">
    <cfRule type="expression" dxfId="0" priority="1327">
      <formula>COUNTIF(I304:BG304,"&lt;&gt;" &amp; "")&gt;0</formula>
    </cfRule>
    <cfRule type="expression" dxfId="1" priority="1328">
      <formula>AND(COUNTIF(I304:BG304,"&lt;&gt;" &amp; "")&gt;0,NOT(ISBLANK(G304)))</formula>
    </cfRule>
  </conditionalFormatting>
  <conditionalFormatting sqref="G305">
    <cfRule type="expression" dxfId="0" priority="1330">
      <formula>COUNTIF(I305:BG305,"&lt;&gt;" &amp; "")&gt;0</formula>
    </cfRule>
    <cfRule type="expression" dxfId="1" priority="1331">
      <formula>AND(COUNTIF(I305:BG305,"&lt;&gt;" &amp; "")&gt;0,NOT(ISBLANK(G305)))</formula>
    </cfRule>
  </conditionalFormatting>
  <conditionalFormatting sqref="G306">
    <cfRule type="expression" dxfId="0" priority="1333">
      <formula>COUNTIF(I306:BG306,"&lt;&gt;" &amp; "")&gt;0</formula>
    </cfRule>
    <cfRule type="expression" dxfId="1" priority="1334">
      <formula>AND(COUNTIF(I306:BG306,"&lt;&gt;" &amp; "")&gt;0,NOT(ISBLANK(G306)))</formula>
    </cfRule>
  </conditionalFormatting>
  <conditionalFormatting sqref="G307">
    <cfRule type="expression" dxfId="0" priority="1336">
      <formula>COUNTIF(I307:BG307,"&lt;&gt;" &amp; "")&gt;0</formula>
    </cfRule>
    <cfRule type="expression" dxfId="1" priority="1337">
      <formula>AND(COUNTIF(I307:BG307,"&lt;&gt;" &amp; "")&gt;0,NOT(ISBLANK(G307)))</formula>
    </cfRule>
  </conditionalFormatting>
  <conditionalFormatting sqref="G308">
    <cfRule type="expression" dxfId="0" priority="1339">
      <formula>COUNTIF(I308:BG308,"&lt;&gt;" &amp; "")&gt;0</formula>
    </cfRule>
    <cfRule type="expression" dxfId="1" priority="1340">
      <formula>AND(COUNTIF(I308:BG308,"&lt;&gt;" &amp; "")&gt;0,NOT(ISBLANK(G308)))</formula>
    </cfRule>
  </conditionalFormatting>
  <conditionalFormatting sqref="G309">
    <cfRule type="expression" dxfId="0" priority="1342">
      <formula>COUNTIF(I309:BG309,"&lt;&gt;" &amp; "")&gt;0</formula>
    </cfRule>
    <cfRule type="expression" dxfId="1" priority="1343">
      <formula>AND(COUNTIF(I309:BG309,"&lt;&gt;" &amp; "")&gt;0,NOT(ISBLANK(G309)))</formula>
    </cfRule>
  </conditionalFormatting>
  <conditionalFormatting sqref="G31">
    <cfRule type="expression" dxfId="0" priority="301">
      <formula>COUNTIF(I31:BG31,"&lt;&gt;" &amp; "")&gt;0</formula>
    </cfRule>
    <cfRule type="expression" dxfId="1" priority="302">
      <formula>AND(COUNTIF(I31:BG31,"&lt;&gt;" &amp; "")&gt;0,NOT(ISBLANK(G31)))</formula>
    </cfRule>
  </conditionalFormatting>
  <conditionalFormatting sqref="G310">
    <cfRule type="expression" dxfId="0" priority="1345">
      <formula>COUNTIF(I310:BG310,"&lt;&gt;" &amp; "")&gt;0</formula>
    </cfRule>
    <cfRule type="expression" dxfId="1" priority="1346">
      <formula>AND(COUNTIF(I310:BG310,"&lt;&gt;" &amp; "")&gt;0,NOT(ISBLANK(G310)))</formula>
    </cfRule>
  </conditionalFormatting>
  <conditionalFormatting sqref="G311">
    <cfRule type="expression" dxfId="0" priority="1348">
      <formula>COUNTIF(I311:BG311,"&lt;&gt;" &amp; "")&gt;0</formula>
    </cfRule>
    <cfRule type="expression" dxfId="1" priority="1349">
      <formula>AND(COUNTIF(I311:BG311,"&lt;&gt;" &amp; "")&gt;0,NOT(ISBLANK(G311)))</formula>
    </cfRule>
  </conditionalFormatting>
  <conditionalFormatting sqref="G312">
    <cfRule type="expression" dxfId="0" priority="1351">
      <formula>COUNTIF(I312:BG312,"&lt;&gt;" &amp; "")&gt;0</formula>
    </cfRule>
    <cfRule type="expression" dxfId="1" priority="1352">
      <formula>AND(COUNTIF(I312:BG312,"&lt;&gt;" &amp; "")&gt;0,NOT(ISBLANK(G312)))</formula>
    </cfRule>
  </conditionalFormatting>
  <conditionalFormatting sqref="G313">
    <cfRule type="expression" dxfId="0" priority="1354">
      <formula>COUNTIF(I313:BG313,"&lt;&gt;" &amp; "")&gt;0</formula>
    </cfRule>
    <cfRule type="expression" dxfId="1" priority="1355">
      <formula>AND(COUNTIF(I313:BG313,"&lt;&gt;" &amp; "")&gt;0,NOT(ISBLANK(G313)))</formula>
    </cfRule>
  </conditionalFormatting>
  <conditionalFormatting sqref="G314">
    <cfRule type="expression" dxfId="0" priority="1357">
      <formula>COUNTIF(I314:BG314,"&lt;&gt;" &amp; "")&gt;0</formula>
    </cfRule>
    <cfRule type="expression" dxfId="1" priority="1358">
      <formula>AND(COUNTIF(I314:BG314,"&lt;&gt;" &amp; "")&gt;0,NOT(ISBLANK(G314)))</formula>
    </cfRule>
  </conditionalFormatting>
  <conditionalFormatting sqref="G315">
    <cfRule type="expression" dxfId="0" priority="1360">
      <formula>COUNTIF(I315:BG315,"&lt;&gt;" &amp; "")&gt;0</formula>
    </cfRule>
    <cfRule type="expression" dxfId="1" priority="1361">
      <formula>AND(COUNTIF(I315:BG315,"&lt;&gt;" &amp; "")&gt;0,NOT(ISBLANK(G315)))</formula>
    </cfRule>
  </conditionalFormatting>
  <conditionalFormatting sqref="G316">
    <cfRule type="expression" dxfId="0" priority="1363">
      <formula>COUNTIF(I316:BG316,"&lt;&gt;" &amp; "")&gt;0</formula>
    </cfRule>
    <cfRule type="expression" dxfId="1" priority="1364">
      <formula>AND(COUNTIF(I316:BG316,"&lt;&gt;" &amp; "")&gt;0,NOT(ISBLANK(G316)))</formula>
    </cfRule>
  </conditionalFormatting>
  <conditionalFormatting sqref="G317">
    <cfRule type="expression" dxfId="0" priority="1366">
      <formula>COUNTIF(I317:BG317,"&lt;&gt;" &amp; "")&gt;0</formula>
    </cfRule>
    <cfRule type="expression" dxfId="1" priority="1367">
      <formula>AND(COUNTIF(I317:BG317,"&lt;&gt;" &amp; "")&gt;0,NOT(ISBLANK(G317)))</formula>
    </cfRule>
  </conditionalFormatting>
  <conditionalFormatting sqref="G318">
    <cfRule type="expression" dxfId="0" priority="1369">
      <formula>COUNTIF(I318:BG318,"&lt;&gt;" &amp; "")&gt;0</formula>
    </cfRule>
    <cfRule type="expression" dxfId="1" priority="1370">
      <formula>AND(COUNTIF(I318:BG318,"&lt;&gt;" &amp; "")&gt;0,NOT(ISBLANK(G318)))</formula>
    </cfRule>
  </conditionalFormatting>
  <conditionalFormatting sqref="G319">
    <cfRule type="expression" dxfId="0" priority="1372">
      <formula>COUNTIF(I319:BG319,"&lt;&gt;" &amp; "")&gt;0</formula>
    </cfRule>
    <cfRule type="expression" dxfId="1" priority="1373">
      <formula>AND(COUNTIF(I319:BG319,"&lt;&gt;" &amp; "")&gt;0,NOT(ISBLANK(G319)))</formula>
    </cfRule>
  </conditionalFormatting>
  <conditionalFormatting sqref="G32">
    <cfRule type="expression" dxfId="0" priority="304">
      <formula>COUNTIF(I32:BG32,"&lt;&gt;" &amp; "")&gt;0</formula>
    </cfRule>
    <cfRule type="expression" dxfId="1" priority="305">
      <formula>AND(COUNTIF(I32:BG32,"&lt;&gt;" &amp; "")&gt;0,NOT(ISBLANK(G32)))</formula>
    </cfRule>
  </conditionalFormatting>
  <conditionalFormatting sqref="G320">
    <cfRule type="expression" dxfId="0" priority="1375">
      <formula>COUNTIF(I320:BG320,"&lt;&gt;" &amp; "")&gt;0</formula>
    </cfRule>
    <cfRule type="expression" dxfId="1" priority="1376">
      <formula>AND(COUNTIF(I320:BG320,"&lt;&gt;" &amp; "")&gt;0,NOT(ISBLANK(G320)))</formula>
    </cfRule>
  </conditionalFormatting>
  <conditionalFormatting sqref="G321">
    <cfRule type="expression" dxfId="0" priority="1378">
      <formula>COUNTIF(I321:BG321,"&lt;&gt;" &amp; "")&gt;0</formula>
    </cfRule>
    <cfRule type="expression" dxfId="1" priority="1379">
      <formula>AND(COUNTIF(I321:BG321,"&lt;&gt;" &amp; "")&gt;0,NOT(ISBLANK(G321)))</formula>
    </cfRule>
  </conditionalFormatting>
  <conditionalFormatting sqref="G322">
    <cfRule type="expression" dxfId="0" priority="1381">
      <formula>COUNTIF(I322:BG322,"&lt;&gt;" &amp; "")&gt;0</formula>
    </cfRule>
    <cfRule type="expression" dxfId="1" priority="1382">
      <formula>AND(COUNTIF(I322:BG322,"&lt;&gt;" &amp; "")&gt;0,NOT(ISBLANK(G322)))</formula>
    </cfRule>
  </conditionalFormatting>
  <conditionalFormatting sqref="G323">
    <cfRule type="expression" dxfId="0" priority="1384">
      <formula>COUNTIF(I323:BG323,"&lt;&gt;" &amp; "")&gt;0</formula>
    </cfRule>
    <cfRule type="expression" dxfId="1" priority="1385">
      <formula>AND(COUNTIF(I323:BG323,"&lt;&gt;" &amp; "")&gt;0,NOT(ISBLANK(G323)))</formula>
    </cfRule>
  </conditionalFormatting>
  <conditionalFormatting sqref="G324">
    <cfRule type="expression" dxfId="0" priority="1387">
      <formula>COUNTIF(I324:BG324,"&lt;&gt;" &amp; "")&gt;0</formula>
    </cfRule>
    <cfRule type="expression" dxfId="1" priority="1388">
      <formula>AND(COUNTIF(I324:BG324,"&lt;&gt;" &amp; "")&gt;0,NOT(ISBLANK(G324)))</formula>
    </cfRule>
  </conditionalFormatting>
  <conditionalFormatting sqref="G325">
    <cfRule type="expression" dxfId="0" priority="1390">
      <formula>COUNTIF(I325:BG325,"&lt;&gt;" &amp; "")&gt;0</formula>
    </cfRule>
    <cfRule type="expression" dxfId="1" priority="1391">
      <formula>AND(COUNTIF(I325:BG325,"&lt;&gt;" &amp; "")&gt;0,NOT(ISBLANK(G325)))</formula>
    </cfRule>
  </conditionalFormatting>
  <conditionalFormatting sqref="G33">
    <cfRule type="expression" dxfId="0" priority="307">
      <formula>COUNTIF(I33:BG33,"&lt;&gt;" &amp; "")&gt;0</formula>
    </cfRule>
    <cfRule type="expression" dxfId="1" priority="308">
      <formula>AND(COUNTIF(I33:BG33,"&lt;&gt;" &amp; "")&gt;0,NOT(ISBLANK(G33)))</formula>
    </cfRule>
  </conditionalFormatting>
  <conditionalFormatting sqref="G331">
    <cfRule type="cellIs" dxfId="2" priority="1401" operator="equal">
      <formula>"Y"</formula>
    </cfRule>
    <cfRule type="cellIs" dxfId="3" priority="1402" operator="equal">
      <formula>"N"</formula>
    </cfRule>
  </conditionalFormatting>
  <conditionalFormatting sqref="G332">
    <cfRule type="cellIs" dxfId="2" priority="1423" operator="equal">
      <formula>"Y"</formula>
    </cfRule>
    <cfRule type="cellIs" dxfId="3" priority="1424" operator="equal">
      <formula>"N"</formula>
    </cfRule>
  </conditionalFormatting>
  <conditionalFormatting sqref="G333">
    <cfRule type="cellIs" dxfId="2" priority="1445" operator="equal">
      <formula>"Y"</formula>
    </cfRule>
    <cfRule type="cellIs" dxfId="3" priority="1446" operator="equal">
      <formula>"N"</formula>
    </cfRule>
  </conditionalFormatting>
  <conditionalFormatting sqref="G334">
    <cfRule type="cellIs" dxfId="2" priority="1467" operator="equal">
      <formula>"Y"</formula>
    </cfRule>
    <cfRule type="cellIs" dxfId="3" priority="1468" operator="equal">
      <formula>"N"</formula>
    </cfRule>
  </conditionalFormatting>
  <conditionalFormatting sqref="G335">
    <cfRule type="cellIs" dxfId="2" priority="1489" operator="equal">
      <formula>"Y"</formula>
    </cfRule>
    <cfRule type="cellIs" dxfId="3" priority="1490" operator="equal">
      <formula>"N"</formula>
    </cfRule>
  </conditionalFormatting>
  <conditionalFormatting sqref="G337">
    <cfRule type="cellIs" dxfId="2" priority="1535" operator="equal">
      <formula>"Y"</formula>
    </cfRule>
    <cfRule type="cellIs" dxfId="3" priority="1536" operator="equal">
      <formula>"N"</formula>
    </cfRule>
  </conditionalFormatting>
  <conditionalFormatting sqref="G338">
    <cfRule type="cellIs" dxfId="2" priority="1557" operator="equal">
      <formula>"Y"</formula>
    </cfRule>
    <cfRule type="cellIs" dxfId="3" priority="1558" operator="equal">
      <formula>"N"</formula>
    </cfRule>
  </conditionalFormatting>
  <conditionalFormatting sqref="G339">
    <cfRule type="cellIs" dxfId="2" priority="1579" operator="equal">
      <formula>"Y"</formula>
    </cfRule>
    <cfRule type="cellIs" dxfId="3" priority="1580" operator="equal">
      <formula>"N"</formula>
    </cfRule>
  </conditionalFormatting>
  <conditionalFormatting sqref="G34">
    <cfRule type="expression" dxfId="0" priority="310">
      <formula>COUNTIF(I34:BG34,"&lt;&gt;" &amp; "")&gt;0</formula>
    </cfRule>
    <cfRule type="expression" dxfId="1" priority="311">
      <formula>AND(COUNTIF(I34:BG34,"&lt;&gt;" &amp; "")&gt;0,NOT(ISBLANK(G34)))</formula>
    </cfRule>
  </conditionalFormatting>
  <conditionalFormatting sqref="G340">
    <cfRule type="cellIs" dxfId="2" priority="1601" operator="equal">
      <formula>"Y"</formula>
    </cfRule>
    <cfRule type="cellIs" dxfId="3" priority="1602" operator="equal">
      <formula>"N"</formula>
    </cfRule>
  </conditionalFormatting>
  <conditionalFormatting sqref="G341">
    <cfRule type="cellIs" dxfId="2" priority="1623" operator="equal">
      <formula>"Y"</formula>
    </cfRule>
    <cfRule type="cellIs" dxfId="3" priority="1624" operator="equal">
      <formula>"N"</formula>
    </cfRule>
  </conditionalFormatting>
  <conditionalFormatting sqref="G342">
    <cfRule type="cellIs" dxfId="2" priority="1645" operator="equal">
      <formula>"Y"</formula>
    </cfRule>
    <cfRule type="cellIs" dxfId="3" priority="1646" operator="equal">
      <formula>"N"</formula>
    </cfRule>
  </conditionalFormatting>
  <conditionalFormatting sqref="G345">
    <cfRule type="expression" dxfId="0" priority="1657">
      <formula>COUNTIF(I345:BG345,"&lt;&gt;" &amp; "")&gt;0</formula>
    </cfRule>
    <cfRule type="expression" dxfId="1" priority="1658">
      <formula>AND(COUNTIF(I345:BG345,"&lt;&gt;" &amp; "")&gt;0,NOT(ISBLANK(G345)))</formula>
    </cfRule>
  </conditionalFormatting>
  <conditionalFormatting sqref="G346">
    <cfRule type="expression" dxfId="0" priority="1660">
      <formula>COUNTIF(I346:BG346,"&lt;&gt;" &amp; "")&gt;0</formula>
    </cfRule>
    <cfRule type="expression" dxfId="1" priority="1661">
      <formula>AND(COUNTIF(I346:BG346,"&lt;&gt;" &amp; "")&gt;0,NOT(ISBLANK(G346)))</formula>
    </cfRule>
  </conditionalFormatting>
  <conditionalFormatting sqref="G347">
    <cfRule type="expression" dxfId="0" priority="1663">
      <formula>COUNTIF(I347:BG347,"&lt;&gt;" &amp; "")&gt;0</formula>
    </cfRule>
    <cfRule type="expression" dxfId="1" priority="1664">
      <formula>AND(COUNTIF(I347:BG347,"&lt;&gt;" &amp; "")&gt;0,NOT(ISBLANK(G347)))</formula>
    </cfRule>
  </conditionalFormatting>
  <conditionalFormatting sqref="G348">
    <cfRule type="expression" dxfId="0" priority="1666">
      <formula>COUNTIF(I348:BG348,"&lt;&gt;" &amp; "")&gt;0</formula>
    </cfRule>
    <cfRule type="expression" dxfId="1" priority="1667">
      <formula>AND(COUNTIF(I348:BG348,"&lt;&gt;" &amp; "")&gt;0,NOT(ISBLANK(G348)))</formula>
    </cfRule>
  </conditionalFormatting>
  <conditionalFormatting sqref="G349">
    <cfRule type="expression" dxfId="0" priority="1669">
      <formula>COUNTIF(I349:BG349,"&lt;&gt;" &amp; "")&gt;0</formula>
    </cfRule>
    <cfRule type="expression" dxfId="1" priority="1670">
      <formula>AND(COUNTIF(I349:BG349,"&lt;&gt;" &amp; "")&gt;0,NOT(ISBLANK(G349)))</formula>
    </cfRule>
  </conditionalFormatting>
  <conditionalFormatting sqref="G35">
    <cfRule type="expression" dxfId="0" priority="313">
      <formula>COUNTIF(I35:BG35,"&lt;&gt;" &amp; "")&gt;0</formula>
    </cfRule>
    <cfRule type="expression" dxfId="1" priority="314">
      <formula>AND(COUNTIF(I35:BG35,"&lt;&gt;" &amp; "")&gt;0,NOT(ISBLANK(G35)))</formula>
    </cfRule>
  </conditionalFormatting>
  <conditionalFormatting sqref="G350">
    <cfRule type="expression" dxfId="0" priority="1672">
      <formula>COUNTIF(I350:BG350,"&lt;&gt;" &amp; "")&gt;0</formula>
    </cfRule>
    <cfRule type="expression" dxfId="1" priority="1673">
      <formula>AND(COUNTIF(I350:BG350,"&lt;&gt;" &amp; "")&gt;0,NOT(ISBLANK(G350)))</formula>
    </cfRule>
  </conditionalFormatting>
  <conditionalFormatting sqref="G351">
    <cfRule type="expression" dxfId="0" priority="1675">
      <formula>COUNTIF(I351:BG351,"&lt;&gt;" &amp; "")&gt;0</formula>
    </cfRule>
    <cfRule type="expression" dxfId="1" priority="1676">
      <formula>AND(COUNTIF(I351:BG351,"&lt;&gt;" &amp; "")&gt;0,NOT(ISBLANK(G351)))</formula>
    </cfRule>
  </conditionalFormatting>
  <conditionalFormatting sqref="G352">
    <cfRule type="expression" dxfId="0" priority="1678">
      <formula>COUNTIF(I352:BG352,"&lt;&gt;" &amp; "")&gt;0</formula>
    </cfRule>
    <cfRule type="expression" dxfId="1" priority="1679">
      <formula>AND(COUNTIF(I352:BG352,"&lt;&gt;" &amp; "")&gt;0,NOT(ISBLANK(G352)))</formula>
    </cfRule>
  </conditionalFormatting>
  <conditionalFormatting sqref="G353">
    <cfRule type="expression" dxfId="0" priority="1681">
      <formula>COUNTIF(I353:BG353,"&lt;&gt;" &amp; "")&gt;0</formula>
    </cfRule>
    <cfRule type="expression" dxfId="1" priority="1682">
      <formula>AND(COUNTIF(I353:BG353,"&lt;&gt;" &amp; "")&gt;0,NOT(ISBLANK(G353)))</formula>
    </cfRule>
  </conditionalFormatting>
  <conditionalFormatting sqref="G354">
    <cfRule type="expression" dxfId="0" priority="1684">
      <formula>COUNTIF(I354:BG354,"&lt;&gt;" &amp; "")&gt;0</formula>
    </cfRule>
    <cfRule type="expression" dxfId="1" priority="1685">
      <formula>AND(COUNTIF(I354:BG354,"&lt;&gt;" &amp; "")&gt;0,NOT(ISBLANK(G354)))</formula>
    </cfRule>
  </conditionalFormatting>
  <conditionalFormatting sqref="G355">
    <cfRule type="expression" dxfId="0" priority="1687">
      <formula>COUNTIF(I355:BG355,"&lt;&gt;" &amp; "")&gt;0</formula>
    </cfRule>
    <cfRule type="expression" dxfId="1" priority="1688">
      <formula>AND(COUNTIF(I355:BG355,"&lt;&gt;" &amp; "")&gt;0,NOT(ISBLANK(G355)))</formula>
    </cfRule>
  </conditionalFormatting>
  <conditionalFormatting sqref="G356">
    <cfRule type="expression" dxfId="0" priority="1690">
      <formula>COUNTIF(I356:BG356,"&lt;&gt;" &amp; "")&gt;0</formula>
    </cfRule>
    <cfRule type="expression" dxfId="1" priority="1691">
      <formula>AND(COUNTIF(I356:BG356,"&lt;&gt;" &amp; "")&gt;0,NOT(ISBLANK(G356)))</formula>
    </cfRule>
  </conditionalFormatting>
  <conditionalFormatting sqref="G357">
    <cfRule type="expression" dxfId="0" priority="1693">
      <formula>COUNTIF(I357:BG357,"&lt;&gt;" &amp; "")&gt;0</formula>
    </cfRule>
    <cfRule type="expression" dxfId="1" priority="1694">
      <formula>AND(COUNTIF(I357:BG357,"&lt;&gt;" &amp; "")&gt;0,NOT(ISBLANK(G357)))</formula>
    </cfRule>
  </conditionalFormatting>
  <conditionalFormatting sqref="G358">
    <cfRule type="expression" dxfId="0" priority="1696">
      <formula>COUNTIF(I358:BG358,"&lt;&gt;" &amp; "")&gt;0</formula>
    </cfRule>
    <cfRule type="expression" dxfId="1" priority="1697">
      <formula>AND(COUNTIF(I358:BG358,"&lt;&gt;" &amp; "")&gt;0,NOT(ISBLANK(G358)))</formula>
    </cfRule>
  </conditionalFormatting>
  <conditionalFormatting sqref="G359">
    <cfRule type="expression" dxfId="0" priority="1699">
      <formula>COUNTIF(I359:BG359,"&lt;&gt;" &amp; "")&gt;0</formula>
    </cfRule>
    <cfRule type="expression" dxfId="1" priority="1700">
      <formula>AND(COUNTIF(I359:BG359,"&lt;&gt;" &amp; "")&gt;0,NOT(ISBLANK(G359)))</formula>
    </cfRule>
  </conditionalFormatting>
  <conditionalFormatting sqref="G36">
    <cfRule type="expression" dxfId="0" priority="316">
      <formula>COUNTIF(I36:BG36,"&lt;&gt;" &amp; "")&gt;0</formula>
    </cfRule>
    <cfRule type="expression" dxfId="1" priority="317">
      <formula>AND(COUNTIF(I36:BG36,"&lt;&gt;" &amp; "")&gt;0,NOT(ISBLANK(G36)))</formula>
    </cfRule>
  </conditionalFormatting>
  <conditionalFormatting sqref="G360">
    <cfRule type="expression" dxfId="0" priority="1702">
      <formula>COUNTIF(I360:BG360,"&lt;&gt;" &amp; "")&gt;0</formula>
    </cfRule>
    <cfRule type="expression" dxfId="1" priority="1703">
      <formula>AND(COUNTIF(I360:BG360,"&lt;&gt;" &amp; "")&gt;0,NOT(ISBLANK(G360)))</formula>
    </cfRule>
  </conditionalFormatting>
  <conditionalFormatting sqref="G361">
    <cfRule type="expression" dxfId="0" priority="1705">
      <formula>COUNTIF(I361:BG361,"&lt;&gt;" &amp; "")&gt;0</formula>
    </cfRule>
    <cfRule type="expression" dxfId="1" priority="1706">
      <formula>AND(COUNTIF(I361:BG361,"&lt;&gt;" &amp; "")&gt;0,NOT(ISBLANK(G361)))</formula>
    </cfRule>
  </conditionalFormatting>
  <conditionalFormatting sqref="G362">
    <cfRule type="expression" dxfId="0" priority="1708">
      <formula>COUNTIF(I362:BG362,"&lt;&gt;" &amp; "")&gt;0</formula>
    </cfRule>
    <cfRule type="expression" dxfId="1" priority="1709">
      <formula>AND(COUNTIF(I362:BG362,"&lt;&gt;" &amp; "")&gt;0,NOT(ISBLANK(G362)))</formula>
    </cfRule>
  </conditionalFormatting>
  <conditionalFormatting sqref="G363">
    <cfRule type="expression" dxfId="0" priority="1711">
      <formula>COUNTIF(I363:BG363,"&lt;&gt;" &amp; "")&gt;0</formula>
    </cfRule>
    <cfRule type="expression" dxfId="1" priority="1712">
      <formula>AND(COUNTIF(I363:BG363,"&lt;&gt;" &amp; "")&gt;0,NOT(ISBLANK(G363)))</formula>
    </cfRule>
  </conditionalFormatting>
  <conditionalFormatting sqref="G364">
    <cfRule type="expression" dxfId="0" priority="1714">
      <formula>COUNTIF(I364:BG364,"&lt;&gt;" &amp; "")&gt;0</formula>
    </cfRule>
    <cfRule type="expression" dxfId="1" priority="1715">
      <formula>AND(COUNTIF(I364:BG364,"&lt;&gt;" &amp; "")&gt;0,NOT(ISBLANK(G364)))</formula>
    </cfRule>
  </conditionalFormatting>
  <conditionalFormatting sqref="G365">
    <cfRule type="expression" dxfId="0" priority="1717">
      <formula>COUNTIF(I365:BG365,"&lt;&gt;" &amp; "")&gt;0</formula>
    </cfRule>
    <cfRule type="expression" dxfId="1" priority="1718">
      <formula>AND(COUNTIF(I365:BG365,"&lt;&gt;" &amp; "")&gt;0,NOT(ISBLANK(G365)))</formula>
    </cfRule>
  </conditionalFormatting>
  <conditionalFormatting sqref="G366">
    <cfRule type="expression" dxfId="0" priority="1720">
      <formula>COUNTIF(I366:BG366,"&lt;&gt;" &amp; "")&gt;0</formula>
    </cfRule>
    <cfRule type="expression" dxfId="1" priority="1721">
      <formula>AND(COUNTIF(I366:BG366,"&lt;&gt;" &amp; "")&gt;0,NOT(ISBLANK(G366)))</formula>
    </cfRule>
  </conditionalFormatting>
  <conditionalFormatting sqref="G367">
    <cfRule type="expression" dxfId="0" priority="1723">
      <formula>COUNTIF(I367:BG367,"&lt;&gt;" &amp; "")&gt;0</formula>
    </cfRule>
    <cfRule type="expression" dxfId="1" priority="1724">
      <formula>AND(COUNTIF(I367:BG367,"&lt;&gt;" &amp; "")&gt;0,NOT(ISBLANK(G367)))</formula>
    </cfRule>
  </conditionalFormatting>
  <conditionalFormatting sqref="G368">
    <cfRule type="expression" dxfId="0" priority="1726">
      <formula>COUNTIF(I368:BG368,"&lt;&gt;" &amp; "")&gt;0</formula>
    </cfRule>
    <cfRule type="expression" dxfId="1" priority="1727">
      <formula>AND(COUNTIF(I368:BG368,"&lt;&gt;" &amp; "")&gt;0,NOT(ISBLANK(G368)))</formula>
    </cfRule>
  </conditionalFormatting>
  <conditionalFormatting sqref="G369">
    <cfRule type="expression" dxfId="0" priority="1729">
      <formula>COUNTIF(I369:BG369,"&lt;&gt;" &amp; "")&gt;0</formula>
    </cfRule>
    <cfRule type="expression" dxfId="1" priority="1730">
      <formula>AND(COUNTIF(I369:BG369,"&lt;&gt;" &amp; "")&gt;0,NOT(ISBLANK(G369)))</formula>
    </cfRule>
  </conditionalFormatting>
  <conditionalFormatting sqref="G37">
    <cfRule type="expression" dxfId="0" priority="319">
      <formula>COUNTIF(I37:BG37,"&lt;&gt;" &amp; "")&gt;0</formula>
    </cfRule>
    <cfRule type="expression" dxfId="1" priority="320">
      <formula>AND(COUNTIF(I37:BG37,"&lt;&gt;" &amp; "")&gt;0,NOT(ISBLANK(G37)))</formula>
    </cfRule>
  </conditionalFormatting>
  <conditionalFormatting sqref="G370">
    <cfRule type="expression" dxfId="0" priority="1732">
      <formula>COUNTIF(I370:BG370,"&lt;&gt;" &amp; "")&gt;0</formula>
    </cfRule>
    <cfRule type="expression" dxfId="1" priority="1733">
      <formula>AND(COUNTIF(I370:BG370,"&lt;&gt;" &amp; "")&gt;0,NOT(ISBLANK(G370)))</formula>
    </cfRule>
  </conditionalFormatting>
  <conditionalFormatting sqref="G371">
    <cfRule type="expression" dxfId="0" priority="1735">
      <formula>COUNTIF(I371:BG371,"&lt;&gt;" &amp; "")&gt;0</formula>
    </cfRule>
    <cfRule type="expression" dxfId="1" priority="1736">
      <formula>AND(COUNTIF(I371:BG371,"&lt;&gt;" &amp; "")&gt;0,NOT(ISBLANK(G371)))</formula>
    </cfRule>
  </conditionalFormatting>
  <conditionalFormatting sqref="G372">
    <cfRule type="expression" dxfId="0" priority="1738">
      <formula>COUNTIF(I372:BG372,"&lt;&gt;" &amp; "")&gt;0</formula>
    </cfRule>
    <cfRule type="expression" dxfId="1" priority="1739">
      <formula>AND(COUNTIF(I372:BG372,"&lt;&gt;" &amp; "")&gt;0,NOT(ISBLANK(G372)))</formula>
    </cfRule>
  </conditionalFormatting>
  <conditionalFormatting sqref="G373">
    <cfRule type="expression" dxfId="0" priority="1741">
      <formula>COUNTIF(I373:BG373,"&lt;&gt;" &amp; "")&gt;0</formula>
    </cfRule>
    <cfRule type="expression" dxfId="1" priority="1742">
      <formula>AND(COUNTIF(I373:BG373,"&lt;&gt;" &amp; "")&gt;0,NOT(ISBLANK(G373)))</formula>
    </cfRule>
  </conditionalFormatting>
  <conditionalFormatting sqref="G374">
    <cfRule type="expression" dxfId="0" priority="1744">
      <formula>COUNTIF(I374:BG374,"&lt;&gt;" &amp; "")&gt;0</formula>
    </cfRule>
    <cfRule type="expression" dxfId="1" priority="1745">
      <formula>AND(COUNTIF(I374:BG374,"&lt;&gt;" &amp; "")&gt;0,NOT(ISBLANK(G374)))</formula>
    </cfRule>
  </conditionalFormatting>
  <conditionalFormatting sqref="G375">
    <cfRule type="expression" dxfId="0" priority="1747">
      <formula>COUNTIF(I375:BG375,"&lt;&gt;" &amp; "")&gt;0</formula>
    </cfRule>
    <cfRule type="expression" dxfId="1" priority="1748">
      <formula>AND(COUNTIF(I375:BG375,"&lt;&gt;" &amp; "")&gt;0,NOT(ISBLANK(G375)))</formula>
    </cfRule>
  </conditionalFormatting>
  <conditionalFormatting sqref="G376">
    <cfRule type="expression" dxfId="0" priority="1750">
      <formula>COUNTIF(I376:BG376,"&lt;&gt;" &amp; "")&gt;0</formula>
    </cfRule>
    <cfRule type="expression" dxfId="1" priority="1751">
      <formula>AND(COUNTIF(I376:BG376,"&lt;&gt;" &amp; "")&gt;0,NOT(ISBLANK(G376)))</formula>
    </cfRule>
  </conditionalFormatting>
  <conditionalFormatting sqref="G377">
    <cfRule type="expression" dxfId="0" priority="1753">
      <formula>COUNTIF(I377:BG377,"&lt;&gt;" &amp; "")&gt;0</formula>
    </cfRule>
    <cfRule type="expression" dxfId="1" priority="1754">
      <formula>AND(COUNTIF(I377:BG377,"&lt;&gt;" &amp; "")&gt;0,NOT(ISBLANK(G377)))</formula>
    </cfRule>
  </conditionalFormatting>
  <conditionalFormatting sqref="G378">
    <cfRule type="expression" dxfId="0" priority="1756">
      <formula>COUNTIF(I378:BG378,"&lt;&gt;" &amp; "")&gt;0</formula>
    </cfRule>
    <cfRule type="expression" dxfId="1" priority="1757">
      <formula>AND(COUNTIF(I378:BG378,"&lt;&gt;" &amp; "")&gt;0,NOT(ISBLANK(G378)))</formula>
    </cfRule>
  </conditionalFormatting>
  <conditionalFormatting sqref="G379">
    <cfRule type="expression" dxfId="0" priority="1759">
      <formula>COUNTIF(I379:BG379,"&lt;&gt;" &amp; "")&gt;0</formula>
    </cfRule>
    <cfRule type="expression" dxfId="1" priority="1760">
      <formula>AND(COUNTIF(I379:BG379,"&lt;&gt;" &amp; "")&gt;0,NOT(ISBLANK(G379)))</formula>
    </cfRule>
  </conditionalFormatting>
  <conditionalFormatting sqref="G38">
    <cfRule type="expression" dxfId="0" priority="322">
      <formula>COUNTIF(I38:BG38,"&lt;&gt;" &amp; "")&gt;0</formula>
    </cfRule>
    <cfRule type="expression" dxfId="1" priority="323">
      <formula>AND(COUNTIF(I38:BG38,"&lt;&gt;" &amp; "")&gt;0,NOT(ISBLANK(G38)))</formula>
    </cfRule>
  </conditionalFormatting>
  <conditionalFormatting sqref="G380">
    <cfRule type="expression" dxfId="0" priority="1762">
      <formula>COUNTIF(I380:BG380,"&lt;&gt;" &amp; "")&gt;0</formula>
    </cfRule>
    <cfRule type="expression" dxfId="1" priority="1763">
      <formula>AND(COUNTIF(I380:BG380,"&lt;&gt;" &amp; "")&gt;0,NOT(ISBLANK(G380)))</formula>
    </cfRule>
  </conditionalFormatting>
  <conditionalFormatting sqref="G381">
    <cfRule type="expression" dxfId="0" priority="1765">
      <formula>COUNTIF(I381:BG381,"&lt;&gt;" &amp; "")&gt;0</formula>
    </cfRule>
    <cfRule type="expression" dxfId="1" priority="1766">
      <formula>AND(COUNTIF(I381:BG381,"&lt;&gt;" &amp; "")&gt;0,NOT(ISBLANK(G381)))</formula>
    </cfRule>
  </conditionalFormatting>
  <conditionalFormatting sqref="G382">
    <cfRule type="expression" dxfId="0" priority="1768">
      <formula>COUNTIF(I382:BG382,"&lt;&gt;" &amp; "")&gt;0</formula>
    </cfRule>
    <cfRule type="expression" dxfId="1" priority="1769">
      <formula>AND(COUNTIF(I382:BG382,"&lt;&gt;" &amp; "")&gt;0,NOT(ISBLANK(G382)))</formula>
    </cfRule>
  </conditionalFormatting>
  <conditionalFormatting sqref="G383">
    <cfRule type="expression" dxfId="0" priority="1771">
      <formula>COUNTIF(I383:BG383,"&lt;&gt;" &amp; "")&gt;0</formula>
    </cfRule>
    <cfRule type="expression" dxfId="1" priority="1772">
      <formula>AND(COUNTIF(I383:BG383,"&lt;&gt;" &amp; "")&gt;0,NOT(ISBLANK(G383)))</formula>
    </cfRule>
  </conditionalFormatting>
  <conditionalFormatting sqref="G384">
    <cfRule type="expression" dxfId="0" priority="1774">
      <formula>COUNTIF(I384:BG384,"&lt;&gt;" &amp; "")&gt;0</formula>
    </cfRule>
    <cfRule type="expression" dxfId="1" priority="1775">
      <formula>AND(COUNTIF(I384:BG384,"&lt;&gt;" &amp; "")&gt;0,NOT(ISBLANK(G384)))</formula>
    </cfRule>
  </conditionalFormatting>
  <conditionalFormatting sqref="G385">
    <cfRule type="expression" dxfId="0" priority="1777">
      <formula>COUNTIF(I385:BG385,"&lt;&gt;" &amp; "")&gt;0</formula>
    </cfRule>
    <cfRule type="expression" dxfId="1" priority="1778">
      <formula>AND(COUNTIF(I385:BG385,"&lt;&gt;" &amp; "")&gt;0,NOT(ISBLANK(G385)))</formula>
    </cfRule>
  </conditionalFormatting>
  <conditionalFormatting sqref="G386">
    <cfRule type="expression" dxfId="0" priority="1780">
      <formula>COUNTIF(I386:BG386,"&lt;&gt;" &amp; "")&gt;0</formula>
    </cfRule>
    <cfRule type="expression" dxfId="1" priority="1781">
      <formula>AND(COUNTIF(I386:BG386,"&lt;&gt;" &amp; "")&gt;0,NOT(ISBLANK(G386)))</formula>
    </cfRule>
  </conditionalFormatting>
  <conditionalFormatting sqref="G387">
    <cfRule type="expression" dxfId="0" priority="1783">
      <formula>COUNTIF(I387:BG387,"&lt;&gt;" &amp; "")&gt;0</formula>
    </cfRule>
    <cfRule type="expression" dxfId="1" priority="1784">
      <formula>AND(COUNTIF(I387:BG387,"&lt;&gt;" &amp; "")&gt;0,NOT(ISBLANK(G387)))</formula>
    </cfRule>
  </conditionalFormatting>
  <conditionalFormatting sqref="G388">
    <cfRule type="expression" dxfId="0" priority="1786">
      <formula>COUNTIF(I388:BG388,"&lt;&gt;" &amp; "")&gt;0</formula>
    </cfRule>
    <cfRule type="expression" dxfId="1" priority="1787">
      <formula>AND(COUNTIF(I388:BG388,"&lt;&gt;" &amp; "")&gt;0,NOT(ISBLANK(G388)))</formula>
    </cfRule>
  </conditionalFormatting>
  <conditionalFormatting sqref="G389">
    <cfRule type="expression" dxfId="0" priority="1789">
      <formula>COUNTIF(I389:BG389,"&lt;&gt;" &amp; "")&gt;0</formula>
    </cfRule>
    <cfRule type="expression" dxfId="1" priority="1790">
      <formula>AND(COUNTIF(I389:BG389,"&lt;&gt;" &amp; "")&gt;0,NOT(ISBLANK(G389)))</formula>
    </cfRule>
  </conditionalFormatting>
  <conditionalFormatting sqref="G39">
    <cfRule type="expression" dxfId="0" priority="325">
      <formula>COUNTIF(I39:BG39,"&lt;&gt;" &amp; "")&gt;0</formula>
    </cfRule>
    <cfRule type="expression" dxfId="1" priority="326">
      <formula>AND(COUNTIF(I39:BG39,"&lt;&gt;" &amp; "")&gt;0,NOT(ISBLANK(G39)))</formula>
    </cfRule>
  </conditionalFormatting>
  <conditionalFormatting sqref="G390">
    <cfRule type="expression" dxfId="0" priority="1792">
      <formula>COUNTIF(I390:BG390,"&lt;&gt;" &amp; "")&gt;0</formula>
    </cfRule>
    <cfRule type="expression" dxfId="1" priority="1793">
      <formula>AND(COUNTIF(I390:BG390,"&lt;&gt;" &amp; "")&gt;0,NOT(ISBLANK(G390)))</formula>
    </cfRule>
  </conditionalFormatting>
  <conditionalFormatting sqref="G391">
    <cfRule type="expression" dxfId="0" priority="1795">
      <formula>COUNTIF(I391:BG391,"&lt;&gt;" &amp; "")&gt;0</formula>
    </cfRule>
    <cfRule type="expression" dxfId="1" priority="1796">
      <formula>AND(COUNTIF(I391:BG391,"&lt;&gt;" &amp; "")&gt;0,NOT(ISBLANK(G391)))</formula>
    </cfRule>
  </conditionalFormatting>
  <conditionalFormatting sqref="G392">
    <cfRule type="expression" dxfId="0" priority="1798">
      <formula>COUNTIF(I392:BG392,"&lt;&gt;" &amp; "")&gt;0</formula>
    </cfRule>
    <cfRule type="expression" dxfId="1" priority="1799">
      <formula>AND(COUNTIF(I392:BG392,"&lt;&gt;" &amp; "")&gt;0,NOT(ISBLANK(G392)))</formula>
    </cfRule>
  </conditionalFormatting>
  <conditionalFormatting sqref="G393">
    <cfRule type="expression" dxfId="0" priority="1801">
      <formula>COUNTIF(I393:BG393,"&lt;&gt;" &amp; "")&gt;0</formula>
    </cfRule>
    <cfRule type="expression" dxfId="1" priority="1802">
      <formula>AND(COUNTIF(I393:BG393,"&lt;&gt;" &amp; "")&gt;0,NOT(ISBLANK(G393)))</formula>
    </cfRule>
  </conditionalFormatting>
  <conditionalFormatting sqref="G394">
    <cfRule type="expression" dxfId="0" priority="1804">
      <formula>COUNTIF(I394:BG394,"&lt;&gt;" &amp; "")&gt;0</formula>
    </cfRule>
    <cfRule type="expression" dxfId="1" priority="1805">
      <formula>AND(COUNTIF(I394:BG394,"&lt;&gt;" &amp; "")&gt;0,NOT(ISBLANK(G394)))</formula>
    </cfRule>
  </conditionalFormatting>
  <conditionalFormatting sqref="G395">
    <cfRule type="expression" dxfId="0" priority="1807">
      <formula>COUNTIF(I395:BG395,"&lt;&gt;" &amp; "")&gt;0</formula>
    </cfRule>
    <cfRule type="expression" dxfId="1" priority="1808">
      <formula>AND(COUNTIF(I395:BG395,"&lt;&gt;" &amp; "")&gt;0,NOT(ISBLANK(G395)))</formula>
    </cfRule>
  </conditionalFormatting>
  <conditionalFormatting sqref="G396">
    <cfRule type="expression" dxfId="0" priority="1810">
      <formula>COUNTIF(I396:BG396,"&lt;&gt;" &amp; "")&gt;0</formula>
    </cfRule>
    <cfRule type="expression" dxfId="1" priority="1811">
      <formula>AND(COUNTIF(I396:BG396,"&lt;&gt;" &amp; "")&gt;0,NOT(ISBLANK(G396)))</formula>
    </cfRule>
  </conditionalFormatting>
  <conditionalFormatting sqref="G397">
    <cfRule type="expression" dxfId="0" priority="1813">
      <formula>COUNTIF(I397:BG397,"&lt;&gt;" &amp; "")&gt;0</formula>
    </cfRule>
    <cfRule type="expression" dxfId="1" priority="1814">
      <formula>AND(COUNTIF(I397:BG397,"&lt;&gt;" &amp; "")&gt;0,NOT(ISBLANK(G397)))</formula>
    </cfRule>
  </conditionalFormatting>
  <conditionalFormatting sqref="G398">
    <cfRule type="expression" dxfId="0" priority="1816">
      <formula>COUNTIF(I398:BG398,"&lt;&gt;" &amp; "")&gt;0</formula>
    </cfRule>
    <cfRule type="expression" dxfId="1" priority="1817">
      <formula>AND(COUNTIF(I398:BG398,"&lt;&gt;" &amp; "")&gt;0,NOT(ISBLANK(G398)))</formula>
    </cfRule>
  </conditionalFormatting>
  <conditionalFormatting sqref="G399">
    <cfRule type="expression" dxfId="0" priority="1819">
      <formula>COUNTIF(I399:BG399,"&lt;&gt;" &amp; "")&gt;0</formula>
    </cfRule>
    <cfRule type="expression" dxfId="1" priority="1820">
      <formula>AND(COUNTIF(I399:BG399,"&lt;&gt;" &amp; "")&gt;0,NOT(ISBLANK(G399)))</formula>
    </cfRule>
  </conditionalFormatting>
  <conditionalFormatting sqref="G40">
    <cfRule type="expression" dxfId="0" priority="328">
      <formula>COUNTIF(I40:BG40,"&lt;&gt;" &amp; "")&gt;0</formula>
    </cfRule>
    <cfRule type="expression" dxfId="1" priority="329">
      <formula>AND(COUNTIF(I40:BG40,"&lt;&gt;" &amp; "")&gt;0,NOT(ISBLANK(G40)))</formula>
    </cfRule>
  </conditionalFormatting>
  <conditionalFormatting sqref="G400">
    <cfRule type="expression" dxfId="0" priority="1822">
      <formula>COUNTIF(I400:BG400,"&lt;&gt;" &amp; "")&gt;0</formula>
    </cfRule>
    <cfRule type="expression" dxfId="1" priority="1823">
      <formula>AND(COUNTIF(I400:BG400,"&lt;&gt;" &amp; "")&gt;0,NOT(ISBLANK(G400)))</formula>
    </cfRule>
  </conditionalFormatting>
  <conditionalFormatting sqref="G401">
    <cfRule type="expression" dxfId="0" priority="1825">
      <formula>COUNTIF(I401:BG401,"&lt;&gt;" &amp; "")&gt;0</formula>
    </cfRule>
    <cfRule type="expression" dxfId="1" priority="1826">
      <formula>AND(COUNTIF(I401:BG401,"&lt;&gt;" &amp; "")&gt;0,NOT(ISBLANK(G401)))</formula>
    </cfRule>
  </conditionalFormatting>
  <conditionalFormatting sqref="G402">
    <cfRule type="expression" dxfId="0" priority="1828">
      <formula>COUNTIF(I402:BG402,"&lt;&gt;" &amp; "")&gt;0</formula>
    </cfRule>
    <cfRule type="expression" dxfId="1" priority="1829">
      <formula>AND(COUNTIF(I402:BG402,"&lt;&gt;" &amp; "")&gt;0,NOT(ISBLANK(G402)))</formula>
    </cfRule>
  </conditionalFormatting>
  <conditionalFormatting sqref="G403">
    <cfRule type="expression" dxfId="0" priority="1831">
      <formula>COUNTIF(I403:BG403,"&lt;&gt;" &amp; "")&gt;0</formula>
    </cfRule>
    <cfRule type="expression" dxfId="1" priority="1832">
      <formula>AND(COUNTIF(I403:BG403,"&lt;&gt;" &amp; "")&gt;0,NOT(ISBLANK(G403)))</formula>
    </cfRule>
  </conditionalFormatting>
  <conditionalFormatting sqref="G404">
    <cfRule type="expression" dxfId="0" priority="1834">
      <formula>COUNTIF(I404:BG404,"&lt;&gt;" &amp; "")&gt;0</formula>
    </cfRule>
    <cfRule type="expression" dxfId="1" priority="1835">
      <formula>AND(COUNTIF(I404:BG404,"&lt;&gt;" &amp; "")&gt;0,NOT(ISBLANK(G404)))</formula>
    </cfRule>
  </conditionalFormatting>
  <conditionalFormatting sqref="G405">
    <cfRule type="expression" dxfId="0" priority="1837">
      <formula>COUNTIF(I405:BG405,"&lt;&gt;" &amp; "")&gt;0</formula>
    </cfRule>
    <cfRule type="expression" dxfId="1" priority="1838">
      <formula>AND(COUNTIF(I405:BG405,"&lt;&gt;" &amp; "")&gt;0,NOT(ISBLANK(G405)))</formula>
    </cfRule>
  </conditionalFormatting>
  <conditionalFormatting sqref="G406">
    <cfRule type="expression" dxfId="0" priority="1840">
      <formula>COUNTIF(I406:BG406,"&lt;&gt;" &amp; "")&gt;0</formula>
    </cfRule>
    <cfRule type="expression" dxfId="1" priority="1841">
      <formula>AND(COUNTIF(I406:BG406,"&lt;&gt;" &amp; "")&gt;0,NOT(ISBLANK(G406)))</formula>
    </cfRule>
  </conditionalFormatting>
  <conditionalFormatting sqref="G407">
    <cfRule type="expression" dxfId="0" priority="1843">
      <formula>COUNTIF(I407:BG407,"&lt;&gt;" &amp; "")&gt;0</formula>
    </cfRule>
    <cfRule type="expression" dxfId="1" priority="1844">
      <formula>AND(COUNTIF(I407:BG407,"&lt;&gt;" &amp; "")&gt;0,NOT(ISBLANK(G407)))</formula>
    </cfRule>
  </conditionalFormatting>
  <conditionalFormatting sqref="G408">
    <cfRule type="expression" dxfId="0" priority="1846">
      <formula>COUNTIF(I408:BG408,"&lt;&gt;" &amp; "")&gt;0</formula>
    </cfRule>
    <cfRule type="expression" dxfId="1" priority="1847">
      <formula>AND(COUNTIF(I408:BG408,"&lt;&gt;" &amp; "")&gt;0,NOT(ISBLANK(G408)))</formula>
    </cfRule>
  </conditionalFormatting>
  <conditionalFormatting sqref="G409">
    <cfRule type="expression" dxfId="0" priority="1849">
      <formula>COUNTIF(I409:BG409,"&lt;&gt;" &amp; "")&gt;0</formula>
    </cfRule>
    <cfRule type="expression" dxfId="1" priority="1850">
      <formula>AND(COUNTIF(I409:BG409,"&lt;&gt;" &amp; "")&gt;0,NOT(ISBLANK(G409)))</formula>
    </cfRule>
  </conditionalFormatting>
  <conditionalFormatting sqref="G41">
    <cfRule type="expression" dxfId="0" priority="331">
      <formula>COUNTIF(I41:BG41,"&lt;&gt;" &amp; "")&gt;0</formula>
    </cfRule>
    <cfRule type="expression" dxfId="1" priority="332">
      <formula>AND(COUNTIF(I41:BG41,"&lt;&gt;" &amp; "")&gt;0,NOT(ISBLANK(G41)))</formula>
    </cfRule>
  </conditionalFormatting>
  <conditionalFormatting sqref="G410">
    <cfRule type="expression" dxfId="0" priority="1852">
      <formula>COUNTIF(I410:BG410,"&lt;&gt;" &amp; "")&gt;0</formula>
    </cfRule>
    <cfRule type="expression" dxfId="1" priority="1853">
      <formula>AND(COUNTIF(I410:BG410,"&lt;&gt;" &amp; "")&gt;0,NOT(ISBLANK(G410)))</formula>
    </cfRule>
  </conditionalFormatting>
  <conditionalFormatting sqref="G411">
    <cfRule type="expression" dxfId="0" priority="1855">
      <formula>COUNTIF(I411:BG411,"&lt;&gt;" &amp; "")&gt;0</formula>
    </cfRule>
    <cfRule type="expression" dxfId="1" priority="1856">
      <formula>AND(COUNTIF(I411:BG411,"&lt;&gt;" &amp; "")&gt;0,NOT(ISBLANK(G411)))</formula>
    </cfRule>
  </conditionalFormatting>
  <conditionalFormatting sqref="G412">
    <cfRule type="expression" dxfId="0" priority="1858">
      <formula>COUNTIF(I412:BG412,"&lt;&gt;" &amp; "")&gt;0</formula>
    </cfRule>
    <cfRule type="expression" dxfId="1" priority="1859">
      <formula>AND(COUNTIF(I412:BG412,"&lt;&gt;" &amp; "")&gt;0,NOT(ISBLANK(G412)))</formula>
    </cfRule>
  </conditionalFormatting>
  <conditionalFormatting sqref="G413">
    <cfRule type="expression" dxfId="0" priority="1861">
      <formula>COUNTIF(I413:BG413,"&lt;&gt;" &amp; "")&gt;0</formula>
    </cfRule>
    <cfRule type="expression" dxfId="1" priority="1862">
      <formula>AND(COUNTIF(I413:BG413,"&lt;&gt;" &amp; "")&gt;0,NOT(ISBLANK(G413)))</formula>
    </cfRule>
  </conditionalFormatting>
  <conditionalFormatting sqref="G414">
    <cfRule type="expression" dxfId="0" priority="1864">
      <formula>COUNTIF(I414:BG414,"&lt;&gt;" &amp; "")&gt;0</formula>
    </cfRule>
    <cfRule type="expression" dxfId="1" priority="1865">
      <formula>AND(COUNTIF(I414:BG414,"&lt;&gt;" &amp; "")&gt;0,NOT(ISBLANK(G414)))</formula>
    </cfRule>
  </conditionalFormatting>
  <conditionalFormatting sqref="G415">
    <cfRule type="expression" dxfId="0" priority="1867">
      <formula>COUNTIF(I415:BG415,"&lt;&gt;" &amp; "")&gt;0</formula>
    </cfRule>
    <cfRule type="expression" dxfId="1" priority="1868">
      <formula>AND(COUNTIF(I415:BG415,"&lt;&gt;" &amp; "")&gt;0,NOT(ISBLANK(G415)))</formula>
    </cfRule>
  </conditionalFormatting>
  <conditionalFormatting sqref="G416">
    <cfRule type="expression" dxfId="0" priority="1870">
      <formula>COUNTIF(I416:BG416,"&lt;&gt;" &amp; "")&gt;0</formula>
    </cfRule>
    <cfRule type="expression" dxfId="1" priority="1871">
      <formula>AND(COUNTIF(I416:BG416,"&lt;&gt;" &amp; "")&gt;0,NOT(ISBLANK(G416)))</formula>
    </cfRule>
  </conditionalFormatting>
  <conditionalFormatting sqref="G417">
    <cfRule type="expression" dxfId="0" priority="1873">
      <formula>COUNTIF(I417:BG417,"&lt;&gt;" &amp; "")&gt;0</formula>
    </cfRule>
    <cfRule type="expression" dxfId="1" priority="1874">
      <formula>AND(COUNTIF(I417:BG417,"&lt;&gt;" &amp; "")&gt;0,NOT(ISBLANK(G417)))</formula>
    </cfRule>
  </conditionalFormatting>
  <conditionalFormatting sqref="G418">
    <cfRule type="expression" dxfId="0" priority="1876">
      <formula>COUNTIF(I418:BG418,"&lt;&gt;" &amp; "")&gt;0</formula>
    </cfRule>
    <cfRule type="expression" dxfId="1" priority="1877">
      <formula>AND(COUNTIF(I418:BG418,"&lt;&gt;" &amp; "")&gt;0,NOT(ISBLANK(G418)))</formula>
    </cfRule>
  </conditionalFormatting>
  <conditionalFormatting sqref="G419">
    <cfRule type="expression" dxfId="0" priority="1879">
      <formula>COUNTIF(I419:BG419,"&lt;&gt;" &amp; "")&gt;0</formula>
    </cfRule>
    <cfRule type="expression" dxfId="1" priority="1880">
      <formula>AND(COUNTIF(I419:BG419,"&lt;&gt;" &amp; "")&gt;0,NOT(ISBLANK(G419)))</formula>
    </cfRule>
  </conditionalFormatting>
  <conditionalFormatting sqref="G42">
    <cfRule type="expression" dxfId="0" priority="334">
      <formula>COUNTIF(I42:BG42,"&lt;&gt;" &amp; "")&gt;0</formula>
    </cfRule>
    <cfRule type="expression" dxfId="1" priority="335">
      <formula>AND(COUNTIF(I42:BG42,"&lt;&gt;" &amp; "")&gt;0,NOT(ISBLANK(G42)))</formula>
    </cfRule>
  </conditionalFormatting>
  <conditionalFormatting sqref="G420">
    <cfRule type="expression" dxfId="0" priority="1882">
      <formula>COUNTIF(I420:BG420,"&lt;&gt;" &amp; "")&gt;0</formula>
    </cfRule>
    <cfRule type="expression" dxfId="1" priority="1883">
      <formula>AND(COUNTIF(I420:BG420,"&lt;&gt;" &amp; "")&gt;0,NOT(ISBLANK(G420)))</formula>
    </cfRule>
  </conditionalFormatting>
  <conditionalFormatting sqref="G421">
    <cfRule type="expression" dxfId="0" priority="1885">
      <formula>COUNTIF(I421:BG421,"&lt;&gt;" &amp; "")&gt;0</formula>
    </cfRule>
    <cfRule type="expression" dxfId="1" priority="1886">
      <formula>AND(COUNTIF(I421:BG421,"&lt;&gt;" &amp; "")&gt;0,NOT(ISBLANK(G421)))</formula>
    </cfRule>
  </conditionalFormatting>
  <conditionalFormatting sqref="G422">
    <cfRule type="expression" dxfId="0" priority="1888">
      <formula>COUNTIF(I422:BG422,"&lt;&gt;" &amp; "")&gt;0</formula>
    </cfRule>
    <cfRule type="expression" dxfId="1" priority="1889">
      <formula>AND(COUNTIF(I422:BG422,"&lt;&gt;" &amp; "")&gt;0,NOT(ISBLANK(G422)))</formula>
    </cfRule>
  </conditionalFormatting>
  <conditionalFormatting sqref="G423">
    <cfRule type="expression" dxfId="0" priority="1891">
      <formula>COUNTIF(I423:BG423,"&lt;&gt;" &amp; "")&gt;0</formula>
    </cfRule>
    <cfRule type="expression" dxfId="1" priority="1892">
      <formula>AND(COUNTIF(I423:BG423,"&lt;&gt;" &amp; "")&gt;0,NOT(ISBLANK(G423)))</formula>
    </cfRule>
  </conditionalFormatting>
  <conditionalFormatting sqref="G424">
    <cfRule type="expression" dxfId="0" priority="1894">
      <formula>COUNTIF(I424:BG424,"&lt;&gt;" &amp; "")&gt;0</formula>
    </cfRule>
    <cfRule type="expression" dxfId="1" priority="1895">
      <formula>AND(COUNTIF(I424:BG424,"&lt;&gt;" &amp; "")&gt;0,NOT(ISBLANK(G424)))</formula>
    </cfRule>
  </conditionalFormatting>
  <conditionalFormatting sqref="G425">
    <cfRule type="expression" dxfId="0" priority="1897">
      <formula>COUNTIF(I425:BG425,"&lt;&gt;" &amp; "")&gt;0</formula>
    </cfRule>
    <cfRule type="expression" dxfId="1" priority="1898">
      <formula>AND(COUNTIF(I425:BG425,"&lt;&gt;" &amp; "")&gt;0,NOT(ISBLANK(G425)))</formula>
    </cfRule>
  </conditionalFormatting>
  <conditionalFormatting sqref="G426">
    <cfRule type="expression" dxfId="0" priority="1900">
      <formula>COUNTIF(I426:BG426,"&lt;&gt;" &amp; "")&gt;0</formula>
    </cfRule>
    <cfRule type="expression" dxfId="1" priority="1901">
      <formula>AND(COUNTIF(I426:BG426,"&lt;&gt;" &amp; "")&gt;0,NOT(ISBLANK(G426)))</formula>
    </cfRule>
  </conditionalFormatting>
  <conditionalFormatting sqref="G427">
    <cfRule type="expression" dxfId="0" priority="1903">
      <formula>COUNTIF(I427:BG427,"&lt;&gt;" &amp; "")&gt;0</formula>
    </cfRule>
    <cfRule type="expression" dxfId="1" priority="1904">
      <formula>AND(COUNTIF(I427:BG427,"&lt;&gt;" &amp; "")&gt;0,NOT(ISBLANK(G427)))</formula>
    </cfRule>
  </conditionalFormatting>
  <conditionalFormatting sqref="G428">
    <cfRule type="expression" dxfId="0" priority="1906">
      <formula>COUNTIF(I428:BG428,"&lt;&gt;" &amp; "")&gt;0</formula>
    </cfRule>
    <cfRule type="expression" dxfId="1" priority="1907">
      <formula>AND(COUNTIF(I428:BG428,"&lt;&gt;" &amp; "")&gt;0,NOT(ISBLANK(G428)))</formula>
    </cfRule>
  </conditionalFormatting>
  <conditionalFormatting sqref="G429">
    <cfRule type="expression" dxfId="0" priority="1909">
      <formula>COUNTIF(I429:BG429,"&lt;&gt;" &amp; "")&gt;0</formula>
    </cfRule>
    <cfRule type="expression" dxfId="1" priority="1910">
      <formula>AND(COUNTIF(I429:BG429,"&lt;&gt;" &amp; "")&gt;0,NOT(ISBLANK(G429)))</formula>
    </cfRule>
  </conditionalFormatting>
  <conditionalFormatting sqref="G43">
    <cfRule type="expression" dxfId="0" priority="337">
      <formula>COUNTIF(I43:BG43,"&lt;&gt;" &amp; "")&gt;0</formula>
    </cfRule>
    <cfRule type="expression" dxfId="1" priority="338">
      <formula>AND(COUNTIF(I43:BG43,"&lt;&gt;" &amp; "")&gt;0,NOT(ISBLANK(G43)))</formula>
    </cfRule>
  </conditionalFormatting>
  <conditionalFormatting sqref="G430">
    <cfRule type="expression" dxfId="0" priority="1912">
      <formula>COUNTIF(I430:BG430,"&lt;&gt;" &amp; "")&gt;0</formula>
    </cfRule>
    <cfRule type="expression" dxfId="1" priority="1913">
      <formula>AND(COUNTIF(I430:BG430,"&lt;&gt;" &amp; "")&gt;0,NOT(ISBLANK(G430)))</formula>
    </cfRule>
  </conditionalFormatting>
  <conditionalFormatting sqref="G431">
    <cfRule type="expression" dxfId="0" priority="1915">
      <formula>COUNTIF(I431:BG431,"&lt;&gt;" &amp; "")&gt;0</formula>
    </cfRule>
    <cfRule type="expression" dxfId="1" priority="1916">
      <formula>AND(COUNTIF(I431:BG431,"&lt;&gt;" &amp; "")&gt;0,NOT(ISBLANK(G431)))</formula>
    </cfRule>
  </conditionalFormatting>
  <conditionalFormatting sqref="G432">
    <cfRule type="expression" dxfId="0" priority="1918">
      <formula>COUNTIF(I432:BG432,"&lt;&gt;" &amp; "")&gt;0</formula>
    </cfRule>
    <cfRule type="expression" dxfId="1" priority="1919">
      <formula>AND(COUNTIF(I432:BG432,"&lt;&gt;" &amp; "")&gt;0,NOT(ISBLANK(G432)))</formula>
    </cfRule>
  </conditionalFormatting>
  <conditionalFormatting sqref="G433">
    <cfRule type="expression" dxfId="0" priority="1921">
      <formula>COUNTIF(I433:BG433,"&lt;&gt;" &amp; "")&gt;0</formula>
    </cfRule>
    <cfRule type="expression" dxfId="1" priority="1922">
      <formula>AND(COUNTIF(I433:BG433,"&lt;&gt;" &amp; "")&gt;0,NOT(ISBLANK(G433)))</formula>
    </cfRule>
  </conditionalFormatting>
  <conditionalFormatting sqref="G434">
    <cfRule type="expression" dxfId="0" priority="1924">
      <formula>COUNTIF(I434:BG434,"&lt;&gt;" &amp; "")&gt;0</formula>
    </cfRule>
    <cfRule type="expression" dxfId="1" priority="1925">
      <formula>AND(COUNTIF(I434:BG434,"&lt;&gt;" &amp; "")&gt;0,NOT(ISBLANK(G434)))</formula>
    </cfRule>
  </conditionalFormatting>
  <conditionalFormatting sqref="G435">
    <cfRule type="expression" dxfId="0" priority="1927">
      <formula>COUNTIF(I435:BG435,"&lt;&gt;" &amp; "")&gt;0</formula>
    </cfRule>
    <cfRule type="expression" dxfId="1" priority="1928">
      <formula>AND(COUNTIF(I435:BG435,"&lt;&gt;" &amp; "")&gt;0,NOT(ISBLANK(G435)))</formula>
    </cfRule>
  </conditionalFormatting>
  <conditionalFormatting sqref="G436">
    <cfRule type="expression" dxfId="0" priority="1930">
      <formula>COUNTIF(I436:BG436,"&lt;&gt;" &amp; "")&gt;0</formula>
    </cfRule>
    <cfRule type="expression" dxfId="1" priority="1931">
      <formula>AND(COUNTIF(I436:BG436,"&lt;&gt;" &amp; "")&gt;0,NOT(ISBLANK(G436)))</formula>
    </cfRule>
  </conditionalFormatting>
  <conditionalFormatting sqref="G437">
    <cfRule type="expression" dxfId="0" priority="1933">
      <formula>COUNTIF(I437:BG437,"&lt;&gt;" &amp; "")&gt;0</formula>
    </cfRule>
    <cfRule type="expression" dxfId="1" priority="1934">
      <formula>AND(COUNTIF(I437:BG437,"&lt;&gt;" &amp; "")&gt;0,NOT(ISBLANK(G437)))</formula>
    </cfRule>
  </conditionalFormatting>
  <conditionalFormatting sqref="G438">
    <cfRule type="expression" dxfId="0" priority="1936">
      <formula>COUNTIF(I438:BG438,"&lt;&gt;" &amp; "")&gt;0</formula>
    </cfRule>
    <cfRule type="expression" dxfId="1" priority="1937">
      <formula>AND(COUNTIF(I438:BG438,"&lt;&gt;" &amp; "")&gt;0,NOT(ISBLANK(G438)))</formula>
    </cfRule>
  </conditionalFormatting>
  <conditionalFormatting sqref="G439">
    <cfRule type="expression" dxfId="0" priority="1939">
      <formula>COUNTIF(I439:BG439,"&lt;&gt;" &amp; "")&gt;0</formula>
    </cfRule>
    <cfRule type="expression" dxfId="1" priority="1940">
      <formula>AND(COUNTIF(I439:BG439,"&lt;&gt;" &amp; "")&gt;0,NOT(ISBLANK(G439)))</formula>
    </cfRule>
  </conditionalFormatting>
  <conditionalFormatting sqref="G44">
    <cfRule type="expression" dxfId="0" priority="340">
      <formula>COUNTIF(I44:BG44,"&lt;&gt;" &amp; "")&gt;0</formula>
    </cfRule>
    <cfRule type="expression" dxfId="1" priority="341">
      <formula>AND(COUNTIF(I44:BG44,"&lt;&gt;" &amp; "")&gt;0,NOT(ISBLANK(G44)))</formula>
    </cfRule>
  </conditionalFormatting>
  <conditionalFormatting sqref="G440">
    <cfRule type="expression" dxfId="0" priority="1942">
      <formula>COUNTIF(I440:BG440,"&lt;&gt;" &amp; "")&gt;0</formula>
    </cfRule>
    <cfRule type="expression" dxfId="1" priority="1943">
      <formula>AND(COUNTIF(I440:BG440,"&lt;&gt;" &amp; "")&gt;0,NOT(ISBLANK(G440)))</formula>
    </cfRule>
  </conditionalFormatting>
  <conditionalFormatting sqref="G441">
    <cfRule type="expression" dxfId="0" priority="1945">
      <formula>COUNTIF(I441:BG441,"&lt;&gt;" &amp; "")&gt;0</formula>
    </cfRule>
    <cfRule type="expression" dxfId="1" priority="1946">
      <formula>AND(COUNTIF(I441:BG441,"&lt;&gt;" &amp; "")&gt;0,NOT(ISBLANK(G441)))</formula>
    </cfRule>
  </conditionalFormatting>
  <conditionalFormatting sqref="G442">
    <cfRule type="expression" dxfId="0" priority="1948">
      <formula>COUNTIF(I442:BG442,"&lt;&gt;" &amp; "")&gt;0</formula>
    </cfRule>
    <cfRule type="expression" dxfId="1" priority="1949">
      <formula>AND(COUNTIF(I442:BG442,"&lt;&gt;" &amp; "")&gt;0,NOT(ISBLANK(G442)))</formula>
    </cfRule>
  </conditionalFormatting>
  <conditionalFormatting sqref="G443">
    <cfRule type="expression" dxfId="0" priority="1951">
      <formula>COUNTIF(I443:BG443,"&lt;&gt;" &amp; "")&gt;0</formula>
    </cfRule>
    <cfRule type="expression" dxfId="1" priority="1952">
      <formula>AND(COUNTIF(I443:BG443,"&lt;&gt;" &amp; "")&gt;0,NOT(ISBLANK(G443)))</formula>
    </cfRule>
  </conditionalFormatting>
  <conditionalFormatting sqref="G444">
    <cfRule type="expression" dxfId="0" priority="1954">
      <formula>COUNTIF(I444:BG444,"&lt;&gt;" &amp; "")&gt;0</formula>
    </cfRule>
    <cfRule type="expression" dxfId="1" priority="1955">
      <formula>AND(COUNTIF(I444:BG444,"&lt;&gt;" &amp; "")&gt;0,NOT(ISBLANK(G444)))</formula>
    </cfRule>
  </conditionalFormatting>
  <conditionalFormatting sqref="G445">
    <cfRule type="expression" dxfId="0" priority="1957">
      <formula>COUNTIF(I445:BG445,"&lt;&gt;" &amp; "")&gt;0</formula>
    </cfRule>
    <cfRule type="expression" dxfId="1" priority="1958">
      <formula>AND(COUNTIF(I445:BG445,"&lt;&gt;" &amp; "")&gt;0,NOT(ISBLANK(G445)))</formula>
    </cfRule>
  </conditionalFormatting>
  <conditionalFormatting sqref="G446">
    <cfRule type="expression" dxfId="0" priority="1960">
      <formula>COUNTIF(I446:BG446,"&lt;&gt;" &amp; "")&gt;0</formula>
    </cfRule>
    <cfRule type="expression" dxfId="1" priority="1961">
      <formula>AND(COUNTIF(I446:BG446,"&lt;&gt;" &amp; "")&gt;0,NOT(ISBLANK(G446)))</formula>
    </cfRule>
  </conditionalFormatting>
  <conditionalFormatting sqref="G447">
    <cfRule type="expression" dxfId="0" priority="1963">
      <formula>COUNTIF(I447:BG447,"&lt;&gt;" &amp; "")&gt;0</formula>
    </cfRule>
    <cfRule type="expression" dxfId="1" priority="1964">
      <formula>AND(COUNTIF(I447:BG447,"&lt;&gt;" &amp; "")&gt;0,NOT(ISBLANK(G447)))</formula>
    </cfRule>
  </conditionalFormatting>
  <conditionalFormatting sqref="G448">
    <cfRule type="expression" dxfId="0" priority="1966">
      <formula>COUNTIF(I448:BG448,"&lt;&gt;" &amp; "")&gt;0</formula>
    </cfRule>
    <cfRule type="expression" dxfId="1" priority="1967">
      <formula>AND(COUNTIF(I448:BG448,"&lt;&gt;" &amp; "")&gt;0,NOT(ISBLANK(G448)))</formula>
    </cfRule>
  </conditionalFormatting>
  <conditionalFormatting sqref="G449">
    <cfRule type="expression" dxfId="0" priority="1969">
      <formula>COUNTIF(I449:BG449,"&lt;&gt;" &amp; "")&gt;0</formula>
    </cfRule>
    <cfRule type="expression" dxfId="1" priority="1970">
      <formula>AND(COUNTIF(I449:BG449,"&lt;&gt;" &amp; "")&gt;0,NOT(ISBLANK(G449)))</formula>
    </cfRule>
  </conditionalFormatting>
  <conditionalFormatting sqref="G45">
    <cfRule type="expression" dxfId="0" priority="343">
      <formula>COUNTIF(I45:BG45,"&lt;&gt;" &amp; "")&gt;0</formula>
    </cfRule>
    <cfRule type="expression" dxfId="1" priority="344">
      <formula>AND(COUNTIF(I45:BG45,"&lt;&gt;" &amp; "")&gt;0,NOT(ISBLANK(G45)))</formula>
    </cfRule>
  </conditionalFormatting>
  <conditionalFormatting sqref="G450">
    <cfRule type="expression" dxfId="0" priority="1972">
      <formula>COUNTIF(I450:BG450,"&lt;&gt;" &amp; "")&gt;0</formula>
    </cfRule>
    <cfRule type="expression" dxfId="1" priority="1973">
      <formula>AND(COUNTIF(I450:BG450,"&lt;&gt;" &amp; "")&gt;0,NOT(ISBLANK(G450)))</formula>
    </cfRule>
  </conditionalFormatting>
  <conditionalFormatting sqref="G451">
    <cfRule type="expression" dxfId="0" priority="1975">
      <formula>COUNTIF(I451:BG451,"&lt;&gt;" &amp; "")&gt;0</formula>
    </cfRule>
    <cfRule type="expression" dxfId="1" priority="1976">
      <formula>AND(COUNTIF(I451:BG451,"&lt;&gt;" &amp; "")&gt;0,NOT(ISBLANK(G451)))</formula>
    </cfRule>
  </conditionalFormatting>
  <conditionalFormatting sqref="G452">
    <cfRule type="expression" dxfId="0" priority="1978">
      <formula>COUNTIF(I452:BG452,"&lt;&gt;" &amp; "")&gt;0</formula>
    </cfRule>
    <cfRule type="expression" dxfId="1" priority="1979">
      <formula>AND(COUNTIF(I452:BG452,"&lt;&gt;" &amp; "")&gt;0,NOT(ISBLANK(G452)))</formula>
    </cfRule>
  </conditionalFormatting>
  <conditionalFormatting sqref="G453">
    <cfRule type="expression" dxfId="0" priority="1981">
      <formula>COUNTIF(I453:BG453,"&lt;&gt;" &amp; "")&gt;0</formula>
    </cfRule>
    <cfRule type="expression" dxfId="1" priority="1982">
      <formula>AND(COUNTIF(I453:BG453,"&lt;&gt;" &amp; "")&gt;0,NOT(ISBLANK(G453)))</formula>
    </cfRule>
  </conditionalFormatting>
  <conditionalFormatting sqref="G454">
    <cfRule type="expression" dxfId="0" priority="1984">
      <formula>COUNTIF(I454:BG454,"&lt;&gt;" &amp; "")&gt;0</formula>
    </cfRule>
    <cfRule type="expression" dxfId="1" priority="1985">
      <formula>AND(COUNTIF(I454:BG454,"&lt;&gt;" &amp; "")&gt;0,NOT(ISBLANK(G454)))</formula>
    </cfRule>
  </conditionalFormatting>
  <conditionalFormatting sqref="G455">
    <cfRule type="expression" dxfId="0" priority="1987">
      <formula>COUNTIF(I455:BG455,"&lt;&gt;" &amp; "")&gt;0</formula>
    </cfRule>
    <cfRule type="expression" dxfId="1" priority="1988">
      <formula>AND(COUNTIF(I455:BG455,"&lt;&gt;" &amp; "")&gt;0,NOT(ISBLANK(G455)))</formula>
    </cfRule>
  </conditionalFormatting>
  <conditionalFormatting sqref="G456">
    <cfRule type="expression" dxfId="0" priority="1990">
      <formula>COUNTIF(I456:BG456,"&lt;&gt;" &amp; "")&gt;0</formula>
    </cfRule>
    <cfRule type="expression" dxfId="1" priority="1991">
      <formula>AND(COUNTIF(I456:BG456,"&lt;&gt;" &amp; "")&gt;0,NOT(ISBLANK(G456)))</formula>
    </cfRule>
  </conditionalFormatting>
  <conditionalFormatting sqref="G457">
    <cfRule type="expression" dxfId="0" priority="1993">
      <formula>COUNTIF(I457:BG457,"&lt;&gt;" &amp; "")&gt;0</formula>
    </cfRule>
    <cfRule type="expression" dxfId="1" priority="1994">
      <formula>AND(COUNTIF(I457:BG457,"&lt;&gt;" &amp; "")&gt;0,NOT(ISBLANK(G457)))</formula>
    </cfRule>
  </conditionalFormatting>
  <conditionalFormatting sqref="G458">
    <cfRule type="expression" dxfId="0" priority="1996">
      <formula>COUNTIF(I458:BG458,"&lt;&gt;" &amp; "")&gt;0</formula>
    </cfRule>
    <cfRule type="expression" dxfId="1" priority="1997">
      <formula>AND(COUNTIF(I458:BG458,"&lt;&gt;" &amp; "")&gt;0,NOT(ISBLANK(G458)))</formula>
    </cfRule>
  </conditionalFormatting>
  <conditionalFormatting sqref="G459">
    <cfRule type="expression" dxfId="0" priority="1999">
      <formula>COUNTIF(I459:BG459,"&lt;&gt;" &amp; "")&gt;0</formula>
    </cfRule>
    <cfRule type="expression" dxfId="1" priority="2000">
      <formula>AND(COUNTIF(I459:BG459,"&lt;&gt;" &amp; "")&gt;0,NOT(ISBLANK(G459)))</formula>
    </cfRule>
  </conditionalFormatting>
  <conditionalFormatting sqref="G46">
    <cfRule type="expression" dxfId="0" priority="346">
      <formula>COUNTIF(I46:BG46,"&lt;&gt;" &amp; "")&gt;0</formula>
    </cfRule>
    <cfRule type="expression" dxfId="1" priority="347">
      <formula>AND(COUNTIF(I46:BG46,"&lt;&gt;" &amp; "")&gt;0,NOT(ISBLANK(G46)))</formula>
    </cfRule>
  </conditionalFormatting>
  <conditionalFormatting sqref="G460">
    <cfRule type="expression" dxfId="0" priority="2002">
      <formula>COUNTIF(I460:BG460,"&lt;&gt;" &amp; "")&gt;0</formula>
    </cfRule>
    <cfRule type="expression" dxfId="1" priority="2003">
      <formula>AND(COUNTIF(I460:BG460,"&lt;&gt;" &amp; "")&gt;0,NOT(ISBLANK(G460)))</formula>
    </cfRule>
  </conditionalFormatting>
  <conditionalFormatting sqref="G461">
    <cfRule type="expression" dxfId="0" priority="2005">
      <formula>COUNTIF(I461:BG461,"&lt;&gt;" &amp; "")&gt;0</formula>
    </cfRule>
    <cfRule type="expression" dxfId="1" priority="2006">
      <formula>AND(COUNTIF(I461:BG461,"&lt;&gt;" &amp; "")&gt;0,NOT(ISBLANK(G461)))</formula>
    </cfRule>
  </conditionalFormatting>
  <conditionalFormatting sqref="G462">
    <cfRule type="expression" dxfId="0" priority="2008">
      <formula>COUNTIF(I462:BG462,"&lt;&gt;" &amp; "")&gt;0</formula>
    </cfRule>
    <cfRule type="expression" dxfId="1" priority="2009">
      <formula>AND(COUNTIF(I462:BG462,"&lt;&gt;" &amp; "")&gt;0,NOT(ISBLANK(G462)))</formula>
    </cfRule>
  </conditionalFormatting>
  <conditionalFormatting sqref="G463">
    <cfRule type="expression" dxfId="0" priority="2011">
      <formula>COUNTIF(I463:BG463,"&lt;&gt;" &amp; "")&gt;0</formula>
    </cfRule>
    <cfRule type="expression" dxfId="1" priority="2012">
      <formula>AND(COUNTIF(I463:BG463,"&lt;&gt;" &amp; "")&gt;0,NOT(ISBLANK(G463)))</formula>
    </cfRule>
  </conditionalFormatting>
  <conditionalFormatting sqref="G464">
    <cfRule type="expression" dxfId="0" priority="2014">
      <formula>COUNTIF(I464:BG464,"&lt;&gt;" &amp; "")&gt;0</formula>
    </cfRule>
    <cfRule type="expression" dxfId="1" priority="2015">
      <formula>AND(COUNTIF(I464:BG464,"&lt;&gt;" &amp; "")&gt;0,NOT(ISBLANK(G464)))</formula>
    </cfRule>
  </conditionalFormatting>
  <conditionalFormatting sqref="G465">
    <cfRule type="expression" dxfId="0" priority="2017">
      <formula>COUNTIF(I465:BG465,"&lt;&gt;" &amp; "")&gt;0</formula>
    </cfRule>
    <cfRule type="expression" dxfId="1" priority="2018">
      <formula>AND(COUNTIF(I465:BG465,"&lt;&gt;" &amp; "")&gt;0,NOT(ISBLANK(G465)))</formula>
    </cfRule>
  </conditionalFormatting>
  <conditionalFormatting sqref="G466">
    <cfRule type="expression" dxfId="0" priority="2020">
      <formula>COUNTIF(I466:BG466,"&lt;&gt;" &amp; "")&gt;0</formula>
    </cfRule>
    <cfRule type="expression" dxfId="1" priority="2021">
      <formula>AND(COUNTIF(I466:BG466,"&lt;&gt;" &amp; "")&gt;0,NOT(ISBLANK(G466)))</formula>
    </cfRule>
  </conditionalFormatting>
  <conditionalFormatting sqref="G467">
    <cfRule type="expression" dxfId="0" priority="2023">
      <formula>COUNTIF(I467:BG467,"&lt;&gt;" &amp; "")&gt;0</formula>
    </cfRule>
    <cfRule type="expression" dxfId="1" priority="2024">
      <formula>AND(COUNTIF(I467:BG467,"&lt;&gt;" &amp; "")&gt;0,NOT(ISBLANK(G467)))</formula>
    </cfRule>
  </conditionalFormatting>
  <conditionalFormatting sqref="G468">
    <cfRule type="expression" dxfId="0" priority="2026">
      <formula>COUNTIF(I468:BG468,"&lt;&gt;" &amp; "")&gt;0</formula>
    </cfRule>
    <cfRule type="expression" dxfId="1" priority="2027">
      <formula>AND(COUNTIF(I468:BG468,"&lt;&gt;" &amp; "")&gt;0,NOT(ISBLANK(G468)))</formula>
    </cfRule>
  </conditionalFormatting>
  <conditionalFormatting sqref="G469">
    <cfRule type="expression" dxfId="0" priority="2029">
      <formula>COUNTIF(I469:BG469,"&lt;&gt;" &amp; "")&gt;0</formula>
    </cfRule>
    <cfRule type="expression" dxfId="1" priority="2030">
      <formula>AND(COUNTIF(I469:BG469,"&lt;&gt;" &amp; "")&gt;0,NOT(ISBLANK(G469)))</formula>
    </cfRule>
  </conditionalFormatting>
  <conditionalFormatting sqref="G47">
    <cfRule type="expression" dxfId="0" priority="349">
      <formula>COUNTIF(I47:BG47,"&lt;&gt;" &amp; "")&gt;0</formula>
    </cfRule>
    <cfRule type="expression" dxfId="1" priority="350">
      <formula>AND(COUNTIF(I47:BG47,"&lt;&gt;" &amp; "")&gt;0,NOT(ISBLANK(G47)))</formula>
    </cfRule>
  </conditionalFormatting>
  <conditionalFormatting sqref="G470">
    <cfRule type="expression" dxfId="0" priority="2032">
      <formula>COUNTIF(I470:BG470,"&lt;&gt;" &amp; "")&gt;0</formula>
    </cfRule>
    <cfRule type="expression" dxfId="1" priority="2033">
      <formula>AND(COUNTIF(I470:BG470,"&lt;&gt;" &amp; "")&gt;0,NOT(ISBLANK(G470)))</formula>
    </cfRule>
  </conditionalFormatting>
  <conditionalFormatting sqref="G471">
    <cfRule type="expression" dxfId="0" priority="2035">
      <formula>COUNTIF(I471:BG471,"&lt;&gt;" &amp; "")&gt;0</formula>
    </cfRule>
    <cfRule type="expression" dxfId="1" priority="2036">
      <formula>AND(COUNTIF(I471:BG471,"&lt;&gt;" &amp; "")&gt;0,NOT(ISBLANK(G471)))</formula>
    </cfRule>
  </conditionalFormatting>
  <conditionalFormatting sqref="G472">
    <cfRule type="expression" dxfId="0" priority="2038">
      <formula>COUNTIF(I472:BG472,"&lt;&gt;" &amp; "")&gt;0</formula>
    </cfRule>
    <cfRule type="expression" dxfId="1" priority="2039">
      <formula>AND(COUNTIF(I472:BG472,"&lt;&gt;" &amp; "")&gt;0,NOT(ISBLANK(G472)))</formula>
    </cfRule>
  </conditionalFormatting>
  <conditionalFormatting sqref="G473">
    <cfRule type="expression" dxfId="0" priority="2041">
      <formula>COUNTIF(I473:BG473,"&lt;&gt;" &amp; "")&gt;0</formula>
    </cfRule>
    <cfRule type="expression" dxfId="1" priority="2042">
      <formula>AND(COUNTIF(I473:BG473,"&lt;&gt;" &amp; "")&gt;0,NOT(ISBLANK(G473)))</formula>
    </cfRule>
  </conditionalFormatting>
  <conditionalFormatting sqref="G474">
    <cfRule type="expression" dxfId="0" priority="2044">
      <formula>COUNTIF(I474:BG474,"&lt;&gt;" &amp; "")&gt;0</formula>
    </cfRule>
    <cfRule type="expression" dxfId="1" priority="2045">
      <formula>AND(COUNTIF(I474:BG474,"&lt;&gt;" &amp; "")&gt;0,NOT(ISBLANK(G474)))</formula>
    </cfRule>
  </conditionalFormatting>
  <conditionalFormatting sqref="G475">
    <cfRule type="expression" dxfId="0" priority="2047">
      <formula>COUNTIF(I475:BG475,"&lt;&gt;" &amp; "")&gt;0</formula>
    </cfRule>
    <cfRule type="expression" dxfId="1" priority="2048">
      <formula>AND(COUNTIF(I475:BG475,"&lt;&gt;" &amp; "")&gt;0,NOT(ISBLANK(G475)))</formula>
    </cfRule>
  </conditionalFormatting>
  <conditionalFormatting sqref="G476">
    <cfRule type="expression" dxfId="0" priority="2050">
      <formula>COUNTIF(I476:BG476,"&lt;&gt;" &amp; "")&gt;0</formula>
    </cfRule>
    <cfRule type="expression" dxfId="1" priority="2051">
      <formula>AND(COUNTIF(I476:BG476,"&lt;&gt;" &amp; "")&gt;0,NOT(ISBLANK(G476)))</formula>
    </cfRule>
  </conditionalFormatting>
  <conditionalFormatting sqref="G477">
    <cfRule type="expression" dxfId="0" priority="2053">
      <formula>COUNTIF(I477:BG477,"&lt;&gt;" &amp; "")&gt;0</formula>
    </cfRule>
    <cfRule type="expression" dxfId="1" priority="2054">
      <formula>AND(COUNTIF(I477:BG477,"&lt;&gt;" &amp; "")&gt;0,NOT(ISBLANK(G477)))</formula>
    </cfRule>
  </conditionalFormatting>
  <conditionalFormatting sqref="G478">
    <cfRule type="expression" dxfId="0" priority="2056">
      <formula>COUNTIF(I478:BG478,"&lt;&gt;" &amp; "")&gt;0</formula>
    </cfRule>
    <cfRule type="expression" dxfId="1" priority="2057">
      <formula>AND(COUNTIF(I478:BG478,"&lt;&gt;" &amp; "")&gt;0,NOT(ISBLANK(G478)))</formula>
    </cfRule>
  </conditionalFormatting>
  <conditionalFormatting sqref="G479">
    <cfRule type="expression" dxfId="0" priority="2059">
      <formula>COUNTIF(I479:BG479,"&lt;&gt;" &amp; "")&gt;0</formula>
    </cfRule>
    <cfRule type="expression" dxfId="1" priority="2060">
      <formula>AND(COUNTIF(I479:BG479,"&lt;&gt;" &amp; "")&gt;0,NOT(ISBLANK(G479)))</formula>
    </cfRule>
  </conditionalFormatting>
  <conditionalFormatting sqref="G48">
    <cfRule type="expression" dxfId="0" priority="352">
      <formula>COUNTIF(I48:BG48,"&lt;&gt;" &amp; "")&gt;0</formula>
    </cfRule>
    <cfRule type="expression" dxfId="1" priority="353">
      <formula>AND(COUNTIF(I48:BG48,"&lt;&gt;" &amp; "")&gt;0,NOT(ISBLANK(G48)))</formula>
    </cfRule>
  </conditionalFormatting>
  <conditionalFormatting sqref="G480">
    <cfRule type="expression" dxfId="0" priority="2062">
      <formula>COUNTIF(I480:BG480,"&lt;&gt;" &amp; "")&gt;0</formula>
    </cfRule>
    <cfRule type="expression" dxfId="1" priority="2063">
      <formula>AND(COUNTIF(I480:BG480,"&lt;&gt;" &amp; "")&gt;0,NOT(ISBLANK(G480)))</formula>
    </cfRule>
  </conditionalFormatting>
  <conditionalFormatting sqref="G481">
    <cfRule type="expression" dxfId="0" priority="2065">
      <formula>COUNTIF(I481:BG481,"&lt;&gt;" &amp; "")&gt;0</formula>
    </cfRule>
    <cfRule type="expression" dxfId="1" priority="2066">
      <formula>AND(COUNTIF(I481:BG481,"&lt;&gt;" &amp; "")&gt;0,NOT(ISBLANK(G481)))</formula>
    </cfRule>
  </conditionalFormatting>
  <conditionalFormatting sqref="G482">
    <cfRule type="expression" dxfId="0" priority="2068">
      <formula>COUNTIF(I482:BG482,"&lt;&gt;" &amp; "")&gt;0</formula>
    </cfRule>
    <cfRule type="expression" dxfId="1" priority="2069">
      <formula>AND(COUNTIF(I482:BG482,"&lt;&gt;" &amp; "")&gt;0,NOT(ISBLANK(G482)))</formula>
    </cfRule>
  </conditionalFormatting>
  <conditionalFormatting sqref="G483">
    <cfRule type="expression" dxfId="0" priority="2071">
      <formula>COUNTIF(I483:BG483,"&lt;&gt;" &amp; "")&gt;0</formula>
    </cfRule>
    <cfRule type="expression" dxfId="1" priority="2072">
      <formula>AND(COUNTIF(I483:BG483,"&lt;&gt;" &amp; "")&gt;0,NOT(ISBLANK(G483)))</formula>
    </cfRule>
  </conditionalFormatting>
  <conditionalFormatting sqref="G484">
    <cfRule type="expression" dxfId="0" priority="2074">
      <formula>COUNTIF(I484:BG484,"&lt;&gt;" &amp; "")&gt;0</formula>
    </cfRule>
    <cfRule type="expression" dxfId="1" priority="2075">
      <formula>AND(COUNTIF(I484:BG484,"&lt;&gt;" &amp; "")&gt;0,NOT(ISBLANK(G484)))</formula>
    </cfRule>
  </conditionalFormatting>
  <conditionalFormatting sqref="G485">
    <cfRule type="expression" dxfId="0" priority="2077">
      <formula>COUNTIF(I485:BG485,"&lt;&gt;" &amp; "")&gt;0</formula>
    </cfRule>
    <cfRule type="expression" dxfId="1" priority="2078">
      <formula>AND(COUNTIF(I485:BG485,"&lt;&gt;" &amp; "")&gt;0,NOT(ISBLANK(G485)))</formula>
    </cfRule>
  </conditionalFormatting>
  <conditionalFormatting sqref="G486">
    <cfRule type="expression" dxfId="0" priority="2080">
      <formula>COUNTIF(I486:BG486,"&lt;&gt;" &amp; "")&gt;0</formula>
    </cfRule>
    <cfRule type="expression" dxfId="1" priority="2081">
      <formula>AND(COUNTIF(I486:BG486,"&lt;&gt;" &amp; "")&gt;0,NOT(ISBLANK(G486)))</formula>
    </cfRule>
  </conditionalFormatting>
  <conditionalFormatting sqref="G487">
    <cfRule type="expression" dxfId="0" priority="2083">
      <formula>COUNTIF(I487:BG487,"&lt;&gt;" &amp; "")&gt;0</formula>
    </cfRule>
    <cfRule type="expression" dxfId="1" priority="2084">
      <formula>AND(COUNTIF(I487:BG487,"&lt;&gt;" &amp; "")&gt;0,NOT(ISBLANK(G487)))</formula>
    </cfRule>
  </conditionalFormatting>
  <conditionalFormatting sqref="G488">
    <cfRule type="expression" dxfId="0" priority="2086">
      <formula>COUNTIF(I488:BG488,"&lt;&gt;" &amp; "")&gt;0</formula>
    </cfRule>
    <cfRule type="expression" dxfId="1" priority="2087">
      <formula>AND(COUNTIF(I488:BG488,"&lt;&gt;" &amp; "")&gt;0,NOT(ISBLANK(G488)))</formula>
    </cfRule>
  </conditionalFormatting>
  <conditionalFormatting sqref="G49">
    <cfRule type="expression" dxfId="0" priority="355">
      <formula>COUNTIF(I49:BG49,"&lt;&gt;" &amp; "")&gt;0</formula>
    </cfRule>
    <cfRule type="expression" dxfId="1" priority="356">
      <formula>AND(COUNTIF(I49:BG49,"&lt;&gt;" &amp; "")&gt;0,NOT(ISBLANK(G49)))</formula>
    </cfRule>
  </conditionalFormatting>
  <conditionalFormatting sqref="G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G50">
    <cfRule type="expression" dxfId="0" priority="358">
      <formula>COUNTIF(I50:BG50,"&lt;&gt;" &amp; "")&gt;0</formula>
    </cfRule>
    <cfRule type="expression" dxfId="1" priority="359">
      <formula>AND(COUNTIF(I50:BG50,"&lt;&gt;" &amp; "")&gt;0,NOT(ISBLANK(G50)))</formula>
    </cfRule>
  </conditionalFormatting>
  <conditionalFormatting sqref="G51">
    <cfRule type="expression" dxfId="0" priority="361">
      <formula>COUNTIF(I51:BG51,"&lt;&gt;" &amp; "")&gt;0</formula>
    </cfRule>
    <cfRule type="expression" dxfId="1" priority="362">
      <formula>AND(COUNTIF(I51:BG51,"&lt;&gt;" &amp; "")&gt;0,NOT(ISBLANK(G51)))</formula>
    </cfRule>
  </conditionalFormatting>
  <conditionalFormatting sqref="G52">
    <cfRule type="expression" dxfId="0" priority="364">
      <formula>COUNTIF(I52:BG52,"&lt;&gt;" &amp; "")&gt;0</formula>
    </cfRule>
    <cfRule type="expression" dxfId="1" priority="365">
      <formula>AND(COUNTIF(I52:BG52,"&lt;&gt;" &amp; "")&gt;0,NOT(ISBLANK(G52)))</formula>
    </cfRule>
  </conditionalFormatting>
  <conditionalFormatting sqref="G53">
    <cfRule type="expression" dxfId="0" priority="367">
      <formula>COUNTIF(I53:BG53,"&lt;&gt;" &amp; "")&gt;0</formula>
    </cfRule>
    <cfRule type="expression" dxfId="1" priority="368">
      <formula>AND(COUNTIF(I53:BG53,"&lt;&gt;" &amp; "")&gt;0,NOT(ISBLANK(G53)))</formula>
    </cfRule>
  </conditionalFormatting>
  <conditionalFormatting sqref="G54">
    <cfRule type="expression" dxfId="0" priority="370">
      <formula>COUNTIF(I54:BG54,"&lt;&gt;" &amp; "")&gt;0</formula>
    </cfRule>
    <cfRule type="expression" dxfId="1" priority="371">
      <formula>AND(COUNTIF(I54:BG54,"&lt;&gt;" &amp; "")&gt;0,NOT(ISBLANK(G54)))</formula>
    </cfRule>
  </conditionalFormatting>
  <conditionalFormatting sqref="G55">
    <cfRule type="expression" dxfId="0" priority="373">
      <formula>COUNTIF(I55:BG55,"&lt;&gt;" &amp; "")&gt;0</formula>
    </cfRule>
    <cfRule type="expression" dxfId="1" priority="374">
      <formula>AND(COUNTIF(I55:BG55,"&lt;&gt;" &amp; "")&gt;0,NOT(ISBLANK(G55)))</formula>
    </cfRule>
  </conditionalFormatting>
  <conditionalFormatting sqref="G56">
    <cfRule type="expression" dxfId="0" priority="376">
      <formula>COUNTIF(I56:BG56,"&lt;&gt;" &amp; "")&gt;0</formula>
    </cfRule>
    <cfRule type="expression" dxfId="1" priority="377">
      <formula>AND(COUNTIF(I56:BG56,"&lt;&gt;" &amp; "")&gt;0,NOT(ISBLANK(G56)))</formula>
    </cfRule>
  </conditionalFormatting>
  <conditionalFormatting sqref="G57">
    <cfRule type="expression" dxfId="0" priority="379">
      <formula>COUNTIF(I57:BG57,"&lt;&gt;" &amp; "")&gt;0</formula>
    </cfRule>
    <cfRule type="expression" dxfId="1" priority="380">
      <formula>AND(COUNTIF(I57:BG57,"&lt;&gt;" &amp; "")&gt;0,NOT(ISBLANK(G57)))</formula>
    </cfRule>
  </conditionalFormatting>
  <conditionalFormatting sqref="G58">
    <cfRule type="expression" dxfId="0" priority="382">
      <formula>COUNTIF(I58:BG58,"&lt;&gt;" &amp; "")&gt;0</formula>
    </cfRule>
    <cfRule type="expression" dxfId="1" priority="383">
      <formula>AND(COUNTIF(I58:BG58,"&lt;&gt;" &amp; "")&gt;0,NOT(ISBLANK(G58)))</formula>
    </cfRule>
  </conditionalFormatting>
  <conditionalFormatting sqref="G59">
    <cfRule type="expression" dxfId="0" priority="385">
      <formula>COUNTIF(I59:BG59,"&lt;&gt;" &amp; "")&gt;0</formula>
    </cfRule>
    <cfRule type="expression" dxfId="1" priority="386">
      <formula>AND(COUNTIF(I59:BG59,"&lt;&gt;" &amp; "")&gt;0,NOT(ISBLANK(G59)))</formula>
    </cfRule>
  </conditionalFormatting>
  <conditionalFormatting sqref="G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G60">
    <cfRule type="expression" dxfId="0" priority="388">
      <formula>COUNTIF(I60:BG60,"&lt;&gt;" &amp; "")&gt;0</formula>
    </cfRule>
    <cfRule type="expression" dxfId="1" priority="389">
      <formula>AND(COUNTIF(I60:BG60,"&lt;&gt;" &amp; "")&gt;0,NOT(ISBLANK(G60)))</formula>
    </cfRule>
  </conditionalFormatting>
  <conditionalFormatting sqref="G61">
    <cfRule type="expression" dxfId="0" priority="391">
      <formula>COUNTIF(I61:BG61,"&lt;&gt;" &amp; "")&gt;0</formula>
    </cfRule>
    <cfRule type="expression" dxfId="1" priority="392">
      <formula>AND(COUNTIF(I61:BG61,"&lt;&gt;" &amp; "")&gt;0,NOT(ISBLANK(G61)))</formula>
    </cfRule>
  </conditionalFormatting>
  <conditionalFormatting sqref="G62">
    <cfRule type="expression" dxfId="0" priority="394">
      <formula>COUNTIF(I62:BG62,"&lt;&gt;" &amp; "")&gt;0</formula>
    </cfRule>
    <cfRule type="expression" dxfId="1" priority="395">
      <formula>AND(COUNTIF(I62:BG62,"&lt;&gt;" &amp; "")&gt;0,NOT(ISBLANK(G62)))</formula>
    </cfRule>
  </conditionalFormatting>
  <conditionalFormatting sqref="G63">
    <cfRule type="expression" dxfId="0" priority="397">
      <formula>COUNTIF(I63:BG63,"&lt;&gt;" &amp; "")&gt;0</formula>
    </cfRule>
    <cfRule type="expression" dxfId="1" priority="398">
      <formula>AND(COUNTIF(I63:BG63,"&lt;&gt;" &amp; "")&gt;0,NOT(ISBLANK(G63)))</formula>
    </cfRule>
  </conditionalFormatting>
  <conditionalFormatting sqref="G64">
    <cfRule type="expression" dxfId="0" priority="400">
      <formula>COUNTIF(I64:BG64,"&lt;&gt;" &amp; "")&gt;0</formula>
    </cfRule>
    <cfRule type="expression" dxfId="1" priority="401">
      <formula>AND(COUNTIF(I64:BG64,"&lt;&gt;" &amp; "")&gt;0,NOT(ISBLANK(G64)))</formula>
    </cfRule>
  </conditionalFormatting>
  <conditionalFormatting sqref="G65">
    <cfRule type="expression" dxfId="0" priority="403">
      <formula>COUNTIF(I65:BG65,"&lt;&gt;" &amp; "")&gt;0</formula>
    </cfRule>
    <cfRule type="expression" dxfId="1" priority="404">
      <formula>AND(COUNTIF(I65:BG65,"&lt;&gt;" &amp; "")&gt;0,NOT(ISBLANK(G65)))</formula>
    </cfRule>
  </conditionalFormatting>
  <conditionalFormatting sqref="G66">
    <cfRule type="expression" dxfId="0" priority="406">
      <formula>COUNTIF(I66:BG66,"&lt;&gt;" &amp; "")&gt;0</formula>
    </cfRule>
    <cfRule type="expression" dxfId="1" priority="407">
      <formula>AND(COUNTIF(I66:BG66,"&lt;&gt;" &amp; "")&gt;0,NOT(ISBLANK(G66)))</formula>
    </cfRule>
  </conditionalFormatting>
  <conditionalFormatting sqref="G67">
    <cfRule type="expression" dxfId="0" priority="409">
      <formula>COUNTIF(I67:BG67,"&lt;&gt;" &amp; "")&gt;0</formula>
    </cfRule>
    <cfRule type="expression" dxfId="1" priority="410">
      <formula>AND(COUNTIF(I67:BG67,"&lt;&gt;" &amp; "")&gt;0,NOT(ISBLANK(G67)))</formula>
    </cfRule>
  </conditionalFormatting>
  <conditionalFormatting sqref="G68">
    <cfRule type="expression" dxfId="0" priority="412">
      <formula>COUNTIF(I68:BG68,"&lt;&gt;" &amp; "")&gt;0</formula>
    </cfRule>
    <cfRule type="expression" dxfId="1" priority="413">
      <formula>AND(COUNTIF(I68:BG68,"&lt;&gt;" &amp; "")&gt;0,NOT(ISBLANK(G68)))</formula>
    </cfRule>
  </conditionalFormatting>
  <conditionalFormatting sqref="G69">
    <cfRule type="expression" dxfId="0" priority="415">
      <formula>COUNTIF(I69:BG69,"&lt;&gt;" &amp; "")&gt;0</formula>
    </cfRule>
    <cfRule type="expression" dxfId="1" priority="416">
      <formula>AND(COUNTIF(I69:BG69,"&lt;&gt;" &amp; "")&gt;0,NOT(ISBLANK(G69)))</formula>
    </cfRule>
  </conditionalFormatting>
  <conditionalFormatting sqref="G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G70">
    <cfRule type="expression" dxfId="0" priority="418">
      <formula>COUNTIF(I70:BG70,"&lt;&gt;" &amp; "")&gt;0</formula>
    </cfRule>
    <cfRule type="expression" dxfId="1" priority="419">
      <formula>AND(COUNTIF(I70:BG70,"&lt;&gt;" &amp; "")&gt;0,NOT(ISBLANK(G70)))</formula>
    </cfRule>
  </conditionalFormatting>
  <conditionalFormatting sqref="G71">
    <cfRule type="expression" dxfId="0" priority="421">
      <formula>COUNTIF(I71:BG71,"&lt;&gt;" &amp; "")&gt;0</formula>
    </cfRule>
    <cfRule type="expression" dxfId="1" priority="422">
      <formula>AND(COUNTIF(I71:BG71,"&lt;&gt;" &amp; "")&gt;0,NOT(ISBLANK(G71)))</formula>
    </cfRule>
  </conditionalFormatting>
  <conditionalFormatting sqref="G72">
    <cfRule type="expression" dxfId="0" priority="424">
      <formula>COUNTIF(I72:BG72,"&lt;&gt;" &amp; "")&gt;0</formula>
    </cfRule>
    <cfRule type="expression" dxfId="1" priority="425">
      <formula>AND(COUNTIF(I72:BG72,"&lt;&gt;" &amp; "")&gt;0,NOT(ISBLANK(G72)))</formula>
    </cfRule>
  </conditionalFormatting>
  <conditionalFormatting sqref="G73">
    <cfRule type="expression" dxfId="0" priority="427">
      <formula>COUNTIF(I73:BG73,"&lt;&gt;" &amp; "")&gt;0</formula>
    </cfRule>
    <cfRule type="expression" dxfId="1" priority="428">
      <formula>AND(COUNTIF(I73:BG73,"&lt;&gt;" &amp; "")&gt;0,NOT(ISBLANK(G73)))</formula>
    </cfRule>
  </conditionalFormatting>
  <conditionalFormatting sqref="G74">
    <cfRule type="expression" dxfId="0" priority="430">
      <formula>COUNTIF(I74:BG74,"&lt;&gt;" &amp; "")&gt;0</formula>
    </cfRule>
    <cfRule type="expression" dxfId="1" priority="431">
      <formula>AND(COUNTIF(I74:BG74,"&lt;&gt;" &amp; "")&gt;0,NOT(ISBLANK(G74)))</formula>
    </cfRule>
  </conditionalFormatting>
  <conditionalFormatting sqref="G75">
    <cfRule type="expression" dxfId="0" priority="433">
      <formula>COUNTIF(I75:BG75,"&lt;&gt;" &amp; "")&gt;0</formula>
    </cfRule>
    <cfRule type="expression" dxfId="1" priority="434">
      <formula>AND(COUNTIF(I75:BG75,"&lt;&gt;" &amp; "")&gt;0,NOT(ISBLANK(G75)))</formula>
    </cfRule>
  </conditionalFormatting>
  <conditionalFormatting sqref="G76">
    <cfRule type="expression" dxfId="0" priority="436">
      <formula>COUNTIF(I76:BG76,"&lt;&gt;" &amp; "")&gt;0</formula>
    </cfRule>
    <cfRule type="expression" dxfId="1" priority="437">
      <formula>AND(COUNTIF(I76:BG76,"&lt;&gt;" &amp; "")&gt;0,NOT(ISBLANK(G76)))</formula>
    </cfRule>
  </conditionalFormatting>
  <conditionalFormatting sqref="G77">
    <cfRule type="expression" dxfId="0" priority="439">
      <formula>COUNTIF(I77:BG77,"&lt;&gt;" &amp; "")&gt;0</formula>
    </cfRule>
    <cfRule type="expression" dxfId="1" priority="440">
      <formula>AND(COUNTIF(I77:BG77,"&lt;&gt;" &amp; "")&gt;0,NOT(ISBLANK(G77)))</formula>
    </cfRule>
  </conditionalFormatting>
  <conditionalFormatting sqref="G78">
    <cfRule type="expression" dxfId="0" priority="442">
      <formula>COUNTIF(I78:BG78,"&lt;&gt;" &amp; "")&gt;0</formula>
    </cfRule>
    <cfRule type="expression" dxfId="1" priority="443">
      <formula>AND(COUNTIF(I78:BG78,"&lt;&gt;" &amp; "")&gt;0,NOT(ISBLANK(G78)))</formula>
    </cfRule>
  </conditionalFormatting>
  <conditionalFormatting sqref="G79">
    <cfRule type="expression" dxfId="0" priority="445">
      <formula>COUNTIF(I79:BG79,"&lt;&gt;" &amp; "")&gt;0</formula>
    </cfRule>
    <cfRule type="expression" dxfId="1" priority="446">
      <formula>AND(COUNTIF(I79:BG79,"&lt;&gt;" &amp; "")&gt;0,NOT(ISBLANK(G79)))</formula>
    </cfRule>
  </conditionalFormatting>
  <conditionalFormatting sqref="G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G80">
    <cfRule type="expression" dxfId="0" priority="448">
      <formula>COUNTIF(I80:BG80,"&lt;&gt;" &amp; "")&gt;0</formula>
    </cfRule>
    <cfRule type="expression" dxfId="1" priority="449">
      <formula>AND(COUNTIF(I80:BG80,"&lt;&gt;" &amp; "")&gt;0,NOT(ISBLANK(G80)))</formula>
    </cfRule>
  </conditionalFormatting>
  <conditionalFormatting sqref="G81">
    <cfRule type="expression" dxfId="0" priority="451">
      <formula>COUNTIF(I81:BG81,"&lt;&gt;" &amp; "")&gt;0</formula>
    </cfRule>
    <cfRule type="expression" dxfId="1" priority="452">
      <formula>AND(COUNTIF(I81:BG81,"&lt;&gt;" &amp; "")&gt;0,NOT(ISBLANK(G81)))</formula>
    </cfRule>
  </conditionalFormatting>
  <conditionalFormatting sqref="G82">
    <cfRule type="expression" dxfId="0" priority="454">
      <formula>COUNTIF(I82:BG82,"&lt;&gt;" &amp; "")&gt;0</formula>
    </cfRule>
    <cfRule type="expression" dxfId="1" priority="455">
      <formula>AND(COUNTIF(I82:BG82,"&lt;&gt;" &amp; "")&gt;0,NOT(ISBLANK(G82)))</formula>
    </cfRule>
  </conditionalFormatting>
  <conditionalFormatting sqref="G83">
    <cfRule type="expression" dxfId="0" priority="457">
      <formula>COUNTIF(I83:BG83,"&lt;&gt;" &amp; "")&gt;0</formula>
    </cfRule>
    <cfRule type="expression" dxfId="1" priority="458">
      <formula>AND(COUNTIF(I83:BG83,"&lt;&gt;" &amp; "")&gt;0,NOT(ISBLANK(G83)))</formula>
    </cfRule>
  </conditionalFormatting>
  <conditionalFormatting sqref="G84">
    <cfRule type="expression" dxfId="0" priority="460">
      <formula>COUNTIF(I84:BG84,"&lt;&gt;" &amp; "")&gt;0</formula>
    </cfRule>
    <cfRule type="expression" dxfId="1" priority="461">
      <formula>AND(COUNTIF(I84:BG84,"&lt;&gt;" &amp; "")&gt;0,NOT(ISBLANK(G84)))</formula>
    </cfRule>
  </conditionalFormatting>
  <conditionalFormatting sqref="G85">
    <cfRule type="expression" dxfId="0" priority="463">
      <formula>COUNTIF(I85:BG85,"&lt;&gt;" &amp; "")&gt;0</formula>
    </cfRule>
    <cfRule type="expression" dxfId="1" priority="464">
      <formula>AND(COUNTIF(I85:BG85,"&lt;&gt;" &amp; "")&gt;0,NOT(ISBLANK(G85)))</formula>
    </cfRule>
  </conditionalFormatting>
  <conditionalFormatting sqref="G86">
    <cfRule type="expression" dxfId="0" priority="466">
      <formula>COUNTIF(I86:BG86,"&lt;&gt;" &amp; "")&gt;0</formula>
    </cfRule>
    <cfRule type="expression" dxfId="1" priority="467">
      <formula>AND(COUNTIF(I86:BG86,"&lt;&gt;" &amp; "")&gt;0,NOT(ISBLANK(G86)))</formula>
    </cfRule>
  </conditionalFormatting>
  <conditionalFormatting sqref="G87">
    <cfRule type="expression" dxfId="0" priority="469">
      <formula>COUNTIF(I87:BG87,"&lt;&gt;" &amp; "")&gt;0</formula>
    </cfRule>
    <cfRule type="expression" dxfId="1" priority="470">
      <formula>AND(COUNTIF(I87:BG87,"&lt;&gt;" &amp; "")&gt;0,NOT(ISBLANK(G87)))</formula>
    </cfRule>
  </conditionalFormatting>
  <conditionalFormatting sqref="G88">
    <cfRule type="expression" dxfId="0" priority="472">
      <formula>COUNTIF(I88:BG88,"&lt;&gt;" &amp; "")&gt;0</formula>
    </cfRule>
    <cfRule type="expression" dxfId="1" priority="473">
      <formula>AND(COUNTIF(I88:BG88,"&lt;&gt;" &amp; "")&gt;0,NOT(ISBLANK(G88)))</formula>
    </cfRule>
  </conditionalFormatting>
  <conditionalFormatting sqref="G89">
    <cfRule type="expression" dxfId="0" priority="475">
      <formula>COUNTIF(I89:BG89,"&lt;&gt;" &amp; "")&gt;0</formula>
    </cfRule>
    <cfRule type="expression" dxfId="1" priority="476">
      <formula>AND(COUNTIF(I89:BG89,"&lt;&gt;" &amp; "")&gt;0,NOT(ISBLANK(G89)))</formula>
    </cfRule>
  </conditionalFormatting>
  <conditionalFormatting sqref="G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G90">
    <cfRule type="expression" dxfId="0" priority="478">
      <formula>COUNTIF(I90:BG90,"&lt;&gt;" &amp; "")&gt;0</formula>
    </cfRule>
    <cfRule type="expression" dxfId="1" priority="479">
      <formula>AND(COUNTIF(I90:BG90,"&lt;&gt;" &amp; "")&gt;0,NOT(ISBLANK(G90)))</formula>
    </cfRule>
  </conditionalFormatting>
  <conditionalFormatting sqref="G91">
    <cfRule type="expression" dxfId="0" priority="481">
      <formula>COUNTIF(I91:BG91,"&lt;&gt;" &amp; "")&gt;0</formula>
    </cfRule>
    <cfRule type="expression" dxfId="1" priority="482">
      <formula>AND(COUNTIF(I91:BG91,"&lt;&gt;" &amp; "")&gt;0,NOT(ISBLANK(G91)))</formula>
    </cfRule>
  </conditionalFormatting>
  <conditionalFormatting sqref="G92">
    <cfRule type="expression" dxfId="0" priority="484">
      <formula>COUNTIF(I92:BG92,"&lt;&gt;" &amp; "")&gt;0</formula>
    </cfRule>
    <cfRule type="expression" dxfId="1" priority="485">
      <formula>AND(COUNTIF(I92:BG92,"&lt;&gt;" &amp; "")&gt;0,NOT(ISBLANK(G92)))</formula>
    </cfRule>
  </conditionalFormatting>
  <conditionalFormatting sqref="G93">
    <cfRule type="expression" dxfId="0" priority="487">
      <formula>COUNTIF(I93:BG93,"&lt;&gt;" &amp; "")&gt;0</formula>
    </cfRule>
    <cfRule type="expression" dxfId="1" priority="488">
      <formula>AND(COUNTIF(I93:BG93,"&lt;&gt;" &amp; "")&gt;0,NOT(ISBLANK(G93)))</formula>
    </cfRule>
  </conditionalFormatting>
  <conditionalFormatting sqref="G94">
    <cfRule type="expression" dxfId="0" priority="490">
      <formula>COUNTIF(I94:BG94,"&lt;&gt;" &amp; "")&gt;0</formula>
    </cfRule>
    <cfRule type="expression" dxfId="1" priority="491">
      <formula>AND(COUNTIF(I94:BG94,"&lt;&gt;" &amp; "")&gt;0,NOT(ISBLANK(G94)))</formula>
    </cfRule>
  </conditionalFormatting>
  <conditionalFormatting sqref="G95">
    <cfRule type="expression" dxfId="0" priority="493">
      <formula>COUNTIF(I95:BG95,"&lt;&gt;" &amp; "")&gt;0</formula>
    </cfRule>
    <cfRule type="expression" dxfId="1" priority="494">
      <formula>AND(COUNTIF(I95:BG95,"&lt;&gt;" &amp; "")&gt;0,NOT(ISBLANK(G95)))</formula>
    </cfRule>
  </conditionalFormatting>
  <conditionalFormatting sqref="G96">
    <cfRule type="expression" dxfId="0" priority="496">
      <formula>COUNTIF(I96:BG96,"&lt;&gt;" &amp; "")&gt;0</formula>
    </cfRule>
    <cfRule type="expression" dxfId="1" priority="497">
      <formula>AND(COUNTIF(I96:BG96,"&lt;&gt;" &amp; "")&gt;0,NOT(ISBLANK(G96)))</formula>
    </cfRule>
  </conditionalFormatting>
  <conditionalFormatting sqref="G97">
    <cfRule type="expression" dxfId="0" priority="499">
      <formula>COUNTIF(I97:BG97,"&lt;&gt;" &amp; "")&gt;0</formula>
    </cfRule>
    <cfRule type="expression" dxfId="1" priority="500">
      <formula>AND(COUNTIF(I97:BG97,"&lt;&gt;" &amp; "")&gt;0,NOT(ISBLANK(G97)))</formula>
    </cfRule>
  </conditionalFormatting>
  <conditionalFormatting sqref="G98">
    <cfRule type="expression" dxfId="0" priority="502">
      <formula>COUNTIF(I98:BG98,"&lt;&gt;" &amp; "")&gt;0</formula>
    </cfRule>
    <cfRule type="expression" dxfId="1" priority="503">
      <formula>AND(COUNTIF(I98:BG98,"&lt;&gt;" &amp; "")&gt;0,NOT(ISBLANK(G98)))</formula>
    </cfRule>
  </conditionalFormatting>
  <conditionalFormatting sqref="G99">
    <cfRule type="expression" dxfId="0" priority="505">
      <formula>COUNTIF(I99:BG99,"&lt;&gt;" &amp; "")&gt;0</formula>
    </cfRule>
    <cfRule type="expression" dxfId="1" priority="506">
      <formula>AND(COUNTIF(I99:BG99,"&lt;&gt;" &amp; "")&gt;0,NOT(ISBLANK(G99)))</formula>
    </cfRule>
  </conditionalFormatting>
  <conditionalFormatting sqref="H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H12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H13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H14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H15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H16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H168">
    <cfRule type="cellIs" dxfId="2" priority="707" operator="equal">
      <formula>"Y"</formula>
    </cfRule>
    <cfRule type="cellIs" dxfId="3" priority="708" operator="equal">
      <formula>"N"</formula>
    </cfRule>
  </conditionalFormatting>
  <conditionalFormatting sqref="H169">
    <cfRule type="cellIs" dxfId="2" priority="729" operator="equal">
      <formula>"Y"</formula>
    </cfRule>
    <cfRule type="cellIs" dxfId="3" priority="730" operator="equal">
      <formula>"N"</formula>
    </cfRule>
  </conditionalFormatting>
  <conditionalFormatting sqref="H170">
    <cfRule type="cellIs" dxfId="2" priority="751" operator="equal">
      <formula>"Y"</formula>
    </cfRule>
    <cfRule type="cellIs" dxfId="3" priority="752" operator="equal">
      <formula>"N"</formula>
    </cfRule>
  </conditionalFormatting>
  <conditionalFormatting sqref="H171">
    <cfRule type="cellIs" dxfId="2" priority="773" operator="equal">
      <formula>"Y"</formula>
    </cfRule>
    <cfRule type="cellIs" dxfId="3" priority="774" operator="equal">
      <formula>"N"</formula>
    </cfRule>
  </conditionalFormatting>
  <conditionalFormatting sqref="H172">
    <cfRule type="cellIs" dxfId="2" priority="795" operator="equal">
      <formula>"Y"</formula>
    </cfRule>
    <cfRule type="cellIs" dxfId="3" priority="796" operator="equal">
      <formula>"N"</formula>
    </cfRule>
  </conditionalFormatting>
  <conditionalFormatting sqref="H173">
    <cfRule type="cellIs" dxfId="2" priority="817" operator="equal">
      <formula>"Y"</formula>
    </cfRule>
    <cfRule type="cellIs" dxfId="3" priority="818" operator="equal">
      <formula>"N"</formula>
    </cfRule>
  </conditionalFormatting>
  <conditionalFormatting sqref="H175">
    <cfRule type="cellIs" dxfId="2" priority="863" operator="equal">
      <formula>"Y"</formula>
    </cfRule>
    <cfRule type="cellIs" dxfId="3" priority="864" operator="equal">
      <formula>"N"</formula>
    </cfRule>
  </conditionalFormatting>
  <conditionalFormatting sqref="H176">
    <cfRule type="cellIs" dxfId="2" priority="885" operator="equal">
      <formula>"Y"</formula>
    </cfRule>
    <cfRule type="cellIs" dxfId="3" priority="886" operator="equal">
      <formula>"N"</formula>
    </cfRule>
  </conditionalFormatting>
  <conditionalFormatting sqref="H177">
    <cfRule type="cellIs" dxfId="2" priority="907" operator="equal">
      <formula>"Y"</formula>
    </cfRule>
    <cfRule type="cellIs" dxfId="3" priority="908" operator="equal">
      <formula>"N"</formula>
    </cfRule>
  </conditionalFormatting>
  <conditionalFormatting sqref="H178">
    <cfRule type="cellIs" dxfId="2" priority="929" operator="equal">
      <formula>"Y"</formula>
    </cfRule>
    <cfRule type="cellIs" dxfId="3" priority="930" operator="equal">
      <formula>"N"</formula>
    </cfRule>
  </conditionalFormatting>
  <conditionalFormatting sqref="H179">
    <cfRule type="cellIs" dxfId="2" priority="951" operator="equal">
      <formula>"Y"</formula>
    </cfRule>
    <cfRule type="cellIs" dxfId="3" priority="952" operator="equal">
      <formula>"N"</formula>
    </cfRule>
  </conditionalFormatting>
  <conditionalFormatting sqref="H331">
    <cfRule type="cellIs" dxfId="2" priority="1403" operator="equal">
      <formula>"Y"</formula>
    </cfRule>
    <cfRule type="cellIs" dxfId="3" priority="1404" operator="equal">
      <formula>"N"</formula>
    </cfRule>
  </conditionalFormatting>
  <conditionalFormatting sqref="H332">
    <cfRule type="cellIs" dxfId="2" priority="1425" operator="equal">
      <formula>"Y"</formula>
    </cfRule>
    <cfRule type="cellIs" dxfId="3" priority="1426" operator="equal">
      <formula>"N"</formula>
    </cfRule>
  </conditionalFormatting>
  <conditionalFormatting sqref="H333">
    <cfRule type="cellIs" dxfId="2" priority="1447" operator="equal">
      <formula>"Y"</formula>
    </cfRule>
    <cfRule type="cellIs" dxfId="3" priority="1448" operator="equal">
      <formula>"N"</formula>
    </cfRule>
  </conditionalFormatting>
  <conditionalFormatting sqref="H334">
    <cfRule type="cellIs" dxfId="2" priority="1469" operator="equal">
      <formula>"Y"</formula>
    </cfRule>
    <cfRule type="cellIs" dxfId="3" priority="1470" operator="equal">
      <formula>"N"</formula>
    </cfRule>
  </conditionalFormatting>
  <conditionalFormatting sqref="H335">
    <cfRule type="cellIs" dxfId="2" priority="1491" operator="equal">
      <formula>"Y"</formula>
    </cfRule>
    <cfRule type="cellIs" dxfId="3" priority="1492" operator="equal">
      <formula>"N"</formula>
    </cfRule>
  </conditionalFormatting>
  <conditionalFormatting sqref="H336">
    <cfRule type="cellIs" dxfId="2" priority="1513" operator="equal">
      <formula>"Y"</formula>
    </cfRule>
    <cfRule type="cellIs" dxfId="3" priority="1514" operator="equal">
      <formula>"N"</formula>
    </cfRule>
  </conditionalFormatting>
  <conditionalFormatting sqref="H338">
    <cfRule type="cellIs" dxfId="2" priority="1559" operator="equal">
      <formula>"Y"</formula>
    </cfRule>
    <cfRule type="cellIs" dxfId="3" priority="1560" operator="equal">
      <formula>"N"</formula>
    </cfRule>
  </conditionalFormatting>
  <conditionalFormatting sqref="H339">
    <cfRule type="cellIs" dxfId="2" priority="1581" operator="equal">
      <formula>"Y"</formula>
    </cfRule>
    <cfRule type="cellIs" dxfId="3" priority="1582" operator="equal">
      <formula>"N"</formula>
    </cfRule>
  </conditionalFormatting>
  <conditionalFormatting sqref="H340">
    <cfRule type="cellIs" dxfId="2" priority="1603" operator="equal">
      <formula>"Y"</formula>
    </cfRule>
    <cfRule type="cellIs" dxfId="3" priority="1604" operator="equal">
      <formula>"N"</formula>
    </cfRule>
  </conditionalFormatting>
  <conditionalFormatting sqref="H341">
    <cfRule type="cellIs" dxfId="2" priority="1625" operator="equal">
      <formula>"Y"</formula>
    </cfRule>
    <cfRule type="cellIs" dxfId="3" priority="1626" operator="equal">
      <formula>"N"</formula>
    </cfRule>
  </conditionalFormatting>
  <conditionalFormatting sqref="H342">
    <cfRule type="cellIs" dxfId="2" priority="1647" operator="equal">
      <formula>"Y"</formula>
    </cfRule>
    <cfRule type="cellIs" dxfId="3" priority="1648" operator="equal">
      <formula>"N"</formula>
    </cfRule>
  </conditionalFormatting>
  <conditionalFormatting sqref="H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H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H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H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H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I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I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I13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I14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I15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I16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I168">
    <cfRule type="cellIs" dxfId="2" priority="709" operator="equal">
      <formula>"Y"</formula>
    </cfRule>
    <cfRule type="cellIs" dxfId="3" priority="710" operator="equal">
      <formula>"N"</formula>
    </cfRule>
  </conditionalFormatting>
  <conditionalFormatting sqref="I169">
    <cfRule type="cellIs" dxfId="2" priority="731" operator="equal">
      <formula>"Y"</formula>
    </cfRule>
    <cfRule type="cellIs" dxfId="3" priority="732" operator="equal">
      <formula>"N"</formula>
    </cfRule>
  </conditionalFormatting>
  <conditionalFormatting sqref="I170">
    <cfRule type="cellIs" dxfId="2" priority="753" operator="equal">
      <formula>"Y"</formula>
    </cfRule>
    <cfRule type="cellIs" dxfId="3" priority="754" operator="equal">
      <formula>"N"</formula>
    </cfRule>
  </conditionalFormatting>
  <conditionalFormatting sqref="I171">
    <cfRule type="cellIs" dxfId="2" priority="775" operator="equal">
      <formula>"Y"</formula>
    </cfRule>
    <cfRule type="cellIs" dxfId="3" priority="776" operator="equal">
      <formula>"N"</formula>
    </cfRule>
  </conditionalFormatting>
  <conditionalFormatting sqref="I172">
    <cfRule type="cellIs" dxfId="2" priority="797" operator="equal">
      <formula>"Y"</formula>
    </cfRule>
    <cfRule type="cellIs" dxfId="3" priority="798" operator="equal">
      <formula>"N"</formula>
    </cfRule>
  </conditionalFormatting>
  <conditionalFormatting sqref="I173">
    <cfRule type="cellIs" dxfId="2" priority="819" operator="equal">
      <formula>"Y"</formula>
    </cfRule>
    <cfRule type="cellIs" dxfId="3" priority="820" operator="equal">
      <formula>"N"</formula>
    </cfRule>
  </conditionalFormatting>
  <conditionalFormatting sqref="I174">
    <cfRule type="cellIs" dxfId="2" priority="841" operator="equal">
      <formula>"Y"</formula>
    </cfRule>
    <cfRule type="cellIs" dxfId="3" priority="842" operator="equal">
      <formula>"N"</formula>
    </cfRule>
  </conditionalFormatting>
  <conditionalFormatting sqref="I176">
    <cfRule type="cellIs" dxfId="2" priority="887" operator="equal">
      <formula>"Y"</formula>
    </cfRule>
    <cfRule type="cellIs" dxfId="3" priority="888" operator="equal">
      <formula>"N"</formula>
    </cfRule>
  </conditionalFormatting>
  <conditionalFormatting sqref="I177">
    <cfRule type="cellIs" dxfId="2" priority="909" operator="equal">
      <formula>"Y"</formula>
    </cfRule>
    <cfRule type="cellIs" dxfId="3" priority="910" operator="equal">
      <formula>"N"</formula>
    </cfRule>
  </conditionalFormatting>
  <conditionalFormatting sqref="I178">
    <cfRule type="cellIs" dxfId="2" priority="931" operator="equal">
      <formula>"Y"</formula>
    </cfRule>
    <cfRule type="cellIs" dxfId="3" priority="932" operator="equal">
      <formula>"N"</formula>
    </cfRule>
  </conditionalFormatting>
  <conditionalFormatting sqref="I179">
    <cfRule type="cellIs" dxfId="2" priority="953" operator="equal">
      <formula>"Y"</formula>
    </cfRule>
    <cfRule type="cellIs" dxfId="3" priority="954" operator="equal">
      <formula>"N"</formula>
    </cfRule>
  </conditionalFormatting>
  <conditionalFormatting sqref="I331">
    <cfRule type="cellIs" dxfId="2" priority="1405" operator="equal">
      <formula>"Y"</formula>
    </cfRule>
    <cfRule type="cellIs" dxfId="3" priority="1406" operator="equal">
      <formula>"N"</formula>
    </cfRule>
  </conditionalFormatting>
  <conditionalFormatting sqref="I332">
    <cfRule type="cellIs" dxfId="2" priority="1427" operator="equal">
      <formula>"Y"</formula>
    </cfRule>
    <cfRule type="cellIs" dxfId="3" priority="1428" operator="equal">
      <formula>"N"</formula>
    </cfRule>
  </conditionalFormatting>
  <conditionalFormatting sqref="I333">
    <cfRule type="cellIs" dxfId="2" priority="1449" operator="equal">
      <formula>"Y"</formula>
    </cfRule>
    <cfRule type="cellIs" dxfId="3" priority="1450" operator="equal">
      <formula>"N"</formula>
    </cfRule>
  </conditionalFormatting>
  <conditionalFormatting sqref="I334">
    <cfRule type="cellIs" dxfId="2" priority="1471" operator="equal">
      <formula>"Y"</formula>
    </cfRule>
    <cfRule type="cellIs" dxfId="3" priority="1472" operator="equal">
      <formula>"N"</formula>
    </cfRule>
  </conditionalFormatting>
  <conditionalFormatting sqref="I335">
    <cfRule type="cellIs" dxfId="2" priority="1493" operator="equal">
      <formula>"Y"</formula>
    </cfRule>
    <cfRule type="cellIs" dxfId="3" priority="1494" operator="equal">
      <formula>"N"</formula>
    </cfRule>
  </conditionalFormatting>
  <conditionalFormatting sqref="I336">
    <cfRule type="cellIs" dxfId="2" priority="1515" operator="equal">
      <formula>"Y"</formula>
    </cfRule>
    <cfRule type="cellIs" dxfId="3" priority="1516" operator="equal">
      <formula>"N"</formula>
    </cfRule>
  </conditionalFormatting>
  <conditionalFormatting sqref="I337">
    <cfRule type="cellIs" dxfId="2" priority="1537" operator="equal">
      <formula>"Y"</formula>
    </cfRule>
    <cfRule type="cellIs" dxfId="3" priority="1538" operator="equal">
      <formula>"N"</formula>
    </cfRule>
  </conditionalFormatting>
  <conditionalFormatting sqref="I339">
    <cfRule type="cellIs" dxfId="2" priority="1583" operator="equal">
      <formula>"Y"</formula>
    </cfRule>
    <cfRule type="cellIs" dxfId="3" priority="1584" operator="equal">
      <formula>"N"</formula>
    </cfRule>
  </conditionalFormatting>
  <conditionalFormatting sqref="I340">
    <cfRule type="cellIs" dxfId="2" priority="1605" operator="equal">
      <formula>"Y"</formula>
    </cfRule>
    <cfRule type="cellIs" dxfId="3" priority="1606" operator="equal">
      <formula>"N"</formula>
    </cfRule>
  </conditionalFormatting>
  <conditionalFormatting sqref="I341">
    <cfRule type="cellIs" dxfId="2" priority="1627" operator="equal">
      <formula>"Y"</formula>
    </cfRule>
    <cfRule type="cellIs" dxfId="3" priority="1628" operator="equal">
      <formula>"N"</formula>
    </cfRule>
  </conditionalFormatting>
  <conditionalFormatting sqref="I342">
    <cfRule type="cellIs" dxfId="2" priority="1649" operator="equal">
      <formula>"Y"</formula>
    </cfRule>
    <cfRule type="cellIs" dxfId="3" priority="1650" operator="equal">
      <formula>"N"</formula>
    </cfRule>
  </conditionalFormatting>
  <conditionalFormatting sqref="I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I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I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I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I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J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J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J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J14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J15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J16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J168">
    <cfRule type="cellIs" dxfId="2" priority="711" operator="equal">
      <formula>"Y"</formula>
    </cfRule>
    <cfRule type="cellIs" dxfId="3" priority="712" operator="equal">
      <formula>"N"</formula>
    </cfRule>
  </conditionalFormatting>
  <conditionalFormatting sqref="J169">
    <cfRule type="cellIs" dxfId="2" priority="733" operator="equal">
      <formula>"Y"</formula>
    </cfRule>
    <cfRule type="cellIs" dxfId="3" priority="734" operator="equal">
      <formula>"N"</formula>
    </cfRule>
  </conditionalFormatting>
  <conditionalFormatting sqref="J170">
    <cfRule type="cellIs" dxfId="2" priority="755" operator="equal">
      <formula>"Y"</formula>
    </cfRule>
    <cfRule type="cellIs" dxfId="3" priority="756" operator="equal">
      <formula>"N"</formula>
    </cfRule>
  </conditionalFormatting>
  <conditionalFormatting sqref="J171">
    <cfRule type="cellIs" dxfId="2" priority="777" operator="equal">
      <formula>"Y"</formula>
    </cfRule>
    <cfRule type="cellIs" dxfId="3" priority="778" operator="equal">
      <formula>"N"</formula>
    </cfRule>
  </conditionalFormatting>
  <conditionalFormatting sqref="J172">
    <cfRule type="cellIs" dxfId="2" priority="799" operator="equal">
      <formula>"Y"</formula>
    </cfRule>
    <cfRule type="cellIs" dxfId="3" priority="800" operator="equal">
      <formula>"N"</formula>
    </cfRule>
  </conditionalFormatting>
  <conditionalFormatting sqref="J173">
    <cfRule type="cellIs" dxfId="2" priority="821" operator="equal">
      <formula>"Y"</formula>
    </cfRule>
    <cfRule type="cellIs" dxfId="3" priority="822" operator="equal">
      <formula>"N"</formula>
    </cfRule>
  </conditionalFormatting>
  <conditionalFormatting sqref="J174">
    <cfRule type="cellIs" dxfId="2" priority="843" operator="equal">
      <formula>"Y"</formula>
    </cfRule>
    <cfRule type="cellIs" dxfId="3" priority="844" operator="equal">
      <formula>"N"</formula>
    </cfRule>
  </conditionalFormatting>
  <conditionalFormatting sqref="J175">
    <cfRule type="cellIs" dxfId="2" priority="865" operator="equal">
      <formula>"Y"</formula>
    </cfRule>
    <cfRule type="cellIs" dxfId="3" priority="866" operator="equal">
      <formula>"N"</formula>
    </cfRule>
  </conditionalFormatting>
  <conditionalFormatting sqref="J177">
    <cfRule type="cellIs" dxfId="2" priority="911" operator="equal">
      <formula>"Y"</formula>
    </cfRule>
    <cfRule type="cellIs" dxfId="3" priority="912" operator="equal">
      <formula>"N"</formula>
    </cfRule>
  </conditionalFormatting>
  <conditionalFormatting sqref="J178">
    <cfRule type="cellIs" dxfId="2" priority="933" operator="equal">
      <formula>"Y"</formula>
    </cfRule>
    <cfRule type="cellIs" dxfId="3" priority="934" operator="equal">
      <formula>"N"</formula>
    </cfRule>
  </conditionalFormatting>
  <conditionalFormatting sqref="J179">
    <cfRule type="cellIs" dxfId="2" priority="955" operator="equal">
      <formula>"Y"</formula>
    </cfRule>
    <cfRule type="cellIs" dxfId="3" priority="956" operator="equal">
      <formula>"N"</formula>
    </cfRule>
  </conditionalFormatting>
  <conditionalFormatting sqref="J331">
    <cfRule type="cellIs" dxfId="2" priority="1407" operator="equal">
      <formula>"Y"</formula>
    </cfRule>
    <cfRule type="cellIs" dxfId="3" priority="1408" operator="equal">
      <formula>"N"</formula>
    </cfRule>
  </conditionalFormatting>
  <conditionalFormatting sqref="J332">
    <cfRule type="cellIs" dxfId="2" priority="1429" operator="equal">
      <formula>"Y"</formula>
    </cfRule>
    <cfRule type="cellIs" dxfId="3" priority="1430" operator="equal">
      <formula>"N"</formula>
    </cfRule>
  </conditionalFormatting>
  <conditionalFormatting sqref="J333">
    <cfRule type="cellIs" dxfId="2" priority="1451" operator="equal">
      <formula>"Y"</formula>
    </cfRule>
    <cfRule type="cellIs" dxfId="3" priority="1452" operator="equal">
      <formula>"N"</formula>
    </cfRule>
  </conditionalFormatting>
  <conditionalFormatting sqref="J334">
    <cfRule type="cellIs" dxfId="2" priority="1473" operator="equal">
      <formula>"Y"</formula>
    </cfRule>
    <cfRule type="cellIs" dxfId="3" priority="1474" operator="equal">
      <formula>"N"</formula>
    </cfRule>
  </conditionalFormatting>
  <conditionalFormatting sqref="J335">
    <cfRule type="cellIs" dxfId="2" priority="1495" operator="equal">
      <formula>"Y"</formula>
    </cfRule>
    <cfRule type="cellIs" dxfId="3" priority="1496" operator="equal">
      <formula>"N"</formula>
    </cfRule>
  </conditionalFormatting>
  <conditionalFormatting sqref="J336">
    <cfRule type="cellIs" dxfId="2" priority="1517" operator="equal">
      <formula>"Y"</formula>
    </cfRule>
    <cfRule type="cellIs" dxfId="3" priority="1518" operator="equal">
      <formula>"N"</formula>
    </cfRule>
  </conditionalFormatting>
  <conditionalFormatting sqref="J337">
    <cfRule type="cellIs" dxfId="2" priority="1539" operator="equal">
      <formula>"Y"</formula>
    </cfRule>
    <cfRule type="cellIs" dxfId="3" priority="1540" operator="equal">
      <formula>"N"</formula>
    </cfRule>
  </conditionalFormatting>
  <conditionalFormatting sqref="J338">
    <cfRule type="cellIs" dxfId="2" priority="1561" operator="equal">
      <formula>"Y"</formula>
    </cfRule>
    <cfRule type="cellIs" dxfId="3" priority="1562" operator="equal">
      <formula>"N"</formula>
    </cfRule>
  </conditionalFormatting>
  <conditionalFormatting sqref="J340">
    <cfRule type="cellIs" dxfId="2" priority="1607" operator="equal">
      <formula>"Y"</formula>
    </cfRule>
    <cfRule type="cellIs" dxfId="3" priority="1608" operator="equal">
      <formula>"N"</formula>
    </cfRule>
  </conditionalFormatting>
  <conditionalFormatting sqref="J341">
    <cfRule type="cellIs" dxfId="2" priority="1629" operator="equal">
      <formula>"Y"</formula>
    </cfRule>
    <cfRule type="cellIs" dxfId="3" priority="1630" operator="equal">
      <formula>"N"</formula>
    </cfRule>
  </conditionalFormatting>
  <conditionalFormatting sqref="J342">
    <cfRule type="cellIs" dxfId="2" priority="1651" operator="equal">
      <formula>"Y"</formula>
    </cfRule>
    <cfRule type="cellIs" dxfId="3" priority="1652" operator="equal">
      <formula>"N"</formula>
    </cfRule>
  </conditionalFormatting>
  <conditionalFormatting sqref="J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J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J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J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J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K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K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K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K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K15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K16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K168">
    <cfRule type="cellIs" dxfId="2" priority="713" operator="equal">
      <formula>"Y"</formula>
    </cfRule>
    <cfRule type="cellIs" dxfId="3" priority="714" operator="equal">
      <formula>"N"</formula>
    </cfRule>
  </conditionalFormatting>
  <conditionalFormatting sqref="K169">
    <cfRule type="cellIs" dxfId="2" priority="735" operator="equal">
      <formula>"Y"</formula>
    </cfRule>
    <cfRule type="cellIs" dxfId="3" priority="736" operator="equal">
      <formula>"N"</formula>
    </cfRule>
  </conditionalFormatting>
  <conditionalFormatting sqref="K170">
    <cfRule type="cellIs" dxfId="2" priority="757" operator="equal">
      <formula>"Y"</formula>
    </cfRule>
    <cfRule type="cellIs" dxfId="3" priority="758" operator="equal">
      <formula>"N"</formula>
    </cfRule>
  </conditionalFormatting>
  <conditionalFormatting sqref="K171">
    <cfRule type="cellIs" dxfId="2" priority="779" operator="equal">
      <formula>"Y"</formula>
    </cfRule>
    <cfRule type="cellIs" dxfId="3" priority="780" operator="equal">
      <formula>"N"</formula>
    </cfRule>
  </conditionalFormatting>
  <conditionalFormatting sqref="K172">
    <cfRule type="cellIs" dxfId="2" priority="801" operator="equal">
      <formula>"Y"</formula>
    </cfRule>
    <cfRule type="cellIs" dxfId="3" priority="802" operator="equal">
      <formula>"N"</formula>
    </cfRule>
  </conditionalFormatting>
  <conditionalFormatting sqref="K173">
    <cfRule type="cellIs" dxfId="2" priority="823" operator="equal">
      <formula>"Y"</formula>
    </cfRule>
    <cfRule type="cellIs" dxfId="3" priority="824" operator="equal">
      <formula>"N"</formula>
    </cfRule>
  </conditionalFormatting>
  <conditionalFormatting sqref="K174">
    <cfRule type="cellIs" dxfId="2" priority="845" operator="equal">
      <formula>"Y"</formula>
    </cfRule>
    <cfRule type="cellIs" dxfId="3" priority="846" operator="equal">
      <formula>"N"</formula>
    </cfRule>
  </conditionalFormatting>
  <conditionalFormatting sqref="K175">
    <cfRule type="cellIs" dxfId="2" priority="867" operator="equal">
      <formula>"Y"</formula>
    </cfRule>
    <cfRule type="cellIs" dxfId="3" priority="868" operator="equal">
      <formula>"N"</formula>
    </cfRule>
  </conditionalFormatting>
  <conditionalFormatting sqref="K176">
    <cfRule type="cellIs" dxfId="2" priority="889" operator="equal">
      <formula>"Y"</formula>
    </cfRule>
    <cfRule type="cellIs" dxfId="3" priority="890" operator="equal">
      <formula>"N"</formula>
    </cfRule>
  </conditionalFormatting>
  <conditionalFormatting sqref="K178">
    <cfRule type="cellIs" dxfId="2" priority="935" operator="equal">
      <formula>"Y"</formula>
    </cfRule>
    <cfRule type="cellIs" dxfId="3" priority="936" operator="equal">
      <formula>"N"</formula>
    </cfRule>
  </conditionalFormatting>
  <conditionalFormatting sqref="K179">
    <cfRule type="cellIs" dxfId="2" priority="957" operator="equal">
      <formula>"Y"</formula>
    </cfRule>
    <cfRule type="cellIs" dxfId="3" priority="958" operator="equal">
      <formula>"N"</formula>
    </cfRule>
  </conditionalFormatting>
  <conditionalFormatting sqref="K331">
    <cfRule type="cellIs" dxfId="2" priority="1409" operator="equal">
      <formula>"Y"</formula>
    </cfRule>
    <cfRule type="cellIs" dxfId="3" priority="1410" operator="equal">
      <formula>"N"</formula>
    </cfRule>
  </conditionalFormatting>
  <conditionalFormatting sqref="K332">
    <cfRule type="cellIs" dxfId="2" priority="1431" operator="equal">
      <formula>"Y"</formula>
    </cfRule>
    <cfRule type="cellIs" dxfId="3" priority="1432" operator="equal">
      <formula>"N"</formula>
    </cfRule>
  </conditionalFormatting>
  <conditionalFormatting sqref="K333">
    <cfRule type="cellIs" dxfId="2" priority="1453" operator="equal">
      <formula>"Y"</formula>
    </cfRule>
    <cfRule type="cellIs" dxfId="3" priority="1454" operator="equal">
      <formula>"N"</formula>
    </cfRule>
  </conditionalFormatting>
  <conditionalFormatting sqref="K334">
    <cfRule type="cellIs" dxfId="2" priority="1475" operator="equal">
      <formula>"Y"</formula>
    </cfRule>
    <cfRule type="cellIs" dxfId="3" priority="1476" operator="equal">
      <formula>"N"</formula>
    </cfRule>
  </conditionalFormatting>
  <conditionalFormatting sqref="K335">
    <cfRule type="cellIs" dxfId="2" priority="1497" operator="equal">
      <formula>"Y"</formula>
    </cfRule>
    <cfRule type="cellIs" dxfId="3" priority="1498" operator="equal">
      <formula>"N"</formula>
    </cfRule>
  </conditionalFormatting>
  <conditionalFormatting sqref="K336">
    <cfRule type="cellIs" dxfId="2" priority="1519" operator="equal">
      <formula>"Y"</formula>
    </cfRule>
    <cfRule type="cellIs" dxfId="3" priority="1520" operator="equal">
      <formula>"N"</formula>
    </cfRule>
  </conditionalFormatting>
  <conditionalFormatting sqref="K337">
    <cfRule type="cellIs" dxfId="2" priority="1541" operator="equal">
      <formula>"Y"</formula>
    </cfRule>
    <cfRule type="cellIs" dxfId="3" priority="1542" operator="equal">
      <formula>"N"</formula>
    </cfRule>
  </conditionalFormatting>
  <conditionalFormatting sqref="K338">
    <cfRule type="cellIs" dxfId="2" priority="1563" operator="equal">
      <formula>"Y"</formula>
    </cfRule>
    <cfRule type="cellIs" dxfId="3" priority="1564" operator="equal">
      <formula>"N"</formula>
    </cfRule>
  </conditionalFormatting>
  <conditionalFormatting sqref="K339">
    <cfRule type="cellIs" dxfId="2" priority="1585" operator="equal">
      <formula>"Y"</formula>
    </cfRule>
    <cfRule type="cellIs" dxfId="3" priority="1586" operator="equal">
      <formula>"N"</formula>
    </cfRule>
  </conditionalFormatting>
  <conditionalFormatting sqref="K341">
    <cfRule type="cellIs" dxfId="2" priority="1631" operator="equal">
      <formula>"Y"</formula>
    </cfRule>
    <cfRule type="cellIs" dxfId="3" priority="1632" operator="equal">
      <formula>"N"</formula>
    </cfRule>
  </conditionalFormatting>
  <conditionalFormatting sqref="K342">
    <cfRule type="cellIs" dxfId="2" priority="1653" operator="equal">
      <formula>"Y"</formula>
    </cfRule>
    <cfRule type="cellIs" dxfId="3" priority="1654" operator="equal">
      <formula>"N"</formula>
    </cfRule>
  </conditionalFormatting>
  <conditionalFormatting sqref="K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K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K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K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K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L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L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L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L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L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L16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L168">
    <cfRule type="cellIs" dxfId="2" priority="715" operator="equal">
      <formula>"Y"</formula>
    </cfRule>
    <cfRule type="cellIs" dxfId="3" priority="716" operator="equal">
      <formula>"N"</formula>
    </cfRule>
  </conditionalFormatting>
  <conditionalFormatting sqref="L169">
    <cfRule type="cellIs" dxfId="2" priority="737" operator="equal">
      <formula>"Y"</formula>
    </cfRule>
    <cfRule type="cellIs" dxfId="3" priority="738" operator="equal">
      <formula>"N"</formula>
    </cfRule>
  </conditionalFormatting>
  <conditionalFormatting sqref="L170">
    <cfRule type="cellIs" dxfId="2" priority="759" operator="equal">
      <formula>"Y"</formula>
    </cfRule>
    <cfRule type="cellIs" dxfId="3" priority="760" operator="equal">
      <formula>"N"</formula>
    </cfRule>
  </conditionalFormatting>
  <conditionalFormatting sqref="L171">
    <cfRule type="cellIs" dxfId="2" priority="781" operator="equal">
      <formula>"Y"</formula>
    </cfRule>
    <cfRule type="cellIs" dxfId="3" priority="782" operator="equal">
      <formula>"N"</formula>
    </cfRule>
  </conditionalFormatting>
  <conditionalFormatting sqref="L172">
    <cfRule type="cellIs" dxfId="2" priority="803" operator="equal">
      <formula>"Y"</formula>
    </cfRule>
    <cfRule type="cellIs" dxfId="3" priority="804" operator="equal">
      <formula>"N"</formula>
    </cfRule>
  </conditionalFormatting>
  <conditionalFormatting sqref="L173">
    <cfRule type="cellIs" dxfId="2" priority="825" operator="equal">
      <formula>"Y"</formula>
    </cfRule>
    <cfRule type="cellIs" dxfId="3" priority="826" operator="equal">
      <formula>"N"</formula>
    </cfRule>
  </conditionalFormatting>
  <conditionalFormatting sqref="L174">
    <cfRule type="cellIs" dxfId="2" priority="847" operator="equal">
      <formula>"Y"</formula>
    </cfRule>
    <cfRule type="cellIs" dxfId="3" priority="848" operator="equal">
      <formula>"N"</formula>
    </cfRule>
  </conditionalFormatting>
  <conditionalFormatting sqref="L175">
    <cfRule type="cellIs" dxfId="2" priority="869" operator="equal">
      <formula>"Y"</formula>
    </cfRule>
    <cfRule type="cellIs" dxfId="3" priority="870" operator="equal">
      <formula>"N"</formula>
    </cfRule>
  </conditionalFormatting>
  <conditionalFormatting sqref="L176">
    <cfRule type="cellIs" dxfId="2" priority="891" operator="equal">
      <formula>"Y"</formula>
    </cfRule>
    <cfRule type="cellIs" dxfId="3" priority="892" operator="equal">
      <formula>"N"</formula>
    </cfRule>
  </conditionalFormatting>
  <conditionalFormatting sqref="L177">
    <cfRule type="cellIs" dxfId="2" priority="913" operator="equal">
      <formula>"Y"</formula>
    </cfRule>
    <cfRule type="cellIs" dxfId="3" priority="914" operator="equal">
      <formula>"N"</formula>
    </cfRule>
  </conditionalFormatting>
  <conditionalFormatting sqref="L179">
    <cfRule type="cellIs" dxfId="2" priority="959" operator="equal">
      <formula>"Y"</formula>
    </cfRule>
    <cfRule type="cellIs" dxfId="3" priority="960" operator="equal">
      <formula>"N"</formula>
    </cfRule>
  </conditionalFormatting>
  <conditionalFormatting sqref="L331">
    <cfRule type="cellIs" dxfId="2" priority="1411" operator="equal">
      <formula>"Y"</formula>
    </cfRule>
    <cfRule type="cellIs" dxfId="3" priority="1412" operator="equal">
      <formula>"N"</formula>
    </cfRule>
  </conditionalFormatting>
  <conditionalFormatting sqref="L332">
    <cfRule type="cellIs" dxfId="2" priority="1433" operator="equal">
      <formula>"Y"</formula>
    </cfRule>
    <cfRule type="cellIs" dxfId="3" priority="1434" operator="equal">
      <formula>"N"</formula>
    </cfRule>
  </conditionalFormatting>
  <conditionalFormatting sqref="L333">
    <cfRule type="cellIs" dxfId="2" priority="1455" operator="equal">
      <formula>"Y"</formula>
    </cfRule>
    <cfRule type="cellIs" dxfId="3" priority="1456" operator="equal">
      <formula>"N"</formula>
    </cfRule>
  </conditionalFormatting>
  <conditionalFormatting sqref="L334">
    <cfRule type="cellIs" dxfId="2" priority="1477" operator="equal">
      <formula>"Y"</formula>
    </cfRule>
    <cfRule type="cellIs" dxfId="3" priority="1478" operator="equal">
      <formula>"N"</formula>
    </cfRule>
  </conditionalFormatting>
  <conditionalFormatting sqref="L335">
    <cfRule type="cellIs" dxfId="2" priority="1499" operator="equal">
      <formula>"Y"</formula>
    </cfRule>
    <cfRule type="cellIs" dxfId="3" priority="1500" operator="equal">
      <formula>"N"</formula>
    </cfRule>
  </conditionalFormatting>
  <conditionalFormatting sqref="L336">
    <cfRule type="cellIs" dxfId="2" priority="1521" operator="equal">
      <formula>"Y"</formula>
    </cfRule>
    <cfRule type="cellIs" dxfId="3" priority="1522" operator="equal">
      <formula>"N"</formula>
    </cfRule>
  </conditionalFormatting>
  <conditionalFormatting sqref="L337">
    <cfRule type="cellIs" dxfId="2" priority="1543" operator="equal">
      <formula>"Y"</formula>
    </cfRule>
    <cfRule type="cellIs" dxfId="3" priority="1544" operator="equal">
      <formula>"N"</formula>
    </cfRule>
  </conditionalFormatting>
  <conditionalFormatting sqref="L338">
    <cfRule type="cellIs" dxfId="2" priority="1565" operator="equal">
      <formula>"Y"</formula>
    </cfRule>
    <cfRule type="cellIs" dxfId="3" priority="1566" operator="equal">
      <formula>"N"</formula>
    </cfRule>
  </conditionalFormatting>
  <conditionalFormatting sqref="L339">
    <cfRule type="cellIs" dxfId="2" priority="1587" operator="equal">
      <formula>"Y"</formula>
    </cfRule>
    <cfRule type="cellIs" dxfId="3" priority="1588" operator="equal">
      <formula>"N"</formula>
    </cfRule>
  </conditionalFormatting>
  <conditionalFormatting sqref="L340">
    <cfRule type="cellIs" dxfId="2" priority="1609" operator="equal">
      <formula>"Y"</formula>
    </cfRule>
    <cfRule type="cellIs" dxfId="3" priority="1610" operator="equal">
      <formula>"N"</formula>
    </cfRule>
  </conditionalFormatting>
  <conditionalFormatting sqref="L342">
    <cfRule type="cellIs" dxfId="2" priority="1655" operator="equal">
      <formula>"Y"</formula>
    </cfRule>
    <cfRule type="cellIs" dxfId="3" priority="1656" operator="equal">
      <formula>"N"</formula>
    </cfRule>
  </conditionalFormatting>
  <conditionalFormatting sqref="L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L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L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L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L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M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M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M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M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M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M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M168">
    <cfRule type="cellIs" dxfId="2" priority="717" operator="equal">
      <formula>"Y"</formula>
    </cfRule>
    <cfRule type="cellIs" dxfId="3" priority="718" operator="equal">
      <formula>"N"</formula>
    </cfRule>
  </conditionalFormatting>
  <conditionalFormatting sqref="M169">
    <cfRule type="cellIs" dxfId="2" priority="739" operator="equal">
      <formula>"Y"</formula>
    </cfRule>
    <cfRule type="cellIs" dxfId="3" priority="740" operator="equal">
      <formula>"N"</formula>
    </cfRule>
  </conditionalFormatting>
  <conditionalFormatting sqref="M170">
    <cfRule type="cellIs" dxfId="2" priority="761" operator="equal">
      <formula>"Y"</formula>
    </cfRule>
    <cfRule type="cellIs" dxfId="3" priority="762" operator="equal">
      <formula>"N"</formula>
    </cfRule>
  </conditionalFormatting>
  <conditionalFormatting sqref="M171">
    <cfRule type="cellIs" dxfId="2" priority="783" operator="equal">
      <formula>"Y"</formula>
    </cfRule>
    <cfRule type="cellIs" dxfId="3" priority="784" operator="equal">
      <formula>"N"</formula>
    </cfRule>
  </conditionalFormatting>
  <conditionalFormatting sqref="M172">
    <cfRule type="cellIs" dxfId="2" priority="805" operator="equal">
      <formula>"Y"</formula>
    </cfRule>
    <cfRule type="cellIs" dxfId="3" priority="806" operator="equal">
      <formula>"N"</formula>
    </cfRule>
  </conditionalFormatting>
  <conditionalFormatting sqref="M173">
    <cfRule type="cellIs" dxfId="2" priority="827" operator="equal">
      <formula>"Y"</formula>
    </cfRule>
    <cfRule type="cellIs" dxfId="3" priority="828" operator="equal">
      <formula>"N"</formula>
    </cfRule>
  </conditionalFormatting>
  <conditionalFormatting sqref="M174">
    <cfRule type="cellIs" dxfId="2" priority="849" operator="equal">
      <formula>"Y"</formula>
    </cfRule>
    <cfRule type="cellIs" dxfId="3" priority="850" operator="equal">
      <formula>"N"</formula>
    </cfRule>
  </conditionalFormatting>
  <conditionalFormatting sqref="M175">
    <cfRule type="cellIs" dxfId="2" priority="871" operator="equal">
      <formula>"Y"</formula>
    </cfRule>
    <cfRule type="cellIs" dxfId="3" priority="872" operator="equal">
      <formula>"N"</formula>
    </cfRule>
  </conditionalFormatting>
  <conditionalFormatting sqref="M176">
    <cfRule type="cellIs" dxfId="2" priority="893" operator="equal">
      <formula>"Y"</formula>
    </cfRule>
    <cfRule type="cellIs" dxfId="3" priority="894" operator="equal">
      <formula>"N"</formula>
    </cfRule>
  </conditionalFormatting>
  <conditionalFormatting sqref="M177">
    <cfRule type="cellIs" dxfId="2" priority="915" operator="equal">
      <formula>"Y"</formula>
    </cfRule>
    <cfRule type="cellIs" dxfId="3" priority="916" operator="equal">
      <formula>"N"</formula>
    </cfRule>
  </conditionalFormatting>
  <conditionalFormatting sqref="M178">
    <cfRule type="cellIs" dxfId="2" priority="937" operator="equal">
      <formula>"Y"</formula>
    </cfRule>
    <cfRule type="cellIs" dxfId="3" priority="938" operator="equal">
      <formula>"N"</formula>
    </cfRule>
  </conditionalFormatting>
  <conditionalFormatting sqref="M331">
    <cfRule type="cellIs" dxfId="2" priority="1413" operator="equal">
      <formula>"Y"</formula>
    </cfRule>
    <cfRule type="cellIs" dxfId="3" priority="1414" operator="equal">
      <formula>"N"</formula>
    </cfRule>
  </conditionalFormatting>
  <conditionalFormatting sqref="M332">
    <cfRule type="cellIs" dxfId="2" priority="1435" operator="equal">
      <formula>"Y"</formula>
    </cfRule>
    <cfRule type="cellIs" dxfId="3" priority="1436" operator="equal">
      <formula>"N"</formula>
    </cfRule>
  </conditionalFormatting>
  <conditionalFormatting sqref="M333">
    <cfRule type="cellIs" dxfId="2" priority="1457" operator="equal">
      <formula>"Y"</formula>
    </cfRule>
    <cfRule type="cellIs" dxfId="3" priority="1458" operator="equal">
      <formula>"N"</formula>
    </cfRule>
  </conditionalFormatting>
  <conditionalFormatting sqref="M334">
    <cfRule type="cellIs" dxfId="2" priority="1479" operator="equal">
      <formula>"Y"</formula>
    </cfRule>
    <cfRule type="cellIs" dxfId="3" priority="1480" operator="equal">
      <formula>"N"</formula>
    </cfRule>
  </conditionalFormatting>
  <conditionalFormatting sqref="M335">
    <cfRule type="cellIs" dxfId="2" priority="1501" operator="equal">
      <formula>"Y"</formula>
    </cfRule>
    <cfRule type="cellIs" dxfId="3" priority="1502" operator="equal">
      <formula>"N"</formula>
    </cfRule>
  </conditionalFormatting>
  <conditionalFormatting sqref="M336">
    <cfRule type="cellIs" dxfId="2" priority="1523" operator="equal">
      <formula>"Y"</formula>
    </cfRule>
    <cfRule type="cellIs" dxfId="3" priority="1524" operator="equal">
      <formula>"N"</formula>
    </cfRule>
  </conditionalFormatting>
  <conditionalFormatting sqref="M337">
    <cfRule type="cellIs" dxfId="2" priority="1545" operator="equal">
      <formula>"Y"</formula>
    </cfRule>
    <cfRule type="cellIs" dxfId="3" priority="1546" operator="equal">
      <formula>"N"</formula>
    </cfRule>
  </conditionalFormatting>
  <conditionalFormatting sqref="M338">
    <cfRule type="cellIs" dxfId="2" priority="1567" operator="equal">
      <formula>"Y"</formula>
    </cfRule>
    <cfRule type="cellIs" dxfId="3" priority="1568" operator="equal">
      <formula>"N"</formula>
    </cfRule>
  </conditionalFormatting>
  <conditionalFormatting sqref="M339">
    <cfRule type="cellIs" dxfId="2" priority="1589" operator="equal">
      <formula>"Y"</formula>
    </cfRule>
    <cfRule type="cellIs" dxfId="3" priority="1590" operator="equal">
      <formula>"N"</formula>
    </cfRule>
  </conditionalFormatting>
  <conditionalFormatting sqref="M340">
    <cfRule type="cellIs" dxfId="2" priority="1611" operator="equal">
      <formula>"Y"</formula>
    </cfRule>
    <cfRule type="cellIs" dxfId="3" priority="1612" operator="equal">
      <formula>"N"</formula>
    </cfRule>
  </conditionalFormatting>
  <conditionalFormatting sqref="M341">
    <cfRule type="cellIs" dxfId="2" priority="1633" operator="equal">
      <formula>"Y"</formula>
    </cfRule>
    <cfRule type="cellIs" dxfId="3" priority="1634" operator="equal">
      <formula>"N"</formula>
    </cfRule>
  </conditionalFormatting>
  <conditionalFormatting sqref="M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M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M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M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M9">
    <cfRule type="cellIs" dxfId="2" priority="109" operator="equal">
      <formula>"Y"</formula>
    </cfRule>
    <cfRule type="cellIs" dxfId="3" priority="110" operator="equal">
      <formula>"N"</formula>
    </cfRule>
  </conditionalFormatting>
  <dataValidations count="864">
    <dataValidation type="list" allowBlank="1" showInputMessage="1" showErrorMessage="1" sqref="B5">
      <formula1>"N.A."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"N.A."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"N.A."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"N.A."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"N.A."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"N.A."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"N.A."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"N.A."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"N.A."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"N.A."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"N.A."</formula1>
    </dataValidation>
    <dataValidation type="list" allowBlank="1" showInputMessage="1" showErrorMessage="1" sqref="E19">
      <formula1>"Number (years),Rate (per year),Duration (years)"</formula1>
    </dataValidation>
    <dataValidation type="list" allowBlank="1" showInputMessage="1" showErrorMessage="1" sqref="E20">
      <formula1>"Number (years),Rate (per year),Duration (years)"</formula1>
    </dataValidation>
    <dataValidation type="list" allowBlank="1" showInputMessage="1" showErrorMessage="1" sqref="E21">
      <formula1>"Number (years),Rate (per year),Duration (years)"</formula1>
    </dataValidation>
    <dataValidation type="list" allowBlank="1" showInputMessage="1" showErrorMessage="1" sqref="E22">
      <formula1>"Number (years),Rate (per year),Duration (years)"</formula1>
    </dataValidation>
    <dataValidation type="list" allowBlank="1" showInputMessage="1" showErrorMessage="1" sqref="E23">
      <formula1>"Number (years),Rate (per year),Duration (years)"</formula1>
    </dataValidation>
    <dataValidation type="list" allowBlank="1" showInputMessage="1" showErrorMessage="1" sqref="E24">
      <formula1>"Number (years),Rate (per year),Duration (years)"</formula1>
    </dataValidation>
    <dataValidation type="list" allowBlank="1" showInputMessage="1" showErrorMessage="1" sqref="E25">
      <formula1>"Number (years),Rate (per year),Duration (years)"</formula1>
    </dataValidation>
    <dataValidation type="list" allowBlank="1" showInputMessage="1" showErrorMessage="1" sqref="E26">
      <formula1>"Number (years),Rate (per year),Duration (years)"</formula1>
    </dataValidation>
    <dataValidation type="list" allowBlank="1" showInputMessage="1" showErrorMessage="1" sqref="E27">
      <formula1>"Number (years),Rate (per year),Duration (years)"</formula1>
    </dataValidation>
    <dataValidation type="list" allowBlank="1" showInputMessage="1" showErrorMessage="1" sqref="E28">
      <formula1>"Number (years),Rate (per year),Duration (years)"</formula1>
    </dataValidation>
    <dataValidation type="list" allowBlank="1" showInputMessage="1" showErrorMessage="1" sqref="E29">
      <formula1>"Number (years),Rate (per year),Duration (years)"</formula1>
    </dataValidation>
    <dataValidation type="list" allowBlank="1" showInputMessage="1" showErrorMessage="1" sqref="E30">
      <formula1>"Number (years),Rate (per year),Duration (years)"</formula1>
    </dataValidation>
    <dataValidation type="list" allowBlank="1" showInputMessage="1" showErrorMessage="1" sqref="E31">
      <formula1>"Number (years),Rate (per year),Duration (years)"</formula1>
    </dataValidation>
    <dataValidation type="list" allowBlank="1" showInputMessage="1" showErrorMessage="1" sqref="E32">
      <formula1>"Number (years),Rate (per year),Duration (years)"</formula1>
    </dataValidation>
    <dataValidation type="list" allowBlank="1" showInputMessage="1" showErrorMessage="1" sqref="E33">
      <formula1>"Number (years),Rate (per year),Duration (years)"</formula1>
    </dataValidation>
    <dataValidation type="list" allowBlank="1" showInputMessage="1" showErrorMessage="1" sqref="E34">
      <formula1>"Number (years),Rate (per year),Duration (years)"</formula1>
    </dataValidation>
    <dataValidation type="list" allowBlank="1" showInputMessage="1" showErrorMessage="1" sqref="E35">
      <formula1>"Number (years),Rate (per year),Duration (years)"</formula1>
    </dataValidation>
    <dataValidation type="list" allowBlank="1" showInputMessage="1" showErrorMessage="1" sqref="E36">
      <formula1>"Number (years),Rate (per year),Duration (years)"</formula1>
    </dataValidation>
    <dataValidation type="list" allowBlank="1" showInputMessage="1" showErrorMessage="1" sqref="E37">
      <formula1>"Number (years),Rate (per year),Duration (years)"</formula1>
    </dataValidation>
    <dataValidation type="list" allowBlank="1" showInputMessage="1" showErrorMessage="1" sqref="E38">
      <formula1>"Number (years),Rate (per year),Duration (years)"</formula1>
    </dataValidation>
    <dataValidation type="list" allowBlank="1" showInputMessage="1" showErrorMessage="1" sqref="E39">
      <formula1>"Number (years),Rate (per year),Duration (years)"</formula1>
    </dataValidation>
    <dataValidation type="list" allowBlank="1" showInputMessage="1" showErrorMessage="1" sqref="E40">
      <formula1>"Number (years),Rate (per year),Duration (years)"</formula1>
    </dataValidation>
    <dataValidation type="list" allowBlank="1" showInputMessage="1" showErrorMessage="1" sqref="E41">
      <formula1>"Number (years),Rate (per year),Duration (years)"</formula1>
    </dataValidation>
    <dataValidation type="list" allowBlank="1" showInputMessage="1" showErrorMessage="1" sqref="E42">
      <formula1>"Number (years),Rate (per year),Duration (years)"</formula1>
    </dataValidation>
    <dataValidation type="list" allowBlank="1" showInputMessage="1" showErrorMessage="1" sqref="E43">
      <formula1>"Number (years),Rate (per year),Duration (years)"</formula1>
    </dataValidation>
    <dataValidation type="list" allowBlank="1" showInputMessage="1" showErrorMessage="1" sqref="E44">
      <formula1>"Number (years),Rate (per year),Duration (years)"</formula1>
    </dataValidation>
    <dataValidation type="list" allowBlank="1" showInputMessage="1" showErrorMessage="1" sqref="E45">
      <formula1>"Number (years),Rate (per year),Duration (years)"</formula1>
    </dataValidation>
    <dataValidation type="list" allowBlank="1" showInputMessage="1" showErrorMessage="1" sqref="E46">
      <formula1>"Number (years),Rate (per year),Duration (years)"</formula1>
    </dataValidation>
    <dataValidation type="list" allowBlank="1" showInputMessage="1" showErrorMessage="1" sqref="E47">
      <formula1>"Number (years),Rate (per year),Duration (years)"</formula1>
    </dataValidation>
    <dataValidation type="list" allowBlank="1" showInputMessage="1" showErrorMessage="1" sqref="E48">
      <formula1>"Number (years),Rate (per year),Duration (years)"</formula1>
    </dataValidation>
    <dataValidation type="list" allowBlank="1" showInputMessage="1" showErrorMessage="1" sqref="E49">
      <formula1>"Number (years),Rate (per year),Duration (years)"</formula1>
    </dataValidation>
    <dataValidation type="list" allowBlank="1" showInputMessage="1" showErrorMessage="1" sqref="E50">
      <formula1>"Number (years),Rate (per year),Duration (years)"</formula1>
    </dataValidation>
    <dataValidation type="list" allowBlank="1" showInputMessage="1" showErrorMessage="1" sqref="E51">
      <formula1>"Number (years),Rate (per year),Duration (years)"</formula1>
    </dataValidation>
    <dataValidation type="list" allowBlank="1" showInputMessage="1" showErrorMessage="1" sqref="E52">
      <formula1>"Number (years),Rate (per year),Duration (years)"</formula1>
    </dataValidation>
    <dataValidation type="list" allowBlank="1" showInputMessage="1" showErrorMessage="1" sqref="E53">
      <formula1>"Number (years),Rate (per year),Duration (years)"</formula1>
    </dataValidation>
    <dataValidation type="list" allowBlank="1" showInputMessage="1" showErrorMessage="1" sqref="E54">
      <formula1>"Number (years),Rate (per year),Duration (years)"</formula1>
    </dataValidation>
    <dataValidation type="list" allowBlank="1" showInputMessage="1" showErrorMessage="1" sqref="E55">
      <formula1>"Number (years),Rate (per year),Duration (years)"</formula1>
    </dataValidation>
    <dataValidation type="list" allowBlank="1" showInputMessage="1" showErrorMessage="1" sqref="E56">
      <formula1>"Number (years),Rate (per year),Duration (years)"</formula1>
    </dataValidation>
    <dataValidation type="list" allowBlank="1" showInputMessage="1" showErrorMessage="1" sqref="E57">
      <formula1>"Number (years),Rate (per year),Duration (years)"</formula1>
    </dataValidation>
    <dataValidation type="list" allowBlank="1" showInputMessage="1" showErrorMessage="1" sqref="E58">
      <formula1>"Number (years),Rate (per year),Duration (years)"</formula1>
    </dataValidation>
    <dataValidation type="list" allowBlank="1" showInputMessage="1" showErrorMessage="1" sqref="E59">
      <formula1>"Number (years),Rate (per year),Duration (years)"</formula1>
    </dataValidation>
    <dataValidation type="list" allowBlank="1" showInputMessage="1" showErrorMessage="1" sqref="E60">
      <formula1>"Number (years),Rate (per year),Duration (years)"</formula1>
    </dataValidation>
    <dataValidation type="list" allowBlank="1" showInputMessage="1" showErrorMessage="1" sqref="E61">
      <formula1>"Number (years),Rate (per year),Duration (years)"</formula1>
    </dataValidation>
    <dataValidation type="list" allowBlank="1" showInputMessage="1" showErrorMessage="1" sqref="E62">
      <formula1>"Number (years),Rate (per year),Duration (years)"</formula1>
    </dataValidation>
    <dataValidation type="list" allowBlank="1" showInputMessage="1" showErrorMessage="1" sqref="E63">
      <formula1>"Number (years),Rate (per year),Duration (years)"</formula1>
    </dataValidation>
    <dataValidation type="list" allowBlank="1" showInputMessage="1" showErrorMessage="1" sqref="E64">
      <formula1>"Number (years),Rate (per year),Duration (years)"</formula1>
    </dataValidation>
    <dataValidation type="list" allowBlank="1" showInputMessage="1" showErrorMessage="1" sqref="E65">
      <formula1>"Number (years),Rate (per year),Duration (years)"</formula1>
    </dataValidation>
    <dataValidation type="list" allowBlank="1" showInputMessage="1" showErrorMessage="1" sqref="E66">
      <formula1>"Number (years),Rate (per year),Duration (years)"</formula1>
    </dataValidation>
    <dataValidation type="list" allowBlank="1" showInputMessage="1" showErrorMessage="1" sqref="E67">
      <formula1>"Number (years),Rate (per year),Duration (years)"</formula1>
    </dataValidation>
    <dataValidation type="list" allowBlank="1" showInputMessage="1" showErrorMessage="1" sqref="E68">
      <formula1>"Number (years),Rate (per year),Duration (years)"</formula1>
    </dataValidation>
    <dataValidation type="list" allowBlank="1" showInputMessage="1" showErrorMessage="1" sqref="E69">
      <formula1>"Number (years),Rate (per year),Duration (years)"</formula1>
    </dataValidation>
    <dataValidation type="list" allowBlank="1" showInputMessage="1" showErrorMessage="1" sqref="E70">
      <formula1>"Number (years),Rate (per year),Duration (years)"</formula1>
    </dataValidation>
    <dataValidation type="list" allowBlank="1" showInputMessage="1" showErrorMessage="1" sqref="E71">
      <formula1>"Number (years),Rate (per year),Duration (years)"</formula1>
    </dataValidation>
    <dataValidation type="list" allowBlank="1" showInputMessage="1" showErrorMessage="1" sqref="E72">
      <formula1>"Number (years),Rate (per year),Duration (years)"</formula1>
    </dataValidation>
    <dataValidation type="list" allowBlank="1" showInputMessage="1" showErrorMessage="1" sqref="E73">
      <formula1>"Number (years),Rate (per year),Duration (years)"</formula1>
    </dataValidation>
    <dataValidation type="list" allowBlank="1" showInputMessage="1" showErrorMessage="1" sqref="E74">
      <formula1>"Number (years),Rate (per year),Duration (years)"</formula1>
    </dataValidation>
    <dataValidation type="list" allowBlank="1" showInputMessage="1" showErrorMessage="1" sqref="E75">
      <formula1>"Number (years),Rate (per year),Duration (years)"</formula1>
    </dataValidation>
    <dataValidation type="list" allowBlank="1" showInputMessage="1" showErrorMessage="1" sqref="E76">
      <formula1>"Number (years),Rate (per year),Duration (years)"</formula1>
    </dataValidation>
    <dataValidation type="list" allowBlank="1" showInputMessage="1" showErrorMessage="1" sqref="E77">
      <formula1>"Number (years),Rate (per year),Duration (years)"</formula1>
    </dataValidation>
    <dataValidation type="list" allowBlank="1" showInputMessage="1" showErrorMessage="1" sqref="E78">
      <formula1>"Number (years),Rate (per year),Duration (years)"</formula1>
    </dataValidation>
    <dataValidation type="list" allowBlank="1" showInputMessage="1" showErrorMessage="1" sqref="E79">
      <formula1>"Number (years),Rate (per year),Duration (years)"</formula1>
    </dataValidation>
    <dataValidation type="list" allowBlank="1" showInputMessage="1" showErrorMessage="1" sqref="E80">
      <formula1>"Number (years),Rate (per year),Duration (years)"</formula1>
    </dataValidation>
    <dataValidation type="list" allowBlank="1" showInputMessage="1" showErrorMessage="1" sqref="E81">
      <formula1>"Number (years),Rate (per year),Duration (years)"</formula1>
    </dataValidation>
    <dataValidation type="list" allowBlank="1" showInputMessage="1" showErrorMessage="1" sqref="E82">
      <formula1>"Number (years),Rate (per year),Duration (years)"</formula1>
    </dataValidation>
    <dataValidation type="list" allowBlank="1" showInputMessage="1" showErrorMessage="1" sqref="E83">
      <formula1>"Number (years),Rate (per year),Duration (years)"</formula1>
    </dataValidation>
    <dataValidation type="list" allowBlank="1" showInputMessage="1" showErrorMessage="1" sqref="E84">
      <formula1>"Number (years),Rate (per year),Duration (years)"</formula1>
    </dataValidation>
    <dataValidation type="list" allowBlank="1" showInputMessage="1" showErrorMessage="1" sqref="E85">
      <formula1>"Number (years),Rate (per year),Duration (years)"</formula1>
    </dataValidation>
    <dataValidation type="list" allowBlank="1" showInputMessage="1" showErrorMessage="1" sqref="E86">
      <formula1>"Number (years),Rate (per year),Duration (years)"</formula1>
    </dataValidation>
    <dataValidation type="list" allowBlank="1" showInputMessage="1" showErrorMessage="1" sqref="E87">
      <formula1>"Number (years),Rate (per year),Duration (years)"</formula1>
    </dataValidation>
    <dataValidation type="list" allowBlank="1" showInputMessage="1" showErrorMessage="1" sqref="E88">
      <formula1>"Number (years),Rate (per year),Duration (years)"</formula1>
    </dataValidation>
    <dataValidation type="list" allowBlank="1" showInputMessage="1" showErrorMessage="1" sqref="E89">
      <formula1>"Number (years),Rate (per year),Duration (years)"</formula1>
    </dataValidation>
    <dataValidation type="list" allowBlank="1" showInputMessage="1" showErrorMessage="1" sqref="E90">
      <formula1>"Number (years),Rate (per year),Duration (years)"</formula1>
    </dataValidation>
    <dataValidation type="list" allowBlank="1" showInputMessage="1" showErrorMessage="1" sqref="E91">
      <formula1>"Number (years),Rate (per year),Duration (years)"</formula1>
    </dataValidation>
    <dataValidation type="list" allowBlank="1" showInputMessage="1" showErrorMessage="1" sqref="E92">
      <formula1>"Number (years),Rate (per year),Duration (years)"</formula1>
    </dataValidation>
    <dataValidation type="list" allowBlank="1" showInputMessage="1" showErrorMessage="1" sqref="E93">
      <formula1>"Number (years),Rate (per year),Duration (years)"</formula1>
    </dataValidation>
    <dataValidation type="list" allowBlank="1" showInputMessage="1" showErrorMessage="1" sqref="E94">
      <formula1>"Number (years),Rate (per year),Duration (years)"</formula1>
    </dataValidation>
    <dataValidation type="list" allowBlank="1" showInputMessage="1" showErrorMessage="1" sqref="E95">
      <formula1>"Number (years),Rate (per year),Duration (years)"</formula1>
    </dataValidation>
    <dataValidation type="list" allowBlank="1" showInputMessage="1" showErrorMessage="1" sqref="E96">
      <formula1>"Number (years),Rate (per year),Duration (years)"</formula1>
    </dataValidation>
    <dataValidation type="list" allowBlank="1" showInputMessage="1" showErrorMessage="1" sqref="E97">
      <formula1>"Number (years),Rate (per year),Duration (years)"</formula1>
    </dataValidation>
    <dataValidation type="list" allowBlank="1" showInputMessage="1" showErrorMessage="1" sqref="E98">
      <formula1>"Number (years),Rate (per year),Duration (years)"</formula1>
    </dataValidation>
    <dataValidation type="list" allowBlank="1" showInputMessage="1" showErrorMessage="1" sqref="E99">
      <formula1>"Number (years),Rate (per year),Duration (years)"</formula1>
    </dataValidation>
    <dataValidation type="list" allowBlank="1" showInputMessage="1" showErrorMessage="1" sqref="E100">
      <formula1>"Number (years),Rate (per year),Duration (years)"</formula1>
    </dataValidation>
    <dataValidation type="list" allowBlank="1" showInputMessage="1" showErrorMessage="1" sqref="E101">
      <formula1>"Number (years),Rate (per year),Duration (years)"</formula1>
    </dataValidation>
    <dataValidation type="list" allowBlank="1" showInputMessage="1" showErrorMessage="1" sqref="E102">
      <formula1>"Number (years),Rate (per year),Duration (years)"</formula1>
    </dataValidation>
    <dataValidation type="list" allowBlank="1" showInputMessage="1" showErrorMessage="1" sqref="E103">
      <formula1>"Number (years),Rate (per year),Duration (years)"</formula1>
    </dataValidation>
    <dataValidation type="list" allowBlank="1" showInputMessage="1" showErrorMessage="1" sqref="E104">
      <formula1>"Number (years),Rate (per year),Duration (years)"</formula1>
    </dataValidation>
    <dataValidation type="list" allowBlank="1" showInputMessage="1" showErrorMessage="1" sqref="E105">
      <formula1>"Number (years),Rate (per year),Duration (years)"</formula1>
    </dataValidation>
    <dataValidation type="list" allowBlank="1" showInputMessage="1" showErrorMessage="1" sqref="E106">
      <formula1>"Number (years),Rate (per year),Duration (years)"</formula1>
    </dataValidation>
    <dataValidation type="list" allowBlank="1" showInputMessage="1" showErrorMessage="1" sqref="E107">
      <formula1>"Number (years),Rate (per year),Duration (years)"</formula1>
    </dataValidation>
    <dataValidation type="list" allowBlank="1" showInputMessage="1" showErrorMessage="1" sqref="E108">
      <formula1>"Number (years),Rate (per year),Duration (years)"</formula1>
    </dataValidation>
    <dataValidation type="list" allowBlank="1" showInputMessage="1" showErrorMessage="1" sqref="E109">
      <formula1>"Number (years),Rate (per year),Duration (years)"</formula1>
    </dataValidation>
    <dataValidation type="list" allowBlank="1" showInputMessage="1" showErrorMessage="1" sqref="E110">
      <formula1>"Number (years),Rate (per year),Duration (years)"</formula1>
    </dataValidation>
    <dataValidation type="list" allowBlank="1" showInputMessage="1" showErrorMessage="1" sqref="E111">
      <formula1>"Number (years),Rate (per year),Duration (years)"</formula1>
    </dataValidation>
    <dataValidation type="list" allowBlank="1" showInputMessage="1" showErrorMessage="1" sqref="E112">
      <formula1>"Number (years),Rate (per year),Duration (years)"</formula1>
    </dataValidation>
    <dataValidation type="list" allowBlank="1" showInputMessage="1" showErrorMessage="1" sqref="E113">
      <formula1>"Number (years),Rate (per year),Duration (years)"</formula1>
    </dataValidation>
    <dataValidation type="list" allowBlank="1" showInputMessage="1" showErrorMessage="1" sqref="E114">
      <formula1>"Number (years),Rate (per year),Duration (years)"</formula1>
    </dataValidation>
    <dataValidation type="list" allowBlank="1" showInputMessage="1" showErrorMessage="1" sqref="E115">
      <formula1>"Number (years),Rate (per year),Duration (years)"</formula1>
    </dataValidation>
    <dataValidation type="list" allowBlank="1" showInputMessage="1" showErrorMessage="1" sqref="E116">
      <formula1>"Number (years),Rate (per year),Duration (years)"</formula1>
    </dataValidation>
    <dataValidation type="list" allowBlank="1" showInputMessage="1" showErrorMessage="1" sqref="E117">
      <formula1>"Number (years),Rate (per year),Duration (years)"</formula1>
    </dataValidation>
    <dataValidation type="list" allowBlank="1" showInputMessage="1" showErrorMessage="1" sqref="E118">
      <formula1>"Number (years),Rate (per year),Duration (years)"</formula1>
    </dataValidation>
    <dataValidation type="list" allowBlank="1" showInputMessage="1" showErrorMessage="1" sqref="E119">
      <formula1>"Number (years),Rate (per year),Duration (years)"</formula1>
    </dataValidation>
    <dataValidation type="list" allowBlank="1" showInputMessage="1" showErrorMessage="1" sqref="E120">
      <formula1>"Number (years),Rate (per year),Duration (years)"</formula1>
    </dataValidation>
    <dataValidation type="list" allowBlank="1" showInputMessage="1" showErrorMessage="1" sqref="E121">
      <formula1>"Number (years),Rate (per year),Duration (years)"</formula1>
    </dataValidation>
    <dataValidation type="list" allowBlank="1" showInputMessage="1" showErrorMessage="1" sqref="E122">
      <formula1>"Number (years),Rate (per year),Duration (years)"</formula1>
    </dataValidation>
    <dataValidation type="list" allowBlank="1" showInputMessage="1" showErrorMessage="1" sqref="E123">
      <formula1>"Number (years),Rate (per year),Duration (years)"</formula1>
    </dataValidation>
    <dataValidation type="list" allowBlank="1" showInputMessage="1" showErrorMessage="1" sqref="E124">
      <formula1>"Number (years),Rate (per year),Duration (years)"</formula1>
    </dataValidation>
    <dataValidation type="list" allowBlank="1" showInputMessage="1" showErrorMessage="1" sqref="E125">
      <formula1>"Number (years),Rate (per year),Duration (years)"</formula1>
    </dataValidation>
    <dataValidation type="list" allowBlank="1" showInputMessage="1" showErrorMessage="1" sqref="E126">
      <formula1>"Number (years),Rate (per year),Duration (years)"</formula1>
    </dataValidation>
    <dataValidation type="list" allowBlank="1" showInputMessage="1" showErrorMessage="1" sqref="E127">
      <formula1>"Number (years),Rate (per year),Duration (years)"</formula1>
    </dataValidation>
    <dataValidation type="list" allowBlank="1" showInputMessage="1" showErrorMessage="1" sqref="E128">
      <formula1>"Number (years),Rate (per year),Duration (years)"</formula1>
    </dataValidation>
    <dataValidation type="list" allowBlank="1" showInputMessage="1" showErrorMessage="1" sqref="E129">
      <formula1>"Number (years),Rate (per year),Duration (years)"</formula1>
    </dataValidation>
    <dataValidation type="list" allowBlank="1" showInputMessage="1" showErrorMessage="1" sqref="E130">
      <formula1>"Number (years),Rate (per year),Duration (years)"</formula1>
    </dataValidation>
    <dataValidation type="list" allowBlank="1" showInputMessage="1" showErrorMessage="1" sqref="E131">
      <formula1>"Number (years),Rate (per year),Duration (years)"</formula1>
    </dataValidation>
    <dataValidation type="list" allowBlank="1" showInputMessage="1" showErrorMessage="1" sqref="E132">
      <formula1>"Number (years),Rate (per year),Duration (years)"</formula1>
    </dataValidation>
    <dataValidation type="list" allowBlank="1" showInputMessage="1" showErrorMessage="1" sqref="E133">
      <formula1>"Number (years),Rate (per year),Duration (years)"</formula1>
    </dataValidation>
    <dataValidation type="list" allowBlank="1" showInputMessage="1" showErrorMessage="1" sqref="E134">
      <formula1>"Number (years),Rate (per year),Duration (years)"</formula1>
    </dataValidation>
    <dataValidation type="list" allowBlank="1" showInputMessage="1" showErrorMessage="1" sqref="E135">
      <formula1>"Number (years),Rate (per year),Duration (years)"</formula1>
    </dataValidation>
    <dataValidation type="list" allowBlank="1" showInputMessage="1" showErrorMessage="1" sqref="E136">
      <formula1>"Number (years),Rate (per year),Duration (years)"</formula1>
    </dataValidation>
    <dataValidation type="list" allowBlank="1" showInputMessage="1" showErrorMessage="1" sqref="E137">
      <formula1>"Number (years),Rate (per year),Duration (years)"</formula1>
    </dataValidation>
    <dataValidation type="list" allowBlank="1" showInputMessage="1" showErrorMessage="1" sqref="E138">
      <formula1>"Number (years),Rate (per year),Duration (years)"</formula1>
    </dataValidation>
    <dataValidation type="list" allowBlank="1" showInputMessage="1" showErrorMessage="1" sqref="E139">
      <formula1>"Number (years),Rate (per year),Duration (years)"</formula1>
    </dataValidation>
    <dataValidation type="list" allowBlank="1" showInputMessage="1" showErrorMessage="1" sqref="E140">
      <formula1>"Number (years),Rate (per year),Duration (years)"</formula1>
    </dataValidation>
    <dataValidation type="list" allowBlank="1" showInputMessage="1" showErrorMessage="1" sqref="E141">
      <formula1>"Number (years),Rate (per year),Duration (years)"</formula1>
    </dataValidation>
    <dataValidation type="list" allowBlank="1" showInputMessage="1" showErrorMessage="1" sqref="E142">
      <formula1>"Number (years),Rate (per year),Duration (years)"</formula1>
    </dataValidation>
    <dataValidation type="list" allowBlank="1" showInputMessage="1" showErrorMessage="1" sqref="E143">
      <formula1>"Number (years),Rate (per year),Duration (years)"</formula1>
    </dataValidation>
    <dataValidation type="list" allowBlank="1" showInputMessage="1" showErrorMessage="1" sqref="E144">
      <formula1>"Number (years),Rate (per year),Duration (years)"</formula1>
    </dataValidation>
    <dataValidation type="list" allowBlank="1" showInputMessage="1" showErrorMessage="1" sqref="E145">
      <formula1>"Number (years),Rate (per year),Duration (years)"</formula1>
    </dataValidation>
    <dataValidation type="list" allowBlank="1" showInputMessage="1" showErrorMessage="1" sqref="E146">
      <formula1>"Number (years),Rate (per year),Duration (years)"</formula1>
    </dataValidation>
    <dataValidation type="list" allowBlank="1" showInputMessage="1" showErrorMessage="1" sqref="E147">
      <formula1>"Number (years),Rate (per year),Duration (years)"</formula1>
    </dataValidation>
    <dataValidation type="list" allowBlank="1" showInputMessage="1" showErrorMessage="1" sqref="E148">
      <formula1>"Number (years),Rate (per year),Duration (years)"</formula1>
    </dataValidation>
    <dataValidation type="list" allowBlank="1" showInputMessage="1" showErrorMessage="1" sqref="E149">
      <formula1>"Number (years),Rate (per year),Duration (years)"</formula1>
    </dataValidation>
    <dataValidation type="list" allowBlank="1" showInputMessage="1" showErrorMessage="1" sqref="E150">
      <formula1>"Number (years),Rate (per year),Duration (years)"</formula1>
    </dataValidation>
    <dataValidation type="list" allowBlank="1" showInputMessage="1" showErrorMessage="1" sqref="E151">
      <formula1>"Number (years),Rate (per year),Duration (years)"</formula1>
    </dataValidation>
    <dataValidation type="list" allowBlank="1" showInputMessage="1" showErrorMessage="1" sqref="E152">
      <formula1>"Number (years),Rate (per year),Duration (years)"</formula1>
    </dataValidation>
    <dataValidation type="list" allowBlank="1" showInputMessage="1" showErrorMessage="1" sqref="E153">
      <formula1>"Number (years),Rate (per year),Duration (years)"</formula1>
    </dataValidation>
    <dataValidation type="list" allowBlank="1" showInputMessage="1" showErrorMessage="1" sqref="E154">
      <formula1>"Number (years),Rate (per year),Duration (years)"</formula1>
    </dataValidation>
    <dataValidation type="list" allowBlank="1" showInputMessage="1" showErrorMessage="1" sqref="E155">
      <formula1>"Number (years),Rate (per year),Duration (years)"</formula1>
    </dataValidation>
    <dataValidation type="list" allowBlank="1" showInputMessage="1" showErrorMessage="1" sqref="E156">
      <formula1>"Number (years),Rate (per year),Duration (years)"</formula1>
    </dataValidation>
    <dataValidation type="list" allowBlank="1" showInputMessage="1" showErrorMessage="1" sqref="E157">
      <formula1>"Number (years),Rate (per year),Duration (years)"</formula1>
    </dataValidation>
    <dataValidation type="list" allowBlank="1" showInputMessage="1" showErrorMessage="1" sqref="E158">
      <formula1>"Number (years),Rate (per year),Duration (years)"</formula1>
    </dataValidation>
    <dataValidation type="list" allowBlank="1" showInputMessage="1" showErrorMessage="1" sqref="E159">
      <formula1>"Number (years),Rate (per year),Duration (years)"</formula1>
    </dataValidation>
    <dataValidation type="list" allowBlank="1" showInputMessage="1" showErrorMessage="1" sqref="E160">
      <formula1>"Number (years),Rate (per year),Duration (years)"</formula1>
    </dataValidation>
    <dataValidation type="list" allowBlank="1" showInputMessage="1" showErrorMessage="1" sqref="E161">
      <formula1>"Number (years),Rate (per year),Duration (years)"</formula1>
    </dataValidation>
    <dataValidation type="list" allowBlank="1" showInputMessage="1" showErrorMessage="1" sqref="E162">
      <formula1>"Number (years),Rate (per year),Duration (years)"</formula1>
    </dataValidation>
    <dataValidation type="list" allowBlank="1" showInputMessage="1" showErrorMessage="1" sqref="B168">
      <formula1>"N.A."</formula1>
    </dataValidation>
    <dataValidation type="list" allowBlank="1" showInputMessage="1" showErrorMessage="1" sqref="C168">
      <formula1>"Y,N"</formula1>
    </dataValidation>
    <dataValidation type="list" allowBlank="1" showInputMessage="1" showErrorMessage="1" sqref="D168">
      <formula1>"Y,N"</formula1>
    </dataValidation>
    <dataValidation type="list" allowBlank="1" showInputMessage="1" showErrorMessage="1" sqref="E168">
      <formula1>"Y,N"</formula1>
    </dataValidation>
    <dataValidation type="list" allowBlank="1" showInputMessage="1" showErrorMessage="1" sqref="F168">
      <formula1>"Y,N"</formula1>
    </dataValidation>
    <dataValidation type="list" allowBlank="1" showInputMessage="1" showErrorMessage="1" sqref="G168">
      <formula1>"Y,N"</formula1>
    </dataValidation>
    <dataValidation type="list" allowBlank="1" showInputMessage="1" showErrorMessage="1" sqref="H168">
      <formula1>"Y,N"</formula1>
    </dataValidation>
    <dataValidation type="list" allowBlank="1" showInputMessage="1" showErrorMessage="1" sqref="I168">
      <formula1>"Y,N"</formula1>
    </dataValidation>
    <dataValidation type="list" allowBlank="1" showInputMessage="1" showErrorMessage="1" sqref="J168">
      <formula1>"Y,N"</formula1>
    </dataValidation>
    <dataValidation type="list" allowBlank="1" showInputMessage="1" showErrorMessage="1" sqref="K168">
      <formula1>"Y,N"</formula1>
    </dataValidation>
    <dataValidation type="list" allowBlank="1" showInputMessage="1" showErrorMessage="1" sqref="L168">
      <formula1>"Y,N"</formula1>
    </dataValidation>
    <dataValidation type="list" allowBlank="1" showInputMessage="1" showErrorMessage="1" sqref="M168">
      <formula1>"Y,N"</formula1>
    </dataValidation>
    <dataValidation type="list" allowBlank="1" showInputMessage="1" showErrorMessage="1" sqref="B169">
      <formula1>"Y,N"</formula1>
    </dataValidation>
    <dataValidation type="list" allowBlank="1" showInputMessage="1" showErrorMessage="1" sqref="C169">
      <formula1>"N.A."</formula1>
    </dataValidation>
    <dataValidation type="list" allowBlank="1" showInputMessage="1" showErrorMessage="1" sqref="D169">
      <formula1>"Y,N"</formula1>
    </dataValidation>
    <dataValidation type="list" allowBlank="1" showInputMessage="1" showErrorMessage="1" sqref="E169">
      <formula1>"Y,N"</formula1>
    </dataValidation>
    <dataValidation type="list" allowBlank="1" showInputMessage="1" showErrorMessage="1" sqref="F169">
      <formula1>"Y,N"</formula1>
    </dataValidation>
    <dataValidation type="list" allowBlank="1" showInputMessage="1" showErrorMessage="1" sqref="G169">
      <formula1>"Y,N"</formula1>
    </dataValidation>
    <dataValidation type="list" allowBlank="1" showInputMessage="1" showErrorMessage="1" sqref="H169">
      <formula1>"Y,N"</formula1>
    </dataValidation>
    <dataValidation type="list" allowBlank="1" showInputMessage="1" showErrorMessage="1" sqref="I169">
      <formula1>"Y,N"</formula1>
    </dataValidation>
    <dataValidation type="list" allowBlank="1" showInputMessage="1" showErrorMessage="1" sqref="J169">
      <formula1>"Y,N"</formula1>
    </dataValidation>
    <dataValidation type="list" allowBlank="1" showInputMessage="1" showErrorMessage="1" sqref="K169">
      <formula1>"Y,N"</formula1>
    </dataValidation>
    <dataValidation type="list" allowBlank="1" showInputMessage="1" showErrorMessage="1" sqref="L169">
      <formula1>"Y,N"</formula1>
    </dataValidation>
    <dataValidation type="list" allowBlank="1" showInputMessage="1" showErrorMessage="1" sqref="M169">
      <formula1>"Y,N"</formula1>
    </dataValidation>
    <dataValidation type="list" allowBlank="1" showInputMessage="1" showErrorMessage="1" sqref="B170">
      <formula1>"Y,N"</formula1>
    </dataValidation>
    <dataValidation type="list" allowBlank="1" showInputMessage="1" showErrorMessage="1" sqref="C170">
      <formula1>"Y,N"</formula1>
    </dataValidation>
    <dataValidation type="list" allowBlank="1" showInputMessage="1" showErrorMessage="1" sqref="D170">
      <formula1>"N.A."</formula1>
    </dataValidation>
    <dataValidation type="list" allowBlank="1" showInputMessage="1" showErrorMessage="1" sqref="E170">
      <formula1>"Y,N"</formula1>
    </dataValidation>
    <dataValidation type="list" allowBlank="1" showInputMessage="1" showErrorMessage="1" sqref="F170">
      <formula1>"Y,N"</formula1>
    </dataValidation>
    <dataValidation type="list" allowBlank="1" showInputMessage="1" showErrorMessage="1" sqref="G170">
      <formula1>"Y,N"</formula1>
    </dataValidation>
    <dataValidation type="list" allowBlank="1" showInputMessage="1" showErrorMessage="1" sqref="H170">
      <formula1>"Y,N"</formula1>
    </dataValidation>
    <dataValidation type="list" allowBlank="1" showInputMessage="1" showErrorMessage="1" sqref="I170">
      <formula1>"Y,N"</formula1>
    </dataValidation>
    <dataValidation type="list" allowBlank="1" showInputMessage="1" showErrorMessage="1" sqref="J170">
      <formula1>"Y,N"</formula1>
    </dataValidation>
    <dataValidation type="list" allowBlank="1" showInputMessage="1" showErrorMessage="1" sqref="K170">
      <formula1>"Y,N"</formula1>
    </dataValidation>
    <dataValidation type="list" allowBlank="1" showInputMessage="1" showErrorMessage="1" sqref="L170">
      <formula1>"Y,N"</formula1>
    </dataValidation>
    <dataValidation type="list" allowBlank="1" showInputMessage="1" showErrorMessage="1" sqref="M170">
      <formula1>"Y,N"</formula1>
    </dataValidation>
    <dataValidation type="list" allowBlank="1" showInputMessage="1" showErrorMessage="1" sqref="B171">
      <formula1>"Y,N"</formula1>
    </dataValidation>
    <dataValidation type="list" allowBlank="1" showInputMessage="1" showErrorMessage="1" sqref="C171">
      <formula1>"Y,N"</formula1>
    </dataValidation>
    <dataValidation type="list" allowBlank="1" showInputMessage="1" showErrorMessage="1" sqref="D171">
      <formula1>"Y,N"</formula1>
    </dataValidation>
    <dataValidation type="list" allowBlank="1" showInputMessage="1" showErrorMessage="1" sqref="E171">
      <formula1>"N.A."</formula1>
    </dataValidation>
    <dataValidation type="list" allowBlank="1" showInputMessage="1" showErrorMessage="1" sqref="F171">
      <formula1>"Y,N"</formula1>
    </dataValidation>
    <dataValidation type="list" allowBlank="1" showInputMessage="1" showErrorMessage="1" sqref="G171">
      <formula1>"Y,N"</formula1>
    </dataValidation>
    <dataValidation type="list" allowBlank="1" showInputMessage="1" showErrorMessage="1" sqref="H171">
      <formula1>"Y,N"</formula1>
    </dataValidation>
    <dataValidation type="list" allowBlank="1" showInputMessage="1" showErrorMessage="1" sqref="I171">
      <formula1>"Y,N"</formula1>
    </dataValidation>
    <dataValidation type="list" allowBlank="1" showInputMessage="1" showErrorMessage="1" sqref="J171">
      <formula1>"Y,N"</formula1>
    </dataValidation>
    <dataValidation type="list" allowBlank="1" showInputMessage="1" showErrorMessage="1" sqref="K171">
      <formula1>"Y,N"</formula1>
    </dataValidation>
    <dataValidation type="list" allowBlank="1" showInputMessage="1" showErrorMessage="1" sqref="L171">
      <formula1>"Y,N"</formula1>
    </dataValidation>
    <dataValidation type="list" allowBlank="1" showInputMessage="1" showErrorMessage="1" sqref="M171">
      <formula1>"Y,N"</formula1>
    </dataValidation>
    <dataValidation type="list" allowBlank="1" showInputMessage="1" showErrorMessage="1" sqref="B172">
      <formula1>"Y,N"</formula1>
    </dataValidation>
    <dataValidation type="list" allowBlank="1" showInputMessage="1" showErrorMessage="1" sqref="C172">
      <formula1>"Y,N"</formula1>
    </dataValidation>
    <dataValidation type="list" allowBlank="1" showInputMessage="1" showErrorMessage="1" sqref="D172">
      <formula1>"Y,N"</formula1>
    </dataValidation>
    <dataValidation type="list" allowBlank="1" showInputMessage="1" showErrorMessage="1" sqref="E172">
      <formula1>"Y,N"</formula1>
    </dataValidation>
    <dataValidation type="list" allowBlank="1" showInputMessage="1" showErrorMessage="1" sqref="F172">
      <formula1>"N.A."</formula1>
    </dataValidation>
    <dataValidation type="list" allowBlank="1" showInputMessage="1" showErrorMessage="1" sqref="G172">
      <formula1>"Y,N"</formula1>
    </dataValidation>
    <dataValidation type="list" allowBlank="1" showInputMessage="1" showErrorMessage="1" sqref="H172">
      <formula1>"Y,N"</formula1>
    </dataValidation>
    <dataValidation type="list" allowBlank="1" showInputMessage="1" showErrorMessage="1" sqref="I172">
      <formula1>"Y,N"</formula1>
    </dataValidation>
    <dataValidation type="list" allowBlank="1" showInputMessage="1" showErrorMessage="1" sqref="J172">
      <formula1>"Y,N"</formula1>
    </dataValidation>
    <dataValidation type="list" allowBlank="1" showInputMessage="1" showErrorMessage="1" sqref="K172">
      <formula1>"Y,N"</formula1>
    </dataValidation>
    <dataValidation type="list" allowBlank="1" showInputMessage="1" showErrorMessage="1" sqref="L172">
      <formula1>"Y,N"</formula1>
    </dataValidation>
    <dataValidation type="list" allowBlank="1" showInputMessage="1" showErrorMessage="1" sqref="M172">
      <formula1>"Y,N"</formula1>
    </dataValidation>
    <dataValidation type="list" allowBlank="1" showInputMessage="1" showErrorMessage="1" sqref="B173">
      <formula1>"Y,N"</formula1>
    </dataValidation>
    <dataValidation type="list" allowBlank="1" showInputMessage="1" showErrorMessage="1" sqref="C173">
      <formula1>"Y,N"</formula1>
    </dataValidation>
    <dataValidation type="list" allowBlank="1" showInputMessage="1" showErrorMessage="1" sqref="D173">
      <formula1>"Y,N"</formula1>
    </dataValidation>
    <dataValidation type="list" allowBlank="1" showInputMessage="1" showErrorMessage="1" sqref="E173">
      <formula1>"Y,N"</formula1>
    </dataValidation>
    <dataValidation type="list" allowBlank="1" showInputMessage="1" showErrorMessage="1" sqref="F173">
      <formula1>"Y,N"</formula1>
    </dataValidation>
    <dataValidation type="list" allowBlank="1" showInputMessage="1" showErrorMessage="1" sqref="G173">
      <formula1>"N.A."</formula1>
    </dataValidation>
    <dataValidation type="list" allowBlank="1" showInputMessage="1" showErrorMessage="1" sqref="H173">
      <formula1>"Y,N"</formula1>
    </dataValidation>
    <dataValidation type="list" allowBlank="1" showInputMessage="1" showErrorMessage="1" sqref="I173">
      <formula1>"Y,N"</formula1>
    </dataValidation>
    <dataValidation type="list" allowBlank="1" showInputMessage="1" showErrorMessage="1" sqref="J173">
      <formula1>"Y,N"</formula1>
    </dataValidation>
    <dataValidation type="list" allowBlank="1" showInputMessage="1" showErrorMessage="1" sqref="K173">
      <formula1>"Y,N"</formula1>
    </dataValidation>
    <dataValidation type="list" allowBlank="1" showInputMessage="1" showErrorMessage="1" sqref="L173">
      <formula1>"Y,N"</formula1>
    </dataValidation>
    <dataValidation type="list" allowBlank="1" showInputMessage="1" showErrorMessage="1" sqref="M173">
      <formula1>"Y,N"</formula1>
    </dataValidation>
    <dataValidation type="list" allowBlank="1" showInputMessage="1" showErrorMessage="1" sqref="B174">
      <formula1>"Y,N"</formula1>
    </dataValidation>
    <dataValidation type="list" allowBlank="1" showInputMessage="1" showErrorMessage="1" sqref="C174">
      <formula1>"Y,N"</formula1>
    </dataValidation>
    <dataValidation type="list" allowBlank="1" showInputMessage="1" showErrorMessage="1" sqref="D174">
      <formula1>"Y,N"</formula1>
    </dataValidation>
    <dataValidation type="list" allowBlank="1" showInputMessage="1" showErrorMessage="1" sqref="E174">
      <formula1>"Y,N"</formula1>
    </dataValidation>
    <dataValidation type="list" allowBlank="1" showInputMessage="1" showErrorMessage="1" sqref="F174">
      <formula1>"Y,N"</formula1>
    </dataValidation>
    <dataValidation type="list" allowBlank="1" showInputMessage="1" showErrorMessage="1" sqref="G174">
      <formula1>"Y,N"</formula1>
    </dataValidation>
    <dataValidation type="list" allowBlank="1" showInputMessage="1" showErrorMessage="1" sqref="H174">
      <formula1>"N.A."</formula1>
    </dataValidation>
    <dataValidation type="list" allowBlank="1" showInputMessage="1" showErrorMessage="1" sqref="I174">
      <formula1>"Y,N"</formula1>
    </dataValidation>
    <dataValidation type="list" allowBlank="1" showInputMessage="1" showErrorMessage="1" sqref="J174">
      <formula1>"Y,N"</formula1>
    </dataValidation>
    <dataValidation type="list" allowBlank="1" showInputMessage="1" showErrorMessage="1" sqref="K174">
      <formula1>"Y,N"</formula1>
    </dataValidation>
    <dataValidation type="list" allowBlank="1" showInputMessage="1" showErrorMessage="1" sqref="L174">
      <formula1>"Y,N"</formula1>
    </dataValidation>
    <dataValidation type="list" allowBlank="1" showInputMessage="1" showErrorMessage="1" sqref="M174">
      <formula1>"Y,N"</formula1>
    </dataValidation>
    <dataValidation type="list" allowBlank="1" showInputMessage="1" showErrorMessage="1" sqref="B175">
      <formula1>"Y,N"</formula1>
    </dataValidation>
    <dataValidation type="list" allowBlank="1" showInputMessage="1" showErrorMessage="1" sqref="C175">
      <formula1>"Y,N"</formula1>
    </dataValidation>
    <dataValidation type="list" allowBlank="1" showInputMessage="1" showErrorMessage="1" sqref="D175">
      <formula1>"Y,N"</formula1>
    </dataValidation>
    <dataValidation type="list" allowBlank="1" showInputMessage="1" showErrorMessage="1" sqref="E175">
      <formula1>"Y,N"</formula1>
    </dataValidation>
    <dataValidation type="list" allowBlank="1" showInputMessage="1" showErrorMessage="1" sqref="F175">
      <formula1>"Y,N"</formula1>
    </dataValidation>
    <dataValidation type="list" allowBlank="1" showInputMessage="1" showErrorMessage="1" sqref="G175">
      <formula1>"Y,N"</formula1>
    </dataValidation>
    <dataValidation type="list" allowBlank="1" showInputMessage="1" showErrorMessage="1" sqref="H175">
      <formula1>"Y,N"</formula1>
    </dataValidation>
    <dataValidation type="list" allowBlank="1" showInputMessage="1" showErrorMessage="1" sqref="I175">
      <formula1>"N.A."</formula1>
    </dataValidation>
    <dataValidation type="list" allowBlank="1" showInputMessage="1" showErrorMessage="1" sqref="J175">
      <formula1>"Y,N"</formula1>
    </dataValidation>
    <dataValidation type="list" allowBlank="1" showInputMessage="1" showErrorMessage="1" sqref="K175">
      <formula1>"Y,N"</formula1>
    </dataValidation>
    <dataValidation type="list" allowBlank="1" showInputMessage="1" showErrorMessage="1" sqref="L175">
      <formula1>"Y,N"</formula1>
    </dataValidation>
    <dataValidation type="list" allowBlank="1" showInputMessage="1" showErrorMessage="1" sqref="M175">
      <formula1>"Y,N"</formula1>
    </dataValidation>
    <dataValidation type="list" allowBlank="1" showInputMessage="1" showErrorMessage="1" sqref="B176">
      <formula1>"Y,N"</formula1>
    </dataValidation>
    <dataValidation type="list" allowBlank="1" showInputMessage="1" showErrorMessage="1" sqref="C176">
      <formula1>"Y,N"</formula1>
    </dataValidation>
    <dataValidation type="list" allowBlank="1" showInputMessage="1" showErrorMessage="1" sqref="D176">
      <formula1>"Y,N"</formula1>
    </dataValidation>
    <dataValidation type="list" allowBlank="1" showInputMessage="1" showErrorMessage="1" sqref="E176">
      <formula1>"Y,N"</formula1>
    </dataValidation>
    <dataValidation type="list" allowBlank="1" showInputMessage="1" showErrorMessage="1" sqref="F176">
      <formula1>"Y,N"</formula1>
    </dataValidation>
    <dataValidation type="list" allowBlank="1" showInputMessage="1" showErrorMessage="1" sqref="G176">
      <formula1>"Y,N"</formula1>
    </dataValidation>
    <dataValidation type="list" allowBlank="1" showInputMessage="1" showErrorMessage="1" sqref="H176">
      <formula1>"Y,N"</formula1>
    </dataValidation>
    <dataValidation type="list" allowBlank="1" showInputMessage="1" showErrorMessage="1" sqref="I176">
      <formula1>"Y,N"</formula1>
    </dataValidation>
    <dataValidation type="list" allowBlank="1" showInputMessage="1" showErrorMessage="1" sqref="J176">
      <formula1>"N.A."</formula1>
    </dataValidation>
    <dataValidation type="list" allowBlank="1" showInputMessage="1" showErrorMessage="1" sqref="K176">
      <formula1>"Y,N"</formula1>
    </dataValidation>
    <dataValidation type="list" allowBlank="1" showInputMessage="1" showErrorMessage="1" sqref="L176">
      <formula1>"Y,N"</formula1>
    </dataValidation>
    <dataValidation type="list" allowBlank="1" showInputMessage="1" showErrorMessage="1" sqref="M176">
      <formula1>"Y,N"</formula1>
    </dataValidation>
    <dataValidation type="list" allowBlank="1" showInputMessage="1" showErrorMessage="1" sqref="B177">
      <formula1>"Y,N"</formula1>
    </dataValidation>
    <dataValidation type="list" allowBlank="1" showInputMessage="1" showErrorMessage="1" sqref="C177">
      <formula1>"Y,N"</formula1>
    </dataValidation>
    <dataValidation type="list" allowBlank="1" showInputMessage="1" showErrorMessage="1" sqref="D177">
      <formula1>"Y,N"</formula1>
    </dataValidation>
    <dataValidation type="list" allowBlank="1" showInputMessage="1" showErrorMessage="1" sqref="E177">
      <formula1>"Y,N"</formula1>
    </dataValidation>
    <dataValidation type="list" allowBlank="1" showInputMessage="1" showErrorMessage="1" sqref="F177">
      <formula1>"Y,N"</formula1>
    </dataValidation>
    <dataValidation type="list" allowBlank="1" showInputMessage="1" showErrorMessage="1" sqref="G177">
      <formula1>"Y,N"</formula1>
    </dataValidation>
    <dataValidation type="list" allowBlank="1" showInputMessage="1" showErrorMessage="1" sqref="H177">
      <formula1>"Y,N"</formula1>
    </dataValidation>
    <dataValidation type="list" allowBlank="1" showInputMessage="1" showErrorMessage="1" sqref="I177">
      <formula1>"Y,N"</formula1>
    </dataValidation>
    <dataValidation type="list" allowBlank="1" showInputMessage="1" showErrorMessage="1" sqref="J177">
      <formula1>"Y,N"</formula1>
    </dataValidation>
    <dataValidation type="list" allowBlank="1" showInputMessage="1" showErrorMessage="1" sqref="K177">
      <formula1>"N.A."</formula1>
    </dataValidation>
    <dataValidation type="list" allowBlank="1" showInputMessage="1" showErrorMessage="1" sqref="L177">
      <formula1>"Y,N"</formula1>
    </dataValidation>
    <dataValidation type="list" allowBlank="1" showInputMessage="1" showErrorMessage="1" sqref="M177">
      <formula1>"Y,N"</formula1>
    </dataValidation>
    <dataValidation type="list" allowBlank="1" showInputMessage="1" showErrorMessage="1" sqref="B178">
      <formula1>"Y,N"</formula1>
    </dataValidation>
    <dataValidation type="list" allowBlank="1" showInputMessage="1" showErrorMessage="1" sqref="C178">
      <formula1>"Y,N"</formula1>
    </dataValidation>
    <dataValidation type="list" allowBlank="1" showInputMessage="1" showErrorMessage="1" sqref="D178">
      <formula1>"Y,N"</formula1>
    </dataValidation>
    <dataValidation type="list" allowBlank="1" showInputMessage="1" showErrorMessage="1" sqref="E178">
      <formula1>"Y,N"</formula1>
    </dataValidation>
    <dataValidation type="list" allowBlank="1" showInputMessage="1" showErrorMessage="1" sqref="F178">
      <formula1>"Y,N"</formula1>
    </dataValidation>
    <dataValidation type="list" allowBlank="1" showInputMessage="1" showErrorMessage="1" sqref="G178">
      <formula1>"Y,N"</formula1>
    </dataValidation>
    <dataValidation type="list" allowBlank="1" showInputMessage="1" showErrorMessage="1" sqref="H178">
      <formula1>"Y,N"</formula1>
    </dataValidation>
    <dataValidation type="list" allowBlank="1" showInputMessage="1" showErrorMessage="1" sqref="I178">
      <formula1>"Y,N"</formula1>
    </dataValidation>
    <dataValidation type="list" allowBlank="1" showInputMessage="1" showErrorMessage="1" sqref="J178">
      <formula1>"Y,N"</formula1>
    </dataValidation>
    <dataValidation type="list" allowBlank="1" showInputMessage="1" showErrorMessage="1" sqref="K178">
      <formula1>"Y,N"</formula1>
    </dataValidation>
    <dataValidation type="list" allowBlank="1" showInputMessage="1" showErrorMessage="1" sqref="L178">
      <formula1>"N.A."</formula1>
    </dataValidation>
    <dataValidation type="list" allowBlank="1" showInputMessage="1" showErrorMessage="1" sqref="M178">
      <formula1>"Y,N"</formula1>
    </dataValidation>
    <dataValidation type="list" allowBlank="1" showInputMessage="1" showErrorMessage="1" sqref="B179">
      <formula1>"Y,N"</formula1>
    </dataValidation>
    <dataValidation type="list" allowBlank="1" showInputMessage="1" showErrorMessage="1" sqref="C179">
      <formula1>"Y,N"</formula1>
    </dataValidation>
    <dataValidation type="list" allowBlank="1" showInputMessage="1" showErrorMessage="1" sqref="D179">
      <formula1>"Y,N"</formula1>
    </dataValidation>
    <dataValidation type="list" allowBlank="1" showInputMessage="1" showErrorMessage="1" sqref="E179">
      <formula1>"Y,N"</formula1>
    </dataValidation>
    <dataValidation type="list" allowBlank="1" showInputMessage="1" showErrorMessage="1" sqref="F179">
      <formula1>"Y,N"</formula1>
    </dataValidation>
    <dataValidation type="list" allowBlank="1" showInputMessage="1" showErrorMessage="1" sqref="G179">
      <formula1>"Y,N"</formula1>
    </dataValidation>
    <dataValidation type="list" allowBlank="1" showInputMessage="1" showErrorMessage="1" sqref="H179">
      <formula1>"Y,N"</formula1>
    </dataValidation>
    <dataValidation type="list" allowBlank="1" showInputMessage="1" showErrorMessage="1" sqref="I179">
      <formula1>"Y,N"</formula1>
    </dataValidation>
    <dataValidation type="list" allowBlank="1" showInputMessage="1" showErrorMessage="1" sqref="J179">
      <formula1>"Y,N"</formula1>
    </dataValidation>
    <dataValidation type="list" allowBlank="1" showInputMessage="1" showErrorMessage="1" sqref="K179">
      <formula1>"Y,N"</formula1>
    </dataValidation>
    <dataValidation type="list" allowBlank="1" showInputMessage="1" showErrorMessage="1" sqref="L179">
      <formula1>"Y,N"</formula1>
    </dataValidation>
    <dataValidation type="list" allowBlank="1" showInputMessage="1" showErrorMessage="1" sqref="M179">
      <formula1>"N.A."</formula1>
    </dataValidation>
    <dataValidation type="list" allowBlank="1" showInputMessage="1" showErrorMessage="1" sqref="E182">
      <formula1>"Number (years),Rate (per year),Duration (years)"</formula1>
    </dataValidation>
    <dataValidation type="list" allowBlank="1" showInputMessage="1" showErrorMessage="1" sqref="E183">
      <formula1>"Number (years),Rate (per year),Duration (years)"</formula1>
    </dataValidation>
    <dataValidation type="list" allowBlank="1" showInputMessage="1" showErrorMessage="1" sqref="E184">
      <formula1>"Number (years),Rate (per year),Duration (years)"</formula1>
    </dataValidation>
    <dataValidation type="list" allowBlank="1" showInputMessage="1" showErrorMessage="1" sqref="E185">
      <formula1>"Number (years),Rate (per year),Duration (years)"</formula1>
    </dataValidation>
    <dataValidation type="list" allowBlank="1" showInputMessage="1" showErrorMessage="1" sqref="E186">
      <formula1>"Number (years),Rate (per year),Duration (years)"</formula1>
    </dataValidation>
    <dataValidation type="list" allowBlank="1" showInputMessage="1" showErrorMessage="1" sqref="E187">
      <formula1>"Number (years),Rate (per year),Duration (years)"</formula1>
    </dataValidation>
    <dataValidation type="list" allowBlank="1" showInputMessage="1" showErrorMessage="1" sqref="E188">
      <formula1>"Number (years),Rate (per year),Duration (years)"</formula1>
    </dataValidation>
    <dataValidation type="list" allowBlank="1" showInputMessage="1" showErrorMessage="1" sqref="E189">
      <formula1>"Number (years),Rate (per year),Duration (years)"</formula1>
    </dataValidation>
    <dataValidation type="list" allowBlank="1" showInputMessage="1" showErrorMessage="1" sqref="E190">
      <formula1>"Number (years),Rate (per year),Duration (years)"</formula1>
    </dataValidation>
    <dataValidation type="list" allowBlank="1" showInputMessage="1" showErrorMessage="1" sqref="E191">
      <formula1>"Number (years),Rate (per year),Duration (years)"</formula1>
    </dataValidation>
    <dataValidation type="list" allowBlank="1" showInputMessage="1" showErrorMessage="1" sqref="E192">
      <formula1>"Number (years),Rate (per year),Duration (years)"</formula1>
    </dataValidation>
    <dataValidation type="list" allowBlank="1" showInputMessage="1" showErrorMessage="1" sqref="E193">
      <formula1>"Number (years),Rate (per year),Duration (years)"</formula1>
    </dataValidation>
    <dataValidation type="list" allowBlank="1" showInputMessage="1" showErrorMessage="1" sqref="E194">
      <formula1>"Number (years),Rate (per year),Duration (years)"</formula1>
    </dataValidation>
    <dataValidation type="list" allowBlank="1" showInputMessage="1" showErrorMessage="1" sqref="E195">
      <formula1>"Number (years),Rate (per year),Duration (years)"</formula1>
    </dataValidation>
    <dataValidation type="list" allowBlank="1" showInputMessage="1" showErrorMessage="1" sqref="E196">
      <formula1>"Number (years),Rate (per year),Duration (years)"</formula1>
    </dataValidation>
    <dataValidation type="list" allowBlank="1" showInputMessage="1" showErrorMessage="1" sqref="E197">
      <formula1>"Number (years),Rate (per year),Duration (years)"</formula1>
    </dataValidation>
    <dataValidation type="list" allowBlank="1" showInputMessage="1" showErrorMessage="1" sqref="E198">
      <formula1>"Number (years),Rate (per year),Duration (years)"</formula1>
    </dataValidation>
    <dataValidation type="list" allowBlank="1" showInputMessage="1" showErrorMessage="1" sqref="E199">
      <formula1>"Number (years),Rate (per year),Duration (years)"</formula1>
    </dataValidation>
    <dataValidation type="list" allowBlank="1" showInputMessage="1" showErrorMessage="1" sqref="E200">
      <formula1>"Number (years),Rate (per year),Duration (years)"</formula1>
    </dataValidation>
    <dataValidation type="list" allowBlank="1" showInputMessage="1" showErrorMessage="1" sqref="E201">
      <formula1>"Number (years),Rate (per year),Duration (years)"</formula1>
    </dataValidation>
    <dataValidation type="list" allowBlank="1" showInputMessage="1" showErrorMessage="1" sqref="E202">
      <formula1>"Number (years),Rate (per year),Duration (years)"</formula1>
    </dataValidation>
    <dataValidation type="list" allowBlank="1" showInputMessage="1" showErrorMessage="1" sqref="E203">
      <formula1>"Number (years),Rate (per year),Duration (years)"</formula1>
    </dataValidation>
    <dataValidation type="list" allowBlank="1" showInputMessage="1" showErrorMessage="1" sqref="E204">
      <formula1>"Number (years),Rate (per year),Duration (years)"</formula1>
    </dataValidation>
    <dataValidation type="list" allowBlank="1" showInputMessage="1" showErrorMessage="1" sqref="E205">
      <formula1>"Number (years),Rate (per year),Duration (years)"</formula1>
    </dataValidation>
    <dataValidation type="list" allowBlank="1" showInputMessage="1" showErrorMessage="1" sqref="E206">
      <formula1>"Number (years),Rate (per year),Duration (years)"</formula1>
    </dataValidation>
    <dataValidation type="list" allowBlank="1" showInputMessage="1" showErrorMessage="1" sqref="E207">
      <formula1>"Number (years),Rate (per year),Duration (years)"</formula1>
    </dataValidation>
    <dataValidation type="list" allowBlank="1" showInputMessage="1" showErrorMessage="1" sqref="E208">
      <formula1>"Number (years),Rate (per year),Duration (years)"</formula1>
    </dataValidation>
    <dataValidation type="list" allowBlank="1" showInputMessage="1" showErrorMessage="1" sqref="E209">
      <formula1>"Number (years),Rate (per year),Duration (years)"</formula1>
    </dataValidation>
    <dataValidation type="list" allowBlank="1" showInputMessage="1" showErrorMessage="1" sqref="E210">
      <formula1>"Number (years),Rate (per year),Duration (years)"</formula1>
    </dataValidation>
    <dataValidation type="list" allowBlank="1" showInputMessage="1" showErrorMessage="1" sqref="E211">
      <formula1>"Number (years),Rate (per year),Duration (years)"</formula1>
    </dataValidation>
    <dataValidation type="list" allowBlank="1" showInputMessage="1" showErrorMessage="1" sqref="E212">
      <formula1>"Number (years),Rate (per year),Duration (years)"</formula1>
    </dataValidation>
    <dataValidation type="list" allowBlank="1" showInputMessage="1" showErrorMessage="1" sqref="E213">
      <formula1>"Number (years),Rate (per year),Duration (years)"</formula1>
    </dataValidation>
    <dataValidation type="list" allowBlank="1" showInputMessage="1" showErrorMessage="1" sqref="E214">
      <formula1>"Number (years),Rate (per year),Duration (years)"</formula1>
    </dataValidation>
    <dataValidation type="list" allowBlank="1" showInputMessage="1" showErrorMessage="1" sqref="E215">
      <formula1>"Number (years),Rate (per year),Duration (years)"</formula1>
    </dataValidation>
    <dataValidation type="list" allowBlank="1" showInputMessage="1" showErrorMessage="1" sqref="E216">
      <formula1>"Number (years),Rate (per year),Duration (years)"</formula1>
    </dataValidation>
    <dataValidation type="list" allowBlank="1" showInputMessage="1" showErrorMessage="1" sqref="E217">
      <formula1>"Number (years),Rate (per year),Duration (years)"</formula1>
    </dataValidation>
    <dataValidation type="list" allowBlank="1" showInputMessage="1" showErrorMessage="1" sqref="E218">
      <formula1>"Number (years),Rate (per year),Duration (years)"</formula1>
    </dataValidation>
    <dataValidation type="list" allowBlank="1" showInputMessage="1" showErrorMessage="1" sqref="E219">
      <formula1>"Number (years),Rate (per year),Duration (years)"</formula1>
    </dataValidation>
    <dataValidation type="list" allowBlank="1" showInputMessage="1" showErrorMessage="1" sqref="E220">
      <formula1>"Number (years),Rate (per year),Duration (years)"</formula1>
    </dataValidation>
    <dataValidation type="list" allowBlank="1" showInputMessage="1" showErrorMessage="1" sqref="E221">
      <formula1>"Number (years),Rate (per year),Duration (years)"</formula1>
    </dataValidation>
    <dataValidation type="list" allowBlank="1" showInputMessage="1" showErrorMessage="1" sqref="E222">
      <formula1>"Number (years),Rate (per year),Duration (years)"</formula1>
    </dataValidation>
    <dataValidation type="list" allowBlank="1" showInputMessage="1" showErrorMessage="1" sqref="E223">
      <formula1>"Number (years),Rate (per year),Duration (years)"</formula1>
    </dataValidation>
    <dataValidation type="list" allowBlank="1" showInputMessage="1" showErrorMessage="1" sqref="E224">
      <formula1>"Number (years),Rate (per year),Duration (years)"</formula1>
    </dataValidation>
    <dataValidation type="list" allowBlank="1" showInputMessage="1" showErrorMessage="1" sqref="E225">
      <formula1>"Number (years),Rate (per year),Duration (years)"</formula1>
    </dataValidation>
    <dataValidation type="list" allowBlank="1" showInputMessage="1" showErrorMessage="1" sqref="E226">
      <formula1>"Number (years),Rate (per year),Duration (years)"</formula1>
    </dataValidation>
    <dataValidation type="list" allowBlank="1" showInputMessage="1" showErrorMessage="1" sqref="E227">
      <formula1>"Number (years),Rate (per year),Duration (years)"</formula1>
    </dataValidation>
    <dataValidation type="list" allowBlank="1" showInputMessage="1" showErrorMessage="1" sqref="E228">
      <formula1>"Number (years),Rate (per year),Duration (years)"</formula1>
    </dataValidation>
    <dataValidation type="list" allowBlank="1" showInputMessage="1" showErrorMessage="1" sqref="E229">
      <formula1>"Number (years),Rate (per year),Duration (years)"</formula1>
    </dataValidation>
    <dataValidation type="list" allowBlank="1" showInputMessage="1" showErrorMessage="1" sqref="E230">
      <formula1>"Number (years),Rate (per year),Duration (years)"</formula1>
    </dataValidation>
    <dataValidation type="list" allowBlank="1" showInputMessage="1" showErrorMessage="1" sqref="E231">
      <formula1>"Number (years),Rate (per year),Duration (years)"</formula1>
    </dataValidation>
    <dataValidation type="list" allowBlank="1" showInputMessage="1" showErrorMessage="1" sqref="E232">
      <formula1>"Number (years),Rate (per year),Duration (years)"</formula1>
    </dataValidation>
    <dataValidation type="list" allowBlank="1" showInputMessage="1" showErrorMessage="1" sqref="E233">
      <formula1>"Number (years),Rate (per year),Duration (years)"</formula1>
    </dataValidation>
    <dataValidation type="list" allowBlank="1" showInputMessage="1" showErrorMessage="1" sqref="E234">
      <formula1>"Number (years),Rate (per year),Duration (years)"</formula1>
    </dataValidation>
    <dataValidation type="list" allowBlank="1" showInputMessage="1" showErrorMessage="1" sqref="E235">
      <formula1>"Number (years),Rate (per year),Duration (years)"</formula1>
    </dataValidation>
    <dataValidation type="list" allowBlank="1" showInputMessage="1" showErrorMessage="1" sqref="E236">
      <formula1>"Number (years),Rate (per year),Duration (years)"</formula1>
    </dataValidation>
    <dataValidation type="list" allowBlank="1" showInputMessage="1" showErrorMessage="1" sqref="E237">
      <formula1>"Number (years),Rate (per year),Duration (years)"</formula1>
    </dataValidation>
    <dataValidation type="list" allowBlank="1" showInputMessage="1" showErrorMessage="1" sqref="E238">
      <formula1>"Number (years),Rate (per year),Duration (years)"</formula1>
    </dataValidation>
    <dataValidation type="list" allowBlank="1" showInputMessage="1" showErrorMessage="1" sqref="E239">
      <formula1>"Number (years),Rate (per year),Duration (years)"</formula1>
    </dataValidation>
    <dataValidation type="list" allowBlank="1" showInputMessage="1" showErrorMessage="1" sqref="E240">
      <formula1>"Number (years),Rate (per year),Duration (years)"</formula1>
    </dataValidation>
    <dataValidation type="list" allowBlank="1" showInputMessage="1" showErrorMessage="1" sqref="E241">
      <formula1>"Number (years),Rate (per year),Duration (years)"</formula1>
    </dataValidation>
    <dataValidation type="list" allowBlank="1" showInputMessage="1" showErrorMessage="1" sqref="E242">
      <formula1>"Number (years),Rate (per year),Duration (years)"</formula1>
    </dataValidation>
    <dataValidation type="list" allowBlank="1" showInputMessage="1" showErrorMessage="1" sqref="E243">
      <formula1>"Number (years),Rate (per year),Duration (years)"</formula1>
    </dataValidation>
    <dataValidation type="list" allowBlank="1" showInputMessage="1" showErrorMessage="1" sqref="E244">
      <formula1>"Number (years),Rate (per year),Duration (years)"</formula1>
    </dataValidation>
    <dataValidation type="list" allowBlank="1" showInputMessage="1" showErrorMessage="1" sqref="E245">
      <formula1>"Number (years),Rate (per year),Duration (years)"</formula1>
    </dataValidation>
    <dataValidation type="list" allowBlank="1" showInputMessage="1" showErrorMessage="1" sqref="E246">
      <formula1>"Number (years),Rate (per year),Duration (years)"</formula1>
    </dataValidation>
    <dataValidation type="list" allowBlank="1" showInputMessage="1" showErrorMessage="1" sqref="E247">
      <formula1>"Number (years),Rate (per year),Duration (years)"</formula1>
    </dataValidation>
    <dataValidation type="list" allowBlank="1" showInputMessage="1" showErrorMessage="1" sqref="E248">
      <formula1>"Number (years),Rate (per year),Duration (years)"</formula1>
    </dataValidation>
    <dataValidation type="list" allowBlank="1" showInputMessage="1" showErrorMessage="1" sqref="E249">
      <formula1>"Number (years),Rate (per year),Duration (years)"</formula1>
    </dataValidation>
    <dataValidation type="list" allowBlank="1" showInputMessage="1" showErrorMessage="1" sqref="E250">
      <formula1>"Number (years),Rate (per year),Duration (years)"</formula1>
    </dataValidation>
    <dataValidation type="list" allowBlank="1" showInputMessage="1" showErrorMessage="1" sqref="E251">
      <formula1>"Number (years),Rate (per year),Duration (years)"</formula1>
    </dataValidation>
    <dataValidation type="list" allowBlank="1" showInputMessage="1" showErrorMessage="1" sqref="E252">
      <formula1>"Number (years),Rate (per year),Duration (years)"</formula1>
    </dataValidation>
    <dataValidation type="list" allowBlank="1" showInputMessage="1" showErrorMessage="1" sqref="E253">
      <formula1>"Number (years),Rate (per year),Duration (years)"</formula1>
    </dataValidation>
    <dataValidation type="list" allowBlank="1" showInputMessage="1" showErrorMessage="1" sqref="E254">
      <formula1>"Number (years),Rate (per year),Duration (years)"</formula1>
    </dataValidation>
    <dataValidation type="list" allowBlank="1" showInputMessage="1" showErrorMessage="1" sqref="E255">
      <formula1>"Number (years),Rate (per year),Duration (years)"</formula1>
    </dataValidation>
    <dataValidation type="list" allowBlank="1" showInputMessage="1" showErrorMessage="1" sqref="E256">
      <formula1>"Number (years),Rate (per year),Duration (years)"</formula1>
    </dataValidation>
    <dataValidation type="list" allowBlank="1" showInputMessage="1" showErrorMessage="1" sqref="E257">
      <formula1>"Number (years),Rate (per year),Duration (years)"</formula1>
    </dataValidation>
    <dataValidation type="list" allowBlank="1" showInputMessage="1" showErrorMessage="1" sqref="E258">
      <formula1>"Number (years),Rate (per year),Duration (years)"</formula1>
    </dataValidation>
    <dataValidation type="list" allowBlank="1" showInputMessage="1" showErrorMessage="1" sqref="E259">
      <formula1>"Number (years),Rate (per year),Duration (years)"</formula1>
    </dataValidation>
    <dataValidation type="list" allowBlank="1" showInputMessage="1" showErrorMessage="1" sqref="E260">
      <formula1>"Number (years),Rate (per year),Duration (years)"</formula1>
    </dataValidation>
    <dataValidation type="list" allowBlank="1" showInputMessage="1" showErrorMessage="1" sqref="E261">
      <formula1>"Number (years),Rate (per year),Duration (years)"</formula1>
    </dataValidation>
    <dataValidation type="list" allowBlank="1" showInputMessage="1" showErrorMessage="1" sqref="E262">
      <formula1>"Number (years),Rate (per year),Duration (years)"</formula1>
    </dataValidation>
    <dataValidation type="list" allowBlank="1" showInputMessage="1" showErrorMessage="1" sqref="E263">
      <formula1>"Number (years),Rate (per year),Duration (years)"</formula1>
    </dataValidation>
    <dataValidation type="list" allowBlank="1" showInputMessage="1" showErrorMessage="1" sqref="E264">
      <formula1>"Number (years),Rate (per year),Duration (years)"</formula1>
    </dataValidation>
    <dataValidation type="list" allowBlank="1" showInputMessage="1" showErrorMessage="1" sqref="E265">
      <formula1>"Number (years),Rate (per year),Duration (years)"</formula1>
    </dataValidation>
    <dataValidation type="list" allowBlank="1" showInputMessage="1" showErrorMessage="1" sqref="E266">
      <formula1>"Number (years),Rate (per year),Duration (years)"</formula1>
    </dataValidation>
    <dataValidation type="list" allowBlank="1" showInputMessage="1" showErrorMessage="1" sqref="E267">
      <formula1>"Number (years),Rate (per year),Duration (years)"</formula1>
    </dataValidation>
    <dataValidation type="list" allowBlank="1" showInputMessage="1" showErrorMessage="1" sqref="E268">
      <formula1>"Number (years),Rate (per year),Duration (years)"</formula1>
    </dataValidation>
    <dataValidation type="list" allowBlank="1" showInputMessage="1" showErrorMessage="1" sqref="E269">
      <formula1>"Number (years),Rate (per year),Duration (years)"</formula1>
    </dataValidation>
    <dataValidation type="list" allowBlank="1" showInputMessage="1" showErrorMessage="1" sqref="E270">
      <formula1>"Number (years),Rate (per year),Duration (years)"</formula1>
    </dataValidation>
    <dataValidation type="list" allowBlank="1" showInputMessage="1" showErrorMessage="1" sqref="E271">
      <formula1>"Number (years),Rate (per year),Duration (years)"</formula1>
    </dataValidation>
    <dataValidation type="list" allowBlank="1" showInputMessage="1" showErrorMessage="1" sqref="E272">
      <formula1>"Number (years),Rate (per year),Duration (years)"</formula1>
    </dataValidation>
    <dataValidation type="list" allowBlank="1" showInputMessage="1" showErrorMessage="1" sqref="E273">
      <formula1>"Number (years),Rate (per year),Duration (years)"</formula1>
    </dataValidation>
    <dataValidation type="list" allowBlank="1" showInputMessage="1" showErrorMessage="1" sqref="E274">
      <formula1>"Number (years),Rate (per year),Duration (years)"</formula1>
    </dataValidation>
    <dataValidation type="list" allowBlank="1" showInputMessage="1" showErrorMessage="1" sqref="E275">
      <formula1>"Number (years),Rate (per year),Duration (years)"</formula1>
    </dataValidation>
    <dataValidation type="list" allowBlank="1" showInputMessage="1" showErrorMessage="1" sqref="E276">
      <formula1>"Number (years),Rate (per year),Duration (years)"</formula1>
    </dataValidation>
    <dataValidation type="list" allowBlank="1" showInputMessage="1" showErrorMessage="1" sqref="E277">
      <formula1>"Number (years),Rate (per year),Duration (years)"</formula1>
    </dataValidation>
    <dataValidation type="list" allowBlank="1" showInputMessage="1" showErrorMessage="1" sqref="E278">
      <formula1>"Number (years),Rate (per year),Duration (years)"</formula1>
    </dataValidation>
    <dataValidation type="list" allowBlank="1" showInputMessage="1" showErrorMessage="1" sqref="E279">
      <formula1>"Number (years),Rate (per year),Duration (years)"</formula1>
    </dataValidation>
    <dataValidation type="list" allowBlank="1" showInputMessage="1" showErrorMessage="1" sqref="E280">
      <formula1>"Number (years),Rate (per year),Duration (years)"</formula1>
    </dataValidation>
    <dataValidation type="list" allowBlank="1" showInputMessage="1" showErrorMessage="1" sqref="E281">
      <formula1>"Number (years),Rate (per year),Duration (years)"</formula1>
    </dataValidation>
    <dataValidation type="list" allowBlank="1" showInputMessage="1" showErrorMessage="1" sqref="E282">
      <formula1>"Number (years),Rate (per year),Duration (years)"</formula1>
    </dataValidation>
    <dataValidation type="list" allowBlank="1" showInputMessage="1" showErrorMessage="1" sqref="E283">
      <formula1>"Number (years),Rate (per year),Duration (years)"</formula1>
    </dataValidation>
    <dataValidation type="list" allowBlank="1" showInputMessage="1" showErrorMessage="1" sqref="E284">
      <formula1>"Number (years),Rate (per year),Duration (years)"</formula1>
    </dataValidation>
    <dataValidation type="list" allowBlank="1" showInputMessage="1" showErrorMessage="1" sqref="E285">
      <formula1>"Number (years),Rate (per year),Duration (years)"</formula1>
    </dataValidation>
    <dataValidation type="list" allowBlank="1" showInputMessage="1" showErrorMessage="1" sqref="E286">
      <formula1>"Number (years),Rate (per year),Duration (years)"</formula1>
    </dataValidation>
    <dataValidation type="list" allowBlank="1" showInputMessage="1" showErrorMessage="1" sqref="E287">
      <formula1>"Number (years),Rate (per year),Duration (years)"</formula1>
    </dataValidation>
    <dataValidation type="list" allowBlank="1" showInputMessage="1" showErrorMessage="1" sqref="E288">
      <formula1>"Number (years),Rate (per year),Duration (years)"</formula1>
    </dataValidation>
    <dataValidation type="list" allowBlank="1" showInputMessage="1" showErrorMessage="1" sqref="E289">
      <formula1>"Number (years),Rate (per year),Duration (years)"</formula1>
    </dataValidation>
    <dataValidation type="list" allowBlank="1" showInputMessage="1" showErrorMessage="1" sqref="E290">
      <formula1>"Number (years),Rate (per year),Duration (years)"</formula1>
    </dataValidation>
    <dataValidation type="list" allowBlank="1" showInputMessage="1" showErrorMessage="1" sqref="E291">
      <formula1>"Number (years),Rate (per year),Duration (years)"</formula1>
    </dataValidation>
    <dataValidation type="list" allowBlank="1" showInputMessage="1" showErrorMessage="1" sqref="E292">
      <formula1>"Number (years),Rate (per year),Duration (years)"</formula1>
    </dataValidation>
    <dataValidation type="list" allowBlank="1" showInputMessage="1" showErrorMessage="1" sqref="E293">
      <formula1>"Number (years),Rate (per year),Duration (years)"</formula1>
    </dataValidation>
    <dataValidation type="list" allowBlank="1" showInputMessage="1" showErrorMessage="1" sqref="E294">
      <formula1>"Number (years),Rate (per year),Duration (years)"</formula1>
    </dataValidation>
    <dataValidation type="list" allowBlank="1" showInputMessage="1" showErrorMessage="1" sqref="E295">
      <formula1>"Number (years),Rate (per year),Duration (years)"</formula1>
    </dataValidation>
    <dataValidation type="list" allowBlank="1" showInputMessage="1" showErrorMessage="1" sqref="E296">
      <formula1>"Number (years),Rate (per year),Duration (years)"</formula1>
    </dataValidation>
    <dataValidation type="list" allowBlank="1" showInputMessage="1" showErrorMessage="1" sqref="E297">
      <formula1>"Number (years),Rate (per year),Duration (years)"</formula1>
    </dataValidation>
    <dataValidation type="list" allowBlank="1" showInputMessage="1" showErrorMessage="1" sqref="E298">
      <formula1>"Number (years),Rate (per year),Duration (years)"</formula1>
    </dataValidation>
    <dataValidation type="list" allowBlank="1" showInputMessage="1" showErrorMessage="1" sqref="E299">
      <formula1>"Number (years),Rate (per year),Duration (years)"</formula1>
    </dataValidation>
    <dataValidation type="list" allowBlank="1" showInputMessage="1" showErrorMessage="1" sqref="E300">
      <formula1>"Number (years),Rate (per year),Duration (years)"</formula1>
    </dataValidation>
    <dataValidation type="list" allowBlank="1" showInputMessage="1" showErrorMessage="1" sqref="E301">
      <formula1>"Number (years),Rate (per year),Duration (years)"</formula1>
    </dataValidation>
    <dataValidation type="list" allowBlank="1" showInputMessage="1" showErrorMessage="1" sqref="E302">
      <formula1>"Number (years),Rate (per year),Duration (years)"</formula1>
    </dataValidation>
    <dataValidation type="list" allowBlank="1" showInputMessage="1" showErrorMessage="1" sqref="E303">
      <formula1>"Number (years),Rate (per year),Duration (years)"</formula1>
    </dataValidation>
    <dataValidation type="list" allowBlank="1" showInputMessage="1" showErrorMessage="1" sqref="E304">
      <formula1>"Number (years),Rate (per year),Duration (years)"</formula1>
    </dataValidation>
    <dataValidation type="list" allowBlank="1" showInputMessage="1" showErrorMessage="1" sqref="E305">
      <formula1>"Number (years),Rate (per year),Duration (years)"</formula1>
    </dataValidation>
    <dataValidation type="list" allowBlank="1" showInputMessage="1" showErrorMessage="1" sqref="E306">
      <formula1>"Number (years),Rate (per year),Duration (years)"</formula1>
    </dataValidation>
    <dataValidation type="list" allowBlank="1" showInputMessage="1" showErrorMessage="1" sqref="E307">
      <formula1>"Number (years),Rate (per year),Duration (years)"</formula1>
    </dataValidation>
    <dataValidation type="list" allowBlank="1" showInputMessage="1" showErrorMessage="1" sqref="E308">
      <formula1>"Number (years),Rate (per year),Duration (years)"</formula1>
    </dataValidation>
    <dataValidation type="list" allowBlank="1" showInputMessage="1" showErrorMessage="1" sqref="E309">
      <formula1>"Number (years),Rate (per year),Duration (years)"</formula1>
    </dataValidation>
    <dataValidation type="list" allowBlank="1" showInputMessage="1" showErrorMessage="1" sqref="E310">
      <formula1>"Number (years),Rate (per year),Duration (years)"</formula1>
    </dataValidation>
    <dataValidation type="list" allowBlank="1" showInputMessage="1" showErrorMessage="1" sqref="E311">
      <formula1>"Number (years),Rate (per year),Duration (years)"</formula1>
    </dataValidation>
    <dataValidation type="list" allowBlank="1" showInputMessage="1" showErrorMessage="1" sqref="E312">
      <formula1>"Number (years),Rate (per year),Duration (years)"</formula1>
    </dataValidation>
    <dataValidation type="list" allowBlank="1" showInputMessage="1" showErrorMessage="1" sqref="E313">
      <formula1>"Number (years),Rate (per year),Duration (years)"</formula1>
    </dataValidation>
    <dataValidation type="list" allowBlank="1" showInputMessage="1" showErrorMessage="1" sqref="E314">
      <formula1>"Number (years),Rate (per year),Duration (years)"</formula1>
    </dataValidation>
    <dataValidation type="list" allowBlank="1" showInputMessage="1" showErrorMessage="1" sqref="E315">
      <formula1>"Number (years),Rate (per year),Duration (years)"</formula1>
    </dataValidation>
    <dataValidation type="list" allowBlank="1" showInputMessage="1" showErrorMessage="1" sqref="E316">
      <formula1>"Number (years),Rate (per year),Duration (years)"</formula1>
    </dataValidation>
    <dataValidation type="list" allowBlank="1" showInputMessage="1" showErrorMessage="1" sqref="E317">
      <formula1>"Number (years),Rate (per year),Duration (years)"</formula1>
    </dataValidation>
    <dataValidation type="list" allowBlank="1" showInputMessage="1" showErrorMessage="1" sqref="E318">
      <formula1>"Number (years),Rate (per year),Duration (years)"</formula1>
    </dataValidation>
    <dataValidation type="list" allowBlank="1" showInputMessage="1" showErrorMessage="1" sqref="E319">
      <formula1>"Number (years),Rate (per year),Duration (years)"</formula1>
    </dataValidation>
    <dataValidation type="list" allowBlank="1" showInputMessage="1" showErrorMessage="1" sqref="E320">
      <formula1>"Number (years),Rate (per year),Duration (years)"</formula1>
    </dataValidation>
    <dataValidation type="list" allowBlank="1" showInputMessage="1" showErrorMessage="1" sqref="E321">
      <formula1>"Number (years),Rate (per year),Duration (years)"</formula1>
    </dataValidation>
    <dataValidation type="list" allowBlank="1" showInputMessage="1" showErrorMessage="1" sqref="E322">
      <formula1>"Number (years),Rate (per year),Duration (years)"</formula1>
    </dataValidation>
    <dataValidation type="list" allowBlank="1" showInputMessage="1" showErrorMessage="1" sqref="E323">
      <formula1>"Number (years),Rate (per year),Duration (years)"</formula1>
    </dataValidation>
    <dataValidation type="list" allowBlank="1" showInputMessage="1" showErrorMessage="1" sqref="E324">
      <formula1>"Number (years),Rate (per year),Duration (years)"</formula1>
    </dataValidation>
    <dataValidation type="list" allowBlank="1" showInputMessage="1" showErrorMessage="1" sqref="E325">
      <formula1>"Number (years),Rate (per year),Duration (years)"</formula1>
    </dataValidation>
    <dataValidation type="list" allowBlank="1" showInputMessage="1" showErrorMessage="1" sqref="B331">
      <formula1>"N.A."</formula1>
    </dataValidation>
    <dataValidation type="list" allowBlank="1" showInputMessage="1" showErrorMessage="1" sqref="C331">
      <formula1>"Y,N"</formula1>
    </dataValidation>
    <dataValidation type="list" allowBlank="1" showInputMessage="1" showErrorMessage="1" sqref="D331">
      <formula1>"Y,N"</formula1>
    </dataValidation>
    <dataValidation type="list" allowBlank="1" showInputMessage="1" showErrorMessage="1" sqref="E331">
      <formula1>"Y,N"</formula1>
    </dataValidation>
    <dataValidation type="list" allowBlank="1" showInputMessage="1" showErrorMessage="1" sqref="F331">
      <formula1>"Y,N"</formula1>
    </dataValidation>
    <dataValidation type="list" allowBlank="1" showInputMessage="1" showErrorMessage="1" sqref="G331">
      <formula1>"Y,N"</formula1>
    </dataValidation>
    <dataValidation type="list" allowBlank="1" showInputMessage="1" showErrorMessage="1" sqref="H331">
      <formula1>"Y,N"</formula1>
    </dataValidation>
    <dataValidation type="list" allowBlank="1" showInputMessage="1" showErrorMessage="1" sqref="I331">
      <formula1>"Y,N"</formula1>
    </dataValidation>
    <dataValidation type="list" allowBlank="1" showInputMessage="1" showErrorMessage="1" sqref="J331">
      <formula1>"Y,N"</formula1>
    </dataValidation>
    <dataValidation type="list" allowBlank="1" showInputMessage="1" showErrorMessage="1" sqref="K331">
      <formula1>"Y,N"</formula1>
    </dataValidation>
    <dataValidation type="list" allowBlank="1" showInputMessage="1" showErrorMessage="1" sqref="L331">
      <formula1>"Y,N"</formula1>
    </dataValidation>
    <dataValidation type="list" allowBlank="1" showInputMessage="1" showErrorMessage="1" sqref="M331">
      <formula1>"Y,N"</formula1>
    </dataValidation>
    <dataValidation type="list" allowBlank="1" showInputMessage="1" showErrorMessage="1" sqref="B332">
      <formula1>"Y,N"</formula1>
    </dataValidation>
    <dataValidation type="list" allowBlank="1" showInputMessage="1" showErrorMessage="1" sqref="C332">
      <formula1>"N.A."</formula1>
    </dataValidation>
    <dataValidation type="list" allowBlank="1" showInputMessage="1" showErrorMessage="1" sqref="D332">
      <formula1>"Y,N"</formula1>
    </dataValidation>
    <dataValidation type="list" allowBlank="1" showInputMessage="1" showErrorMessage="1" sqref="E332">
      <formula1>"Y,N"</formula1>
    </dataValidation>
    <dataValidation type="list" allowBlank="1" showInputMessage="1" showErrorMessage="1" sqref="F332">
      <formula1>"Y,N"</formula1>
    </dataValidation>
    <dataValidation type="list" allowBlank="1" showInputMessage="1" showErrorMessage="1" sqref="G332">
      <formula1>"Y,N"</formula1>
    </dataValidation>
    <dataValidation type="list" allowBlank="1" showInputMessage="1" showErrorMessage="1" sqref="H332">
      <formula1>"Y,N"</formula1>
    </dataValidation>
    <dataValidation type="list" allowBlank="1" showInputMessage="1" showErrorMessage="1" sqref="I332">
      <formula1>"Y,N"</formula1>
    </dataValidation>
    <dataValidation type="list" allowBlank="1" showInputMessage="1" showErrorMessage="1" sqref="J332">
      <formula1>"Y,N"</formula1>
    </dataValidation>
    <dataValidation type="list" allowBlank="1" showInputMessage="1" showErrorMessage="1" sqref="K332">
      <formula1>"Y,N"</formula1>
    </dataValidation>
    <dataValidation type="list" allowBlank="1" showInputMessage="1" showErrorMessage="1" sqref="L332">
      <formula1>"Y,N"</formula1>
    </dataValidation>
    <dataValidation type="list" allowBlank="1" showInputMessage="1" showErrorMessage="1" sqref="M332">
      <formula1>"Y,N"</formula1>
    </dataValidation>
    <dataValidation type="list" allowBlank="1" showInputMessage="1" showErrorMessage="1" sqref="B333">
      <formula1>"Y,N"</formula1>
    </dataValidation>
    <dataValidation type="list" allowBlank="1" showInputMessage="1" showErrorMessage="1" sqref="C333">
      <formula1>"Y,N"</formula1>
    </dataValidation>
    <dataValidation type="list" allowBlank="1" showInputMessage="1" showErrorMessage="1" sqref="D333">
      <formula1>"N.A."</formula1>
    </dataValidation>
    <dataValidation type="list" allowBlank="1" showInputMessage="1" showErrorMessage="1" sqref="E333">
      <formula1>"Y,N"</formula1>
    </dataValidation>
    <dataValidation type="list" allowBlank="1" showInputMessage="1" showErrorMessage="1" sqref="F333">
      <formula1>"Y,N"</formula1>
    </dataValidation>
    <dataValidation type="list" allowBlank="1" showInputMessage="1" showErrorMessage="1" sqref="G333">
      <formula1>"Y,N"</formula1>
    </dataValidation>
    <dataValidation type="list" allowBlank="1" showInputMessage="1" showErrorMessage="1" sqref="H333">
      <formula1>"Y,N"</formula1>
    </dataValidation>
    <dataValidation type="list" allowBlank="1" showInputMessage="1" showErrorMessage="1" sqref="I333">
      <formula1>"Y,N"</formula1>
    </dataValidation>
    <dataValidation type="list" allowBlank="1" showInputMessage="1" showErrorMessage="1" sqref="J333">
      <formula1>"Y,N"</formula1>
    </dataValidation>
    <dataValidation type="list" allowBlank="1" showInputMessage="1" showErrorMessage="1" sqref="K333">
      <formula1>"Y,N"</formula1>
    </dataValidation>
    <dataValidation type="list" allowBlank="1" showInputMessage="1" showErrorMessage="1" sqref="L333">
      <formula1>"Y,N"</formula1>
    </dataValidation>
    <dataValidation type="list" allowBlank="1" showInputMessage="1" showErrorMessage="1" sqref="M333">
      <formula1>"Y,N"</formula1>
    </dataValidation>
    <dataValidation type="list" allowBlank="1" showInputMessage="1" showErrorMessage="1" sqref="B334">
      <formula1>"Y,N"</formula1>
    </dataValidation>
    <dataValidation type="list" allowBlank="1" showInputMessage="1" showErrorMessage="1" sqref="C334">
      <formula1>"Y,N"</formula1>
    </dataValidation>
    <dataValidation type="list" allowBlank="1" showInputMessage="1" showErrorMessage="1" sqref="D334">
      <formula1>"Y,N"</formula1>
    </dataValidation>
    <dataValidation type="list" allowBlank="1" showInputMessage="1" showErrorMessage="1" sqref="E334">
      <formula1>"N.A."</formula1>
    </dataValidation>
    <dataValidation type="list" allowBlank="1" showInputMessage="1" showErrorMessage="1" sqref="F334">
      <formula1>"Y,N"</formula1>
    </dataValidation>
    <dataValidation type="list" allowBlank="1" showInputMessage="1" showErrorMessage="1" sqref="G334">
      <formula1>"Y,N"</formula1>
    </dataValidation>
    <dataValidation type="list" allowBlank="1" showInputMessage="1" showErrorMessage="1" sqref="H334">
      <formula1>"Y,N"</formula1>
    </dataValidation>
    <dataValidation type="list" allowBlank="1" showInputMessage="1" showErrorMessage="1" sqref="I334">
      <formula1>"Y,N"</formula1>
    </dataValidation>
    <dataValidation type="list" allowBlank="1" showInputMessage="1" showErrorMessage="1" sqref="J334">
      <formula1>"Y,N"</formula1>
    </dataValidation>
    <dataValidation type="list" allowBlank="1" showInputMessage="1" showErrorMessage="1" sqref="K334">
      <formula1>"Y,N"</formula1>
    </dataValidation>
    <dataValidation type="list" allowBlank="1" showInputMessage="1" showErrorMessage="1" sqref="L334">
      <formula1>"Y,N"</formula1>
    </dataValidation>
    <dataValidation type="list" allowBlank="1" showInputMessage="1" showErrorMessage="1" sqref="M334">
      <formula1>"Y,N"</formula1>
    </dataValidation>
    <dataValidation type="list" allowBlank="1" showInputMessage="1" showErrorMessage="1" sqref="B335">
      <formula1>"Y,N"</formula1>
    </dataValidation>
    <dataValidation type="list" allowBlank="1" showInputMessage="1" showErrorMessage="1" sqref="C335">
      <formula1>"Y,N"</formula1>
    </dataValidation>
    <dataValidation type="list" allowBlank="1" showInputMessage="1" showErrorMessage="1" sqref="D335">
      <formula1>"Y,N"</formula1>
    </dataValidation>
    <dataValidation type="list" allowBlank="1" showInputMessage="1" showErrorMessage="1" sqref="E335">
      <formula1>"Y,N"</formula1>
    </dataValidation>
    <dataValidation type="list" allowBlank="1" showInputMessage="1" showErrorMessage="1" sqref="F335">
      <formula1>"N.A."</formula1>
    </dataValidation>
    <dataValidation type="list" allowBlank="1" showInputMessage="1" showErrorMessage="1" sqref="G335">
      <formula1>"Y,N"</formula1>
    </dataValidation>
    <dataValidation type="list" allowBlank="1" showInputMessage="1" showErrorMessage="1" sqref="H335">
      <formula1>"Y,N"</formula1>
    </dataValidation>
    <dataValidation type="list" allowBlank="1" showInputMessage="1" showErrorMessage="1" sqref="I335">
      <formula1>"Y,N"</formula1>
    </dataValidation>
    <dataValidation type="list" allowBlank="1" showInputMessage="1" showErrorMessage="1" sqref="J335">
      <formula1>"Y,N"</formula1>
    </dataValidation>
    <dataValidation type="list" allowBlank="1" showInputMessage="1" showErrorMessage="1" sqref="K335">
      <formula1>"Y,N"</formula1>
    </dataValidation>
    <dataValidation type="list" allowBlank="1" showInputMessage="1" showErrorMessage="1" sqref="L335">
      <formula1>"Y,N"</formula1>
    </dataValidation>
    <dataValidation type="list" allowBlank="1" showInputMessage="1" showErrorMessage="1" sqref="M335">
      <formula1>"Y,N"</formula1>
    </dataValidation>
    <dataValidation type="list" allowBlank="1" showInputMessage="1" showErrorMessage="1" sqref="B336">
      <formula1>"Y,N"</formula1>
    </dataValidation>
    <dataValidation type="list" allowBlank="1" showInputMessage="1" showErrorMessage="1" sqref="C336">
      <formula1>"Y,N"</formula1>
    </dataValidation>
    <dataValidation type="list" allowBlank="1" showInputMessage="1" showErrorMessage="1" sqref="D336">
      <formula1>"Y,N"</formula1>
    </dataValidation>
    <dataValidation type="list" allowBlank="1" showInputMessage="1" showErrorMessage="1" sqref="E336">
      <formula1>"Y,N"</formula1>
    </dataValidation>
    <dataValidation type="list" allowBlank="1" showInputMessage="1" showErrorMessage="1" sqref="F336">
      <formula1>"Y,N"</formula1>
    </dataValidation>
    <dataValidation type="list" allowBlank="1" showInputMessage="1" showErrorMessage="1" sqref="G336">
      <formula1>"N.A."</formula1>
    </dataValidation>
    <dataValidation type="list" allowBlank="1" showInputMessage="1" showErrorMessage="1" sqref="H336">
      <formula1>"Y,N"</formula1>
    </dataValidation>
    <dataValidation type="list" allowBlank="1" showInputMessage="1" showErrorMessage="1" sqref="I336">
      <formula1>"Y,N"</formula1>
    </dataValidation>
    <dataValidation type="list" allowBlank="1" showInputMessage="1" showErrorMessage="1" sqref="J336">
      <formula1>"Y,N"</formula1>
    </dataValidation>
    <dataValidation type="list" allowBlank="1" showInputMessage="1" showErrorMessage="1" sqref="K336">
      <formula1>"Y,N"</formula1>
    </dataValidation>
    <dataValidation type="list" allowBlank="1" showInputMessage="1" showErrorMessage="1" sqref="L336">
      <formula1>"Y,N"</formula1>
    </dataValidation>
    <dataValidation type="list" allowBlank="1" showInputMessage="1" showErrorMessage="1" sqref="M336">
      <formula1>"Y,N"</formula1>
    </dataValidation>
    <dataValidation type="list" allowBlank="1" showInputMessage="1" showErrorMessage="1" sqref="B337">
      <formula1>"Y,N"</formula1>
    </dataValidation>
    <dataValidation type="list" allowBlank="1" showInputMessage="1" showErrorMessage="1" sqref="C337">
      <formula1>"Y,N"</formula1>
    </dataValidation>
    <dataValidation type="list" allowBlank="1" showInputMessage="1" showErrorMessage="1" sqref="D337">
      <formula1>"Y,N"</formula1>
    </dataValidation>
    <dataValidation type="list" allowBlank="1" showInputMessage="1" showErrorMessage="1" sqref="E337">
      <formula1>"Y,N"</formula1>
    </dataValidation>
    <dataValidation type="list" allowBlank="1" showInputMessage="1" showErrorMessage="1" sqref="F337">
      <formula1>"Y,N"</formula1>
    </dataValidation>
    <dataValidation type="list" allowBlank="1" showInputMessage="1" showErrorMessage="1" sqref="G337">
      <formula1>"Y,N"</formula1>
    </dataValidation>
    <dataValidation type="list" allowBlank="1" showInputMessage="1" showErrorMessage="1" sqref="H337">
      <formula1>"N.A."</formula1>
    </dataValidation>
    <dataValidation type="list" allowBlank="1" showInputMessage="1" showErrorMessage="1" sqref="I337">
      <formula1>"Y,N"</formula1>
    </dataValidation>
    <dataValidation type="list" allowBlank="1" showInputMessage="1" showErrorMessage="1" sqref="J337">
      <formula1>"Y,N"</formula1>
    </dataValidation>
    <dataValidation type="list" allowBlank="1" showInputMessage="1" showErrorMessage="1" sqref="K337">
      <formula1>"Y,N"</formula1>
    </dataValidation>
    <dataValidation type="list" allowBlank="1" showInputMessage="1" showErrorMessage="1" sqref="L337">
      <formula1>"Y,N"</formula1>
    </dataValidation>
    <dataValidation type="list" allowBlank="1" showInputMessage="1" showErrorMessage="1" sqref="M337">
      <formula1>"Y,N"</formula1>
    </dataValidation>
    <dataValidation type="list" allowBlank="1" showInputMessage="1" showErrorMessage="1" sqref="B338">
      <formula1>"Y,N"</formula1>
    </dataValidation>
    <dataValidation type="list" allowBlank="1" showInputMessage="1" showErrorMessage="1" sqref="C338">
      <formula1>"Y,N"</formula1>
    </dataValidation>
    <dataValidation type="list" allowBlank="1" showInputMessage="1" showErrorMessage="1" sqref="D338">
      <formula1>"Y,N"</formula1>
    </dataValidation>
    <dataValidation type="list" allowBlank="1" showInputMessage="1" showErrorMessage="1" sqref="E338">
      <formula1>"Y,N"</formula1>
    </dataValidation>
    <dataValidation type="list" allowBlank="1" showInputMessage="1" showErrorMessage="1" sqref="F338">
      <formula1>"Y,N"</formula1>
    </dataValidation>
    <dataValidation type="list" allowBlank="1" showInputMessage="1" showErrorMessage="1" sqref="G338">
      <formula1>"Y,N"</formula1>
    </dataValidation>
    <dataValidation type="list" allowBlank="1" showInputMessage="1" showErrorMessage="1" sqref="H338">
      <formula1>"Y,N"</formula1>
    </dataValidation>
    <dataValidation type="list" allowBlank="1" showInputMessage="1" showErrorMessage="1" sqref="I338">
      <formula1>"N.A."</formula1>
    </dataValidation>
    <dataValidation type="list" allowBlank="1" showInputMessage="1" showErrorMessage="1" sqref="J338">
      <formula1>"Y,N"</formula1>
    </dataValidation>
    <dataValidation type="list" allowBlank="1" showInputMessage="1" showErrorMessage="1" sqref="K338">
      <formula1>"Y,N"</formula1>
    </dataValidation>
    <dataValidation type="list" allowBlank="1" showInputMessage="1" showErrorMessage="1" sqref="L338">
      <formula1>"Y,N"</formula1>
    </dataValidation>
    <dataValidation type="list" allowBlank="1" showInputMessage="1" showErrorMessage="1" sqref="M338">
      <formula1>"Y,N"</formula1>
    </dataValidation>
    <dataValidation type="list" allowBlank="1" showInputMessage="1" showErrorMessage="1" sqref="B339">
      <formula1>"Y,N"</formula1>
    </dataValidation>
    <dataValidation type="list" allowBlank="1" showInputMessage="1" showErrorMessage="1" sqref="C339">
      <formula1>"Y,N"</formula1>
    </dataValidation>
    <dataValidation type="list" allowBlank="1" showInputMessage="1" showErrorMessage="1" sqref="D339">
      <formula1>"Y,N"</formula1>
    </dataValidation>
    <dataValidation type="list" allowBlank="1" showInputMessage="1" showErrorMessage="1" sqref="E339">
      <formula1>"Y,N"</formula1>
    </dataValidation>
    <dataValidation type="list" allowBlank="1" showInputMessage="1" showErrorMessage="1" sqref="F339">
      <formula1>"Y,N"</formula1>
    </dataValidation>
    <dataValidation type="list" allowBlank="1" showInputMessage="1" showErrorMessage="1" sqref="G339">
      <formula1>"Y,N"</formula1>
    </dataValidation>
    <dataValidation type="list" allowBlank="1" showInputMessage="1" showErrorMessage="1" sqref="H339">
      <formula1>"Y,N"</formula1>
    </dataValidation>
    <dataValidation type="list" allowBlank="1" showInputMessage="1" showErrorMessage="1" sqref="I339">
      <formula1>"Y,N"</formula1>
    </dataValidation>
    <dataValidation type="list" allowBlank="1" showInputMessage="1" showErrorMessage="1" sqref="J339">
      <formula1>"N.A."</formula1>
    </dataValidation>
    <dataValidation type="list" allowBlank="1" showInputMessage="1" showErrorMessage="1" sqref="K339">
      <formula1>"Y,N"</formula1>
    </dataValidation>
    <dataValidation type="list" allowBlank="1" showInputMessage="1" showErrorMessage="1" sqref="L339">
      <formula1>"Y,N"</formula1>
    </dataValidation>
    <dataValidation type="list" allowBlank="1" showInputMessage="1" showErrorMessage="1" sqref="M339">
      <formula1>"Y,N"</formula1>
    </dataValidation>
    <dataValidation type="list" allowBlank="1" showInputMessage="1" showErrorMessage="1" sqref="B340">
      <formula1>"Y,N"</formula1>
    </dataValidation>
    <dataValidation type="list" allowBlank="1" showInputMessage="1" showErrorMessage="1" sqref="C340">
      <formula1>"Y,N"</formula1>
    </dataValidation>
    <dataValidation type="list" allowBlank="1" showInputMessage="1" showErrorMessage="1" sqref="D340">
      <formula1>"Y,N"</formula1>
    </dataValidation>
    <dataValidation type="list" allowBlank="1" showInputMessage="1" showErrorMessage="1" sqref="E340">
      <formula1>"Y,N"</formula1>
    </dataValidation>
    <dataValidation type="list" allowBlank="1" showInputMessage="1" showErrorMessage="1" sqref="F340">
      <formula1>"Y,N"</formula1>
    </dataValidation>
    <dataValidation type="list" allowBlank="1" showInputMessage="1" showErrorMessage="1" sqref="G340">
      <formula1>"Y,N"</formula1>
    </dataValidation>
    <dataValidation type="list" allowBlank="1" showInputMessage="1" showErrorMessage="1" sqref="H340">
      <formula1>"Y,N"</formula1>
    </dataValidation>
    <dataValidation type="list" allowBlank="1" showInputMessage="1" showErrorMessage="1" sqref="I340">
      <formula1>"Y,N"</formula1>
    </dataValidation>
    <dataValidation type="list" allowBlank="1" showInputMessage="1" showErrorMessage="1" sqref="J340">
      <formula1>"Y,N"</formula1>
    </dataValidation>
    <dataValidation type="list" allowBlank="1" showInputMessage="1" showErrorMessage="1" sqref="K340">
      <formula1>"N.A."</formula1>
    </dataValidation>
    <dataValidation type="list" allowBlank="1" showInputMessage="1" showErrorMessage="1" sqref="L340">
      <formula1>"Y,N"</formula1>
    </dataValidation>
    <dataValidation type="list" allowBlank="1" showInputMessage="1" showErrorMessage="1" sqref="M340">
      <formula1>"Y,N"</formula1>
    </dataValidation>
    <dataValidation type="list" allowBlank="1" showInputMessage="1" showErrorMessage="1" sqref="B341">
      <formula1>"Y,N"</formula1>
    </dataValidation>
    <dataValidation type="list" allowBlank="1" showInputMessage="1" showErrorMessage="1" sqref="C341">
      <formula1>"Y,N"</formula1>
    </dataValidation>
    <dataValidation type="list" allowBlank="1" showInputMessage="1" showErrorMessage="1" sqref="D341">
      <formula1>"Y,N"</formula1>
    </dataValidation>
    <dataValidation type="list" allowBlank="1" showInputMessage="1" showErrorMessage="1" sqref="E341">
      <formula1>"Y,N"</formula1>
    </dataValidation>
    <dataValidation type="list" allowBlank="1" showInputMessage="1" showErrorMessage="1" sqref="F341">
      <formula1>"Y,N"</formula1>
    </dataValidation>
    <dataValidation type="list" allowBlank="1" showInputMessage="1" showErrorMessage="1" sqref="G341">
      <formula1>"Y,N"</formula1>
    </dataValidation>
    <dataValidation type="list" allowBlank="1" showInputMessage="1" showErrorMessage="1" sqref="H341">
      <formula1>"Y,N"</formula1>
    </dataValidation>
    <dataValidation type="list" allowBlank="1" showInputMessage="1" showErrorMessage="1" sqref="I341">
      <formula1>"Y,N"</formula1>
    </dataValidation>
    <dataValidation type="list" allowBlank="1" showInputMessage="1" showErrorMessage="1" sqref="J341">
      <formula1>"Y,N"</formula1>
    </dataValidation>
    <dataValidation type="list" allowBlank="1" showInputMessage="1" showErrorMessage="1" sqref="K341">
      <formula1>"Y,N"</formula1>
    </dataValidation>
    <dataValidation type="list" allowBlank="1" showInputMessage="1" showErrorMessage="1" sqref="L341">
      <formula1>"N.A."</formula1>
    </dataValidation>
    <dataValidation type="list" allowBlank="1" showInputMessage="1" showErrorMessage="1" sqref="M341">
      <formula1>"Y,N"</formula1>
    </dataValidation>
    <dataValidation type="list" allowBlank="1" showInputMessage="1" showErrorMessage="1" sqref="B342">
      <formula1>"Y,N"</formula1>
    </dataValidation>
    <dataValidation type="list" allowBlank="1" showInputMessage="1" showErrorMessage="1" sqref="C342">
      <formula1>"Y,N"</formula1>
    </dataValidation>
    <dataValidation type="list" allowBlank="1" showInputMessage="1" showErrorMessage="1" sqref="D342">
      <formula1>"Y,N"</formula1>
    </dataValidation>
    <dataValidation type="list" allowBlank="1" showInputMessage="1" showErrorMessage="1" sqref="E342">
      <formula1>"Y,N"</formula1>
    </dataValidation>
    <dataValidation type="list" allowBlank="1" showInputMessage="1" showErrorMessage="1" sqref="F342">
      <formula1>"Y,N"</formula1>
    </dataValidation>
    <dataValidation type="list" allowBlank="1" showInputMessage="1" showErrorMessage="1" sqref="G342">
      <formula1>"Y,N"</formula1>
    </dataValidation>
    <dataValidation type="list" allowBlank="1" showInputMessage="1" showErrorMessage="1" sqref="H342">
      <formula1>"Y,N"</formula1>
    </dataValidation>
    <dataValidation type="list" allowBlank="1" showInputMessage="1" showErrorMessage="1" sqref="I342">
      <formula1>"Y,N"</formula1>
    </dataValidation>
    <dataValidation type="list" allowBlank="1" showInputMessage="1" showErrorMessage="1" sqref="J342">
      <formula1>"Y,N"</formula1>
    </dataValidation>
    <dataValidation type="list" allowBlank="1" showInputMessage="1" showErrorMessage="1" sqref="K342">
      <formula1>"Y,N"</formula1>
    </dataValidation>
    <dataValidation type="list" allowBlank="1" showInputMessage="1" showErrorMessage="1" sqref="L342">
      <formula1>"Y,N"</formula1>
    </dataValidation>
    <dataValidation type="list" allowBlank="1" showInputMessage="1" showErrorMessage="1" sqref="M342">
      <formula1>"N.A."</formula1>
    </dataValidation>
    <dataValidation type="list" allowBlank="1" showInputMessage="1" showErrorMessage="1" sqref="E345">
      <formula1>"Number (years),Rate (per year),Duration (years)"</formula1>
    </dataValidation>
    <dataValidation type="list" allowBlank="1" showInputMessage="1" showErrorMessage="1" sqref="E346">
      <formula1>"Number (years),Rate (per year),Duration (years)"</formula1>
    </dataValidation>
    <dataValidation type="list" allowBlank="1" showInputMessage="1" showErrorMessage="1" sqref="E347">
      <formula1>"Number (years),Rate (per year),Duration (years)"</formula1>
    </dataValidation>
    <dataValidation type="list" allowBlank="1" showInputMessage="1" showErrorMessage="1" sqref="E348">
      <formula1>"Number (years),Rate (per year),Duration (years)"</formula1>
    </dataValidation>
    <dataValidation type="list" allowBlank="1" showInputMessage="1" showErrorMessage="1" sqref="E349">
      <formula1>"Number (years),Rate (per year),Duration (years)"</formula1>
    </dataValidation>
    <dataValidation type="list" allowBlank="1" showInputMessage="1" showErrorMessage="1" sqref="E350">
      <formula1>"Number (years),Rate (per year),Duration (years)"</formula1>
    </dataValidation>
    <dataValidation type="list" allowBlank="1" showInputMessage="1" showErrorMessage="1" sqref="E351">
      <formula1>"Number (years),Rate (per year),Duration (years)"</formula1>
    </dataValidation>
    <dataValidation type="list" allowBlank="1" showInputMessage="1" showErrorMessage="1" sqref="E352">
      <formula1>"Number (years),Rate (per year),Duration (years)"</formula1>
    </dataValidation>
    <dataValidation type="list" allowBlank="1" showInputMessage="1" showErrorMessage="1" sqref="E353">
      <formula1>"Number (years),Rate (per year),Duration (years)"</formula1>
    </dataValidation>
    <dataValidation type="list" allowBlank="1" showInputMessage="1" showErrorMessage="1" sqref="E354">
      <formula1>"Number (years),Rate (per year),Duration (years)"</formula1>
    </dataValidation>
    <dataValidation type="list" allowBlank="1" showInputMessage="1" showErrorMessage="1" sqref="E355">
      <formula1>"Number (years),Rate (per year),Duration (years)"</formula1>
    </dataValidation>
    <dataValidation type="list" allowBlank="1" showInputMessage="1" showErrorMessage="1" sqref="E356">
      <formula1>"Number (years),Rate (per year),Duration (years)"</formula1>
    </dataValidation>
    <dataValidation type="list" allowBlank="1" showInputMessage="1" showErrorMessage="1" sqref="E357">
      <formula1>"Number (years),Rate (per year),Duration (years)"</formula1>
    </dataValidation>
    <dataValidation type="list" allowBlank="1" showInputMessage="1" showErrorMessage="1" sqref="E358">
      <formula1>"Number (years),Rate (per year),Duration (years)"</formula1>
    </dataValidation>
    <dataValidation type="list" allowBlank="1" showInputMessage="1" showErrorMessage="1" sqref="E359">
      <formula1>"Number (years),Rate (per year),Duration (years)"</formula1>
    </dataValidation>
    <dataValidation type="list" allowBlank="1" showInputMessage="1" showErrorMessage="1" sqref="E360">
      <formula1>"Number (years),Rate (per year),Duration (years)"</formula1>
    </dataValidation>
    <dataValidation type="list" allowBlank="1" showInputMessage="1" showErrorMessage="1" sqref="E361">
      <formula1>"Number (years),Rate (per year),Duration (years)"</formula1>
    </dataValidation>
    <dataValidation type="list" allowBlank="1" showInputMessage="1" showErrorMessage="1" sqref="E362">
      <formula1>"Number (years),Rate (per year),Duration (years)"</formula1>
    </dataValidation>
    <dataValidation type="list" allowBlank="1" showInputMessage="1" showErrorMessage="1" sqref="E363">
      <formula1>"Number (years),Rate (per year),Duration (years)"</formula1>
    </dataValidation>
    <dataValidation type="list" allowBlank="1" showInputMessage="1" showErrorMessage="1" sqref="E364">
      <formula1>"Number (years),Rate (per year),Duration (years)"</formula1>
    </dataValidation>
    <dataValidation type="list" allowBlank="1" showInputMessage="1" showErrorMessage="1" sqref="E365">
      <formula1>"Number (years),Rate (per year),Duration (years)"</formula1>
    </dataValidation>
    <dataValidation type="list" allowBlank="1" showInputMessage="1" showErrorMessage="1" sqref="E366">
      <formula1>"Number (years),Rate (per year),Duration (years)"</formula1>
    </dataValidation>
    <dataValidation type="list" allowBlank="1" showInputMessage="1" showErrorMessage="1" sqref="E367">
      <formula1>"Number (years),Rate (per year),Duration (years)"</formula1>
    </dataValidation>
    <dataValidation type="list" allowBlank="1" showInputMessage="1" showErrorMessage="1" sqref="E368">
      <formula1>"Number (years),Rate (per year),Duration (years)"</formula1>
    </dataValidation>
    <dataValidation type="list" allowBlank="1" showInputMessage="1" showErrorMessage="1" sqref="E369">
      <formula1>"Number (years),Rate (per year),Duration (years)"</formula1>
    </dataValidation>
    <dataValidation type="list" allowBlank="1" showInputMessage="1" showErrorMessage="1" sqref="E370">
      <formula1>"Number (years),Rate (per year),Duration (years)"</formula1>
    </dataValidation>
    <dataValidation type="list" allowBlank="1" showInputMessage="1" showErrorMessage="1" sqref="E371">
      <formula1>"Number (years),Rate (per year),Duration (years)"</formula1>
    </dataValidation>
    <dataValidation type="list" allowBlank="1" showInputMessage="1" showErrorMessage="1" sqref="E372">
      <formula1>"Number (years),Rate (per year),Duration (years)"</formula1>
    </dataValidation>
    <dataValidation type="list" allowBlank="1" showInputMessage="1" showErrorMessage="1" sqref="E373">
      <formula1>"Number (years),Rate (per year),Duration (years)"</formula1>
    </dataValidation>
    <dataValidation type="list" allowBlank="1" showInputMessage="1" showErrorMessage="1" sqref="E374">
      <formula1>"Number (years),Rate (per year),Duration (years)"</formula1>
    </dataValidation>
    <dataValidation type="list" allowBlank="1" showInputMessage="1" showErrorMessage="1" sqref="E375">
      <formula1>"Number (years),Rate (per year),Duration (years)"</formula1>
    </dataValidation>
    <dataValidation type="list" allowBlank="1" showInputMessage="1" showErrorMessage="1" sqref="E376">
      <formula1>"Number (years),Rate (per year),Duration (years)"</formula1>
    </dataValidation>
    <dataValidation type="list" allowBlank="1" showInputMessage="1" showErrorMessage="1" sqref="E377">
      <formula1>"Number (years),Rate (per year),Duration (years)"</formula1>
    </dataValidation>
    <dataValidation type="list" allowBlank="1" showInputMessage="1" showErrorMessage="1" sqref="E378">
      <formula1>"Number (years),Rate (per year),Duration (years)"</formula1>
    </dataValidation>
    <dataValidation type="list" allowBlank="1" showInputMessage="1" showErrorMessage="1" sqref="E379">
      <formula1>"Number (years),Rate (per year),Duration (years)"</formula1>
    </dataValidation>
    <dataValidation type="list" allowBlank="1" showInputMessage="1" showErrorMessage="1" sqref="E380">
      <formula1>"Number (years),Rate (per year),Duration (years)"</formula1>
    </dataValidation>
    <dataValidation type="list" allowBlank="1" showInputMessage="1" showErrorMessage="1" sqref="E381">
      <formula1>"Number (years),Rate (per year),Duration (years)"</formula1>
    </dataValidation>
    <dataValidation type="list" allowBlank="1" showInputMessage="1" showErrorMessage="1" sqref="E382">
      <formula1>"Number (years),Rate (per year),Duration (years)"</formula1>
    </dataValidation>
    <dataValidation type="list" allowBlank="1" showInputMessage="1" showErrorMessage="1" sqref="E383">
      <formula1>"Number (years),Rate (per year),Duration (years)"</formula1>
    </dataValidation>
    <dataValidation type="list" allowBlank="1" showInputMessage="1" showErrorMessage="1" sqref="E384">
      <formula1>"Number (years),Rate (per year),Duration (years)"</formula1>
    </dataValidation>
    <dataValidation type="list" allowBlank="1" showInputMessage="1" showErrorMessage="1" sqref="E385">
      <formula1>"Number (years),Rate (per year),Duration (years)"</formula1>
    </dataValidation>
    <dataValidation type="list" allowBlank="1" showInputMessage="1" showErrorMessage="1" sqref="E386">
      <formula1>"Number (years),Rate (per year),Duration (years)"</formula1>
    </dataValidation>
    <dataValidation type="list" allowBlank="1" showInputMessage="1" showErrorMessage="1" sqref="E387">
      <formula1>"Number (years),Rate (per year),Duration (years)"</formula1>
    </dataValidation>
    <dataValidation type="list" allowBlank="1" showInputMessage="1" showErrorMessage="1" sqref="E388">
      <formula1>"Number (years),Rate (per year),Duration (years)"</formula1>
    </dataValidation>
    <dataValidation type="list" allowBlank="1" showInputMessage="1" showErrorMessage="1" sqref="E389">
      <formula1>"Number (years),Rate (per year),Duration (years)"</formula1>
    </dataValidation>
    <dataValidation type="list" allowBlank="1" showInputMessage="1" showErrorMessage="1" sqref="E390">
      <formula1>"Number (years),Rate (per year),Duration (years)"</formula1>
    </dataValidation>
    <dataValidation type="list" allowBlank="1" showInputMessage="1" showErrorMessage="1" sqref="E391">
      <formula1>"Number (years),Rate (per year),Duration (years)"</formula1>
    </dataValidation>
    <dataValidation type="list" allowBlank="1" showInputMessage="1" showErrorMessage="1" sqref="E392">
      <formula1>"Number (years),Rate (per year),Duration (years)"</formula1>
    </dataValidation>
    <dataValidation type="list" allowBlank="1" showInputMessage="1" showErrorMessage="1" sqref="E393">
      <formula1>"Number (years),Rate (per year),Duration (years)"</formula1>
    </dataValidation>
    <dataValidation type="list" allowBlank="1" showInputMessage="1" showErrorMessage="1" sqref="E394">
      <formula1>"Number (years),Rate (per year),Duration (years)"</formula1>
    </dataValidation>
    <dataValidation type="list" allowBlank="1" showInputMessage="1" showErrorMessage="1" sqref="E395">
      <formula1>"Number (years),Rate (per year),Duration (years)"</formula1>
    </dataValidation>
    <dataValidation type="list" allowBlank="1" showInputMessage="1" showErrorMessage="1" sqref="E396">
      <formula1>"Number (years),Rate (per year),Duration (years)"</formula1>
    </dataValidation>
    <dataValidation type="list" allowBlank="1" showInputMessage="1" showErrorMessage="1" sqref="E397">
      <formula1>"Number (years),Rate (per year),Duration (years)"</formula1>
    </dataValidation>
    <dataValidation type="list" allowBlank="1" showInputMessage="1" showErrorMessage="1" sqref="E398">
      <formula1>"Number (years),Rate (per year),Duration (years)"</formula1>
    </dataValidation>
    <dataValidation type="list" allowBlank="1" showInputMessage="1" showErrorMessage="1" sqref="E399">
      <formula1>"Number (years),Rate (per year),Duration (years)"</formula1>
    </dataValidation>
    <dataValidation type="list" allowBlank="1" showInputMessage="1" showErrorMessage="1" sqref="E400">
      <formula1>"Number (years),Rate (per year),Duration (years)"</formula1>
    </dataValidation>
    <dataValidation type="list" allowBlank="1" showInputMessage="1" showErrorMessage="1" sqref="E401">
      <formula1>"Number (years),Rate (per year),Duration (years)"</formula1>
    </dataValidation>
    <dataValidation type="list" allowBlank="1" showInputMessage="1" showErrorMessage="1" sqref="E402">
      <formula1>"Number (years),Rate (per year),Duration (years)"</formula1>
    </dataValidation>
    <dataValidation type="list" allowBlank="1" showInputMessage="1" showErrorMessage="1" sqref="E403">
      <formula1>"Number (years),Rate (per year),Duration (years)"</formula1>
    </dataValidation>
    <dataValidation type="list" allowBlank="1" showInputMessage="1" showErrorMessage="1" sqref="E404">
      <formula1>"Number (years),Rate (per year),Duration (years)"</formula1>
    </dataValidation>
    <dataValidation type="list" allowBlank="1" showInputMessage="1" showErrorMessage="1" sqref="E405">
      <formula1>"Number (years),Rate (per year),Duration (years)"</formula1>
    </dataValidation>
    <dataValidation type="list" allowBlank="1" showInputMessage="1" showErrorMessage="1" sqref="E406">
      <formula1>"Number (years),Rate (per year),Duration (years)"</formula1>
    </dataValidation>
    <dataValidation type="list" allowBlank="1" showInputMessage="1" showErrorMessage="1" sqref="E407">
      <formula1>"Number (years),Rate (per year),Duration (years)"</formula1>
    </dataValidation>
    <dataValidation type="list" allowBlank="1" showInputMessage="1" showErrorMessage="1" sqref="E408">
      <formula1>"Number (years),Rate (per year),Duration (years)"</formula1>
    </dataValidation>
    <dataValidation type="list" allowBlank="1" showInputMessage="1" showErrorMessage="1" sqref="E409">
      <formula1>"Number (years),Rate (per year),Duration (years)"</formula1>
    </dataValidation>
    <dataValidation type="list" allowBlank="1" showInputMessage="1" showErrorMessage="1" sqref="E410">
      <formula1>"Number (years),Rate (per year),Duration (years)"</formula1>
    </dataValidation>
    <dataValidation type="list" allowBlank="1" showInputMessage="1" showErrorMessage="1" sqref="E411">
      <formula1>"Number (years),Rate (per year),Duration (years)"</formula1>
    </dataValidation>
    <dataValidation type="list" allowBlank="1" showInputMessage="1" showErrorMessage="1" sqref="E412">
      <formula1>"Number (years),Rate (per year),Duration (years)"</formula1>
    </dataValidation>
    <dataValidation type="list" allowBlank="1" showInputMessage="1" showErrorMessage="1" sqref="E413">
      <formula1>"Number (years),Rate (per year),Duration (years)"</formula1>
    </dataValidation>
    <dataValidation type="list" allowBlank="1" showInputMessage="1" showErrorMessage="1" sqref="E414">
      <formula1>"Number (years),Rate (per year),Duration (years)"</formula1>
    </dataValidation>
    <dataValidation type="list" allowBlank="1" showInputMessage="1" showErrorMessage="1" sqref="E415">
      <formula1>"Number (years),Rate (per year),Duration (years)"</formula1>
    </dataValidation>
    <dataValidation type="list" allowBlank="1" showInputMessage="1" showErrorMessage="1" sqref="E416">
      <formula1>"Number (years),Rate (per year),Duration (years)"</formula1>
    </dataValidation>
    <dataValidation type="list" allowBlank="1" showInputMessage="1" showErrorMessage="1" sqref="E417">
      <formula1>"Number (years),Rate (per year),Duration (years)"</formula1>
    </dataValidation>
    <dataValidation type="list" allowBlank="1" showInputMessage="1" showErrorMessage="1" sqref="E418">
      <formula1>"Number (years),Rate (per year),Duration (years)"</formula1>
    </dataValidation>
    <dataValidation type="list" allowBlank="1" showInputMessage="1" showErrorMessage="1" sqref="E419">
      <formula1>"Number (years),Rate (per year),Duration (years)"</formula1>
    </dataValidation>
    <dataValidation type="list" allowBlank="1" showInputMessage="1" showErrorMessage="1" sqref="E420">
      <formula1>"Number (years),Rate (per year),Duration (years)"</formula1>
    </dataValidation>
    <dataValidation type="list" allowBlank="1" showInputMessage="1" showErrorMessage="1" sqref="E421">
      <formula1>"Number (years),Rate (per year),Duration (years)"</formula1>
    </dataValidation>
    <dataValidation type="list" allowBlank="1" showInputMessage="1" showErrorMessage="1" sqref="E422">
      <formula1>"Number (years),Rate (per year),Duration (years)"</formula1>
    </dataValidation>
    <dataValidation type="list" allowBlank="1" showInputMessage="1" showErrorMessage="1" sqref="E423">
      <formula1>"Number (years),Rate (per year),Duration (years)"</formula1>
    </dataValidation>
    <dataValidation type="list" allowBlank="1" showInputMessage="1" showErrorMessage="1" sqref="E424">
      <formula1>"Number (years),Rate (per year),Duration (years)"</formula1>
    </dataValidation>
    <dataValidation type="list" allowBlank="1" showInputMessage="1" showErrorMessage="1" sqref="E425">
      <formula1>"Number (years),Rate (per year),Duration (years)"</formula1>
    </dataValidation>
    <dataValidation type="list" allowBlank="1" showInputMessage="1" showErrorMessage="1" sqref="E426">
      <formula1>"Number (years),Rate (per year),Duration (years)"</formula1>
    </dataValidation>
    <dataValidation type="list" allowBlank="1" showInputMessage="1" showErrorMessage="1" sqref="E427">
      <formula1>"Number (years),Rate (per year),Duration (years)"</formula1>
    </dataValidation>
    <dataValidation type="list" allowBlank="1" showInputMessage="1" showErrorMessage="1" sqref="E428">
      <formula1>"Number (years),Rate (per year),Duration (years)"</formula1>
    </dataValidation>
    <dataValidation type="list" allowBlank="1" showInputMessage="1" showErrorMessage="1" sqref="E429">
      <formula1>"Number (years),Rate (per year),Duration (years)"</formula1>
    </dataValidation>
    <dataValidation type="list" allowBlank="1" showInputMessage="1" showErrorMessage="1" sqref="E430">
      <formula1>"Number (years),Rate (per year),Duration (years)"</formula1>
    </dataValidation>
    <dataValidation type="list" allowBlank="1" showInputMessage="1" showErrorMessage="1" sqref="E431">
      <formula1>"Number (years),Rate (per year),Duration (years)"</formula1>
    </dataValidation>
    <dataValidation type="list" allowBlank="1" showInputMessage="1" showErrorMessage="1" sqref="E432">
      <formula1>"Number (years),Rate (per year),Duration (years)"</formula1>
    </dataValidation>
    <dataValidation type="list" allowBlank="1" showInputMessage="1" showErrorMessage="1" sqref="E433">
      <formula1>"Number (years),Rate (per year),Duration (years)"</formula1>
    </dataValidation>
    <dataValidation type="list" allowBlank="1" showInputMessage="1" showErrorMessage="1" sqref="E434">
      <formula1>"Number (years),Rate (per year),Duration (years)"</formula1>
    </dataValidation>
    <dataValidation type="list" allowBlank="1" showInputMessage="1" showErrorMessage="1" sqref="E435">
      <formula1>"Number (years),Rate (per year),Duration (years)"</formula1>
    </dataValidation>
    <dataValidation type="list" allowBlank="1" showInputMessage="1" showErrorMessage="1" sqref="E436">
      <formula1>"Number (years),Rate (per year),Duration (years)"</formula1>
    </dataValidation>
    <dataValidation type="list" allowBlank="1" showInputMessage="1" showErrorMessage="1" sqref="E437">
      <formula1>"Number (years),Rate (per year),Duration (years)"</formula1>
    </dataValidation>
    <dataValidation type="list" allowBlank="1" showInputMessage="1" showErrorMessage="1" sqref="E438">
      <formula1>"Number (years),Rate (per year),Duration (years)"</formula1>
    </dataValidation>
    <dataValidation type="list" allowBlank="1" showInputMessage="1" showErrorMessage="1" sqref="E439">
      <formula1>"Number (years),Rate (per year),Duration (years)"</formula1>
    </dataValidation>
    <dataValidation type="list" allowBlank="1" showInputMessage="1" showErrorMessage="1" sqref="E440">
      <formula1>"Number (years),Rate (per year),Duration (years)"</formula1>
    </dataValidation>
    <dataValidation type="list" allowBlank="1" showInputMessage="1" showErrorMessage="1" sqref="E441">
      <formula1>"Number (years),Rate (per year),Duration (years)"</formula1>
    </dataValidation>
    <dataValidation type="list" allowBlank="1" showInputMessage="1" showErrorMessage="1" sqref="E442">
      <formula1>"Number (years),Rate (per year),Duration (years)"</formula1>
    </dataValidation>
    <dataValidation type="list" allowBlank="1" showInputMessage="1" showErrorMessage="1" sqref="E443">
      <formula1>"Number (years),Rate (per year),Duration (years)"</formula1>
    </dataValidation>
    <dataValidation type="list" allowBlank="1" showInputMessage="1" showErrorMessage="1" sqref="E444">
      <formula1>"Number (years),Rate (per year),Duration (years)"</formula1>
    </dataValidation>
    <dataValidation type="list" allowBlank="1" showInputMessage="1" showErrorMessage="1" sqref="E445">
      <formula1>"Number (years),Rate (per year),Duration (years)"</formula1>
    </dataValidation>
    <dataValidation type="list" allowBlank="1" showInputMessage="1" showErrorMessage="1" sqref="E446">
      <formula1>"Number (years),Rate (per year),Duration (years)"</formula1>
    </dataValidation>
    <dataValidation type="list" allowBlank="1" showInputMessage="1" showErrorMessage="1" sqref="E447">
      <formula1>"Number (years),Rate (per year),Duration (years)"</formula1>
    </dataValidation>
    <dataValidation type="list" allowBlank="1" showInputMessage="1" showErrorMessage="1" sqref="E448">
      <formula1>"Number (years),Rate (per year),Duration (years)"</formula1>
    </dataValidation>
    <dataValidation type="list" allowBlank="1" showInputMessage="1" showErrorMessage="1" sqref="E449">
      <formula1>"Number (years),Rate (per year),Duration (years)"</formula1>
    </dataValidation>
    <dataValidation type="list" allowBlank="1" showInputMessage="1" showErrorMessage="1" sqref="E450">
      <formula1>"Number (years),Rate (per year),Duration (years)"</formula1>
    </dataValidation>
    <dataValidation type="list" allowBlank="1" showInputMessage="1" showErrorMessage="1" sqref="E451">
      <formula1>"Number (years),Rate (per year),Duration (years)"</formula1>
    </dataValidation>
    <dataValidation type="list" allowBlank="1" showInputMessage="1" showErrorMessage="1" sqref="E452">
      <formula1>"Number (years),Rate (per year),Duration (years)"</formula1>
    </dataValidation>
    <dataValidation type="list" allowBlank="1" showInputMessage="1" showErrorMessage="1" sqref="E453">
      <formula1>"Number (years),Rate (per year),Duration (years)"</formula1>
    </dataValidation>
    <dataValidation type="list" allowBlank="1" showInputMessage="1" showErrorMessage="1" sqref="E454">
      <formula1>"Number (years),Rate (per year),Duration (years)"</formula1>
    </dataValidation>
    <dataValidation type="list" allowBlank="1" showInputMessage="1" showErrorMessage="1" sqref="E455">
      <formula1>"Number (years),Rate (per year),Duration (years)"</formula1>
    </dataValidation>
    <dataValidation type="list" allowBlank="1" showInputMessage="1" showErrorMessage="1" sqref="E456">
      <formula1>"Number (years),Rate (per year),Duration (years)"</formula1>
    </dataValidation>
    <dataValidation type="list" allowBlank="1" showInputMessage="1" showErrorMessage="1" sqref="E457">
      <formula1>"Number (years),Rate (per year),Duration (years)"</formula1>
    </dataValidation>
    <dataValidation type="list" allowBlank="1" showInputMessage="1" showErrorMessage="1" sqref="E458">
      <formula1>"Number (years),Rate (per year),Duration (years)"</formula1>
    </dataValidation>
    <dataValidation type="list" allowBlank="1" showInputMessage="1" showErrorMessage="1" sqref="E459">
      <formula1>"Number (years),Rate (per year),Duration (years)"</formula1>
    </dataValidation>
    <dataValidation type="list" allowBlank="1" showInputMessage="1" showErrorMessage="1" sqref="E460">
      <formula1>"Number (years),Rate (per year),Duration (years)"</formula1>
    </dataValidation>
    <dataValidation type="list" allowBlank="1" showInputMessage="1" showErrorMessage="1" sqref="E461">
      <formula1>"Number (years),Rate (per year),Duration (years)"</formula1>
    </dataValidation>
    <dataValidation type="list" allowBlank="1" showInputMessage="1" showErrorMessage="1" sqref="E462">
      <formula1>"Number (years),Rate (per year),Duration (years)"</formula1>
    </dataValidation>
    <dataValidation type="list" allowBlank="1" showInputMessage="1" showErrorMessage="1" sqref="E463">
      <formula1>"Number (years),Rate (per year),Duration (years)"</formula1>
    </dataValidation>
    <dataValidation type="list" allowBlank="1" showInputMessage="1" showErrorMessage="1" sqref="E464">
      <formula1>"Number (years),Rate (per year),Duration (years)"</formula1>
    </dataValidation>
    <dataValidation type="list" allowBlank="1" showInputMessage="1" showErrorMessage="1" sqref="E465">
      <formula1>"Number (years),Rate (per year),Duration (years)"</formula1>
    </dataValidation>
    <dataValidation type="list" allowBlank="1" showInputMessage="1" showErrorMessage="1" sqref="E466">
      <formula1>"Number (years),Rate (per year),Duration (years)"</formula1>
    </dataValidation>
    <dataValidation type="list" allowBlank="1" showInputMessage="1" showErrorMessage="1" sqref="E467">
      <formula1>"Number (years),Rate (per year),Duration (years)"</formula1>
    </dataValidation>
    <dataValidation type="list" allowBlank="1" showInputMessage="1" showErrorMessage="1" sqref="E468">
      <formula1>"Number (years),Rate (per year),Duration (years)"</formula1>
    </dataValidation>
    <dataValidation type="list" allowBlank="1" showInputMessage="1" showErrorMessage="1" sqref="E469">
      <formula1>"Number (years),Rate (per year),Duration (years)"</formula1>
    </dataValidation>
    <dataValidation type="list" allowBlank="1" showInputMessage="1" showErrorMessage="1" sqref="E470">
      <formula1>"Number (years),Rate (per year),Duration (years)"</formula1>
    </dataValidation>
    <dataValidation type="list" allowBlank="1" showInputMessage="1" showErrorMessage="1" sqref="E471">
      <formula1>"Number (years),Rate (per year),Duration (years)"</formula1>
    </dataValidation>
    <dataValidation type="list" allowBlank="1" showInputMessage="1" showErrorMessage="1" sqref="E472">
      <formula1>"Number (years),Rate (per year),Duration (years)"</formula1>
    </dataValidation>
    <dataValidation type="list" allowBlank="1" showInputMessage="1" showErrorMessage="1" sqref="E473">
      <formula1>"Number (years),Rate (per year),Duration (years)"</formula1>
    </dataValidation>
    <dataValidation type="list" allowBlank="1" showInputMessage="1" showErrorMessage="1" sqref="E474">
      <formula1>"Number (years),Rate (per year),Duration (years)"</formula1>
    </dataValidation>
    <dataValidation type="list" allowBlank="1" showInputMessage="1" showErrorMessage="1" sqref="E475">
      <formula1>"Number (years),Rate (per year),Duration (years)"</formula1>
    </dataValidation>
    <dataValidation type="list" allowBlank="1" showInputMessage="1" showErrorMessage="1" sqref="E476">
      <formula1>"Number (years),Rate (per year),Duration (years)"</formula1>
    </dataValidation>
    <dataValidation type="list" allowBlank="1" showInputMessage="1" showErrorMessage="1" sqref="E477">
      <formula1>"Number (years),Rate (per year),Duration (years)"</formula1>
    </dataValidation>
    <dataValidation type="list" allowBlank="1" showInputMessage="1" showErrorMessage="1" sqref="E478">
      <formula1>"Number (years),Rate (per year),Duration (years)"</formula1>
    </dataValidation>
    <dataValidation type="list" allowBlank="1" showInputMessage="1" showErrorMessage="1" sqref="E479">
      <formula1>"Number (years),Rate (per year),Duration (years)"</formula1>
    </dataValidation>
    <dataValidation type="list" allowBlank="1" showInputMessage="1" showErrorMessage="1" sqref="E480">
      <formula1>"Number (years),Rate (per year),Duration (years)"</formula1>
    </dataValidation>
    <dataValidation type="list" allowBlank="1" showInputMessage="1" showErrorMessage="1" sqref="E481">
      <formula1>"Number (years),Rate (per year),Duration (years)"</formula1>
    </dataValidation>
    <dataValidation type="list" allowBlank="1" showInputMessage="1" showErrorMessage="1" sqref="E482">
      <formula1>"Number (years),Rate (per year),Duration (years)"</formula1>
    </dataValidation>
    <dataValidation type="list" allowBlank="1" showInputMessage="1" showErrorMessage="1" sqref="E483">
      <formula1>"Number (years),Rate (per year),Duration (years)"</formula1>
    </dataValidation>
    <dataValidation type="list" allowBlank="1" showInputMessage="1" showErrorMessage="1" sqref="E484">
      <formula1>"Number (years),Rate (per year),Duration (years)"</formula1>
    </dataValidation>
    <dataValidation type="list" allowBlank="1" showInputMessage="1" showErrorMessage="1" sqref="E485">
      <formula1>"Number (years),Rate (per year),Duration (years)"</formula1>
    </dataValidation>
    <dataValidation type="list" allowBlank="1" showInputMessage="1" showErrorMessage="1" sqref="E486">
      <formula1>"Number (years),Rate (per year),Duration (years)"</formula1>
    </dataValidation>
    <dataValidation type="list" allowBlank="1" showInputMessage="1" showErrorMessage="1" sqref="E487">
      <formula1>"Number (years),Rate (per year),Duration (years)"</formula1>
    </dataValidation>
    <dataValidation type="list" allowBlank="1" showInputMessage="1" showErrorMessage="1" sqref="E488">
      <formula1>"Number (years),Rate (per year),Duration (years)"</formula1>
    </dataValidation>
  </dataValidations>
  <hyperlinks>
    <hyperlink ref="C5" location="Transfers!B20" display="N"/>
    <hyperlink ref="D5" location="Transfers!B21" display="N"/>
    <hyperlink ref="E5" location="Transfers!B22" display="N"/>
    <hyperlink ref="F5" location="Transfers!B23" display="N"/>
    <hyperlink ref="G5" location="Transfers!B24" display="N"/>
    <hyperlink ref="H5" location="Transfers!B25" display="N"/>
    <hyperlink ref="I5" location="Transfers!B26" display="N"/>
    <hyperlink ref="J5" location="Transfers!B27" display="N"/>
    <hyperlink ref="K5" location="Transfers!B28" display="N"/>
    <hyperlink ref="L5" location="Transfers!B29" display="N"/>
    <hyperlink ref="M5" location="Transfers!B30" display="N"/>
    <hyperlink ref="B6" location="Transfers!B31" display="N"/>
    <hyperlink ref="D6" location="Transfers!B33" display="N"/>
    <hyperlink ref="E6" location="Transfers!B34" display="N"/>
    <hyperlink ref="F6" location="Transfers!B35" display="N"/>
    <hyperlink ref="G6" location="Transfers!B36" display="N"/>
    <hyperlink ref="H6" location="Transfers!B37" display="N"/>
    <hyperlink ref="I6" location="Transfers!B38" display="N"/>
    <hyperlink ref="J6" location="Transfers!B39" display="N"/>
    <hyperlink ref="K6" location="Transfers!B40" display="N"/>
    <hyperlink ref="L6" location="Transfers!B41" display="N"/>
    <hyperlink ref="M6" location="Transfers!B42" display="N"/>
    <hyperlink ref="B7" location="Transfers!B43" display="N"/>
    <hyperlink ref="C7" location="Transfers!B44" display="N"/>
    <hyperlink ref="E7" location="Transfers!B46" display="N"/>
    <hyperlink ref="F7" location="Transfers!B47" display="Y"/>
    <hyperlink ref="G7" location="Transfers!B48" display="N"/>
    <hyperlink ref="H7" location="Transfers!B49" display="N"/>
    <hyperlink ref="I7" location="Transfers!B50" display="N"/>
    <hyperlink ref="J7" location="Transfers!B51" display="N"/>
    <hyperlink ref="K7" location="Transfers!B52" display="N"/>
    <hyperlink ref="L7" location="Transfers!B53" display="N"/>
    <hyperlink ref="M7" location="Transfers!B54" display="N"/>
    <hyperlink ref="B8" location="Transfers!B55" display="N"/>
    <hyperlink ref="C8" location="Transfers!B56" display="N"/>
    <hyperlink ref="D8" location="Transfers!B57" display="N"/>
    <hyperlink ref="F8" location="Transfers!B59" display="N"/>
    <hyperlink ref="G8" location="Transfers!B60" display="Y"/>
    <hyperlink ref="H8" location="Transfers!B61" display="N"/>
    <hyperlink ref="I8" location="Transfers!B62" display="N"/>
    <hyperlink ref="J8" location="Transfers!B63" display="N"/>
    <hyperlink ref="K8" location="Transfers!B64" display="N"/>
    <hyperlink ref="L8" location="Transfers!B65" display="N"/>
    <hyperlink ref="M8" location="Transfers!B66" display="N"/>
    <hyperlink ref="B9" location="Transfers!B67" display="N"/>
    <hyperlink ref="C9" location="Transfers!B68" display="N"/>
    <hyperlink ref="D9" location="Transfers!B69" display="N"/>
    <hyperlink ref="E9" location="Transfers!B70" display="N"/>
    <hyperlink ref="G9" location="Transfers!B72" display="N"/>
    <hyperlink ref="H9" location="Transfers!B73" display="Y"/>
    <hyperlink ref="I9" location="Transfers!B74" display="N"/>
    <hyperlink ref="J9" location="Transfers!B75" display="N"/>
    <hyperlink ref="K9" location="Transfers!B76" display="N"/>
    <hyperlink ref="L9" location="Transfers!B77" display="N"/>
    <hyperlink ref="M9" location="Transfers!B78" display="N"/>
    <hyperlink ref="B10" location="Transfers!B79" display="N"/>
    <hyperlink ref="C10" location="Transfers!B80" display="N"/>
    <hyperlink ref="D10" location="Transfers!B81" display="N"/>
    <hyperlink ref="E10" location="Transfers!B82" display="N"/>
    <hyperlink ref="F10" location="Transfers!B83" display="N"/>
    <hyperlink ref="H10" location="Transfers!B85" display="N"/>
    <hyperlink ref="I10" location="Transfers!B86" display="Y"/>
    <hyperlink ref="J10" location="Transfers!B87" display="N"/>
    <hyperlink ref="K10" location="Transfers!B88" display="N"/>
    <hyperlink ref="L10" location="Transfers!B89" display="N"/>
    <hyperlink ref="M10" location="Transfers!B90" display="N"/>
    <hyperlink ref="B11" location="Transfers!B91" display="N"/>
    <hyperlink ref="C11" location="Transfers!B92" display="N"/>
    <hyperlink ref="D11" location="Transfers!B93" display="N"/>
    <hyperlink ref="E11" location="Transfers!B94" display="N"/>
    <hyperlink ref="F11" location="Transfers!B95" display="N"/>
    <hyperlink ref="G11" location="Transfers!B96" display="N"/>
    <hyperlink ref="I11" location="Transfers!B98" display="N"/>
    <hyperlink ref="J11" location="Transfers!B99" display="Y"/>
    <hyperlink ref="K11" location="Transfers!B100" display="N"/>
    <hyperlink ref="L11" location="Transfers!B101" display="N"/>
    <hyperlink ref="M11" location="Transfers!B102" display="N"/>
    <hyperlink ref="B12" location="Transfers!B103" display="N"/>
    <hyperlink ref="C12" location="Transfers!B104" display="N"/>
    <hyperlink ref="D12" location="Transfers!B105" display="N"/>
    <hyperlink ref="E12" location="Transfers!B106" display="N"/>
    <hyperlink ref="F12" location="Transfers!B107" display="N"/>
    <hyperlink ref="G12" location="Transfers!B108" display="N"/>
    <hyperlink ref="H12" location="Transfers!B109" display="N"/>
    <hyperlink ref="J12" location="Transfers!B111" display="N"/>
    <hyperlink ref="K12" location="Transfers!B112" display="Y"/>
    <hyperlink ref="L12" location="Transfers!B113" display="N"/>
    <hyperlink ref="M12" location="Transfers!B114" display="N"/>
    <hyperlink ref="B13" location="Transfers!B115" display="N"/>
    <hyperlink ref="C13" location="Transfers!B116" display="N"/>
    <hyperlink ref="D13" location="Transfers!B117" display="N"/>
    <hyperlink ref="E13" location="Transfers!B118" display="N"/>
    <hyperlink ref="F13" location="Transfers!B119" display="N"/>
    <hyperlink ref="G13" location="Transfers!B120" display="N"/>
    <hyperlink ref="H13" location="Transfers!B121" display="N"/>
    <hyperlink ref="I13" location="Transfers!B122" display="N"/>
    <hyperlink ref="K13" location="Transfers!B124" display="N"/>
    <hyperlink ref="L13" location="Transfers!B125" display="N"/>
    <hyperlink ref="M13" location="Transfers!B126" display="N"/>
    <hyperlink ref="B14" location="Transfers!B127" display="N"/>
    <hyperlink ref="C14" location="Transfers!B128" display="N"/>
    <hyperlink ref="D14" location="Transfers!B129" display="N"/>
    <hyperlink ref="E14" location="Transfers!B130" display="N"/>
    <hyperlink ref="F14" location="Transfers!B131" display="N"/>
    <hyperlink ref="G14" location="Transfers!B132" display="N"/>
    <hyperlink ref="H14" location="Transfers!B133" display="N"/>
    <hyperlink ref="I14" location="Transfers!B134" display="N"/>
    <hyperlink ref="J14" location="Transfers!B135" display="N"/>
    <hyperlink ref="L14" location="Transfers!B137" display="N"/>
    <hyperlink ref="M14" location="Transfers!B138" display="N"/>
    <hyperlink ref="B15" location="Transfers!B139" display="N"/>
    <hyperlink ref="C15" location="Transfers!B140" display="N"/>
    <hyperlink ref="D15" location="Transfers!B141" display="N"/>
    <hyperlink ref="E15" location="Transfers!B142" display="N"/>
    <hyperlink ref="F15" location="Transfers!B143" display="N"/>
    <hyperlink ref="G15" location="Transfers!B144" display="N"/>
    <hyperlink ref="H15" location="Transfers!B145" display="N"/>
    <hyperlink ref="I15" location="Transfers!B146" display="N"/>
    <hyperlink ref="J15" location="Transfers!B147" display="N"/>
    <hyperlink ref="K15" location="Transfers!B148" display="N"/>
    <hyperlink ref="M15" location="Transfers!B150" display="N"/>
    <hyperlink ref="B16" location="Transfers!B151" display="N"/>
    <hyperlink ref="C16" location="Transfers!B152" display="N"/>
    <hyperlink ref="D16" location="Transfers!B153" display="N"/>
    <hyperlink ref="E16" location="Transfers!B154" display="N"/>
    <hyperlink ref="F16" location="Transfers!B155" display="N"/>
    <hyperlink ref="G16" location="Transfers!B156" display="N"/>
    <hyperlink ref="H16" location="Transfers!B157" display="N"/>
    <hyperlink ref="I16" location="Transfers!B158" display="N"/>
    <hyperlink ref="J16" location="Transfers!B159" display="N"/>
    <hyperlink ref="K16" location="Transfers!B160" display="N"/>
    <hyperlink ref="L16" location="Transfers!B161" display="N"/>
    <hyperlink ref="B20" location="Transfers!$C$5" display="Transfers!$C$5"/>
    <hyperlink ref="B21" location="Transfers!$D$5" display="Transfers!$D$5"/>
    <hyperlink ref="B22" location="Transfers!$E$5" display="Transfers!$E$5"/>
    <hyperlink ref="B23" location="Transfers!$F$5" display="Transfers!$F$5"/>
    <hyperlink ref="B24" location="Transfers!$G$5" display="Transfers!$G$5"/>
    <hyperlink ref="B25" location="Transfers!$H$5" display="Transfers!$H$5"/>
    <hyperlink ref="B26" location="Transfers!$I$5" display="Transfers!$I$5"/>
    <hyperlink ref="B27" location="Transfers!$J$5" display="Transfers!$J$5"/>
    <hyperlink ref="B28" location="Transfers!$K$5" display="Transfers!$K$5"/>
    <hyperlink ref="B29" location="Transfers!$L$5" display="Transfers!$L$5"/>
    <hyperlink ref="B30" location="Transfers!$M$5" display="Transfers!$M$5"/>
    <hyperlink ref="B31" location="Transfers!$B$6" display="Transfers!$B$6"/>
    <hyperlink ref="B33" location="Transfers!$D$6" display="Transfers!$D$6"/>
    <hyperlink ref="B34" location="Transfers!$E$6" display="Transfers!$E$6"/>
    <hyperlink ref="B35" location="Transfers!$F$6" display="Transfers!$F$6"/>
    <hyperlink ref="B36" location="Transfers!$G$6" display="Transfers!$G$6"/>
    <hyperlink ref="B37" location="Transfers!$H$6" display="Transfers!$H$6"/>
    <hyperlink ref="B38" location="Transfers!$I$6" display="Transfers!$I$6"/>
    <hyperlink ref="B39" location="Transfers!$J$6" display="Transfers!$J$6"/>
    <hyperlink ref="B40" location="Transfers!$K$6" display="Transfers!$K$6"/>
    <hyperlink ref="B41" location="Transfers!$L$6" display="Transfers!$L$6"/>
    <hyperlink ref="B42" location="Transfers!$M$6" display="Transfers!$M$6"/>
    <hyperlink ref="B43" location="Transfers!$B$7" display="Transfers!$B$7"/>
    <hyperlink ref="B44" location="Transfers!$C$7" display="Transfers!$C$7"/>
    <hyperlink ref="B46" location="Transfers!$E$7" display="Transfers!$E$7"/>
    <hyperlink ref="B47" location="Transfers!$F$7" display="Transfers!$F$7"/>
    <hyperlink ref="B48" location="Transfers!$G$7" display="Transfers!$G$7"/>
    <hyperlink ref="B49" location="Transfers!$H$7" display="Transfers!$H$7"/>
    <hyperlink ref="B50" location="Transfers!$I$7" display="Transfers!$I$7"/>
    <hyperlink ref="B51" location="Transfers!$J$7" display="Transfers!$J$7"/>
    <hyperlink ref="B52" location="Transfers!$K$7" display="Transfers!$K$7"/>
    <hyperlink ref="B53" location="Transfers!$L$7" display="Transfers!$L$7"/>
    <hyperlink ref="B54" location="Transfers!$M$7" display="Transfers!$M$7"/>
    <hyperlink ref="B55" location="Transfers!$B$8" display="Transfers!$B$8"/>
    <hyperlink ref="B56" location="Transfers!$C$8" display="Transfers!$C$8"/>
    <hyperlink ref="B57" location="Transfers!$D$8" display="Transfers!$D$8"/>
    <hyperlink ref="B59" location="Transfers!$F$8" display="Transfers!$F$8"/>
    <hyperlink ref="B60" location="Transfers!$G$8" display="Transfers!$G$8"/>
    <hyperlink ref="B61" location="Transfers!$H$8" display="Transfers!$H$8"/>
    <hyperlink ref="B62" location="Transfers!$I$8" display="Transfers!$I$8"/>
    <hyperlink ref="B63" location="Transfers!$J$8" display="Transfers!$J$8"/>
    <hyperlink ref="B64" location="Transfers!$K$8" display="Transfers!$K$8"/>
    <hyperlink ref="B65" location="Transfers!$L$8" display="Transfers!$L$8"/>
    <hyperlink ref="B66" location="Transfers!$M$8" display="Transfers!$M$8"/>
    <hyperlink ref="B67" location="Transfers!$B$9" display="Transfers!$B$9"/>
    <hyperlink ref="B68" location="Transfers!$C$9" display="Transfers!$C$9"/>
    <hyperlink ref="B69" location="Transfers!$D$9" display="Transfers!$D$9"/>
    <hyperlink ref="B70" location="Transfers!$E$9" display="Transfers!$E$9"/>
    <hyperlink ref="B72" location="Transfers!$G$9" display="Transfers!$G$9"/>
    <hyperlink ref="B73" location="Transfers!$H$9" display="Transfers!$H$9"/>
    <hyperlink ref="B74" location="Transfers!$I$9" display="Transfers!$I$9"/>
    <hyperlink ref="B75" location="Transfers!$J$9" display="Transfers!$J$9"/>
    <hyperlink ref="B76" location="Transfers!$K$9" display="Transfers!$K$9"/>
    <hyperlink ref="B77" location="Transfers!$L$9" display="Transfers!$L$9"/>
    <hyperlink ref="B78" location="Transfers!$M$9" display="Transfers!$M$9"/>
    <hyperlink ref="B79" location="Transfers!$B$10" display="Transfers!$B$10"/>
    <hyperlink ref="B80" location="Transfers!$C$10" display="Transfers!$C$10"/>
    <hyperlink ref="B81" location="Transfers!$D$10" display="Transfers!$D$10"/>
    <hyperlink ref="B82" location="Transfers!$E$10" display="Transfers!$E$10"/>
    <hyperlink ref="B83" location="Transfers!$F$10" display="Transfers!$F$10"/>
    <hyperlink ref="B85" location="Transfers!$H$10" display="Transfers!$H$10"/>
    <hyperlink ref="B86" location="Transfers!$I$10" display="Transfers!$I$10"/>
    <hyperlink ref="B87" location="Transfers!$J$10" display="Transfers!$J$10"/>
    <hyperlink ref="B88" location="Transfers!$K$10" display="Transfers!$K$10"/>
    <hyperlink ref="B89" location="Transfers!$L$10" display="Transfers!$L$10"/>
    <hyperlink ref="B90" location="Transfers!$M$10" display="Transfers!$M$10"/>
    <hyperlink ref="B91" location="Transfers!$B$11" display="Transfers!$B$11"/>
    <hyperlink ref="B92" location="Transfers!$C$11" display="Transfers!$C$11"/>
    <hyperlink ref="B93" location="Transfers!$D$11" display="Transfers!$D$11"/>
    <hyperlink ref="B94" location="Transfers!$E$11" display="Transfers!$E$11"/>
    <hyperlink ref="B95" location="Transfers!$F$11" display="Transfers!$F$11"/>
    <hyperlink ref="B96" location="Transfers!$G$11" display="Transfers!$G$11"/>
    <hyperlink ref="B98" location="Transfers!$I$11" display="Transfers!$I$11"/>
    <hyperlink ref="B99" location="Transfers!$J$11" display="Transfers!$J$11"/>
    <hyperlink ref="B100" location="Transfers!$K$11" display="Transfers!$K$11"/>
    <hyperlink ref="B101" location="Transfers!$L$11" display="Transfers!$L$11"/>
    <hyperlink ref="B102" location="Transfers!$M$11" display="Transfers!$M$11"/>
    <hyperlink ref="B103" location="Transfers!$B$12" display="Transfers!$B$12"/>
    <hyperlink ref="B104" location="Transfers!$C$12" display="Transfers!$C$12"/>
    <hyperlink ref="B105" location="Transfers!$D$12" display="Transfers!$D$12"/>
    <hyperlink ref="B106" location="Transfers!$E$12" display="Transfers!$E$12"/>
    <hyperlink ref="B107" location="Transfers!$F$12" display="Transfers!$F$12"/>
    <hyperlink ref="B108" location="Transfers!$G$12" display="Transfers!$G$12"/>
    <hyperlink ref="B109" location="Transfers!$H$12" display="Transfers!$H$12"/>
    <hyperlink ref="B111" location="Transfers!$J$12" display="Transfers!$J$12"/>
    <hyperlink ref="B112" location="Transfers!$K$12" display="Transfers!$K$12"/>
    <hyperlink ref="B113" location="Transfers!$L$12" display="Transfers!$L$12"/>
    <hyperlink ref="B114" location="Transfers!$M$12" display="Transfers!$M$12"/>
    <hyperlink ref="B115" location="Transfers!$B$13" display="Transfers!$B$13"/>
    <hyperlink ref="B116" location="Transfers!$C$13" display="Transfers!$C$13"/>
    <hyperlink ref="B117" location="Transfers!$D$13" display="Transfers!$D$13"/>
    <hyperlink ref="B118" location="Transfers!$E$13" display="Transfers!$E$13"/>
    <hyperlink ref="B119" location="Transfers!$F$13" display="Transfers!$F$13"/>
    <hyperlink ref="B120" location="Transfers!$G$13" display="Transfers!$G$13"/>
    <hyperlink ref="B121" location="Transfers!$H$13" display="Transfers!$H$13"/>
    <hyperlink ref="B122" location="Transfers!$I$13" display="Transfers!$I$13"/>
    <hyperlink ref="B124" location="Transfers!$K$13" display="Transfers!$K$13"/>
    <hyperlink ref="B125" location="Transfers!$L$13" display="Transfers!$L$13"/>
    <hyperlink ref="B126" location="Transfers!$M$13" display="Transfers!$M$13"/>
    <hyperlink ref="B127" location="Transfers!$B$14" display="Transfers!$B$14"/>
    <hyperlink ref="B128" location="Transfers!$C$14" display="Transfers!$C$14"/>
    <hyperlink ref="B129" location="Transfers!$D$14" display="Transfers!$D$14"/>
    <hyperlink ref="B130" location="Transfers!$E$14" display="Transfers!$E$14"/>
    <hyperlink ref="B131" location="Transfers!$F$14" display="Transfers!$F$14"/>
    <hyperlink ref="B132" location="Transfers!$G$14" display="Transfers!$G$14"/>
    <hyperlink ref="B133" location="Transfers!$H$14" display="Transfers!$H$14"/>
    <hyperlink ref="B134" location="Transfers!$I$14" display="Transfers!$I$14"/>
    <hyperlink ref="B135" location="Transfers!$J$14" display="Transfers!$J$14"/>
    <hyperlink ref="B137" location="Transfers!$L$14" display="Transfers!$L$14"/>
    <hyperlink ref="B138" location="Transfers!$M$14" display="Transfers!$M$14"/>
    <hyperlink ref="B139" location="Transfers!$B$15" display="Transfers!$B$15"/>
    <hyperlink ref="B140" location="Transfers!$C$15" display="Transfers!$C$15"/>
    <hyperlink ref="B141" location="Transfers!$D$15" display="Transfers!$D$15"/>
    <hyperlink ref="B142" location="Transfers!$E$15" display="Transfers!$E$15"/>
    <hyperlink ref="B143" location="Transfers!$F$15" display="Transfers!$F$15"/>
    <hyperlink ref="B144" location="Transfers!$G$15" display="Transfers!$G$15"/>
    <hyperlink ref="B145" location="Transfers!$H$15" display="Transfers!$H$15"/>
    <hyperlink ref="B146" location="Transfers!$I$15" display="Transfers!$I$15"/>
    <hyperlink ref="B147" location="Transfers!$J$15" display="Transfers!$J$15"/>
    <hyperlink ref="B148" location="Transfers!$K$15" display="Transfers!$K$15"/>
    <hyperlink ref="B150" location="Transfers!$M$15" display="Transfers!$M$15"/>
    <hyperlink ref="B151" location="Transfers!$B$16" display="Transfers!$B$16"/>
    <hyperlink ref="B152" location="Transfers!$C$16" display="Transfers!$C$16"/>
    <hyperlink ref="B153" location="Transfers!$D$16" display="Transfers!$D$16"/>
    <hyperlink ref="B154" location="Transfers!$E$16" display="Transfers!$E$16"/>
    <hyperlink ref="B155" location="Transfers!$F$16" display="Transfers!$F$16"/>
    <hyperlink ref="B156" location="Transfers!$G$16" display="Transfers!$G$16"/>
    <hyperlink ref="B157" location="Transfers!$H$16" display="Transfers!$H$16"/>
    <hyperlink ref="B158" location="Transfers!$I$16" display="Transfers!$I$16"/>
    <hyperlink ref="B159" location="Transfers!$J$16" display="Transfers!$J$16"/>
    <hyperlink ref="B160" location="Transfers!$K$16" display="Transfers!$K$16"/>
    <hyperlink ref="B161" location="Transfers!$L$16" display="Transfers!$L$16"/>
    <hyperlink ref="C168" location="Transfers!B183" display="N"/>
    <hyperlink ref="D168" location="Transfers!B184" display="N"/>
    <hyperlink ref="E168" location="Transfers!B185" display="N"/>
    <hyperlink ref="F168" location="Transfers!B186" display="N"/>
    <hyperlink ref="G168" location="Transfers!B187" display="N"/>
    <hyperlink ref="H168" location="Transfers!B188" display="Y"/>
    <hyperlink ref="I168" location="Transfers!B189" display="N"/>
    <hyperlink ref="J168" location="Transfers!B190" display="N"/>
    <hyperlink ref="K168" location="Transfers!B191" display="N"/>
    <hyperlink ref="L168" location="Transfers!B192" display="N"/>
    <hyperlink ref="M168" location="Transfers!B193" display="N"/>
    <hyperlink ref="B169" location="Transfers!B194" display="N"/>
    <hyperlink ref="D169" location="Transfers!B196" display="N"/>
    <hyperlink ref="E169" location="Transfers!B197" display="N"/>
    <hyperlink ref="F169" location="Transfers!B198" display="N"/>
    <hyperlink ref="G169" location="Transfers!B199" display="N"/>
    <hyperlink ref="H169" location="Transfers!B200" display="N"/>
    <hyperlink ref="I169" location="Transfers!B201" display="Y"/>
    <hyperlink ref="J169" location="Transfers!B202" display="N"/>
    <hyperlink ref="K169" location="Transfers!B203" display="N"/>
    <hyperlink ref="L169" location="Transfers!B204" display="N"/>
    <hyperlink ref="M169" location="Transfers!B205" display="N"/>
    <hyperlink ref="B170" location="Transfers!B206" display="N"/>
    <hyperlink ref="C170" location="Transfers!B207" display="N"/>
    <hyperlink ref="E170" location="Transfers!B209" display="N"/>
    <hyperlink ref="F170" location="Transfers!B210" display="N"/>
    <hyperlink ref="G170" location="Transfers!B211" display="N"/>
    <hyperlink ref="H170" location="Transfers!B212" display="N"/>
    <hyperlink ref="I170" location="Transfers!B213" display="N"/>
    <hyperlink ref="J170" location="Transfers!B214" display="N"/>
    <hyperlink ref="K170" location="Transfers!B215" display="N"/>
    <hyperlink ref="L170" location="Transfers!B216" display="N"/>
    <hyperlink ref="M170" location="Transfers!B217" display="N"/>
    <hyperlink ref="B171" location="Transfers!B218" display="N"/>
    <hyperlink ref="C171" location="Transfers!B219" display="N"/>
    <hyperlink ref="D171" location="Transfers!B220" display="N"/>
    <hyperlink ref="F171" location="Transfers!B222" display="N"/>
    <hyperlink ref="G171" location="Transfers!B223" display="N"/>
    <hyperlink ref="H171" location="Transfers!B224" display="N"/>
    <hyperlink ref="I171" location="Transfers!B225" display="N"/>
    <hyperlink ref="J171" location="Transfers!B226" display="N"/>
    <hyperlink ref="K171" location="Transfers!B227" display="N"/>
    <hyperlink ref="L171" location="Transfers!B228" display="N"/>
    <hyperlink ref="M171" location="Transfers!B229" display="N"/>
    <hyperlink ref="B172" location="Transfers!B230" display="N"/>
    <hyperlink ref="C172" location="Transfers!B231" display="N"/>
    <hyperlink ref="D172" location="Transfers!B232" display="N"/>
    <hyperlink ref="E172" location="Transfers!B233" display="N"/>
    <hyperlink ref="G172" location="Transfers!B235" display="N"/>
    <hyperlink ref="H172" location="Transfers!B236" display="N"/>
    <hyperlink ref="I172" location="Transfers!B237" display="N"/>
    <hyperlink ref="J172" location="Transfers!B238" display="N"/>
    <hyperlink ref="K172" location="Transfers!B239" display="N"/>
    <hyperlink ref="L172" location="Transfers!B240" display="N"/>
    <hyperlink ref="M172" location="Transfers!B241" display="N"/>
    <hyperlink ref="B173" location="Transfers!B242" display="N"/>
    <hyperlink ref="C173" location="Transfers!B243" display="N"/>
    <hyperlink ref="D173" location="Transfers!B244" display="N"/>
    <hyperlink ref="E173" location="Transfers!B245" display="N"/>
    <hyperlink ref="F173" location="Transfers!B246" display="N"/>
    <hyperlink ref="H173" location="Transfers!B248" display="N"/>
    <hyperlink ref="I173" location="Transfers!B249" display="N"/>
    <hyperlink ref="J173" location="Transfers!B250" display="N"/>
    <hyperlink ref="K173" location="Transfers!B251" display="N"/>
    <hyperlink ref="L173" location="Transfers!B252" display="N"/>
    <hyperlink ref="M173" location="Transfers!B253" display="N"/>
    <hyperlink ref="B174" location="Transfers!B254" display="Y"/>
    <hyperlink ref="C174" location="Transfers!B255" display="N"/>
    <hyperlink ref="D174" location="Transfers!B256" display="N"/>
    <hyperlink ref="E174" location="Transfers!B257" display="N"/>
    <hyperlink ref="F174" location="Transfers!B258" display="N"/>
    <hyperlink ref="G174" location="Transfers!B259" display="N"/>
    <hyperlink ref="I174" location="Transfers!B261" display="N"/>
    <hyperlink ref="J174" location="Transfers!B262" display="N"/>
    <hyperlink ref="K174" location="Transfers!B263" display="N"/>
    <hyperlink ref="L174" location="Transfers!B264" display="N"/>
    <hyperlink ref="M174" location="Transfers!B265" display="N"/>
    <hyperlink ref="B175" location="Transfers!B266" display="N"/>
    <hyperlink ref="C175" location="Transfers!B267" display="Y"/>
    <hyperlink ref="D175" location="Transfers!B268" display="N"/>
    <hyperlink ref="E175" location="Transfers!B269" display="N"/>
    <hyperlink ref="F175" location="Transfers!B270" display="N"/>
    <hyperlink ref="G175" location="Transfers!B271" display="N"/>
    <hyperlink ref="H175" location="Transfers!B272" display="N"/>
    <hyperlink ref="J175" location="Transfers!B274" display="N"/>
    <hyperlink ref="K175" location="Transfers!B275" display="N"/>
    <hyperlink ref="L175" location="Transfers!B276" display="N"/>
    <hyperlink ref="M175" location="Transfers!B277" display="N"/>
    <hyperlink ref="B176" location="Transfers!B278" display="N"/>
    <hyperlink ref="C176" location="Transfers!B279" display="N"/>
    <hyperlink ref="D176" location="Transfers!B280" display="N"/>
    <hyperlink ref="E176" location="Transfers!B281" display="N"/>
    <hyperlink ref="F176" location="Transfers!B282" display="N"/>
    <hyperlink ref="G176" location="Transfers!B283" display="N"/>
    <hyperlink ref="H176" location="Transfers!B284" display="N"/>
    <hyperlink ref="I176" location="Transfers!B285" display="N"/>
    <hyperlink ref="K176" location="Transfers!B287" display="N"/>
    <hyperlink ref="L176" location="Transfers!B288" display="N"/>
    <hyperlink ref="M176" location="Transfers!B289" display="N"/>
    <hyperlink ref="B177" location="Transfers!B290" display="N"/>
    <hyperlink ref="C177" location="Transfers!B291" display="N"/>
    <hyperlink ref="D177" location="Transfers!B292" display="N"/>
    <hyperlink ref="E177" location="Transfers!B293" display="N"/>
    <hyperlink ref="F177" location="Transfers!B294" display="N"/>
    <hyperlink ref="G177" location="Transfers!B295" display="N"/>
    <hyperlink ref="H177" location="Transfers!B296" display="N"/>
    <hyperlink ref="I177" location="Transfers!B297" display="N"/>
    <hyperlink ref="J177" location="Transfers!B298" display="N"/>
    <hyperlink ref="L177" location="Transfers!B300" display="N"/>
    <hyperlink ref="M177" location="Transfers!B301" display="N"/>
    <hyperlink ref="B178" location="Transfers!B302" display="N"/>
    <hyperlink ref="C178" location="Transfers!B303" display="N"/>
    <hyperlink ref="D178" location="Transfers!B304" display="N"/>
    <hyperlink ref="E178" location="Transfers!B305" display="N"/>
    <hyperlink ref="F178" location="Transfers!B306" display="N"/>
    <hyperlink ref="G178" location="Transfers!B307" display="N"/>
    <hyperlink ref="H178" location="Transfers!B308" display="N"/>
    <hyperlink ref="I178" location="Transfers!B309" display="N"/>
    <hyperlink ref="J178" location="Transfers!B310" display="N"/>
    <hyperlink ref="K178" location="Transfers!B311" display="N"/>
    <hyperlink ref="M178" location="Transfers!B313" display="N"/>
    <hyperlink ref="B179" location="Transfers!B314" display="N"/>
    <hyperlink ref="C179" location="Transfers!B315" display="N"/>
    <hyperlink ref="D179" location="Transfers!B316" display="N"/>
    <hyperlink ref="E179" location="Transfers!B317" display="N"/>
    <hyperlink ref="F179" location="Transfers!B318" display="N"/>
    <hyperlink ref="G179" location="Transfers!B319" display="N"/>
    <hyperlink ref="H179" location="Transfers!B320" display="N"/>
    <hyperlink ref="I179" location="Transfers!B321" display="N"/>
    <hyperlink ref="J179" location="Transfers!B322" display="N"/>
    <hyperlink ref="K179" location="Transfers!B323" display="N"/>
    <hyperlink ref="L179" location="Transfers!B324" display="N"/>
    <hyperlink ref="B183" location="Transfers!$C$168" display="Transfers!$C$168"/>
    <hyperlink ref="B184" location="Transfers!$D$168" display="Transfers!$D$168"/>
    <hyperlink ref="B185" location="Transfers!$E$168" display="Transfers!$E$168"/>
    <hyperlink ref="B186" location="Transfers!$F$168" display="Transfers!$F$168"/>
    <hyperlink ref="B187" location="Transfers!$G$168" display="Transfers!$G$168"/>
    <hyperlink ref="B188" location="Transfers!$H$168" display="Transfers!$H$168"/>
    <hyperlink ref="B189" location="Transfers!$I$168" display="Transfers!$I$168"/>
    <hyperlink ref="B190" location="Transfers!$J$168" display="Transfers!$J$168"/>
    <hyperlink ref="B191" location="Transfers!$K$168" display="Transfers!$K$168"/>
    <hyperlink ref="B192" location="Transfers!$L$168" display="Transfers!$L$168"/>
    <hyperlink ref="B193" location="Transfers!$M$168" display="Transfers!$M$168"/>
    <hyperlink ref="B194" location="Transfers!$B$169" display="Transfers!$B$169"/>
    <hyperlink ref="B196" location="Transfers!$D$169" display="Transfers!$D$169"/>
    <hyperlink ref="B197" location="Transfers!$E$169" display="Transfers!$E$169"/>
    <hyperlink ref="B198" location="Transfers!$F$169" display="Transfers!$F$169"/>
    <hyperlink ref="B199" location="Transfers!$G$169" display="Transfers!$G$169"/>
    <hyperlink ref="B200" location="Transfers!$H$169" display="Transfers!$H$169"/>
    <hyperlink ref="B201" location="Transfers!$I$169" display="Transfers!$I$169"/>
    <hyperlink ref="B202" location="Transfers!$J$169" display="Transfers!$J$169"/>
    <hyperlink ref="B203" location="Transfers!$K$169" display="Transfers!$K$169"/>
    <hyperlink ref="B204" location="Transfers!$L$169" display="Transfers!$L$169"/>
    <hyperlink ref="B205" location="Transfers!$M$169" display="Transfers!$M$169"/>
    <hyperlink ref="B206" location="Transfers!$B$170" display="Transfers!$B$170"/>
    <hyperlink ref="B207" location="Transfers!$C$170" display="Transfers!$C$170"/>
    <hyperlink ref="B209" location="Transfers!$E$170" display="Transfers!$E$170"/>
    <hyperlink ref="B210" location="Transfers!$F$170" display="Transfers!$F$170"/>
    <hyperlink ref="B211" location="Transfers!$G$170" display="Transfers!$G$170"/>
    <hyperlink ref="B212" location="Transfers!$H$170" display="Transfers!$H$170"/>
    <hyperlink ref="B213" location="Transfers!$I$170" display="Transfers!$I$170"/>
    <hyperlink ref="B214" location="Transfers!$J$170" display="Transfers!$J$170"/>
    <hyperlink ref="B215" location="Transfers!$K$170" display="Transfers!$K$170"/>
    <hyperlink ref="B216" location="Transfers!$L$170" display="Transfers!$L$170"/>
    <hyperlink ref="B217" location="Transfers!$M$170" display="Transfers!$M$170"/>
    <hyperlink ref="B218" location="Transfers!$B$171" display="Transfers!$B$171"/>
    <hyperlink ref="B219" location="Transfers!$C$171" display="Transfers!$C$171"/>
    <hyperlink ref="B220" location="Transfers!$D$171" display="Transfers!$D$171"/>
    <hyperlink ref="B222" location="Transfers!$F$171" display="Transfers!$F$171"/>
    <hyperlink ref="B223" location="Transfers!$G$171" display="Transfers!$G$171"/>
    <hyperlink ref="B224" location="Transfers!$H$171" display="Transfers!$H$171"/>
    <hyperlink ref="B225" location="Transfers!$I$171" display="Transfers!$I$171"/>
    <hyperlink ref="B226" location="Transfers!$J$171" display="Transfers!$J$171"/>
    <hyperlink ref="B227" location="Transfers!$K$171" display="Transfers!$K$171"/>
    <hyperlink ref="B228" location="Transfers!$L$171" display="Transfers!$L$171"/>
    <hyperlink ref="B229" location="Transfers!$M$171" display="Transfers!$M$171"/>
    <hyperlink ref="B230" location="Transfers!$B$172" display="Transfers!$B$172"/>
    <hyperlink ref="B231" location="Transfers!$C$172" display="Transfers!$C$172"/>
    <hyperlink ref="B232" location="Transfers!$D$172" display="Transfers!$D$172"/>
    <hyperlink ref="B233" location="Transfers!$E$172" display="Transfers!$E$172"/>
    <hyperlink ref="B235" location="Transfers!$G$172" display="Transfers!$G$172"/>
    <hyperlink ref="B236" location="Transfers!$H$172" display="Transfers!$H$172"/>
    <hyperlink ref="B237" location="Transfers!$I$172" display="Transfers!$I$172"/>
    <hyperlink ref="B238" location="Transfers!$J$172" display="Transfers!$J$172"/>
    <hyperlink ref="B239" location="Transfers!$K$172" display="Transfers!$K$172"/>
    <hyperlink ref="B240" location="Transfers!$L$172" display="Transfers!$L$172"/>
    <hyperlink ref="B241" location="Transfers!$M$172" display="Transfers!$M$172"/>
    <hyperlink ref="B242" location="Transfers!$B$173" display="Transfers!$B$173"/>
    <hyperlink ref="B243" location="Transfers!$C$173" display="Transfers!$C$173"/>
    <hyperlink ref="B244" location="Transfers!$D$173" display="Transfers!$D$173"/>
    <hyperlink ref="B245" location="Transfers!$E$173" display="Transfers!$E$173"/>
    <hyperlink ref="B246" location="Transfers!$F$173" display="Transfers!$F$173"/>
    <hyperlink ref="B248" location="Transfers!$H$173" display="Transfers!$H$173"/>
    <hyperlink ref="B249" location="Transfers!$I$173" display="Transfers!$I$173"/>
    <hyperlink ref="B250" location="Transfers!$J$173" display="Transfers!$J$173"/>
    <hyperlink ref="B251" location="Transfers!$K$173" display="Transfers!$K$173"/>
    <hyperlink ref="B252" location="Transfers!$L$173" display="Transfers!$L$173"/>
    <hyperlink ref="B253" location="Transfers!$M$173" display="Transfers!$M$173"/>
    <hyperlink ref="B254" location="Transfers!$B$174" display="Transfers!$B$174"/>
    <hyperlink ref="B255" location="Transfers!$C$174" display="Transfers!$C$174"/>
    <hyperlink ref="B256" location="Transfers!$D$174" display="Transfers!$D$174"/>
    <hyperlink ref="B257" location="Transfers!$E$174" display="Transfers!$E$174"/>
    <hyperlink ref="B258" location="Transfers!$F$174" display="Transfers!$F$174"/>
    <hyperlink ref="B259" location="Transfers!$G$174" display="Transfers!$G$174"/>
    <hyperlink ref="B261" location="Transfers!$I$174" display="Transfers!$I$174"/>
    <hyperlink ref="B262" location="Transfers!$J$174" display="Transfers!$J$174"/>
    <hyperlink ref="B263" location="Transfers!$K$174" display="Transfers!$K$174"/>
    <hyperlink ref="B264" location="Transfers!$L$174" display="Transfers!$L$174"/>
    <hyperlink ref="B265" location="Transfers!$M$174" display="Transfers!$M$174"/>
    <hyperlink ref="B266" location="Transfers!$B$175" display="Transfers!$B$175"/>
    <hyperlink ref="B267" location="Transfers!$C$175" display="Transfers!$C$175"/>
    <hyperlink ref="B268" location="Transfers!$D$175" display="Transfers!$D$175"/>
    <hyperlink ref="B269" location="Transfers!$E$175" display="Transfers!$E$175"/>
    <hyperlink ref="B270" location="Transfers!$F$175" display="Transfers!$F$175"/>
    <hyperlink ref="B271" location="Transfers!$G$175" display="Transfers!$G$175"/>
    <hyperlink ref="B272" location="Transfers!$H$175" display="Transfers!$H$175"/>
    <hyperlink ref="B274" location="Transfers!$J$175" display="Transfers!$J$175"/>
    <hyperlink ref="B275" location="Transfers!$K$175" display="Transfers!$K$175"/>
    <hyperlink ref="B276" location="Transfers!$L$175" display="Transfers!$L$175"/>
    <hyperlink ref="B277" location="Transfers!$M$175" display="Transfers!$M$175"/>
    <hyperlink ref="B278" location="Transfers!$B$176" display="Transfers!$B$176"/>
    <hyperlink ref="B279" location="Transfers!$C$176" display="Transfers!$C$176"/>
    <hyperlink ref="B280" location="Transfers!$D$176" display="Transfers!$D$176"/>
    <hyperlink ref="B281" location="Transfers!$E$176" display="Transfers!$E$176"/>
    <hyperlink ref="B282" location="Transfers!$F$176" display="Transfers!$F$176"/>
    <hyperlink ref="B283" location="Transfers!$G$176" display="Transfers!$G$176"/>
    <hyperlink ref="B284" location="Transfers!$H$176" display="Transfers!$H$176"/>
    <hyperlink ref="B285" location="Transfers!$I$176" display="Transfers!$I$176"/>
    <hyperlink ref="B287" location="Transfers!$K$176" display="Transfers!$K$176"/>
    <hyperlink ref="B288" location="Transfers!$L$176" display="Transfers!$L$176"/>
    <hyperlink ref="B289" location="Transfers!$M$176" display="Transfers!$M$176"/>
    <hyperlink ref="B290" location="Transfers!$B$177" display="Transfers!$B$177"/>
    <hyperlink ref="B291" location="Transfers!$C$177" display="Transfers!$C$177"/>
    <hyperlink ref="B292" location="Transfers!$D$177" display="Transfers!$D$177"/>
    <hyperlink ref="B293" location="Transfers!$E$177" display="Transfers!$E$177"/>
    <hyperlink ref="B294" location="Transfers!$F$177" display="Transfers!$F$177"/>
    <hyperlink ref="B295" location="Transfers!$G$177" display="Transfers!$G$177"/>
    <hyperlink ref="B296" location="Transfers!$H$177" display="Transfers!$H$177"/>
    <hyperlink ref="B297" location="Transfers!$I$177" display="Transfers!$I$177"/>
    <hyperlink ref="B298" location="Transfers!$J$177" display="Transfers!$J$177"/>
    <hyperlink ref="B300" location="Transfers!$L$177" display="Transfers!$L$177"/>
    <hyperlink ref="B301" location="Transfers!$M$177" display="Transfers!$M$177"/>
    <hyperlink ref="B302" location="Transfers!$B$178" display="Transfers!$B$178"/>
    <hyperlink ref="B303" location="Transfers!$C$178" display="Transfers!$C$178"/>
    <hyperlink ref="B304" location="Transfers!$D$178" display="Transfers!$D$178"/>
    <hyperlink ref="B305" location="Transfers!$E$178" display="Transfers!$E$178"/>
    <hyperlink ref="B306" location="Transfers!$F$178" display="Transfers!$F$178"/>
    <hyperlink ref="B307" location="Transfers!$G$178" display="Transfers!$G$178"/>
    <hyperlink ref="B308" location="Transfers!$H$178" display="Transfers!$H$178"/>
    <hyperlink ref="B309" location="Transfers!$I$178" display="Transfers!$I$178"/>
    <hyperlink ref="B310" location="Transfers!$J$178" display="Transfers!$J$178"/>
    <hyperlink ref="B311" location="Transfers!$K$178" display="Transfers!$K$178"/>
    <hyperlink ref="B313" location="Transfers!$M$178" display="Transfers!$M$178"/>
    <hyperlink ref="B314" location="Transfers!$B$179" display="Transfers!$B$179"/>
    <hyperlink ref="B315" location="Transfers!$C$179" display="Transfers!$C$179"/>
    <hyperlink ref="B316" location="Transfers!$D$179" display="Transfers!$D$179"/>
    <hyperlink ref="B317" location="Transfers!$E$179" display="Transfers!$E$179"/>
    <hyperlink ref="B318" location="Transfers!$F$179" display="Transfers!$F$179"/>
    <hyperlink ref="B319" location="Transfers!$G$179" display="Transfers!$G$179"/>
    <hyperlink ref="B320" location="Transfers!$H$179" display="Transfers!$H$179"/>
    <hyperlink ref="B321" location="Transfers!$I$179" display="Transfers!$I$179"/>
    <hyperlink ref="B322" location="Transfers!$J$179" display="Transfers!$J$179"/>
    <hyperlink ref="B323" location="Transfers!$K$179" display="Transfers!$K$179"/>
    <hyperlink ref="B324" location="Transfers!$L$179" display="Transfers!$L$179"/>
    <hyperlink ref="C331" location="Transfers!B346" display="N"/>
    <hyperlink ref="D331" location="Transfers!B347" display="N"/>
    <hyperlink ref="E331" location="Transfers!B348" display="N"/>
    <hyperlink ref="F331" location="Transfers!B349" display="N"/>
    <hyperlink ref="G331" location="Transfers!B350" display="N"/>
    <hyperlink ref="H331" location="Transfers!B351" display="N"/>
    <hyperlink ref="I331" location="Transfers!B352" display="N"/>
    <hyperlink ref="J331" location="Transfers!B353" display="N"/>
    <hyperlink ref="K331" location="Transfers!B354" display="N"/>
    <hyperlink ref="L331" location="Transfers!B355" display="Y"/>
    <hyperlink ref="M331" location="Transfers!B356" display="N"/>
    <hyperlink ref="B332" location="Transfers!B357" display="N"/>
    <hyperlink ref="D332" location="Transfers!B359" display="N"/>
    <hyperlink ref="E332" location="Transfers!B360" display="N"/>
    <hyperlink ref="F332" location="Transfers!B361" display="N"/>
    <hyperlink ref="G332" location="Transfers!B362" display="N"/>
    <hyperlink ref="H332" location="Transfers!B363" display="N"/>
    <hyperlink ref="I332" location="Transfers!B364" display="N"/>
    <hyperlink ref="J332" location="Transfers!B365" display="N"/>
    <hyperlink ref="K332" location="Transfers!B366" display="N"/>
    <hyperlink ref="L332" location="Transfers!B367" display="N"/>
    <hyperlink ref="M332" location="Transfers!B368" display="Y"/>
    <hyperlink ref="B333" location="Transfers!B369" display="N"/>
    <hyperlink ref="C333" location="Transfers!B370" display="N"/>
    <hyperlink ref="E333" location="Transfers!B372" display="N"/>
    <hyperlink ref="F333" location="Transfers!B373" display="N"/>
    <hyperlink ref="G333" location="Transfers!B374" display="N"/>
    <hyperlink ref="H333" location="Transfers!B375" display="N"/>
    <hyperlink ref="I333" location="Transfers!B376" display="N"/>
    <hyperlink ref="J333" location="Transfers!B377" display="N"/>
    <hyperlink ref="K333" location="Transfers!B378" display="N"/>
    <hyperlink ref="L333" location="Transfers!B379" display="N"/>
    <hyperlink ref="M333" location="Transfers!B380" display="N"/>
    <hyperlink ref="B334" location="Transfers!B381" display="N"/>
    <hyperlink ref="C334" location="Transfers!B382" display="N"/>
    <hyperlink ref="D334" location="Transfers!B383" display="N"/>
    <hyperlink ref="F334" location="Transfers!B385" display="N"/>
    <hyperlink ref="G334" location="Transfers!B386" display="N"/>
    <hyperlink ref="H334" location="Transfers!B387" display="N"/>
    <hyperlink ref="I334" location="Transfers!B388" display="N"/>
    <hyperlink ref="J334" location="Transfers!B389" display="N"/>
    <hyperlink ref="K334" location="Transfers!B390" display="N"/>
    <hyperlink ref="L334" location="Transfers!B391" display="N"/>
    <hyperlink ref="M334" location="Transfers!B392" display="N"/>
    <hyperlink ref="B335" location="Transfers!B393" display="N"/>
    <hyperlink ref="C335" location="Transfers!B394" display="N"/>
    <hyperlink ref="D335" location="Transfers!B395" display="N"/>
    <hyperlink ref="E335" location="Transfers!B396" display="N"/>
    <hyperlink ref="G335" location="Transfers!B398" display="N"/>
    <hyperlink ref="H335" location="Transfers!B399" display="N"/>
    <hyperlink ref="I335" location="Transfers!B400" display="N"/>
    <hyperlink ref="J335" location="Transfers!B401" display="N"/>
    <hyperlink ref="K335" location="Transfers!B402" display="N"/>
    <hyperlink ref="L335" location="Transfers!B403" display="N"/>
    <hyperlink ref="M335" location="Transfers!B404" display="N"/>
    <hyperlink ref="B336" location="Transfers!B405" display="N"/>
    <hyperlink ref="C336" location="Transfers!B406" display="N"/>
    <hyperlink ref="D336" location="Transfers!B407" display="N"/>
    <hyperlink ref="E336" location="Transfers!B408" display="N"/>
    <hyperlink ref="F336" location="Transfers!B409" display="N"/>
    <hyperlink ref="H336" location="Transfers!B411" display="N"/>
    <hyperlink ref="I336" location="Transfers!B412" display="N"/>
    <hyperlink ref="J336" location="Transfers!B413" display="N"/>
    <hyperlink ref="K336" location="Transfers!B414" display="N"/>
    <hyperlink ref="L336" location="Transfers!B415" display="N"/>
    <hyperlink ref="M336" location="Transfers!B416" display="N"/>
    <hyperlink ref="B337" location="Transfers!B417" display="N"/>
    <hyperlink ref="C337" location="Transfers!B418" display="N"/>
    <hyperlink ref="D337" location="Transfers!B419" display="N"/>
    <hyperlink ref="E337" location="Transfers!B420" display="N"/>
    <hyperlink ref="F337" location="Transfers!B421" display="N"/>
    <hyperlink ref="G337" location="Transfers!B422" display="N"/>
    <hyperlink ref="I337" location="Transfers!B424" display="N"/>
    <hyperlink ref="J337" location="Transfers!B425" display="N"/>
    <hyperlink ref="K337" location="Transfers!B426" display="N"/>
    <hyperlink ref="L337" location="Transfers!B427" display="Y"/>
    <hyperlink ref="M337" location="Transfers!B428" display="N"/>
    <hyperlink ref="B338" location="Transfers!B429" display="N"/>
    <hyperlink ref="C338" location="Transfers!B430" display="N"/>
    <hyperlink ref="D338" location="Transfers!B431" display="N"/>
    <hyperlink ref="E338" location="Transfers!B432" display="N"/>
    <hyperlink ref="F338" location="Transfers!B433" display="N"/>
    <hyperlink ref="G338" location="Transfers!B434" display="N"/>
    <hyperlink ref="H338" location="Transfers!B435" display="N"/>
    <hyperlink ref="J338" location="Transfers!B437" display="N"/>
    <hyperlink ref="K338" location="Transfers!B438" display="N"/>
    <hyperlink ref="L338" location="Transfers!B439" display="N"/>
    <hyperlink ref="M338" location="Transfers!B440" display="Y"/>
    <hyperlink ref="B339" location="Transfers!B441" display="N"/>
    <hyperlink ref="C339" location="Transfers!B442" display="N"/>
    <hyperlink ref="D339" location="Transfers!B443" display="N"/>
    <hyperlink ref="E339" location="Transfers!B444" display="N"/>
    <hyperlink ref="F339" location="Transfers!B445" display="N"/>
    <hyperlink ref="G339" location="Transfers!B446" display="N"/>
    <hyperlink ref="H339" location="Transfers!B447" display="N"/>
    <hyperlink ref="I339" location="Transfers!B448" display="N"/>
    <hyperlink ref="K339" location="Transfers!B450" display="N"/>
    <hyperlink ref="L339" location="Transfers!B451" display="N"/>
    <hyperlink ref="M339" location="Transfers!B452" display="N"/>
    <hyperlink ref="B340" location="Transfers!B453" display="N"/>
    <hyperlink ref="C340" location="Transfers!B454" display="N"/>
    <hyperlink ref="D340" location="Transfers!B455" display="N"/>
    <hyperlink ref="E340" location="Transfers!B456" display="N"/>
    <hyperlink ref="F340" location="Transfers!B457" display="N"/>
    <hyperlink ref="G340" location="Transfers!B458" display="N"/>
    <hyperlink ref="H340" location="Transfers!B459" display="N"/>
    <hyperlink ref="I340" location="Transfers!B460" display="N"/>
    <hyperlink ref="J340" location="Transfers!B461" display="N"/>
    <hyperlink ref="L340" location="Transfers!B463" display="N"/>
    <hyperlink ref="M340" location="Transfers!B464" display="N"/>
    <hyperlink ref="B341" location="Transfers!B465" display="Y"/>
    <hyperlink ref="C341" location="Transfers!B466" display="N"/>
    <hyperlink ref="D341" location="Transfers!B467" display="N"/>
    <hyperlink ref="E341" location="Transfers!B468" display="N"/>
    <hyperlink ref="F341" location="Transfers!B469" display="N"/>
    <hyperlink ref="G341" location="Transfers!B470" display="N"/>
    <hyperlink ref="H341" location="Transfers!B471" display="Y"/>
    <hyperlink ref="I341" location="Transfers!B472" display="N"/>
    <hyperlink ref="J341" location="Transfers!B473" display="N"/>
    <hyperlink ref="K341" location="Transfers!B474" display="N"/>
    <hyperlink ref="M341" location="Transfers!B476" display="N"/>
    <hyperlink ref="B342" location="Transfers!B477" display="N"/>
    <hyperlink ref="C342" location="Transfers!B478" display="Y"/>
    <hyperlink ref="D342" location="Transfers!B479" display="N"/>
    <hyperlink ref="E342" location="Transfers!B480" display="N"/>
    <hyperlink ref="F342" location="Transfers!B481" display="N"/>
    <hyperlink ref="G342" location="Transfers!B482" display="N"/>
    <hyperlink ref="H342" location="Transfers!B483" display="N"/>
    <hyperlink ref="I342" location="Transfers!B484" display="Y"/>
    <hyperlink ref="J342" location="Transfers!B485" display="N"/>
    <hyperlink ref="K342" location="Transfers!B486" display="N"/>
    <hyperlink ref="L342" location="Transfers!B487" display="N"/>
    <hyperlink ref="B346" location="Transfers!$C$331" display="Transfers!$C$331"/>
    <hyperlink ref="B347" location="Transfers!$D$331" display="Transfers!$D$331"/>
    <hyperlink ref="B348" location="Transfers!$E$331" display="Transfers!$E$331"/>
    <hyperlink ref="B349" location="Transfers!$F$331" display="Transfers!$F$331"/>
    <hyperlink ref="B350" location="Transfers!$G$331" display="Transfers!$G$331"/>
    <hyperlink ref="B351" location="Transfers!$H$331" display="Transfers!$H$331"/>
    <hyperlink ref="B352" location="Transfers!$I$331" display="Transfers!$I$331"/>
    <hyperlink ref="B353" location="Transfers!$J$331" display="Transfers!$J$331"/>
    <hyperlink ref="B354" location="Transfers!$K$331" display="Transfers!$K$331"/>
    <hyperlink ref="B355" location="Transfers!$L$331" display="Transfers!$L$331"/>
    <hyperlink ref="B356" location="Transfers!$M$331" display="Transfers!$M$331"/>
    <hyperlink ref="B357" location="Transfers!$B$332" display="Transfers!$B$332"/>
    <hyperlink ref="B359" location="Transfers!$D$332" display="Transfers!$D$332"/>
    <hyperlink ref="B360" location="Transfers!$E$332" display="Transfers!$E$332"/>
    <hyperlink ref="B361" location="Transfers!$F$332" display="Transfers!$F$332"/>
    <hyperlink ref="B362" location="Transfers!$G$332" display="Transfers!$G$332"/>
    <hyperlink ref="B363" location="Transfers!$H$332" display="Transfers!$H$332"/>
    <hyperlink ref="B364" location="Transfers!$I$332" display="Transfers!$I$332"/>
    <hyperlink ref="B365" location="Transfers!$J$332" display="Transfers!$J$332"/>
    <hyperlink ref="B366" location="Transfers!$K$332" display="Transfers!$K$332"/>
    <hyperlink ref="B367" location="Transfers!$L$332" display="Transfers!$L$332"/>
    <hyperlink ref="B368" location="Transfers!$M$332" display="Transfers!$M$332"/>
    <hyperlink ref="B369" location="Transfers!$B$333" display="Transfers!$B$333"/>
    <hyperlink ref="B370" location="Transfers!$C$333" display="Transfers!$C$333"/>
    <hyperlink ref="B372" location="Transfers!$E$333" display="Transfers!$E$333"/>
    <hyperlink ref="B373" location="Transfers!$F$333" display="Transfers!$F$333"/>
    <hyperlink ref="B374" location="Transfers!$G$333" display="Transfers!$G$333"/>
    <hyperlink ref="B375" location="Transfers!$H$333" display="Transfers!$H$333"/>
    <hyperlink ref="B376" location="Transfers!$I$333" display="Transfers!$I$333"/>
    <hyperlink ref="B377" location="Transfers!$J$333" display="Transfers!$J$333"/>
    <hyperlink ref="B378" location="Transfers!$K$333" display="Transfers!$K$333"/>
    <hyperlink ref="B379" location="Transfers!$L$333" display="Transfers!$L$333"/>
    <hyperlink ref="B380" location="Transfers!$M$333" display="Transfers!$M$333"/>
    <hyperlink ref="B381" location="Transfers!$B$334" display="Transfers!$B$334"/>
    <hyperlink ref="B382" location="Transfers!$C$334" display="Transfers!$C$334"/>
    <hyperlink ref="B383" location="Transfers!$D$334" display="Transfers!$D$334"/>
    <hyperlink ref="B385" location="Transfers!$F$334" display="Transfers!$F$334"/>
    <hyperlink ref="B386" location="Transfers!$G$334" display="Transfers!$G$334"/>
    <hyperlink ref="B387" location="Transfers!$H$334" display="Transfers!$H$334"/>
    <hyperlink ref="B388" location="Transfers!$I$334" display="Transfers!$I$334"/>
    <hyperlink ref="B389" location="Transfers!$J$334" display="Transfers!$J$334"/>
    <hyperlink ref="B390" location="Transfers!$K$334" display="Transfers!$K$334"/>
    <hyperlink ref="B391" location="Transfers!$L$334" display="Transfers!$L$334"/>
    <hyperlink ref="B392" location="Transfers!$M$334" display="Transfers!$M$334"/>
    <hyperlink ref="B393" location="Transfers!$B$335" display="Transfers!$B$335"/>
    <hyperlink ref="B394" location="Transfers!$C$335" display="Transfers!$C$335"/>
    <hyperlink ref="B395" location="Transfers!$D$335" display="Transfers!$D$335"/>
    <hyperlink ref="B396" location="Transfers!$E$335" display="Transfers!$E$335"/>
    <hyperlink ref="B398" location="Transfers!$G$335" display="Transfers!$G$335"/>
    <hyperlink ref="B399" location="Transfers!$H$335" display="Transfers!$H$335"/>
    <hyperlink ref="B400" location="Transfers!$I$335" display="Transfers!$I$335"/>
    <hyperlink ref="B401" location="Transfers!$J$335" display="Transfers!$J$335"/>
    <hyperlink ref="B402" location="Transfers!$K$335" display="Transfers!$K$335"/>
    <hyperlink ref="B403" location="Transfers!$L$335" display="Transfers!$L$335"/>
    <hyperlink ref="B404" location="Transfers!$M$335" display="Transfers!$M$335"/>
    <hyperlink ref="B405" location="Transfers!$B$336" display="Transfers!$B$336"/>
    <hyperlink ref="B406" location="Transfers!$C$336" display="Transfers!$C$336"/>
    <hyperlink ref="B407" location="Transfers!$D$336" display="Transfers!$D$336"/>
    <hyperlink ref="B408" location="Transfers!$E$336" display="Transfers!$E$336"/>
    <hyperlink ref="B409" location="Transfers!$F$336" display="Transfers!$F$336"/>
    <hyperlink ref="B411" location="Transfers!$H$336" display="Transfers!$H$336"/>
    <hyperlink ref="B412" location="Transfers!$I$336" display="Transfers!$I$336"/>
    <hyperlink ref="B413" location="Transfers!$J$336" display="Transfers!$J$336"/>
    <hyperlink ref="B414" location="Transfers!$K$336" display="Transfers!$K$336"/>
    <hyperlink ref="B415" location="Transfers!$L$336" display="Transfers!$L$336"/>
    <hyperlink ref="B416" location="Transfers!$M$336" display="Transfers!$M$336"/>
    <hyperlink ref="B417" location="Transfers!$B$337" display="Transfers!$B$337"/>
    <hyperlink ref="B418" location="Transfers!$C$337" display="Transfers!$C$337"/>
    <hyperlink ref="B419" location="Transfers!$D$337" display="Transfers!$D$337"/>
    <hyperlink ref="B420" location="Transfers!$E$337" display="Transfers!$E$337"/>
    <hyperlink ref="B421" location="Transfers!$F$337" display="Transfers!$F$337"/>
    <hyperlink ref="B422" location="Transfers!$G$337" display="Transfers!$G$337"/>
    <hyperlink ref="B424" location="Transfers!$I$337" display="Transfers!$I$337"/>
    <hyperlink ref="B425" location="Transfers!$J$337" display="Transfers!$J$337"/>
    <hyperlink ref="B426" location="Transfers!$K$337" display="Transfers!$K$337"/>
    <hyperlink ref="B427" location="Transfers!$L$337" display="Transfers!$L$337"/>
    <hyperlink ref="B428" location="Transfers!$M$337" display="Transfers!$M$337"/>
    <hyperlink ref="B429" location="Transfers!$B$338" display="Transfers!$B$338"/>
    <hyperlink ref="B430" location="Transfers!$C$338" display="Transfers!$C$338"/>
    <hyperlink ref="B431" location="Transfers!$D$338" display="Transfers!$D$338"/>
    <hyperlink ref="B432" location="Transfers!$E$338" display="Transfers!$E$338"/>
    <hyperlink ref="B433" location="Transfers!$F$338" display="Transfers!$F$338"/>
    <hyperlink ref="B434" location="Transfers!$G$338" display="Transfers!$G$338"/>
    <hyperlink ref="B435" location="Transfers!$H$338" display="Transfers!$H$338"/>
    <hyperlink ref="B437" location="Transfers!$J$338" display="Transfers!$J$338"/>
    <hyperlink ref="B438" location="Transfers!$K$338" display="Transfers!$K$338"/>
    <hyperlink ref="B439" location="Transfers!$L$338" display="Transfers!$L$338"/>
    <hyperlink ref="B440" location="Transfers!$M$338" display="Transfers!$M$338"/>
    <hyperlink ref="B441" location="Transfers!$B$339" display="Transfers!$B$339"/>
    <hyperlink ref="B442" location="Transfers!$C$339" display="Transfers!$C$339"/>
    <hyperlink ref="B443" location="Transfers!$D$339" display="Transfers!$D$339"/>
    <hyperlink ref="B444" location="Transfers!$E$339" display="Transfers!$E$339"/>
    <hyperlink ref="B445" location="Transfers!$F$339" display="Transfers!$F$339"/>
    <hyperlink ref="B446" location="Transfers!$G$339" display="Transfers!$G$339"/>
    <hyperlink ref="B447" location="Transfers!$H$339" display="Transfers!$H$339"/>
    <hyperlink ref="B448" location="Transfers!$I$339" display="Transfers!$I$339"/>
    <hyperlink ref="B450" location="Transfers!$K$339" display="Transfers!$K$339"/>
    <hyperlink ref="B451" location="Transfers!$L$339" display="Transfers!$L$339"/>
    <hyperlink ref="B452" location="Transfers!$M$339" display="Transfers!$M$339"/>
    <hyperlink ref="B453" location="Transfers!$B$340" display="Transfers!$B$340"/>
    <hyperlink ref="B454" location="Transfers!$C$340" display="Transfers!$C$340"/>
    <hyperlink ref="B455" location="Transfers!$D$340" display="Transfers!$D$340"/>
    <hyperlink ref="B456" location="Transfers!$E$340" display="Transfers!$E$340"/>
    <hyperlink ref="B457" location="Transfers!$F$340" display="Transfers!$F$340"/>
    <hyperlink ref="B458" location="Transfers!$G$340" display="Transfers!$G$340"/>
    <hyperlink ref="B459" location="Transfers!$H$340" display="Transfers!$H$340"/>
    <hyperlink ref="B460" location="Transfers!$I$340" display="Transfers!$I$340"/>
    <hyperlink ref="B461" location="Transfers!$J$340" display="Transfers!$J$340"/>
    <hyperlink ref="B463" location="Transfers!$L$340" display="Transfers!$L$340"/>
    <hyperlink ref="B464" location="Transfers!$M$340" display="Transfers!$M$340"/>
    <hyperlink ref="B465" location="Transfers!$B$341" display="Transfers!$B$341"/>
    <hyperlink ref="B466" location="Transfers!$C$341" display="Transfers!$C$341"/>
    <hyperlink ref="B467" location="Transfers!$D$341" display="Transfers!$D$341"/>
    <hyperlink ref="B468" location="Transfers!$E$341" display="Transfers!$E$341"/>
    <hyperlink ref="B469" location="Transfers!$F$341" display="Transfers!$F$341"/>
    <hyperlink ref="B470" location="Transfers!$G$341" display="Transfers!$G$341"/>
    <hyperlink ref="B471" location="Transfers!$H$341" display="Transfers!$H$341"/>
    <hyperlink ref="B472" location="Transfers!$I$341" display="Transfers!$I$341"/>
    <hyperlink ref="B473" location="Transfers!$J$341" display="Transfers!$J$341"/>
    <hyperlink ref="B474" location="Transfers!$K$341" display="Transfers!$K$341"/>
    <hyperlink ref="B476" location="Transfers!$M$341" display="Transfers!$M$341"/>
    <hyperlink ref="B477" location="Transfers!$B$342" display="Transfers!$B$342"/>
    <hyperlink ref="B478" location="Transfers!$C$342" display="Transfers!$C$342"/>
    <hyperlink ref="B479" location="Transfers!$D$342" display="Transfers!$D$342"/>
    <hyperlink ref="B480" location="Transfers!$E$342" display="Transfers!$E$342"/>
    <hyperlink ref="B481" location="Transfers!$F$342" display="Transfers!$F$342"/>
    <hyperlink ref="B482" location="Transfers!$G$342" display="Transfers!$G$342"/>
    <hyperlink ref="B483" location="Transfers!$H$342" display="Transfers!$H$342"/>
    <hyperlink ref="B484" location="Transfers!$I$342" display="Transfers!$I$342"/>
    <hyperlink ref="B485" location="Transfers!$J$342" display="Transfers!$J$342"/>
    <hyperlink ref="B486" location="Transfers!$K$342" display="Transfers!$K$342"/>
    <hyperlink ref="B487" location="Transfers!$L$342" display="Transfers!$L$342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DC9346A4EFF44B9278E035670E998A" ma:contentTypeVersion="9" ma:contentTypeDescription="Create a new document." ma:contentTypeScope="" ma:versionID="b6002ac4d6852791cc52372fb08f1f93">
  <xsd:schema xmlns:xsd="http://www.w3.org/2001/XMLSchema" xmlns:xs="http://www.w3.org/2001/XMLSchema" xmlns:p="http://schemas.microsoft.com/office/2006/metadata/properties" xmlns:ns2="460e4ad2-c64b-4f67-8552-094351f252e3" targetNamespace="http://schemas.microsoft.com/office/2006/metadata/properties" ma:root="true" ma:fieldsID="d81800e77b8320248f69566da91fdce8" ns2:_="">
    <xsd:import namespace="460e4ad2-c64b-4f67-8552-094351f252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0e4ad2-c64b-4f67-8552-094351f252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0e4ad2-c64b-4f67-8552-094351f252e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D21CE7D2-9F67-4D6E-BA8A-1F9FB1A38E82}"/>
</file>

<file path=customXml/itemProps2.xml><?xml version="1.0" encoding="utf-8"?>
<ds:datastoreItem xmlns:ds="http://schemas.openxmlformats.org/officeDocument/2006/customXml" ds:itemID="{57A68E18-DB3F-432F-AF14-71FB1922ADB5}"/>
</file>

<file path=customXml/itemProps3.xml><?xml version="1.0" encoding="utf-8"?>
<ds:datastoreItem xmlns:ds="http://schemas.openxmlformats.org/officeDocument/2006/customXml" ds:itemID="{FCF45926-684E-40E3-96FC-BD5CA63B23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Population Definitions</vt:lpstr>
      <vt:lpstr>Disease Burden</vt:lpstr>
      <vt:lpstr>Demographics</vt:lpstr>
      <vt:lpstr>Infectiousness</vt:lpstr>
      <vt:lpstr>Disease Progression</vt:lpstr>
      <vt:lpstr>Diagnosis</vt:lpstr>
      <vt:lpstr>Loss to follow-up</vt:lpstr>
      <vt:lpstr>Re-engagement</vt:lpstr>
      <vt:lpstr>Treatment</vt:lpstr>
      <vt:lpstr>Liver Transplant</vt:lpstr>
      <vt:lpstr>Overall Indicators</vt:lpstr>
      <vt:lpstr>Initialization</vt:lpstr>
      <vt:lpstr>Care Cascade</vt:lpstr>
      <vt:lpstr>Other intermediate pars</vt:lpstr>
      <vt:lpstr>Vaccine parameters</vt:lpstr>
      <vt:lpstr>Interactions</vt:lpstr>
      <vt:lpstr>Transfers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2025-08-04T07:05:44Z</dcterms:created>
  <dcterms:modified xsi:type="dcterms:W3CDTF">2025-08-04T07:05:44Z</dcterms:modified>
  <cp:category>atomica:databook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0x01010042DC9346A4EFF44B9278E035670E998A</vt:lpwstr>
  </property>
</Properties>
</file>