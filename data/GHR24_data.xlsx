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netinstitute.sharepoint.com/sites/WG-Modelling-HCVvaccinemodel/Shared Documents/HCV vaccine model/HCV vaccine model/Data/Global hepatitis report 2024/"/>
    </mc:Choice>
  </mc:AlternateContent>
  <xr:revisionPtr revIDLastSave="437" documentId="8_{A1026545-0418-4093-8749-5A4EB82A0095}" xr6:coauthVersionLast="47" xr6:coauthVersionMax="47" xr10:uidLastSave="{6D6F76F9-61DA-4885-812F-92F497C95326}"/>
  <bookViews>
    <workbookView xWindow="-28920" yWindow="-120" windowWidth="29040" windowHeight="15840" firstSheet="3" activeTab="4" xr2:uid="{D032447E-1D0C-4CA4-8F62-322765267C10}"/>
  </bookViews>
  <sheets>
    <sheet name="Table2.2 Regional inci pwid" sheetId="1" r:id="rId1"/>
    <sheet name="Table2.2 Regional inci HC" sheetId="2" r:id="rId2"/>
    <sheet name="Table2.4 Regional inci mort" sheetId="3" r:id="rId3"/>
    <sheet name="Table2.5 Regional prev" sheetId="4" r:id="rId4"/>
    <sheet name="Table2.8 Countries high burden" sheetId="5" r:id="rId5"/>
    <sheet name="Table2.10 Regional t&amp;t cov" sheetId="6" r:id="rId6"/>
    <sheet name="Table2.11 Countries burden" sheetId="7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Farah Houdroge</author>
  </authors>
  <commentList>
    <comment ref="E21" authorId="0" shapeId="0" xr:uid="{24200FCF-91B9-4685-9254-201527D5DA62}">
      <text>
        <r>
          <rPr>
            <b/>
            <sz val="9"/>
            <color indexed="81"/>
            <rFont val="Tahoma"/>
            <charset val="1"/>
          </rPr>
          <t>Farah Houdroge:</t>
        </r>
        <r>
          <rPr>
            <sz val="9"/>
            <color indexed="81"/>
            <rFont val="Tahoma"/>
            <charset val="1"/>
          </rPr>
          <t xml:space="preserve">
converted from 1.5 per 100 000</t>
        </r>
      </text>
    </comment>
  </commentList>
</comments>
</file>

<file path=xl/sharedStrings.xml><?xml version="1.0" encoding="utf-8"?>
<sst xmlns="http://schemas.openxmlformats.org/spreadsheetml/2006/main" count="220" uniqueCount="141">
  <si>
    <t>WHO region</t>
  </si>
  <si>
    <t>African Region</t>
  </si>
  <si>
    <t>Region of the Americas</t>
  </si>
  <si>
    <t>South-East Asia Region</t>
  </si>
  <si>
    <t>European Region</t>
  </si>
  <si>
    <t>Eastern Mediterranean Region</t>
  </si>
  <si>
    <t>Western Pacific Region</t>
  </si>
  <si>
    <t>Global</t>
  </si>
  <si>
    <t>Number of countries included</t>
  </si>
  <si>
    <t>13/50 (26%)</t>
  </si>
  <si>
    <t>9/39 (23%)</t>
  </si>
  <si>
    <t>8/11 (73%)</t>
  </si>
  <si>
    <t>50/51 (98%)</t>
  </si>
  <si>
    <t>13/22 (59%)</t>
  </si>
  <si>
    <t>12/27 (44%)</t>
  </si>
  <si>
    <t>105/200 (52%)</t>
  </si>
  <si>
    <t>Population-size weighted hepatitis C incidence rate per 100 person-years</t>
  </si>
  <si>
    <t>2.1 (1.3–3.2)</t>
  </si>
  <si>
    <t>14.3 (10.9–18.2)</t>
  </si>
  <si>
    <t>11.7 (9.9–13.7)</t>
  </si>
  <si>
    <t>14.8 (12.5–17.3)</t>
  </si>
  <si>
    <t>7.9 (6.8–9.2)</t>
  </si>
  <si>
    <t>15.8 (13.2–18.9)</t>
  </si>
  <si>
    <t>12.2 (10.8–13.9)</t>
  </si>
  <si>
    <t>Contribution of injecting drug use to new hepatitis C infections</t>
  </si>
  <si>
    <t>13.5% (10.9–15.6%)</t>
  </si>
  <si>
    <t>92.4% (91.3–93.4%)</t>
  </si>
  <si>
    <t>35.4% (28.8–43.4%)</t>
  </si>
  <si>
    <t>72.9% (58.3–78.6%)</t>
  </si>
  <si>
    <t>7.9% (6.6–9.4%)</t>
  </si>
  <si>
    <t>90.4% (87.7–91.7%)</t>
  </si>
  <si>
    <t>43.6% (33.9%–52.5%)</t>
  </si>
  <si>
    <t>Contribution of unsafe medical injections to new hepatitis C infections</t>
  </si>
  <si>
    <t>5.0% (3.2–7.5%)</t>
  </si>
  <si>
    <t>4.0% (2.4 –6.2%)</t>
  </si>
  <si>
    <t>21.2% (13.8–30.0%)</t>
  </si>
  <si>
    <t>17.9% (10.9–27.3%)</t>
  </si>
  <si>
    <t>14.3% (9.0–20.4%)</t>
  </si>
  <si>
    <t>6.1% (3.8–9.4%)</t>
  </si>
  <si>
    <t>13.8% (8.8–19.8%)</t>
  </si>
  <si>
    <t>New hepatitis C infections</t>
  </si>
  <si>
    <t>Number of deaths caused by hepatitis C</t>
  </si>
  <si>
    <t>Prevalence of chronic viral hepatitis C among the general population (%)</t>
  </si>
  <si>
    <t>Total hepatitis C infections (all ages)</t>
  </si>
  <si>
    <t>Country</t>
  </si>
  <si>
    <t>Proportion of total hepatitis C infections (%)</t>
  </si>
  <si>
    <t>Pakistan</t>
  </si>
  <si>
    <t>India</t>
  </si>
  <si>
    <t>China</t>
  </si>
  <si>
    <t>Russian Federation</t>
  </si>
  <si>
    <t>United States of America</t>
  </si>
  <si>
    <t>Indonesia</t>
  </si>
  <si>
    <t>Nigeria</t>
  </si>
  <si>
    <t>Ukraine</t>
  </si>
  <si>
    <t>Uzbekistan</t>
  </si>
  <si>
    <t>Bangladesh</t>
  </si>
  <si>
    <t>Viet Nam</t>
  </si>
  <si>
    <t>Ethiopia</t>
  </si>
  <si>
    <t>Mexico</t>
  </si>
  <si>
    <t>Brazil</t>
  </si>
  <si>
    <t>Malaysia</t>
  </si>
  <si>
    <t>European Region*</t>
  </si>
  <si>
    <t>Total number of hepatitis
C infections including cured (all ages) in 2022</t>
  </si>
  <si>
    <t>Number of people with hepatitis C infection diagnosed (including those cured), end 2022</t>
  </si>
  <si>
    <t>Number of people receiving
hepatitis C treatment, end 2022</t>
  </si>
  <si>
    <t>Diagnosis coverage, end 2022 (%)</t>
  </si>
  <si>
    <t>Treatment coverage, end 2022 (%)</t>
  </si>
  <si>
    <t>Treatment coverage, (of all infected), end 2022</t>
  </si>
  <si>
    <t>Diagnosis coverage (total), end 2022</t>
  </si>
  <si>
    <t>Number of deaths caused by hepatitis C infection</t>
  </si>
  <si>
    <t>Hepatitis C incidence</t>
  </si>
  <si>
    <t>Total hepatitis C infections (all ages) in 2022</t>
  </si>
  <si>
    <t>Region</t>
  </si>
  <si>
    <t>Cameroon</t>
  </si>
  <si>
    <t>Côte d'Ivoire</t>
  </si>
  <si>
    <t>Ghana</t>
  </si>
  <si>
    <t>Rwanda</t>
  </si>
  <si>
    <t>Democratic Republic of the Congo</t>
  </si>
  <si>
    <t>South Africa</t>
  </si>
  <si>
    <t>Uganda</t>
  </si>
  <si>
    <t>United Republic of Tanzania</t>
  </si>
  <si>
    <t>Colombia</t>
  </si>
  <si>
    <t>Peru</t>
  </si>
  <si>
    <t xml:space="preserve">India      </t>
  </si>
  <si>
    <t xml:space="preserve">Indonesia        </t>
  </si>
  <si>
    <t xml:space="preserve">Myanmar                      </t>
  </si>
  <si>
    <t xml:space="preserve">Thailand                    </t>
  </si>
  <si>
    <t>Georgia</t>
  </si>
  <si>
    <t>Kyrgyzstan</t>
  </si>
  <si>
    <t>Republic of Moldova</t>
  </si>
  <si>
    <t xml:space="preserve">Egypt                        </t>
  </si>
  <si>
    <t xml:space="preserve">Morocco                   </t>
  </si>
  <si>
    <t xml:space="preserve">Pakistan                 </t>
  </si>
  <si>
    <t xml:space="preserve">Sudan                  </t>
  </si>
  <si>
    <t xml:space="preserve">Yemen                     </t>
  </si>
  <si>
    <t>Mongolia</t>
  </si>
  <si>
    <t>Niue</t>
  </si>
  <si>
    <t>Philippines</t>
  </si>
  <si>
    <t>Cambodia</t>
  </si>
  <si>
    <t>Lao People's Democratic Republic</t>
  </si>
  <si>
    <t>Vanuatu</t>
  </si>
  <si>
    <t xml:space="preserve">Viet Nam     </t>
  </si>
  <si>
    <t>ISO3</t>
  </si>
  <si>
    <t>CMR</t>
  </si>
  <si>
    <t>ETH</t>
  </si>
  <si>
    <t>GHA</t>
  </si>
  <si>
    <t>NGA</t>
  </si>
  <si>
    <t>RWA</t>
  </si>
  <si>
    <t>ZAF</t>
  </si>
  <si>
    <t>UGA</t>
  </si>
  <si>
    <t>TZA</t>
  </si>
  <si>
    <t>BRA</t>
  </si>
  <si>
    <t>MEX</t>
  </si>
  <si>
    <t>BGD</t>
  </si>
  <si>
    <t>GEO</t>
  </si>
  <si>
    <t>KGZ</t>
  </si>
  <si>
    <t>RUS</t>
  </si>
  <si>
    <t>UKR</t>
  </si>
  <si>
    <t>UZB</t>
  </si>
  <si>
    <t>KHM</t>
  </si>
  <si>
    <t>CHN</t>
  </si>
  <si>
    <t>PHL</t>
  </si>
  <si>
    <t>CIV</t>
  </si>
  <si>
    <t>COD</t>
  </si>
  <si>
    <t>COL</t>
  </si>
  <si>
    <t>PER</t>
  </si>
  <si>
    <t>IND</t>
  </si>
  <si>
    <t>IDN</t>
  </si>
  <si>
    <t>MMR</t>
  </si>
  <si>
    <t>THA</t>
  </si>
  <si>
    <t>MDA</t>
  </si>
  <si>
    <t>EGY</t>
  </si>
  <si>
    <t>MAR</t>
  </si>
  <si>
    <t>PAK</t>
  </si>
  <si>
    <t>SDN</t>
  </si>
  <si>
    <t>YEM</t>
  </si>
  <si>
    <t>LAO</t>
  </si>
  <si>
    <t>MNG</t>
  </si>
  <si>
    <t>NIU</t>
  </si>
  <si>
    <t>VUT</t>
  </si>
  <si>
    <t>VNM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</si>
</sst>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_ ;\-#,##0\ "/>
    <numFmt numFmtId="165" formatCode="_-* #,##0_-;\-* #,##0_-;_-* &quot;-&quot;??_-;_-@_-"/>
    <numFmt numFmtId="166" formatCode="0.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Calibri"/>
    </font>
    <font>
      <sz val="9"/>
      <name val="Source Sans 3"/>
    </font>
    <font>
      <sz val="9"/>
      <name val="Source Sans 9"/>
    </font>
    <font>
      <sz val="11"/>
      <color theme="1"/>
      <name val="Source Sans 9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rgb="FFE4EDCF"/>
      </patternFill>
    </fill>
    <fill>
      <patternFill patternType="solid">
        <fgColor rgb="FFC8DB9A"/>
      </patternFill>
    </fill>
    <fill>
      <patternFill patternType="solid">
        <fgColor rgb="FFEFF5FC"/>
      </patternFill>
    </fill>
    <fill>
      <patternFill patternType="solid">
        <fgColor rgb="FFECE7F3"/>
      </patternFill>
    </fill>
    <fill>
      <patternFill patternType="solid">
        <fgColor rgb="FFF5EBF5"/>
      </patternFill>
    </fill>
    <fill>
      <patternFill patternType="solid">
        <fgColor rgb="FFFDEEEA"/>
      </patternFill>
    </fill>
    <fill>
      <patternFill patternType="solid">
        <fgColor rgb="FFFEF1E8"/>
      </patternFill>
    </fill>
    <fill>
      <patternFill patternType="solid">
        <fgColor rgb="FFFFF7EA"/>
      </patternFill>
    </fill>
    <fill>
      <patternFill patternType="solid">
        <fgColor rgb="FFF5F8ED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3" fillId="4" borderId="2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top" wrapText="1"/>
    </xf>
    <xf numFmtId="0" fontId="3" fillId="7" borderId="2" xfId="0" applyFont="1" applyFill="1" applyBorder="1" applyAlignment="1">
      <alignment horizontal="left" vertical="top" wrapText="1"/>
    </xf>
    <xf numFmtId="0" fontId="3" fillId="8" borderId="2" xfId="0" applyFont="1" applyFill="1" applyBorder="1" applyAlignment="1">
      <alignment horizontal="left" vertical="top" wrapText="1"/>
    </xf>
    <xf numFmtId="0" fontId="3" fillId="9" borderId="2" xfId="0" applyFont="1" applyFill="1" applyBorder="1" applyAlignment="1">
      <alignment horizontal="left" vertical="top" wrapText="1"/>
    </xf>
    <xf numFmtId="0" fontId="3" fillId="10" borderId="2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/>
    </xf>
    <xf numFmtId="0" fontId="3" fillId="4" borderId="2" xfId="0" applyFont="1" applyFill="1" applyBorder="1" applyAlignment="1">
      <alignment horizontal="left" vertical="top"/>
    </xf>
    <xf numFmtId="0" fontId="3" fillId="5" borderId="2" xfId="0" applyFont="1" applyFill="1" applyBorder="1" applyAlignment="1">
      <alignment horizontal="left" vertical="top"/>
    </xf>
    <xf numFmtId="0" fontId="3" fillId="6" borderId="2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/>
    </xf>
    <xf numFmtId="0" fontId="3" fillId="8" borderId="2" xfId="0" applyFont="1" applyFill="1" applyBorder="1" applyAlignment="1">
      <alignment horizontal="left" vertical="top"/>
    </xf>
    <xf numFmtId="0" fontId="3" fillId="9" borderId="2" xfId="0" applyFont="1" applyFill="1" applyBorder="1" applyAlignment="1">
      <alignment horizontal="left" vertical="top"/>
    </xf>
    <xf numFmtId="0" fontId="3" fillId="10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vertical="top"/>
    </xf>
    <xf numFmtId="0" fontId="4" fillId="11" borderId="1" xfId="0" applyFont="1" applyFill="1" applyBorder="1" applyAlignment="1">
      <alignment vertical="top"/>
    </xf>
    <xf numFmtId="0" fontId="5" fillId="0" borderId="0" xfId="0" applyFont="1"/>
    <xf numFmtId="9" fontId="0" fillId="0" borderId="0" xfId="0" applyNumberFormat="1"/>
    <xf numFmtId="9" fontId="0" fillId="0" borderId="0" xfId="2" applyFont="1"/>
    <xf numFmtId="164" fontId="0" fillId="0" borderId="0" xfId="1" applyNumberFormat="1" applyFont="1"/>
    <xf numFmtId="165" fontId="3" fillId="4" borderId="2" xfId="1" applyNumberFormat="1" applyFont="1" applyFill="1" applyBorder="1" applyAlignment="1">
      <alignment horizontal="left" vertical="top"/>
    </xf>
    <xf numFmtId="165" fontId="3" fillId="5" borderId="2" xfId="1" applyNumberFormat="1" applyFont="1" applyFill="1" applyBorder="1" applyAlignment="1">
      <alignment horizontal="left" vertical="top"/>
    </xf>
    <xf numFmtId="165" fontId="3" fillId="6" borderId="2" xfId="1" applyNumberFormat="1" applyFont="1" applyFill="1" applyBorder="1" applyAlignment="1">
      <alignment horizontal="left" vertical="top"/>
    </xf>
    <xf numFmtId="165" fontId="3" fillId="7" borderId="2" xfId="1" applyNumberFormat="1" applyFont="1" applyFill="1" applyBorder="1" applyAlignment="1">
      <alignment horizontal="left" vertical="top"/>
    </xf>
    <xf numFmtId="165" fontId="3" fillId="8" borderId="2" xfId="1" applyNumberFormat="1" applyFont="1" applyFill="1" applyBorder="1" applyAlignment="1">
      <alignment horizontal="left" vertical="top"/>
    </xf>
    <xf numFmtId="165" fontId="3" fillId="9" borderId="2" xfId="1" applyNumberFormat="1" applyFont="1" applyFill="1" applyBorder="1" applyAlignment="1">
      <alignment horizontal="left" vertical="top"/>
    </xf>
    <xf numFmtId="165" fontId="4" fillId="11" borderId="1" xfId="1" applyNumberFormat="1" applyFont="1" applyFill="1" applyBorder="1" applyAlignment="1">
      <alignment vertical="top"/>
    </xf>
    <xf numFmtId="165" fontId="3" fillId="10" borderId="2" xfId="1" applyNumberFormat="1" applyFont="1" applyFill="1" applyBorder="1" applyAlignment="1">
      <alignment horizontal="left" vertical="top"/>
    </xf>
    <xf numFmtId="166" fontId="3" fillId="4" borderId="2" xfId="2" applyNumberFormat="1" applyFont="1" applyFill="1" applyBorder="1" applyAlignment="1">
      <alignment horizontal="right" vertical="top"/>
    </xf>
    <xf numFmtId="166" fontId="3" fillId="5" borderId="2" xfId="2" applyNumberFormat="1" applyFont="1" applyFill="1" applyBorder="1" applyAlignment="1">
      <alignment horizontal="right" vertical="top"/>
    </xf>
    <xf numFmtId="166" fontId="3" fillId="6" borderId="2" xfId="2" applyNumberFormat="1" applyFont="1" applyFill="1" applyBorder="1" applyAlignment="1">
      <alignment horizontal="right" vertical="top"/>
    </xf>
    <xf numFmtId="166" fontId="3" fillId="7" borderId="2" xfId="2" applyNumberFormat="1" applyFont="1" applyFill="1" applyBorder="1" applyAlignment="1">
      <alignment horizontal="right" vertical="top"/>
    </xf>
    <xf numFmtId="166" fontId="3" fillId="8" borderId="2" xfId="2" applyNumberFormat="1" applyFont="1" applyFill="1" applyBorder="1" applyAlignment="1">
      <alignment horizontal="right" vertical="top"/>
    </xf>
    <xf numFmtId="166" fontId="3" fillId="9" borderId="2" xfId="2" applyNumberFormat="1" applyFont="1" applyFill="1" applyBorder="1" applyAlignment="1">
      <alignment horizontal="right" vertical="top"/>
    </xf>
    <xf numFmtId="166" fontId="0" fillId="0" borderId="0" xfId="2" applyNumberFormat="1" applyFont="1" applyAlignment="1">
      <alignment horizontal="right"/>
    </xf>
    <xf numFmtId="166" fontId="3" fillId="10" borderId="2" xfId="2" applyNumberFormat="1" applyFont="1" applyFill="1" applyBorder="1" applyAlignment="1">
      <alignment horizontal="right" vertical="top"/>
    </xf>
    <xf numFmtId="9" fontId="3" fillId="4" borderId="2" xfId="2" applyFont="1" applyFill="1" applyBorder="1" applyAlignment="1">
      <alignment horizontal="right" vertical="top"/>
    </xf>
    <xf numFmtId="9" fontId="3" fillId="5" borderId="2" xfId="2" applyFont="1" applyFill="1" applyBorder="1" applyAlignment="1">
      <alignment horizontal="right" vertical="top"/>
    </xf>
    <xf numFmtId="9" fontId="3" fillId="6" borderId="2" xfId="2" applyFont="1" applyFill="1" applyBorder="1" applyAlignment="1">
      <alignment horizontal="right" vertical="top"/>
    </xf>
    <xf numFmtId="9" fontId="3" fillId="7" borderId="2" xfId="2" applyFont="1" applyFill="1" applyBorder="1" applyAlignment="1">
      <alignment horizontal="right" vertical="top"/>
    </xf>
    <xf numFmtId="9" fontId="3" fillId="8" borderId="2" xfId="2" applyFont="1" applyFill="1" applyBorder="1" applyAlignment="1">
      <alignment horizontal="right" vertical="top"/>
    </xf>
    <xf numFmtId="9" fontId="3" fillId="9" borderId="2" xfId="2" applyFont="1" applyFill="1" applyBorder="1" applyAlignment="1">
      <alignment horizontal="right" vertical="top"/>
    </xf>
    <xf numFmtId="9" fontId="4" fillId="11" borderId="1" xfId="2" applyFont="1" applyFill="1" applyBorder="1" applyAlignment="1">
      <alignment horizontal="right" vertical="top"/>
    </xf>
    <xf numFmtId="1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_ ;\-#,##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_ ;\-#,##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_ ;\-#,##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_ ;\-#,##0\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urnetinstitute.sharepoint.com/sites/WG-Modelling-HCVvaccinemodel/Shared%20Documents/HCV%20vaccine%20model/HCV%20vaccine%20model/Data/Population/output_population.xlsx" TargetMode="External"/><Relationship Id="rId1" Type="http://schemas.openxmlformats.org/officeDocument/2006/relationships/externalLinkPath" Target="/sites/WG-Modelling-HCVvaccinemodel/Shared%20Documents/HCV%20vaccine%20model/HCV%20vaccine%20model/Data/Population/output_pop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536">
          <cell r="F1536">
            <v>280078.99999999988</v>
          </cell>
          <cell r="G1536">
            <v>201956</v>
          </cell>
          <cell r="H1536">
            <v>1084434</v>
          </cell>
          <cell r="I1536">
            <v>201580.49999999991</v>
          </cell>
          <cell r="M1536">
            <v>261709</v>
          </cell>
          <cell r="N1536">
            <v>191583</v>
          </cell>
          <cell r="O1536">
            <v>1202506.5</v>
          </cell>
          <cell r="P1536">
            <v>370935.5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756117-094F-4FDC-B0B2-70C3E4E60215}" name="Table1" displayName="Table1" ref="A1:H39" totalsRowShown="0" headerRowDxfId="6" dataDxfId="5" headerRowCellStyle="Comma" dataCellStyle="Comma">
  <autoFilter ref="A1:H39" xr:uid="{1D756117-094F-4FDC-B0B2-70C3E4E60215}"/>
  <tableColumns count="8">
    <tableColumn id="1" xr3:uid="{7B131573-96CF-4AF7-A94B-3AA804FC2761}" name="Region"/>
    <tableColumn id="8" xr3:uid="{3BB92F30-D856-4DAD-A451-68DF402B487A}" name="ISO3"/>
    <tableColumn id="2" xr3:uid="{02CFD4C8-20D1-40A8-9986-51E372C3E83F}" name="Country"/>
    <tableColumn id="3" xr3:uid="{E8B05DF8-DC2B-4885-8308-4B8492EE5FD3}" name="Total hepatitis C infections (all ages) in 2022" dataDxfId="4" dataCellStyle="Comma"/>
    <tableColumn id="4" xr3:uid="{50F22EA2-CEB9-42F0-A5A5-D6C2CAFD6B23}" name="Hepatitis C incidence" dataDxfId="3" dataCellStyle="Comma"/>
    <tableColumn id="5" xr3:uid="{36E2D0EB-08B1-4455-BD79-0D91625D3736}" name="Number of deaths caused by hepatitis C infection" dataDxfId="2" dataCellStyle="Comma"/>
    <tableColumn id="6" xr3:uid="{8AEC36A8-9754-4785-880A-D6908B3F6D6D}" name="Diagnosis coverage (total), end 2022" dataDxfId="1" dataCellStyle="Percent"/>
    <tableColumn id="7" xr3:uid="{AA6817BA-0B2C-41E1-9430-C91CDEE98522}" name="Treatment coverage, (of all infected), end 2022" dataDxfId="0" dataCellStyle="Percent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355DD-E51B-4BAB-BC19-DB293E3D83DE}">
  <dimension ref="A1:D8"/>
  <sheetViews>
    <sheetView workbookViewId="0">
      <selection activeCell="C22" sqref="C22"/>
    </sheetView>
  </sheetViews>
  <sheetFormatPr defaultRowHeight="15"/>
  <cols>
    <col min="1" max="1" width="27.85546875" bestFit="1" customWidth="1"/>
    <col min="2" max="2" width="27.7109375" bestFit="1" customWidth="1"/>
    <col min="3" max="3" width="53.5703125" bestFit="1" customWidth="1"/>
    <col min="4" max="4" width="45.85546875" bestFit="1" customWidth="1"/>
    <col min="5" max="13" width="9.140625" customWidth="1"/>
  </cols>
  <sheetData>
    <row r="1" spans="1:4">
      <c r="A1" s="8" t="s">
        <v>0</v>
      </c>
      <c r="B1" s="8" t="s">
        <v>8</v>
      </c>
      <c r="C1" s="8" t="s">
        <v>16</v>
      </c>
      <c r="D1" s="8" t="s">
        <v>24</v>
      </c>
    </row>
    <row r="2" spans="1:4">
      <c r="A2" s="1" t="s">
        <v>1</v>
      </c>
      <c r="B2" s="1" t="s">
        <v>9</v>
      </c>
      <c r="C2" s="1" t="s">
        <v>17</v>
      </c>
      <c r="D2" s="1" t="s">
        <v>25</v>
      </c>
    </row>
    <row r="3" spans="1:4">
      <c r="A3" s="2" t="s">
        <v>2</v>
      </c>
      <c r="B3" s="2" t="s">
        <v>10</v>
      </c>
      <c r="C3" s="2" t="s">
        <v>18</v>
      </c>
      <c r="D3" s="2" t="s">
        <v>26</v>
      </c>
    </row>
    <row r="4" spans="1:4">
      <c r="A4" s="3" t="s">
        <v>3</v>
      </c>
      <c r="B4" s="3" t="s">
        <v>11</v>
      </c>
      <c r="C4" s="3" t="s">
        <v>19</v>
      </c>
      <c r="D4" s="3" t="s">
        <v>27</v>
      </c>
    </row>
    <row r="5" spans="1:4">
      <c r="A5" s="4" t="s">
        <v>4</v>
      </c>
      <c r="B5" s="4" t="s">
        <v>12</v>
      </c>
      <c r="C5" s="4" t="s">
        <v>20</v>
      </c>
      <c r="D5" s="4" t="s">
        <v>28</v>
      </c>
    </row>
    <row r="6" spans="1:4">
      <c r="A6" s="5" t="s">
        <v>5</v>
      </c>
      <c r="B6" s="5" t="s">
        <v>13</v>
      </c>
      <c r="C6" s="5" t="s">
        <v>21</v>
      </c>
      <c r="D6" s="5" t="s">
        <v>29</v>
      </c>
    </row>
    <row r="7" spans="1:4">
      <c r="A7" s="6" t="s">
        <v>6</v>
      </c>
      <c r="B7" s="6" t="s">
        <v>14</v>
      </c>
      <c r="C7" s="6" t="s">
        <v>22</v>
      </c>
      <c r="D7" s="6" t="s">
        <v>30</v>
      </c>
    </row>
    <row r="8" spans="1:4">
      <c r="A8" s="7" t="s">
        <v>7</v>
      </c>
      <c r="B8" s="7" t="s">
        <v>15</v>
      </c>
      <c r="C8" s="7" t="s">
        <v>23</v>
      </c>
      <c r="D8" s="7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0CD04-3AE9-4E93-9563-9C9FA1687541}">
  <dimension ref="A1:C8"/>
  <sheetViews>
    <sheetView workbookViewId="0">
      <selection activeCell="H15" sqref="H15"/>
    </sheetView>
  </sheetViews>
  <sheetFormatPr defaultRowHeight="15"/>
  <cols>
    <col min="1" max="1" width="25.5703125" bestFit="1" customWidth="1"/>
    <col min="2" max="2" width="22.140625" bestFit="1" customWidth="1"/>
    <col min="3" max="3" width="51.5703125" bestFit="1" customWidth="1"/>
  </cols>
  <sheetData>
    <row r="1" spans="1:3">
      <c r="A1" s="9" t="s">
        <v>0</v>
      </c>
      <c r="B1" s="9" t="s">
        <v>8</v>
      </c>
      <c r="C1" s="9" t="s">
        <v>32</v>
      </c>
    </row>
    <row r="2" spans="1:3">
      <c r="A2" s="10" t="s">
        <v>1</v>
      </c>
      <c r="B2" s="10">
        <v>35</v>
      </c>
      <c r="C2" s="10" t="s">
        <v>33</v>
      </c>
    </row>
    <row r="3" spans="1:3">
      <c r="A3" s="11" t="s">
        <v>2</v>
      </c>
      <c r="B3" s="11">
        <v>7</v>
      </c>
      <c r="C3" s="11" t="s">
        <v>34</v>
      </c>
    </row>
    <row r="4" spans="1:3">
      <c r="A4" s="12" t="s">
        <v>3</v>
      </c>
      <c r="B4" s="12">
        <v>7</v>
      </c>
      <c r="C4" s="12" t="s">
        <v>35</v>
      </c>
    </row>
    <row r="5" spans="1:3">
      <c r="A5" s="13" t="s">
        <v>4</v>
      </c>
      <c r="B5" s="13">
        <v>5</v>
      </c>
      <c r="C5" s="13" t="s">
        <v>36</v>
      </c>
    </row>
    <row r="6" spans="1:3">
      <c r="A6" s="14" t="s">
        <v>5</v>
      </c>
      <c r="B6" s="14">
        <v>3</v>
      </c>
      <c r="C6" s="14" t="s">
        <v>37</v>
      </c>
    </row>
    <row r="7" spans="1:3">
      <c r="A7" s="15" t="s">
        <v>6</v>
      </c>
      <c r="B7" s="15">
        <v>3</v>
      </c>
      <c r="C7" s="15" t="s">
        <v>38</v>
      </c>
    </row>
    <row r="8" spans="1:3">
      <c r="A8" s="16" t="s">
        <v>7</v>
      </c>
      <c r="B8" s="16">
        <v>60</v>
      </c>
      <c r="C8" s="16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69781-85E4-489D-BEF6-210EA6A23A6A}">
  <dimension ref="A1:C7"/>
  <sheetViews>
    <sheetView workbookViewId="0">
      <selection activeCell="A7" sqref="A7"/>
    </sheetView>
  </sheetViews>
  <sheetFormatPr defaultRowHeight="15"/>
  <cols>
    <col min="1" max="1" width="25.5703125" bestFit="1" customWidth="1"/>
    <col min="2" max="2" width="19.7109375" bestFit="1" customWidth="1"/>
    <col min="3" max="3" width="35.140625" bestFit="1" customWidth="1"/>
  </cols>
  <sheetData>
    <row r="1" spans="1:3">
      <c r="A1" s="9" t="s">
        <v>0</v>
      </c>
      <c r="B1" s="9" t="s">
        <v>40</v>
      </c>
      <c r="C1" s="9" t="s">
        <v>41</v>
      </c>
    </row>
    <row r="2" spans="1:3">
      <c r="A2" s="10" t="s">
        <v>1</v>
      </c>
      <c r="B2" s="23">
        <v>172000</v>
      </c>
      <c r="C2" s="23">
        <v>35000</v>
      </c>
    </row>
    <row r="3" spans="1:3">
      <c r="A3" s="11" t="s">
        <v>2</v>
      </c>
      <c r="B3" s="24">
        <v>176000</v>
      </c>
      <c r="C3" s="24">
        <v>38000</v>
      </c>
    </row>
    <row r="4" spans="1:3">
      <c r="A4" s="12" t="s">
        <v>3</v>
      </c>
      <c r="B4" s="25">
        <v>225000</v>
      </c>
      <c r="C4" s="25">
        <v>42000</v>
      </c>
    </row>
    <row r="5" spans="1:3">
      <c r="A5" s="13" t="s">
        <v>4</v>
      </c>
      <c r="B5" s="26">
        <v>126000</v>
      </c>
      <c r="C5" s="26">
        <v>21000</v>
      </c>
    </row>
    <row r="6" spans="1:3">
      <c r="A6" s="14" t="s">
        <v>5</v>
      </c>
      <c r="B6" s="27">
        <v>183000</v>
      </c>
      <c r="C6" s="27">
        <v>65000</v>
      </c>
    </row>
    <row r="7" spans="1:3">
      <c r="A7" s="15" t="s">
        <v>6</v>
      </c>
      <c r="B7" s="28">
        <v>98000</v>
      </c>
      <c r="C7" s="28">
        <v>43000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04705-43BD-471C-B72F-2F8AD470645F}">
  <dimension ref="A1:C8"/>
  <sheetViews>
    <sheetView workbookViewId="0">
      <selection activeCell="C12" sqref="C12"/>
    </sheetView>
  </sheetViews>
  <sheetFormatPr defaultRowHeight="15"/>
  <cols>
    <col min="1" max="1" width="25.5703125" bestFit="1" customWidth="1"/>
    <col min="2" max="2" width="53.28515625" bestFit="1" customWidth="1"/>
    <col min="3" max="3" width="27.28515625" bestFit="1" customWidth="1"/>
  </cols>
  <sheetData>
    <row r="1" spans="1:3">
      <c r="A1" s="9" t="s">
        <v>0</v>
      </c>
      <c r="B1" s="9" t="s">
        <v>42</v>
      </c>
      <c r="C1" s="9" t="s">
        <v>43</v>
      </c>
    </row>
    <row r="2" spans="1:3">
      <c r="A2" s="10" t="s">
        <v>1</v>
      </c>
      <c r="B2" s="31">
        <v>6.9999999999999993E-3</v>
      </c>
      <c r="C2" s="23">
        <v>7800000</v>
      </c>
    </row>
    <row r="3" spans="1:3">
      <c r="A3" s="11" t="s">
        <v>2</v>
      </c>
      <c r="B3" s="32">
        <v>5.0000000000000001E-3</v>
      </c>
      <c r="C3" s="24">
        <v>5300000</v>
      </c>
    </row>
    <row r="4" spans="1:3">
      <c r="A4" s="12" t="s">
        <v>3</v>
      </c>
      <c r="B4" s="33">
        <v>5.0000000000000001E-3</v>
      </c>
      <c r="C4" s="25">
        <v>9100000</v>
      </c>
    </row>
    <row r="5" spans="1:3">
      <c r="A5" s="13" t="s">
        <v>4</v>
      </c>
      <c r="B5" s="34">
        <v>9.0000000000000011E-3</v>
      </c>
      <c r="C5" s="26">
        <v>8600000</v>
      </c>
    </row>
    <row r="6" spans="1:3">
      <c r="A6" s="14" t="s">
        <v>5</v>
      </c>
      <c r="B6" s="35">
        <v>1.8000000000000002E-2</v>
      </c>
      <c r="C6" s="27">
        <v>11700000</v>
      </c>
    </row>
    <row r="7" spans="1:3">
      <c r="A7" s="15" t="s">
        <v>6</v>
      </c>
      <c r="B7" s="36">
        <v>4.0000000000000001E-3</v>
      </c>
      <c r="C7" s="28">
        <v>7100000</v>
      </c>
    </row>
    <row r="8" spans="1:3">
      <c r="B8" s="3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EA2DD-1285-4691-833E-28438BD248B2}">
  <dimension ref="A1:C16"/>
  <sheetViews>
    <sheetView tabSelected="1" workbookViewId="0">
      <selection activeCell="A2" sqref="A2:C11"/>
    </sheetView>
  </sheetViews>
  <sheetFormatPr defaultRowHeight="15"/>
  <cols>
    <col min="1" max="1" width="20.5703125" bestFit="1" customWidth="1"/>
    <col min="2" max="2" width="27.28515625" bestFit="1" customWidth="1"/>
    <col min="3" max="3" width="32.5703125" bestFit="1" customWidth="1"/>
  </cols>
  <sheetData>
    <row r="1" spans="1:3">
      <c r="A1" s="17" t="s">
        <v>44</v>
      </c>
      <c r="B1" s="17" t="s">
        <v>43</v>
      </c>
      <c r="C1" s="17" t="s">
        <v>45</v>
      </c>
    </row>
    <row r="2" spans="1:3">
      <c r="A2" s="16" t="s">
        <v>46</v>
      </c>
      <c r="B2" s="30">
        <v>8800000</v>
      </c>
      <c r="C2" s="38">
        <v>0.17800000000000002</v>
      </c>
    </row>
    <row r="3" spans="1:3">
      <c r="A3" s="16" t="s">
        <v>47</v>
      </c>
      <c r="B3" s="30">
        <v>5500000</v>
      </c>
      <c r="C3" s="38">
        <v>0.11199999999999999</v>
      </c>
    </row>
    <row r="4" spans="1:3">
      <c r="A4" s="16" t="s">
        <v>48</v>
      </c>
      <c r="B4" s="30">
        <v>4000000</v>
      </c>
      <c r="C4" s="38">
        <v>8.1000000000000003E-2</v>
      </c>
    </row>
    <row r="5" spans="1:3">
      <c r="A5" s="16" t="s">
        <v>49</v>
      </c>
      <c r="B5" s="30">
        <v>2700000</v>
      </c>
      <c r="C5" s="38">
        <v>5.4000000000000006E-2</v>
      </c>
    </row>
    <row r="6" spans="1:3">
      <c r="A6" s="16" t="s">
        <v>50</v>
      </c>
      <c r="B6" s="30">
        <v>2400000</v>
      </c>
      <c r="C6" s="38">
        <v>0.05</v>
      </c>
    </row>
    <row r="7" spans="1:3">
      <c r="A7" s="16" t="s">
        <v>51</v>
      </c>
      <c r="B7" s="30">
        <v>1400000</v>
      </c>
      <c r="C7" s="38">
        <v>2.7999999999999997E-2</v>
      </c>
    </row>
    <row r="8" spans="1:3">
      <c r="A8" s="16" t="s">
        <v>52</v>
      </c>
      <c r="B8" s="30">
        <v>1350000</v>
      </c>
      <c r="C8" s="38">
        <v>2.7000000000000003E-2</v>
      </c>
    </row>
    <row r="9" spans="1:3">
      <c r="A9" s="16" t="s">
        <v>53</v>
      </c>
      <c r="B9" s="30">
        <v>1250000</v>
      </c>
      <c r="C9" s="38">
        <v>2.5000000000000001E-2</v>
      </c>
    </row>
    <row r="10" spans="1:3">
      <c r="A10" s="16" t="s">
        <v>54</v>
      </c>
      <c r="B10" s="30">
        <v>1070000</v>
      </c>
      <c r="C10" s="38">
        <v>2.2000000000000002E-2</v>
      </c>
    </row>
    <row r="11" spans="1:3">
      <c r="A11" s="16" t="s">
        <v>55</v>
      </c>
      <c r="B11" s="30">
        <v>1020000</v>
      </c>
      <c r="C11" s="38">
        <v>2.1000000000000001E-2</v>
      </c>
    </row>
    <row r="12" spans="1:3">
      <c r="A12" s="16" t="s">
        <v>56</v>
      </c>
      <c r="B12" s="30">
        <v>900000</v>
      </c>
      <c r="C12" s="38">
        <v>1.8000000000000002E-2</v>
      </c>
    </row>
    <row r="13" spans="1:3">
      <c r="A13" s="16" t="s">
        <v>57</v>
      </c>
      <c r="B13" s="30">
        <v>692000</v>
      </c>
      <c r="C13" s="38">
        <v>1.3999999999999999E-2</v>
      </c>
    </row>
    <row r="14" spans="1:3">
      <c r="A14" s="16" t="s">
        <v>58</v>
      </c>
      <c r="B14" s="30">
        <v>678000</v>
      </c>
      <c r="C14" s="38">
        <v>1.3999999999999999E-2</v>
      </c>
    </row>
    <row r="15" spans="1:3">
      <c r="A15" s="16" t="s">
        <v>59</v>
      </c>
      <c r="B15" s="30">
        <v>536000</v>
      </c>
      <c r="C15" s="38">
        <v>1.1000000000000001E-2</v>
      </c>
    </row>
    <row r="16" spans="1:3">
      <c r="A16" s="16" t="s">
        <v>60</v>
      </c>
      <c r="B16" s="30">
        <v>517000</v>
      </c>
      <c r="C16" s="38">
        <v>0.01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2009C-9A4F-49F5-AD33-899B248D1793}">
  <dimension ref="A1:F8"/>
  <sheetViews>
    <sheetView workbookViewId="0">
      <selection activeCell="C37" sqref="C37"/>
    </sheetView>
  </sheetViews>
  <sheetFormatPr defaultRowHeight="15"/>
  <cols>
    <col min="1" max="1" width="25.5703125" bestFit="1" customWidth="1"/>
    <col min="2" max="2" width="52.85546875" bestFit="1" customWidth="1"/>
    <col min="3" max="3" width="64.85546875" bestFit="1" customWidth="1"/>
    <col min="4" max="4" width="44.85546875" bestFit="1" customWidth="1"/>
    <col min="5" max="5" width="25.28515625" bestFit="1" customWidth="1"/>
    <col min="6" max="6" width="26" bestFit="1" customWidth="1"/>
  </cols>
  <sheetData>
    <row r="1" spans="1:6">
      <c r="A1" s="9" t="s">
        <v>0</v>
      </c>
      <c r="B1" s="9" t="s">
        <v>62</v>
      </c>
      <c r="C1" s="9" t="s">
        <v>63</v>
      </c>
      <c r="D1" s="9" t="s">
        <v>64</v>
      </c>
      <c r="E1" s="9" t="s">
        <v>65</v>
      </c>
      <c r="F1" s="9" t="s">
        <v>66</v>
      </c>
    </row>
    <row r="2" spans="1:6">
      <c r="A2" s="10" t="s">
        <v>1</v>
      </c>
      <c r="B2" s="23">
        <v>8000000</v>
      </c>
      <c r="C2" s="23">
        <v>1000000</v>
      </c>
      <c r="D2" s="23">
        <v>200000</v>
      </c>
      <c r="E2" s="39">
        <v>0.13</v>
      </c>
      <c r="F2" s="39">
        <v>0.03</v>
      </c>
    </row>
    <row r="3" spans="1:6">
      <c r="A3" s="11" t="s">
        <v>2</v>
      </c>
      <c r="B3" s="24">
        <v>7000000</v>
      </c>
      <c r="C3" s="24">
        <v>3100000</v>
      </c>
      <c r="D3" s="24">
        <v>1800000</v>
      </c>
      <c r="E3" s="40">
        <v>0.44</v>
      </c>
      <c r="F3" s="40">
        <v>0.26</v>
      </c>
    </row>
    <row r="4" spans="1:6">
      <c r="A4" s="12" t="s">
        <v>3</v>
      </c>
      <c r="B4" s="25">
        <v>10600000</v>
      </c>
      <c r="C4" s="25">
        <v>2700000</v>
      </c>
      <c r="D4" s="25">
        <v>1600000</v>
      </c>
      <c r="E4" s="41">
        <v>0.26</v>
      </c>
      <c r="F4" s="41">
        <v>0.15</v>
      </c>
    </row>
    <row r="5" spans="1:6">
      <c r="A5" s="13" t="s">
        <v>61</v>
      </c>
      <c r="B5" s="26">
        <v>7700000</v>
      </c>
      <c r="C5" s="26">
        <v>2100000</v>
      </c>
      <c r="D5" s="26">
        <v>1300000</v>
      </c>
      <c r="E5" s="42">
        <v>0.28999999999999998</v>
      </c>
      <c r="F5" s="42">
        <v>0.09</v>
      </c>
    </row>
    <row r="6" spans="1:6">
      <c r="A6" s="14" t="s">
        <v>5</v>
      </c>
      <c r="B6" s="27">
        <v>17700000</v>
      </c>
      <c r="C6" s="27">
        <v>13000000</v>
      </c>
      <c r="D6" s="27">
        <v>6300000</v>
      </c>
      <c r="E6" s="43">
        <v>0.49</v>
      </c>
      <c r="F6" s="43">
        <v>0.35</v>
      </c>
    </row>
    <row r="7" spans="1:6">
      <c r="A7" s="15" t="s">
        <v>6</v>
      </c>
      <c r="B7" s="28">
        <v>8300000</v>
      </c>
      <c r="C7" s="28">
        <v>3800000</v>
      </c>
      <c r="D7" s="28">
        <v>1300000</v>
      </c>
      <c r="E7" s="44">
        <v>0.45</v>
      </c>
      <c r="F7" s="44">
        <v>0.16</v>
      </c>
    </row>
    <row r="8" spans="1:6" s="19" customFormat="1" ht="14.25">
      <c r="A8" s="18" t="s">
        <v>7</v>
      </c>
      <c r="B8" s="29">
        <v>61200000</v>
      </c>
      <c r="C8" s="29">
        <v>25700000</v>
      </c>
      <c r="D8" s="29">
        <v>12500000</v>
      </c>
      <c r="E8" s="45">
        <v>0.36</v>
      </c>
      <c r="F8" s="45">
        <v>0.2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F9856-A5C2-4E3E-A0AE-9D8E4573C984}">
  <dimension ref="A1:N42"/>
  <sheetViews>
    <sheetView zoomScale="80" zoomScaleNormal="80" workbookViewId="0">
      <selection activeCell="F17" sqref="F17"/>
    </sheetView>
  </sheetViews>
  <sheetFormatPr defaultRowHeight="15"/>
  <cols>
    <col min="1" max="1" width="28" bestFit="1" customWidth="1"/>
    <col min="2" max="2" width="28" customWidth="1"/>
    <col min="3" max="3" width="31.42578125" bestFit="1" customWidth="1"/>
    <col min="4" max="4" width="44.140625" style="22" bestFit="1" customWidth="1"/>
    <col min="5" max="5" width="23.42578125" style="22" bestFit="1" customWidth="1"/>
    <col min="6" max="6" width="49" style="22" bestFit="1" customWidth="1"/>
    <col min="7" max="7" width="37" bestFit="1" customWidth="1"/>
    <col min="8" max="8" width="46" bestFit="1" customWidth="1"/>
    <col min="9" max="9" width="45" bestFit="1" customWidth="1"/>
    <col min="10" max="10" width="33.42578125" bestFit="1" customWidth="1"/>
  </cols>
  <sheetData>
    <row r="1" spans="1:14">
      <c r="A1" t="s">
        <v>72</v>
      </c>
      <c r="B1" t="s">
        <v>102</v>
      </c>
      <c r="C1" t="s">
        <v>44</v>
      </c>
      <c r="D1" s="22" t="s">
        <v>71</v>
      </c>
      <c r="E1" s="22" t="s">
        <v>70</v>
      </c>
      <c r="F1" s="22" t="s">
        <v>69</v>
      </c>
      <c r="G1" t="s">
        <v>68</v>
      </c>
      <c r="H1" t="s">
        <v>67</v>
      </c>
    </row>
    <row r="2" spans="1:14">
      <c r="A2" t="s">
        <v>1</v>
      </c>
      <c r="B2" t="s">
        <v>103</v>
      </c>
      <c r="C2" t="s">
        <v>73</v>
      </c>
      <c r="D2" s="22">
        <v>157542</v>
      </c>
      <c r="E2" s="22">
        <v>3725</v>
      </c>
      <c r="F2" s="22">
        <v>1032</v>
      </c>
      <c r="G2" s="21">
        <v>0.17</v>
      </c>
      <c r="H2" s="21">
        <v>0.11</v>
      </c>
      <c r="M2" s="21"/>
      <c r="N2" s="21"/>
    </row>
    <row r="3" spans="1:14">
      <c r="A3" t="s">
        <v>1</v>
      </c>
      <c r="B3" t="s">
        <v>122</v>
      </c>
      <c r="C3" t="s">
        <v>74</v>
      </c>
      <c r="D3" s="22">
        <v>211114</v>
      </c>
      <c r="E3" s="22">
        <v>4653</v>
      </c>
      <c r="F3" s="22">
        <v>892</v>
      </c>
      <c r="G3" s="21">
        <v>0.08</v>
      </c>
      <c r="H3" s="21">
        <v>0</v>
      </c>
      <c r="M3" s="21"/>
      <c r="N3" s="21"/>
    </row>
    <row r="4" spans="1:14">
      <c r="A4" t="s">
        <v>1</v>
      </c>
      <c r="B4" t="s">
        <v>123</v>
      </c>
      <c r="C4" t="s">
        <v>77</v>
      </c>
      <c r="D4" s="22">
        <v>432499</v>
      </c>
      <c r="E4" s="22">
        <v>13104</v>
      </c>
      <c r="F4" s="22">
        <v>2643</v>
      </c>
      <c r="G4" s="21">
        <v>0.13</v>
      </c>
      <c r="H4" s="21">
        <v>0</v>
      </c>
      <c r="M4" s="21"/>
      <c r="N4" s="21"/>
    </row>
    <row r="5" spans="1:14">
      <c r="A5" t="s">
        <v>1</v>
      </c>
      <c r="B5" t="s">
        <v>104</v>
      </c>
      <c r="C5" t="s">
        <v>57</v>
      </c>
      <c r="D5" s="22">
        <v>691928</v>
      </c>
      <c r="E5" s="22">
        <v>13490</v>
      </c>
      <c r="F5" s="22">
        <v>3465</v>
      </c>
      <c r="G5" s="21">
        <v>0.08</v>
      </c>
      <c r="H5" s="21">
        <v>0.01</v>
      </c>
      <c r="M5" s="21"/>
      <c r="N5" s="21"/>
    </row>
    <row r="6" spans="1:14">
      <c r="A6" t="s">
        <v>1</v>
      </c>
      <c r="B6" t="s">
        <v>105</v>
      </c>
      <c r="C6" t="s">
        <v>75</v>
      </c>
      <c r="D6" s="22">
        <v>442797</v>
      </c>
      <c r="E6" s="22">
        <v>10714</v>
      </c>
      <c r="F6" s="22">
        <v>1659</v>
      </c>
      <c r="G6" s="21">
        <v>0.05</v>
      </c>
      <c r="H6" s="21">
        <v>0</v>
      </c>
      <c r="M6" s="21"/>
      <c r="N6" s="21"/>
    </row>
    <row r="7" spans="1:14">
      <c r="A7" t="s">
        <v>1</v>
      </c>
      <c r="B7" t="s">
        <v>106</v>
      </c>
      <c r="C7" t="s">
        <v>52</v>
      </c>
      <c r="D7" s="22">
        <v>1349056</v>
      </c>
      <c r="E7" s="22">
        <v>27596</v>
      </c>
      <c r="F7" s="22">
        <v>5652</v>
      </c>
      <c r="G7" s="21">
        <v>0.05</v>
      </c>
      <c r="H7" s="21">
        <v>0.01</v>
      </c>
      <c r="M7" s="21"/>
      <c r="N7" s="21"/>
    </row>
    <row r="8" spans="1:14">
      <c r="A8" t="s">
        <v>1</v>
      </c>
      <c r="B8" t="s">
        <v>107</v>
      </c>
      <c r="C8" t="s">
        <v>76</v>
      </c>
      <c r="D8" s="22">
        <v>62170</v>
      </c>
      <c r="E8" s="22">
        <v>3352</v>
      </c>
      <c r="F8" s="22">
        <v>177</v>
      </c>
      <c r="G8" s="21">
        <v>1</v>
      </c>
      <c r="H8" s="21">
        <v>0.5</v>
      </c>
      <c r="M8" s="21"/>
      <c r="N8" s="21"/>
    </row>
    <row r="9" spans="1:14">
      <c r="A9" t="s">
        <v>1</v>
      </c>
      <c r="B9" t="s">
        <v>108</v>
      </c>
      <c r="C9" t="s">
        <v>78</v>
      </c>
      <c r="D9" s="22">
        <v>243978</v>
      </c>
      <c r="E9" s="22">
        <v>3159</v>
      </c>
      <c r="F9" s="22">
        <v>2138</v>
      </c>
      <c r="G9" s="21">
        <v>0.24</v>
      </c>
      <c r="H9" s="21">
        <v>0.01</v>
      </c>
      <c r="M9" s="21"/>
      <c r="N9" s="21"/>
    </row>
    <row r="10" spans="1:14">
      <c r="A10" t="s">
        <v>1</v>
      </c>
      <c r="B10" t="s">
        <v>109</v>
      </c>
      <c r="C10" t="s">
        <v>79</v>
      </c>
      <c r="D10" s="22">
        <v>356043</v>
      </c>
      <c r="G10" s="21"/>
      <c r="H10" s="21"/>
      <c r="M10" s="21"/>
      <c r="N10" s="21"/>
    </row>
    <row r="11" spans="1:14">
      <c r="A11" t="s">
        <v>1</v>
      </c>
      <c r="B11" t="s">
        <v>110</v>
      </c>
      <c r="C11" t="s">
        <v>80</v>
      </c>
      <c r="D11" s="22">
        <v>99576</v>
      </c>
      <c r="E11" s="22">
        <v>1312</v>
      </c>
      <c r="F11" s="22">
        <v>347</v>
      </c>
      <c r="G11" s="21">
        <v>7.0000000000000007E-2</v>
      </c>
      <c r="H11" s="21">
        <v>0</v>
      </c>
      <c r="M11" s="21"/>
      <c r="N11" s="21"/>
    </row>
    <row r="12" spans="1:14">
      <c r="A12" t="s">
        <v>2</v>
      </c>
      <c r="B12" t="s">
        <v>111</v>
      </c>
      <c r="C12" t="s">
        <v>59</v>
      </c>
      <c r="D12" s="22">
        <v>535868</v>
      </c>
      <c r="E12" s="22">
        <v>4028</v>
      </c>
      <c r="F12" s="22">
        <v>2977</v>
      </c>
      <c r="G12" s="21">
        <v>0.36</v>
      </c>
      <c r="H12" s="21">
        <v>0.24</v>
      </c>
      <c r="M12" s="20"/>
      <c r="N12" s="20"/>
    </row>
    <row r="13" spans="1:14">
      <c r="A13" t="s">
        <v>2</v>
      </c>
      <c r="B13" t="s">
        <v>124</v>
      </c>
      <c r="C13" t="s">
        <v>81</v>
      </c>
      <c r="D13" s="22">
        <v>309159</v>
      </c>
      <c r="E13" s="22">
        <v>3646</v>
      </c>
      <c r="F13" s="22">
        <v>27</v>
      </c>
      <c r="G13" s="21">
        <v>0.12</v>
      </c>
      <c r="H13" s="21">
        <v>0.02</v>
      </c>
    </row>
    <row r="14" spans="1:14">
      <c r="A14" t="s">
        <v>2</v>
      </c>
      <c r="B14" t="s">
        <v>112</v>
      </c>
      <c r="C14" t="s">
        <v>58</v>
      </c>
      <c r="D14" s="22">
        <v>678258</v>
      </c>
      <c r="E14" s="22">
        <v>5736</v>
      </c>
      <c r="F14" s="22">
        <v>11851</v>
      </c>
      <c r="G14" s="21">
        <v>0.16</v>
      </c>
      <c r="H14" s="21">
        <v>0.04</v>
      </c>
    </row>
    <row r="15" spans="1:14">
      <c r="A15" t="s">
        <v>2</v>
      </c>
      <c r="B15" t="s">
        <v>125</v>
      </c>
      <c r="C15" t="s">
        <v>82</v>
      </c>
      <c r="D15" s="22">
        <v>57756</v>
      </c>
      <c r="E15" s="22">
        <v>814</v>
      </c>
      <c r="F15" s="22">
        <v>310</v>
      </c>
      <c r="G15" s="21">
        <v>0.05</v>
      </c>
      <c r="H15" s="21">
        <v>0.01</v>
      </c>
    </row>
    <row r="16" spans="1:14">
      <c r="A16" t="s">
        <v>3</v>
      </c>
      <c r="B16" t="s">
        <v>113</v>
      </c>
      <c r="C16" t="s">
        <v>55</v>
      </c>
      <c r="D16" s="22">
        <v>1020178</v>
      </c>
      <c r="E16" s="22">
        <v>17008</v>
      </c>
      <c r="F16" s="22">
        <v>3351</v>
      </c>
      <c r="G16" s="21">
        <v>0.26</v>
      </c>
      <c r="H16" s="21">
        <v>0.08</v>
      </c>
      <c r="M16" s="20"/>
      <c r="N16" s="20"/>
    </row>
    <row r="17" spans="1:14">
      <c r="A17" t="s">
        <v>3</v>
      </c>
      <c r="B17" t="s">
        <v>126</v>
      </c>
      <c r="C17" t="s">
        <v>83</v>
      </c>
      <c r="D17" s="22">
        <v>5507793</v>
      </c>
      <c r="E17" s="22">
        <v>144187</v>
      </c>
      <c r="F17" s="22">
        <v>26206</v>
      </c>
      <c r="G17" s="21">
        <v>0.28000000000000003</v>
      </c>
      <c r="H17" s="21">
        <v>0.21</v>
      </c>
      <c r="M17" s="20"/>
      <c r="N17" s="20"/>
    </row>
    <row r="18" spans="1:14">
      <c r="A18" t="s">
        <v>3</v>
      </c>
      <c r="B18" t="s">
        <v>127</v>
      </c>
      <c r="C18" t="s">
        <v>84</v>
      </c>
      <c r="D18" s="22">
        <v>1392645</v>
      </c>
      <c r="E18" s="22">
        <v>39134</v>
      </c>
      <c r="F18" s="22">
        <v>6322</v>
      </c>
      <c r="G18" s="21">
        <v>0.14000000000000001</v>
      </c>
      <c r="H18" s="21">
        <v>0.01</v>
      </c>
      <c r="M18" s="20"/>
      <c r="N18" s="20"/>
    </row>
    <row r="19" spans="1:14">
      <c r="A19" t="s">
        <v>3</v>
      </c>
      <c r="B19" t="s">
        <v>128</v>
      </c>
      <c r="C19" t="s">
        <v>85</v>
      </c>
      <c r="D19" s="22">
        <v>299482</v>
      </c>
      <c r="E19" s="22">
        <v>6983</v>
      </c>
      <c r="F19" s="22">
        <v>1514</v>
      </c>
      <c r="G19" s="21">
        <v>0.17</v>
      </c>
      <c r="H19" s="21">
        <v>0.04</v>
      </c>
      <c r="M19" s="20"/>
      <c r="N19" s="20"/>
    </row>
    <row r="20" spans="1:14">
      <c r="A20" t="s">
        <v>3</v>
      </c>
      <c r="B20" t="s">
        <v>129</v>
      </c>
      <c r="C20" t="s">
        <v>86</v>
      </c>
      <c r="D20" s="22">
        <v>374514</v>
      </c>
      <c r="E20" s="22">
        <v>6630</v>
      </c>
      <c r="F20" s="22">
        <v>2123</v>
      </c>
      <c r="G20" s="21">
        <v>0.28000000000000003</v>
      </c>
      <c r="H20" s="21">
        <v>0.05</v>
      </c>
      <c r="M20" s="20"/>
      <c r="N20" s="20"/>
    </row>
    <row r="21" spans="1:14">
      <c r="A21" t="s">
        <v>4</v>
      </c>
      <c r="B21" t="s">
        <v>114</v>
      </c>
      <c r="C21" t="s">
        <v>87</v>
      </c>
      <c r="D21" s="22">
        <v>48600</v>
      </c>
      <c r="E21" s="46">
        <f>1.5*SUM([1]Sheet1!$F$1536:$I$1536,[1]Sheet1!$M$1536:$P$1536)/100000</f>
        <v>56.921752499999997</v>
      </c>
      <c r="F21" s="22">
        <v>183</v>
      </c>
      <c r="G21" s="21">
        <v>1</v>
      </c>
      <c r="H21" s="21">
        <v>0.65</v>
      </c>
    </row>
    <row r="22" spans="1:14">
      <c r="A22" t="s">
        <v>4</v>
      </c>
      <c r="B22" t="s">
        <v>115</v>
      </c>
      <c r="C22" t="s">
        <v>88</v>
      </c>
      <c r="D22" s="22">
        <v>170824</v>
      </c>
      <c r="E22" s="22">
        <v>4103</v>
      </c>
      <c r="F22" s="22">
        <v>605</v>
      </c>
      <c r="G22" s="21">
        <v>0.21</v>
      </c>
      <c r="H22" s="21">
        <v>0.04</v>
      </c>
    </row>
    <row r="23" spans="1:14">
      <c r="A23" t="s">
        <v>4</v>
      </c>
      <c r="B23" t="s">
        <v>130</v>
      </c>
      <c r="C23" t="s">
        <v>89</v>
      </c>
      <c r="D23" s="22">
        <v>73675</v>
      </c>
      <c r="E23" s="22">
        <v>1626</v>
      </c>
      <c r="F23" s="22">
        <v>221</v>
      </c>
      <c r="G23" s="21">
        <v>0.3</v>
      </c>
      <c r="H23" s="21">
        <v>0.04</v>
      </c>
    </row>
    <row r="24" spans="1:14">
      <c r="A24" t="s">
        <v>4</v>
      </c>
      <c r="B24" t="s">
        <v>116</v>
      </c>
      <c r="C24" t="s">
        <v>49</v>
      </c>
      <c r="D24" s="22">
        <v>2663597</v>
      </c>
      <c r="E24" s="22">
        <v>33877</v>
      </c>
      <c r="F24" s="22">
        <v>4927</v>
      </c>
      <c r="G24" s="21">
        <v>0.42</v>
      </c>
      <c r="H24" s="21">
        <v>0.05</v>
      </c>
    </row>
    <row r="25" spans="1:14">
      <c r="A25" t="s">
        <v>4</v>
      </c>
      <c r="B25" t="s">
        <v>117</v>
      </c>
      <c r="C25" t="s">
        <v>53</v>
      </c>
      <c r="D25" s="22">
        <v>1250706</v>
      </c>
      <c r="E25" s="22">
        <v>18031</v>
      </c>
      <c r="F25" s="22">
        <v>6732</v>
      </c>
      <c r="G25" s="21">
        <v>0.11</v>
      </c>
      <c r="H25" s="21">
        <v>0.04</v>
      </c>
    </row>
    <row r="26" spans="1:14">
      <c r="A26" t="s">
        <v>4</v>
      </c>
      <c r="B26" t="s">
        <v>118</v>
      </c>
      <c r="C26" t="s">
        <v>54</v>
      </c>
      <c r="D26" s="22">
        <v>1065843</v>
      </c>
      <c r="E26" s="22">
        <v>35598</v>
      </c>
      <c r="F26" s="22">
        <v>1492</v>
      </c>
      <c r="G26" s="21">
        <v>0.09</v>
      </c>
      <c r="H26" s="21">
        <v>0.08</v>
      </c>
    </row>
    <row r="27" spans="1:14">
      <c r="A27" t="s">
        <v>5</v>
      </c>
      <c r="B27" t="s">
        <v>131</v>
      </c>
      <c r="C27" t="s">
        <v>90</v>
      </c>
      <c r="D27" s="22">
        <v>484523</v>
      </c>
      <c r="E27" s="22">
        <v>9708</v>
      </c>
      <c r="F27" s="22">
        <v>7288</v>
      </c>
      <c r="G27" s="21">
        <v>1</v>
      </c>
      <c r="H27" s="21">
        <v>0.93</v>
      </c>
      <c r="M27" s="20"/>
      <c r="N27" s="20"/>
    </row>
    <row r="28" spans="1:14">
      <c r="A28" t="s">
        <v>5</v>
      </c>
      <c r="B28" t="s">
        <v>132</v>
      </c>
      <c r="C28" t="s">
        <v>91</v>
      </c>
      <c r="D28" s="22">
        <v>125566</v>
      </c>
      <c r="E28" s="22">
        <v>3416</v>
      </c>
      <c r="F28" s="22">
        <v>565</v>
      </c>
      <c r="G28" s="21">
        <v>0.24</v>
      </c>
      <c r="H28" s="21">
        <v>7.0000000000000007E-2</v>
      </c>
      <c r="M28" s="20"/>
      <c r="N28" s="20"/>
    </row>
    <row r="29" spans="1:14">
      <c r="A29" t="s">
        <v>5</v>
      </c>
      <c r="B29" t="s">
        <v>133</v>
      </c>
      <c r="C29" t="s">
        <v>92</v>
      </c>
      <c r="D29" s="22">
        <v>8790812</v>
      </c>
      <c r="E29" s="22">
        <v>110000</v>
      </c>
      <c r="F29" s="22">
        <v>24847</v>
      </c>
      <c r="G29" s="21">
        <v>0.36</v>
      </c>
      <c r="H29" s="21">
        <v>0.2</v>
      </c>
      <c r="M29" s="20"/>
      <c r="N29" s="20"/>
    </row>
    <row r="30" spans="1:14">
      <c r="A30" t="s">
        <v>5</v>
      </c>
      <c r="B30" t="s">
        <v>134</v>
      </c>
      <c r="C30" t="s">
        <v>93</v>
      </c>
      <c r="D30" s="22">
        <v>511036</v>
      </c>
      <c r="E30" s="22">
        <v>11876</v>
      </c>
      <c r="F30" s="22">
        <v>875</v>
      </c>
      <c r="G30" s="21">
        <v>0.14000000000000001</v>
      </c>
      <c r="H30" s="21">
        <v>0.04</v>
      </c>
      <c r="M30" s="20"/>
      <c r="N30" s="20"/>
    </row>
    <row r="31" spans="1:14">
      <c r="A31" t="s">
        <v>5</v>
      </c>
      <c r="B31" t="s">
        <v>135</v>
      </c>
      <c r="C31" t="s">
        <v>94</v>
      </c>
      <c r="D31" s="22">
        <v>257189</v>
      </c>
      <c r="G31" s="21"/>
      <c r="H31" s="21"/>
    </row>
    <row r="32" spans="1:14">
      <c r="A32" t="s">
        <v>6</v>
      </c>
      <c r="B32" t="s">
        <v>119</v>
      </c>
      <c r="C32" t="s">
        <v>98</v>
      </c>
      <c r="D32" s="22">
        <v>183160</v>
      </c>
      <c r="E32" s="22">
        <v>4625</v>
      </c>
      <c r="F32" s="22">
        <v>1034</v>
      </c>
      <c r="G32" s="21">
        <v>0.23</v>
      </c>
      <c r="H32" s="21">
        <v>0.12</v>
      </c>
    </row>
    <row r="33" spans="1:8">
      <c r="A33" t="s">
        <v>6</v>
      </c>
      <c r="B33" t="s">
        <v>120</v>
      </c>
      <c r="C33" t="s">
        <v>48</v>
      </c>
      <c r="D33" s="22">
        <v>4012657</v>
      </c>
      <c r="E33" s="22">
        <v>53383</v>
      </c>
      <c r="F33" s="22">
        <v>19983</v>
      </c>
      <c r="G33" s="21">
        <v>0.45</v>
      </c>
      <c r="H33" s="21">
        <v>0.12</v>
      </c>
    </row>
    <row r="34" spans="1:8">
      <c r="A34" t="s">
        <v>6</v>
      </c>
      <c r="B34" t="s">
        <v>136</v>
      </c>
      <c r="C34" t="s">
        <v>99</v>
      </c>
      <c r="D34" s="22">
        <v>41888</v>
      </c>
      <c r="E34" s="22">
        <v>971</v>
      </c>
      <c r="F34" s="22">
        <v>210</v>
      </c>
      <c r="G34" s="21">
        <v>0.17</v>
      </c>
      <c r="H34" s="21">
        <v>0.04</v>
      </c>
    </row>
    <row r="35" spans="1:8">
      <c r="A35" t="s">
        <v>6</v>
      </c>
      <c r="B35" t="s">
        <v>137</v>
      </c>
      <c r="C35" t="s">
        <v>95</v>
      </c>
      <c r="D35" s="22">
        <v>128501</v>
      </c>
      <c r="E35" s="22">
        <v>1939</v>
      </c>
      <c r="F35" s="22">
        <v>763</v>
      </c>
      <c r="G35" s="21">
        <v>0.98</v>
      </c>
      <c r="H35" s="21">
        <v>0.34</v>
      </c>
    </row>
    <row r="36" spans="1:8">
      <c r="A36" t="s">
        <v>6</v>
      </c>
      <c r="B36" t="s">
        <v>138</v>
      </c>
      <c r="C36" t="s">
        <v>96</v>
      </c>
      <c r="D36" s="22">
        <v>19</v>
      </c>
      <c r="E36" s="22">
        <v>1</v>
      </c>
      <c r="F36" s="22">
        <v>0</v>
      </c>
      <c r="G36" s="21">
        <v>0.1</v>
      </c>
      <c r="H36" s="21">
        <v>0</v>
      </c>
    </row>
    <row r="37" spans="1:8">
      <c r="A37" t="s">
        <v>6</v>
      </c>
      <c r="B37" t="s">
        <v>121</v>
      </c>
      <c r="C37" t="s">
        <v>97</v>
      </c>
      <c r="D37" s="22">
        <v>427470</v>
      </c>
      <c r="E37" s="22">
        <v>8939</v>
      </c>
      <c r="F37" s="22">
        <v>3001</v>
      </c>
      <c r="G37" s="21">
        <v>0.19</v>
      </c>
      <c r="H37" s="21">
        <v>0.01</v>
      </c>
    </row>
    <row r="38" spans="1:8">
      <c r="A38" t="s">
        <v>6</v>
      </c>
      <c r="B38" t="s">
        <v>139</v>
      </c>
      <c r="C38" t="s">
        <v>100</v>
      </c>
      <c r="D38" s="22">
        <v>3048</v>
      </c>
      <c r="E38" s="22">
        <v>85</v>
      </c>
      <c r="F38" s="22">
        <v>14</v>
      </c>
      <c r="G38" s="21">
        <v>0.11</v>
      </c>
      <c r="H38" s="21">
        <v>0</v>
      </c>
    </row>
    <row r="39" spans="1:8">
      <c r="A39" t="s">
        <v>6</v>
      </c>
      <c r="B39" t="s">
        <v>140</v>
      </c>
      <c r="C39" t="s">
        <v>101</v>
      </c>
      <c r="D39" s="22">
        <v>890997</v>
      </c>
      <c r="E39" s="22">
        <v>17944</v>
      </c>
      <c r="F39" s="22">
        <v>3894</v>
      </c>
      <c r="G39" s="21">
        <v>0.13</v>
      </c>
      <c r="H39" s="21">
        <v>0.08</v>
      </c>
    </row>
    <row r="42" spans="1:8">
      <c r="E42"/>
    </row>
  </sheetData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1336BE-2D8F-4E53-BD58-4CFCC4946B8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16D8EB4-D85E-4C2D-8972-25715EE2D5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0e4ad2-c64b-4f67-8552-094351f252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4F109C-8201-4971-AFAE-74EBB8058A2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E7E068E-043C-4803-99E5-20560F226D0C}">
  <ds:schemaRefs>
    <ds:schemaRef ds:uri="http://schemas.microsoft.com/office/2006/documentManagement/types"/>
    <ds:schemaRef ds:uri="http://purl.org/dc/terms/"/>
    <ds:schemaRef ds:uri="460e4ad2-c64b-4f67-8552-094351f252e3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Table2.2 Regional inci pwid</vt:lpstr>
      <vt:lpstr>Table2.2 Regional inci HC</vt:lpstr>
      <vt:lpstr>Table2.4 Regional inci mort</vt:lpstr>
      <vt:lpstr>Table2.5 Regional prev</vt:lpstr>
      <vt:lpstr>Table2.8 Countries high burden</vt:lpstr>
      <vt:lpstr>Table2.10 Regional t&amp;t cov</vt:lpstr>
      <vt:lpstr>Table2.11 Countries burden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Farah Houdroge</dc:creator>
  <cp:lastModifiedBy>Farah Houdroge</cp:lastModifiedBy>
  <dcterms:created xsi:type="dcterms:W3CDTF">2025-06-30T01:48:33Z</dcterms:created>
  <dcterms:modified xsi:type="dcterms:W3CDTF">2025-09-10T05:13:34Z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  <property fmtid="{D5CDD505-2E9C-101B-9397-08002B2CF9AE}" pid="3" name="MediaServiceImageTags">
    <vt:lpwstr/>
  </property>
</Properties>
</file>