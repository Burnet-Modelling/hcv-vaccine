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B50FD642-71D4-4058-B2EF-DD993AED39E4}" xr6:coauthVersionLast="47" xr6:coauthVersionMax="47" xr10:uidLastSave="{00000000-0000-0000-0000-000000000000}"/>
  <bookViews>
    <workbookView xWindow="38280" yWindow="-120" windowWidth="29040" windowHeight="15720" activeTab="1" xr2:uid="{E2E90E70-2F54-4097-8786-78C8F6F97317}"/>
  </bookViews>
  <sheets>
    <sheet name="interventions" sheetId="7" r:id="rId1"/>
    <sheet name="target_pops" sheetId="1" r:id="rId2"/>
    <sheet name="target_comps" sheetId="2" r:id="rId3"/>
    <sheet name="spending" sheetId="4" r:id="rId4"/>
    <sheet name="effects" sheetId="5" r:id="rId5"/>
    <sheet name="scenario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8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40811008-6251-4BE6-B857-0E7706E1C3A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 income countries</t>
        </r>
      </text>
    </comment>
    <comment ref="C1" authorId="0" shapeId="0" xr:uid="{08CE9C66-2C8C-420B-BBD7-AE11C6334D7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Lower middle income countries</t>
        </r>
      </text>
    </comment>
    <comment ref="D1" authorId="0" shapeId="0" xr:uid="{677FF919-5126-4DE9-A936-94C7BFDEA23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Upper middle income countries</t>
        </r>
      </text>
    </comment>
    <comment ref="E1" authorId="0" shapeId="0" xr:uid="{1C9F8448-CB55-40CF-9869-DF67671A217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High income countries</t>
        </r>
      </text>
    </comment>
    <comment ref="H1" authorId="0" shapeId="0" xr:uid="{8EAC709B-FA69-450B-B3FA-1FE3E7AD256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Maximum coverage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1600DE36-9B16-4991-9173-6C3CF2FE0B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lost to care</t>
        </r>
      </text>
    </comment>
    <comment ref="D1" authorId="0" shapeId="0" xr:uid="{F318C727-AFF8-4D7B-A95C-F2F2B000D69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undiagnosed (ab)</t>
        </r>
      </text>
    </comment>
    <comment ref="F1" authorId="0" shapeId="0" xr:uid="{34CB1D4B-74F7-444A-913D-5BA41F56C6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diagnosed ab+ but not rna+</t>
        </r>
      </text>
    </comment>
    <comment ref="H1" authorId="0" shapeId="0" xr:uid="{196AF75C-4D2E-47E8-8FC5-16997DF4A45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treatment rates</t>
        </r>
      </text>
    </comment>
    <comment ref="J1" authorId="0" shapeId="0" xr:uid="{7B06F81B-7A5A-4D8E-BF69-7DD21C12325C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Vaccine uptake
If coverage depends on country-specific variables, specify Sheet name from flat_datasheet.xlsx and column name in the format:
Sheet: XXX, Column: XXX, How: Country / Region / Income</t>
        </r>
      </text>
    </comment>
    <comment ref="L1" authorId="0" shapeId="0" xr:uid="{52765560-7ECC-4137-A5D4-6B5CE156AF8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Force of infection for vaccinated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A1" authorId="0" shapeId="0" xr:uid="{798978AB-DD65-4803-A0F6-0CC5DFEDEA3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Scenario name for program combinations</t>
        </r>
      </text>
    </comment>
    <comment ref="C1" authorId="0" shapeId="0" xr:uid="{F8934DBD-700F-41FE-A06A-631E594EC60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List programs to combine (one per row)</t>
        </r>
      </text>
    </comment>
    <comment ref="D1" authorId="0" shapeId="0" xr:uid="{04B07F1F-752C-4F22-AB04-C9E8C6003A55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Start year of program (not scenario)
</t>
        </r>
      </text>
    </comment>
    <comment ref="E1" authorId="0" shapeId="0" xr:uid="{A44FC074-43C2-45E5-9EFF-9D13170B571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End year of program</t>
        </r>
      </text>
    </comment>
    <comment ref="F1" authorId="0" shapeId="0" xr:uid="{53F225C9-7CBA-4308-B780-5990FAD953D2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Counterfactual scenario for output comparison</t>
        </r>
      </text>
    </comment>
    <comment ref="D2" authorId="0" shapeId="0" xr:uid="{DD1F4BFB-75B0-4713-94F0-6A37D1A12E7F}">
      <text>
        <r>
          <rPr>
            <b/>
            <sz val="9"/>
            <color indexed="81"/>
            <rFont val="Tahoma"/>
            <charset val="1"/>
          </rPr>
          <t>Farah Houdroge:</t>
        </r>
        <r>
          <rPr>
            <sz val="9"/>
            <color indexed="81"/>
            <rFont val="Tahoma"/>
            <charset val="1"/>
          </rPr>
          <t xml:space="preserve">
Shift start year by 1 (2027 instead of 2026) because atomica will automatically interpolate between start_year-1 and start_year!</t>
        </r>
      </text>
    </comment>
  </commentList>
</comments>
</file>

<file path=xl/sharedStrings.xml><?xml version="1.0" encoding="utf-8"?>
<sst xmlns="http://schemas.openxmlformats.org/spreadsheetml/2006/main" count="226" uniqueCount="87">
  <si>
    <t>code</t>
  </si>
  <si>
    <t>label</t>
  </si>
  <si>
    <t>coverage</t>
  </si>
  <si>
    <t>saturation</t>
  </si>
  <si>
    <t>units</t>
  </si>
  <si>
    <t>one-off</t>
  </si>
  <si>
    <t>lost_to_care</t>
  </si>
  <si>
    <t>undiagnosed</t>
  </si>
  <si>
    <t>diagnosed_ab</t>
  </si>
  <si>
    <t>diagnosed_rna</t>
  </si>
  <si>
    <t>acute</t>
  </si>
  <si>
    <t>ab_negative</t>
  </si>
  <si>
    <t>on_treatment</t>
  </si>
  <si>
    <t>susceptible</t>
  </si>
  <si>
    <t>treat</t>
  </si>
  <si>
    <t>y</t>
  </si>
  <si>
    <t>capacity</t>
  </si>
  <si>
    <t>treat_measure</t>
  </si>
  <si>
    <t>notes</t>
  </si>
  <si>
    <t>diagnosis_ltc</t>
  </si>
  <si>
    <t>diagnosis_ltc_measure</t>
  </si>
  <si>
    <t>diagnosis_undiag</t>
  </si>
  <si>
    <t>diagnosis_undiag_measure</t>
  </si>
  <si>
    <t>diagnosis_diag_ab</t>
  </si>
  <si>
    <t>diagnosis_diag_ab_measure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</si>
  <si>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</si>
  <si>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</si>
  <si>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</si>
  <si>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</si>
  <si>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</si>
  <si>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</si>
  <si>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</si>
  <si>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</si>
  <si>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</si>
  <si>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</si>
  <si>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</si>
  <si>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</si>
  <si>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teen_vax</t>
  </si>
  <si>
    <t>pwid_vax</t>
  </si>
  <si>
    <t>pwid_vax_campaign</t>
  </si>
  <si>
    <t>prison_vax_campaign</t>
  </si>
  <si>
    <t>adults_vax</t>
  </si>
  <si>
    <t>PWID – Vaccine coverage matching existing testing</t>
  </si>
  <si>
    <t>PWID – Vaccine + Test &amp; Treat scale-up</t>
  </si>
  <si>
    <t>Adolescents – School-based vaccination</t>
  </si>
  <si>
    <t>Adults – Catch-up campaign</t>
  </si>
  <si>
    <t>unit_cost_lic</t>
  </si>
  <si>
    <t>unit_cost_lmc</t>
  </si>
  <si>
    <t>unit_cost_umc</t>
  </si>
  <si>
    <t>unit_cost_hic</t>
  </si>
  <si>
    <t>vax_uptake</t>
  </si>
  <si>
    <t>vax_uptake_measure</t>
  </si>
  <si>
    <t>PROB</t>
  </si>
  <si>
    <t>Sheet: Vaccine-School Vaccination, Column: Modelled coverage, How: Country</t>
  </si>
  <si>
    <t>scenario_name</t>
  </si>
  <si>
    <t>programs</t>
  </si>
  <si>
    <t>end_year</t>
  </si>
  <si>
    <t>start_year</t>
  </si>
  <si>
    <t>vax_infx</t>
  </si>
  <si>
    <t>vax_infx_measure</t>
  </si>
  <si>
    <t>Parameter: test_ab_f3f4_und_ic</t>
  </si>
  <si>
    <t>Status-quo</t>
  </si>
  <si>
    <t>status_quo</t>
  </si>
  <si>
    <t>pwid_counter</t>
  </si>
  <si>
    <t>prison_counter</t>
  </si>
  <si>
    <t>Counterfactual scenario for pwid test&amp;treat scale-up</t>
  </si>
  <si>
    <t>Counterfactual scenario for prison test&amp;treat scale-up</t>
  </si>
  <si>
    <t>counterfactual</t>
  </si>
  <si>
    <t>PWID + Prison Counterfactual</t>
  </si>
  <si>
    <t>PWID Counterfactual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</si>
  <si>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</si>
  <si>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</si>
  <si>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</si>
  <si>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</si>
  <si>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</si>
  <si>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</si>
  <si>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</si>
  <si>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</si>
  <si>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description</t>
  </si>
  <si>
    <t>PWID</t>
  </si>
  <si>
    <t>PWID + Campaign</t>
  </si>
  <si>
    <t>Prisoners_PWID_males</t>
  </si>
  <si>
    <t>Prisoners_PWID_females</t>
  </si>
  <si>
    <t>PWID prisoners – Vaccine + Test &amp; Treat scale-up</t>
  </si>
  <si>
    <t>PWID + Campaign + Prison</t>
  </si>
  <si>
    <t>PWID + Campaign + Prison + Schools</t>
  </si>
  <si>
    <t>PWID + Campaign + Prison + Schools +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</si>
</sst>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7E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0" fillId="0" borderId="0" xfId="0" applyNumberFormat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0" fontId="4" fillId="0" borderId="0" xfId="2"/>
    <xf numFmtId="0" fontId="2" fillId="0" borderId="1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0" xfId="0" quotePrefix="1"/>
    <xf numFmtId="44" fontId="1" fillId="0" borderId="0" xfId="1" applyFont="1"/>
    <xf numFmtId="0" fontId="2" fillId="2" borderId="2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5" xfId="0" applyFill="1" applyBorder="1"/>
    <xf numFmtId="0" fontId="0" fillId="0" borderId="5" xfId="0" applyBorder="1"/>
    <xf numFmtId="0" fontId="0" fillId="8" borderId="5" xfId="0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2" fillId="0" borderId="5" xfId="0" applyFon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C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DEF-C325-4FE3-AD5B-B41F22CF0DA3}">
  <sheetPr codeName="Sheet1"/>
  <dimension ref="A1:B29"/>
  <sheetViews>
    <sheetView zoomScale="80" zoomScaleNormal="80" workbookViewId="0">
      <selection activeCell="B40" sqref="B40"/>
    </sheetView>
  </sheetViews>
  <sheetFormatPr defaultRowHeight="14.5" x14ac:dyDescent="0.35"/>
  <cols>
    <col min="1" max="1" width="26.26953125" bestFit="1" customWidth="1"/>
    <col min="2" max="2" width="80.7265625" bestFit="1" customWidth="1"/>
  </cols>
  <sheetData>
    <row r="1" spans="1:2" x14ac:dyDescent="0.35">
      <c r="A1" s="3" t="s">
        <v>0</v>
      </c>
      <c r="B1" s="7" t="s">
        <v>1</v>
      </c>
    </row>
    <row r="2" spans="1:2" x14ac:dyDescent="0.35">
      <c r="A2" s="4" t="s">
        <v>38</v>
      </c>
      <c r="B2" t="s">
        <v>42</v>
      </c>
    </row>
    <row r="3" spans="1:2" x14ac:dyDescent="0.35">
      <c r="A3" s="3" t="s">
        <v>39</v>
      </c>
      <c r="B3" t="s">
        <v>43</v>
      </c>
    </row>
    <row r="4" spans="1:2" x14ac:dyDescent="0.35">
      <c r="A4" s="3" t="s">
        <v>40</v>
      </c>
      <c r="B4" t="s">
        <v>83</v>
      </c>
    </row>
    <row r="5" spans="1:2" x14ac:dyDescent="0.35">
      <c r="A5" s="3" t="s">
        <v>37</v>
      </c>
      <c r="B5" t="s">
        <v>44</v>
      </c>
    </row>
    <row r="6" spans="1:2" x14ac:dyDescent="0.35">
      <c r="A6" s="3" t="s">
        <v>41</v>
      </c>
      <c r="B6" t="s">
        <v>45</v>
      </c>
    </row>
    <row r="7" spans="1:2" x14ac:dyDescent="0.35">
      <c r="A7" s="3" t="s">
        <v>63</v>
      </c>
      <c r="B7" t="s">
        <v>65</v>
      </c>
    </row>
    <row r="8" spans="1:2" x14ac:dyDescent="0.35">
      <c r="A8" s="3" t="s">
        <v>64</v>
      </c>
      <c r="B8" t="s">
        <v>66</v>
      </c>
    </row>
    <row r="9" spans="1:2" x14ac:dyDescent="0.35">
      <c r="A9" s="3" t="s">
        <v>62</v>
      </c>
      <c r="B9" t="s">
        <v>61</v>
      </c>
    </row>
    <row r="10" spans="1:2" x14ac:dyDescent="0.35">
      <c r="A10" s="3"/>
    </row>
    <row r="11" spans="1:2" x14ac:dyDescent="0.35">
      <c r="A11" s="3"/>
    </row>
    <row r="12" spans="1:2" x14ac:dyDescent="0.35">
      <c r="A12" s="3"/>
    </row>
    <row r="13" spans="1:2" x14ac:dyDescent="0.35">
      <c r="A13" s="3"/>
    </row>
    <row r="14" spans="1:2" x14ac:dyDescent="0.35">
      <c r="A14" s="3"/>
    </row>
    <row r="15" spans="1:2" x14ac:dyDescent="0.35">
      <c r="A15" s="3"/>
    </row>
    <row r="16" spans="1:2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4"/>
    </row>
    <row r="28" spans="1:1" x14ac:dyDescent="0.35">
      <c r="A28" s="4"/>
    </row>
    <row r="29" spans="1:1" x14ac:dyDescent="0.35">
      <c r="A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5C70-A891-4037-BF3D-C1EB7C57DA84}">
  <sheetPr codeName="Sheet2"/>
  <dimension ref="A1:O45"/>
  <sheetViews>
    <sheetView tabSelected="1" zoomScale="80" zoomScaleNormal="80" workbookViewId="0">
      <selection activeCell="L19" sqref="L19"/>
    </sheetView>
  </sheetViews>
  <sheetFormatPr defaultRowHeight="14.5" x14ac:dyDescent="0.35"/>
  <cols>
    <col min="1" max="1" width="26.26953125" bestFit="1" customWidth="1"/>
    <col min="2" max="2" width="13.54296875" bestFit="1" customWidth="1"/>
    <col min="3" max="3" width="15.7265625" bestFit="1" customWidth="1"/>
    <col min="4" max="4" width="11.26953125" bestFit="1" customWidth="1"/>
    <col min="5" max="5" width="13.1796875" bestFit="1" customWidth="1"/>
    <col min="6" max="6" width="13.453125" bestFit="1" customWidth="1"/>
    <col min="7" max="7" width="15.54296875" bestFit="1" customWidth="1"/>
    <col min="8" max="8" width="13.453125" bestFit="1" customWidth="1"/>
    <col min="9" max="9" width="15.54296875" bestFit="1" customWidth="1"/>
    <col min="10" max="10" width="11.54296875" bestFit="1" customWidth="1"/>
    <col min="11" max="11" width="13.54296875" bestFit="1" customWidth="1"/>
    <col min="12" max="12" width="17.7265625" bestFit="1" customWidth="1"/>
    <col min="13" max="13" width="19.81640625" bestFit="1" customWidth="1"/>
    <col min="14" max="14" width="20.90625" bestFit="1" customWidth="1"/>
    <col min="15" max="15" width="22.7265625" bestFit="1" customWidth="1"/>
  </cols>
  <sheetData>
    <row r="1" spans="1:15" s="2" customFormat="1" x14ac:dyDescent="0.35">
      <c r="A1" s="3" t="s">
        <v>0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81</v>
      </c>
      <c r="O1" s="10" t="s">
        <v>82</v>
      </c>
    </row>
    <row r="2" spans="1:15" x14ac:dyDescent="0.35">
      <c r="A2" s="4" t="str">
        <f>IF(ISBLANK(interventions!A2),"",interventions!A2)</f>
        <v>pwid_vax</v>
      </c>
      <c r="B2" s="11" t="s">
        <v>15</v>
      </c>
      <c r="C2" s="11" t="s">
        <v>15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5" x14ac:dyDescent="0.35">
      <c r="A3" s="4" t="str">
        <f>IF(ISBLANK(interventions!A3),"",interventions!A3)</f>
        <v>pwid_vax_campaign</v>
      </c>
      <c r="B3" s="11" t="s">
        <v>15</v>
      </c>
      <c r="C3" s="11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5" x14ac:dyDescent="0.35">
      <c r="A4" s="4" t="str">
        <f>IF(ISBLANK(interventions!A4),"",interventions!A4)</f>
        <v>prison_vax_campaign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 t="s">
        <v>15</v>
      </c>
      <c r="M4" s="11" t="s">
        <v>15</v>
      </c>
      <c r="N4" s="11" t="s">
        <v>15</v>
      </c>
      <c r="O4" s="11" t="s">
        <v>15</v>
      </c>
    </row>
    <row r="5" spans="1:15" x14ac:dyDescent="0.35">
      <c r="A5" s="4" t="str">
        <f>IF(ISBLANK(interventions!A5),"",interventions!A5)</f>
        <v>teen_vax</v>
      </c>
      <c r="B5" s="11"/>
      <c r="C5" s="11"/>
      <c r="D5" s="11"/>
      <c r="E5" s="11"/>
      <c r="F5" s="11" t="s">
        <v>15</v>
      </c>
      <c r="G5" s="11" t="s">
        <v>15</v>
      </c>
      <c r="H5" s="11"/>
      <c r="I5" s="11"/>
      <c r="J5" s="11"/>
      <c r="K5" s="11"/>
      <c r="L5" s="11"/>
      <c r="M5" s="11"/>
      <c r="N5" s="11"/>
      <c r="O5" s="11"/>
    </row>
    <row r="6" spans="1:15" x14ac:dyDescent="0.35">
      <c r="A6" s="4" t="str">
        <f>IF(ISBLANK(interventions!A6),"",interventions!A6)</f>
        <v>adults_vax</v>
      </c>
      <c r="B6" s="11"/>
      <c r="C6" s="11"/>
      <c r="D6" s="11"/>
      <c r="E6" s="11"/>
      <c r="F6" s="11"/>
      <c r="G6" s="11"/>
      <c r="H6" s="11" t="s">
        <v>15</v>
      </c>
      <c r="I6" s="11" t="s">
        <v>15</v>
      </c>
      <c r="J6" s="11"/>
      <c r="K6" s="11"/>
      <c r="L6" s="11"/>
      <c r="M6" s="11"/>
      <c r="N6" s="11"/>
      <c r="O6" s="11"/>
    </row>
    <row r="7" spans="1:15" x14ac:dyDescent="0.35">
      <c r="A7" s="4" t="str">
        <f>IF(ISBLANK(interventions!A7),"",interventions!A7)</f>
        <v>pwid_counter</v>
      </c>
      <c r="B7" s="11" t="s">
        <v>15</v>
      </c>
      <c r="C7" s="11" t="s">
        <v>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35">
      <c r="A8" s="4" t="str">
        <f>IF(ISBLANK(interventions!A8),"",interventions!A8)</f>
        <v>prison_counter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 t="s">
        <v>15</v>
      </c>
      <c r="M8" s="11" t="s">
        <v>15</v>
      </c>
      <c r="N8" s="11" t="s">
        <v>15</v>
      </c>
      <c r="O8" s="11" t="s">
        <v>15</v>
      </c>
    </row>
    <row r="9" spans="1:15" x14ac:dyDescent="0.35">
      <c r="A9" s="4" t="str">
        <f>IF(ISBLANK(interventions!A9),"",interventions!A9)</f>
        <v>status_quo</v>
      </c>
      <c r="B9" s="11" t="s">
        <v>15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11" t="s">
        <v>15</v>
      </c>
    </row>
    <row r="10" spans="1:15" x14ac:dyDescent="0.35">
      <c r="A10" s="4" t="str">
        <f>IF(ISBLANK(interventions!A10),"",interventions!A10)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5" x14ac:dyDescent="0.35">
      <c r="A11" s="4" t="str">
        <f>IF(ISBLANK(interventions!A11),"",interventions!A11)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x14ac:dyDescent="0.35">
      <c r="A12" s="4" t="str">
        <f>IF(ISBLANK(interventions!A12),"",interventions!A12)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5" x14ac:dyDescent="0.35">
      <c r="A13" s="4" t="str">
        <f>IF(ISBLANK(interventions!A13),"",interventions!A13)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x14ac:dyDescent="0.35">
      <c r="A14" s="4" t="str">
        <f>IF(ISBLANK(interventions!A14),"",interventions!A14)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x14ac:dyDescent="0.35">
      <c r="A15" s="4" t="str">
        <f>IF(ISBLANK(interventions!A15),"",interventions!A15)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5" x14ac:dyDescent="0.35">
      <c r="A16" s="4" t="str">
        <f>IF(ISBLANK(interventions!A16),"",interventions!A16)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35">
      <c r="A17" s="4" t="str">
        <f>IF(ISBLANK(interventions!A17),"",interventions!A17)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4" t="str">
        <f>IF(ISBLANK(interventions!A18),"",interventions!A18)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4" t="str">
        <f>IF(ISBLANK(interventions!A19),"",interventions!A19)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4" t="str">
        <f>IF(ISBLANK(interventions!A20),"",interventions!A20)</f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4" t="str">
        <f>IF(ISBLANK(interventions!A21),"",interventions!A21)</f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4" t="str">
        <f>IF(ISBLANK(interventions!A22),"",interventions!A22)</f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35">
      <c r="A23" s="4" t="str">
        <f>IF(ISBLANK(interventions!A23),"",interventions!A23)</f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35">
      <c r="A24" s="4" t="str">
        <f>IF(ISBLANK(interventions!A24),"",interventions!A24)</f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5">
      <c r="A25" s="4" t="str">
        <f>IF(ISBLANK(interventions!A25),"",interventions!A25)</f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35">
      <c r="A26" s="4" t="str">
        <f>IF(ISBLANK(interventions!A26),"",interventions!A26)</f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35">
      <c r="A27" s="4" t="str">
        <f>IF(ISBLANK(interventions!A27),"",interventions!A27)</f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35">
      <c r="A28" s="4" t="str">
        <f>IF(ISBLANK(interventions!A28),"",interventions!A28)</f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35">
      <c r="A29" s="4" t="str">
        <f>IF(ISBLANK(interventions!A29),"",interventions!A29)</f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35">
      <c r="A30" s="4" t="str">
        <f>IF(ISBLANK(interventions!A30),"",interventions!A30)</f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35">
      <c r="A31" s="4" t="str">
        <f>IF(ISBLANK(interventions!A31),"",interventions!A31)</f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35">
      <c r="A32" s="4" t="str">
        <f>IF(ISBLANK(interventions!A32),"",interventions!A32)</f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4" t="str">
        <f>IF(ISBLANK(interventions!A33),"",interventions!A33)</f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35">
      <c r="A34" s="4" t="str">
        <f>IF(ISBLANK(interventions!A34),"",interventions!A34)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5">
      <c r="A35" s="4" t="str">
        <f>IF(ISBLANK(interventions!A35),"",interventions!A35)</f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5">
      <c r="A36" s="4" t="str">
        <f>IF(ISBLANK(interventions!A36),"",interventions!A36)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35">
      <c r="A37" s="4" t="str">
        <f>IF(ISBLANK(interventions!A37),"",interventions!A37)</f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35">
      <c r="A38" s="4" t="str">
        <f>IF(ISBLANK(interventions!A38),"",interventions!A38)</f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35">
      <c r="A39" s="4" t="str">
        <f>IF(ISBLANK(interventions!A39),"",interventions!A39)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35">
      <c r="A40" s="4" t="str">
        <f>IF(ISBLANK(interventions!A40),"",interventions!A40)</f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35">
      <c r="A41" s="4" t="str">
        <f>IF(ISBLANK(interventions!A41),"",interventions!A41)</f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35">
      <c r="A42" s="4" t="str">
        <f>IF(ISBLANK(interventions!A42),"",interventions!A42)</f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35">
      <c r="A43" s="4" t="str">
        <f>IF(ISBLANK(interventions!A43),"",interventions!A43)</f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5">
      <c r="A44" s="4" t="str">
        <f>IF(ISBLANK(interventions!A44),"",interventions!A44)</f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35">
      <c r="A45" s="4" t="str">
        <f>IF(ISBLANK(interventions!A45),"",interventions!A45)</f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</sheetData>
  <conditionalFormatting sqref="B2:M3 B9:M45 B4:K8">
    <cfRule type="cellIs" dxfId="2" priority="3" operator="equal">
      <formula>"y"</formula>
    </cfRule>
  </conditionalFormatting>
  <conditionalFormatting sqref="N4:O9 L4:M8">
    <cfRule type="cellIs" dxfId="1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B9B-545D-4297-BB39-C50701A07DD3}">
  <sheetPr codeName="Sheet3"/>
  <dimension ref="A1:K45"/>
  <sheetViews>
    <sheetView zoomScale="80" zoomScaleNormal="80" workbookViewId="0">
      <pane ySplit="1" topLeftCell="A2" activePane="bottomLeft" state="frozen"/>
      <selection pane="bottomLeft" activeCell="A10" sqref="A10:XFD11"/>
    </sheetView>
  </sheetViews>
  <sheetFormatPr defaultRowHeight="14.5" x14ac:dyDescent="0.35"/>
  <cols>
    <col min="1" max="1" width="26.26953125" bestFit="1" customWidth="1"/>
    <col min="2" max="2" width="12.1796875" bestFit="1" customWidth="1"/>
    <col min="3" max="3" width="11.1796875" bestFit="1" customWidth="1"/>
    <col min="4" max="4" width="12.1796875" bestFit="1" customWidth="1"/>
    <col min="5" max="5" width="6" bestFit="1" customWidth="1"/>
    <col min="6" max="6" width="12.453125" bestFit="1" customWidth="1"/>
    <col min="7" max="7" width="13.453125" bestFit="1" customWidth="1"/>
    <col min="8" max="8" width="14.26953125" bestFit="1" customWidth="1"/>
    <col min="9" max="9" width="13.453125" bestFit="1" customWidth="1"/>
  </cols>
  <sheetData>
    <row r="1" spans="1:11" s="2" customFormat="1" x14ac:dyDescent="0.35">
      <c r="A1" s="3" t="s">
        <v>0</v>
      </c>
      <c r="B1" s="3" t="s">
        <v>11</v>
      </c>
      <c r="C1" s="3" t="s">
        <v>13</v>
      </c>
      <c r="D1" s="3" t="s">
        <v>6</v>
      </c>
      <c r="E1" s="3" t="s">
        <v>10</v>
      </c>
      <c r="F1" s="3" t="s">
        <v>7</v>
      </c>
      <c r="G1" s="3" t="s">
        <v>8</v>
      </c>
      <c r="H1" s="3" t="s">
        <v>9</v>
      </c>
      <c r="I1" s="3" t="s">
        <v>12</v>
      </c>
      <c r="K1" s="8"/>
    </row>
    <row r="2" spans="1:11" x14ac:dyDescent="0.35">
      <c r="A2" s="4" t="str">
        <f>IF(ISBLANK(interventions!A2),"",interventions!A2)</f>
        <v>pwid_vax</v>
      </c>
      <c r="B2" t="s">
        <v>15</v>
      </c>
      <c r="C2" t="s">
        <v>15</v>
      </c>
    </row>
    <row r="3" spans="1:11" x14ac:dyDescent="0.35">
      <c r="A3" s="14" t="str">
        <f>IF(ISBLANK(interventions!A3),"",interventions!A3)</f>
        <v>pwid_vax_campaign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1" x14ac:dyDescent="0.35">
      <c r="A4" s="14" t="str">
        <f>IF(ISBLANK(interventions!A4),"",interventions!A4)</f>
        <v>prison_vax_campaign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  <row r="5" spans="1:11" x14ac:dyDescent="0.35">
      <c r="A5" s="4" t="str">
        <f>IF(ISBLANK(interventions!A5),"",interventions!A5)</f>
        <v>teen_vax</v>
      </c>
      <c r="B5" t="s">
        <v>15</v>
      </c>
      <c r="C5" t="s">
        <v>15</v>
      </c>
    </row>
    <row r="6" spans="1:11" x14ac:dyDescent="0.35">
      <c r="A6" s="4" t="str">
        <f>IF(ISBLANK(interventions!A6),"",interventions!A6)</f>
        <v>adults_vax</v>
      </c>
      <c r="B6" t="s">
        <v>15</v>
      </c>
      <c r="C6" t="s">
        <v>15</v>
      </c>
    </row>
    <row r="7" spans="1:11" x14ac:dyDescent="0.35">
      <c r="A7" s="4" t="str">
        <f>IF(ISBLANK(interventions!A7),"",interventions!A7)</f>
        <v>pwid_counter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11" x14ac:dyDescent="0.35">
      <c r="A8" s="4" t="str">
        <f>IF(ISBLANK(interventions!A8),"",interventions!A8)</f>
        <v>prison_counter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</row>
    <row r="9" spans="1:11" x14ac:dyDescent="0.35">
      <c r="A9" s="4" t="str">
        <f>IF(ISBLANK(interventions!A9),"",interventions!A9)</f>
        <v>status_quo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</row>
    <row r="10" spans="1:11" x14ac:dyDescent="0.35">
      <c r="A10" s="4" t="str">
        <f>IF(ISBLANK(interventions!A10),"",interventions!A10)</f>
        <v/>
      </c>
    </row>
    <row r="11" spans="1:11" x14ac:dyDescent="0.35">
      <c r="A11" s="4" t="str">
        <f>IF(ISBLANK(interventions!A11),"",interventions!A11)</f>
        <v/>
      </c>
    </row>
    <row r="12" spans="1:11" x14ac:dyDescent="0.35">
      <c r="A12" s="4" t="str">
        <f>IF(ISBLANK(interventions!A12),"",interventions!A12)</f>
        <v/>
      </c>
    </row>
    <row r="13" spans="1:11" x14ac:dyDescent="0.35">
      <c r="A13" s="4" t="str">
        <f>IF(ISBLANK(interventions!A13),"",interventions!A13)</f>
        <v/>
      </c>
    </row>
    <row r="14" spans="1:11" x14ac:dyDescent="0.35">
      <c r="A14" s="4" t="str">
        <f>IF(ISBLANK(interventions!A14),"",interventions!A14)</f>
        <v/>
      </c>
    </row>
    <row r="15" spans="1:11" x14ac:dyDescent="0.35">
      <c r="A15" s="4" t="str">
        <f>IF(ISBLANK(interventions!A15),"",interventions!A15)</f>
        <v/>
      </c>
    </row>
    <row r="16" spans="1:11" x14ac:dyDescent="0.35">
      <c r="A16" s="4" t="str">
        <f>IF(ISBLANK(interventions!A16),"",interventions!A16)</f>
        <v/>
      </c>
    </row>
    <row r="17" spans="1:1" x14ac:dyDescent="0.35">
      <c r="A17" s="4" t="str">
        <f>IF(ISBLANK(interventions!A17),"",interventions!A17)</f>
        <v/>
      </c>
    </row>
    <row r="18" spans="1:1" x14ac:dyDescent="0.35">
      <c r="A18" s="4" t="str">
        <f>IF(ISBLANK(interventions!A18),"",interventions!A18)</f>
        <v/>
      </c>
    </row>
    <row r="19" spans="1:1" x14ac:dyDescent="0.35">
      <c r="A19" s="4" t="str">
        <f>IF(ISBLANK(interventions!A19),"",interventions!A19)</f>
        <v/>
      </c>
    </row>
    <row r="20" spans="1:1" x14ac:dyDescent="0.35">
      <c r="A20" s="4" t="str">
        <f>IF(ISBLANK(interventions!A20),"",interventions!A20)</f>
        <v/>
      </c>
    </row>
    <row r="21" spans="1:1" x14ac:dyDescent="0.35">
      <c r="A21" s="4" t="str">
        <f>IF(ISBLANK(interventions!A21),"",interventions!A21)</f>
        <v/>
      </c>
    </row>
    <row r="22" spans="1:1" x14ac:dyDescent="0.35">
      <c r="A22" s="4" t="str">
        <f>IF(ISBLANK(interventions!A22),"",interventions!A22)</f>
        <v/>
      </c>
    </row>
    <row r="23" spans="1:1" x14ac:dyDescent="0.35">
      <c r="A23" s="4" t="str">
        <f>IF(ISBLANK(interventions!A23),"",interventions!A23)</f>
        <v/>
      </c>
    </row>
    <row r="24" spans="1:1" x14ac:dyDescent="0.35">
      <c r="A24" s="4" t="str">
        <f>IF(ISBLANK(interventions!A24),"",interventions!A24)</f>
        <v/>
      </c>
    </row>
    <row r="25" spans="1:1" x14ac:dyDescent="0.35">
      <c r="A25" s="4" t="str">
        <f>IF(ISBLANK(interventions!A25),"",interventions!A25)</f>
        <v/>
      </c>
    </row>
    <row r="26" spans="1:1" x14ac:dyDescent="0.35">
      <c r="A26" s="4" t="str">
        <f>IF(ISBLANK(interventions!A26),"",interventions!A26)</f>
        <v/>
      </c>
    </row>
    <row r="27" spans="1:1" x14ac:dyDescent="0.35">
      <c r="A27" s="4" t="str">
        <f>IF(ISBLANK(interventions!A27),"",interventions!A27)</f>
        <v/>
      </c>
    </row>
    <row r="28" spans="1:1" x14ac:dyDescent="0.35">
      <c r="A28" s="4" t="str">
        <f>IF(ISBLANK(interventions!A28),"",interventions!A28)</f>
        <v/>
      </c>
    </row>
    <row r="29" spans="1:1" x14ac:dyDescent="0.35">
      <c r="A29" s="4" t="str">
        <f>IF(ISBLANK(interventions!A29),"",interventions!A29)</f>
        <v/>
      </c>
    </row>
    <row r="30" spans="1:1" x14ac:dyDescent="0.35">
      <c r="A30" s="4" t="str">
        <f>IF(ISBLANK(interventions!A30),"",interventions!A30)</f>
        <v/>
      </c>
    </row>
    <row r="31" spans="1:1" x14ac:dyDescent="0.35">
      <c r="A31" s="4" t="str">
        <f>IF(ISBLANK(interventions!A31),"",interventions!A31)</f>
        <v/>
      </c>
    </row>
    <row r="32" spans="1:1" x14ac:dyDescent="0.35">
      <c r="A32" s="4" t="str">
        <f>IF(ISBLANK(interventions!A32),"",interventions!A32)</f>
        <v/>
      </c>
    </row>
    <row r="33" spans="1:4" x14ac:dyDescent="0.35">
      <c r="A33" s="4" t="str">
        <f>IF(ISBLANK(interventions!A33),"",interventions!A33)</f>
        <v/>
      </c>
      <c r="D33" s="6"/>
    </row>
    <row r="34" spans="1:4" x14ac:dyDescent="0.35">
      <c r="A34" s="4" t="str">
        <f>IF(ISBLANK(interventions!A34),"",interventions!A34)</f>
        <v/>
      </c>
      <c r="D34" s="6"/>
    </row>
    <row r="35" spans="1:4" x14ac:dyDescent="0.35">
      <c r="A35" s="4" t="str">
        <f>IF(ISBLANK(interventions!A35),"",interventions!A35)</f>
        <v/>
      </c>
    </row>
    <row r="36" spans="1:4" x14ac:dyDescent="0.35">
      <c r="A36" s="4" t="str">
        <f>IF(ISBLANK(interventions!A36),"",interventions!A36)</f>
        <v/>
      </c>
    </row>
    <row r="37" spans="1:4" x14ac:dyDescent="0.35">
      <c r="A37" s="4" t="str">
        <f>IF(ISBLANK(interventions!A37),"",interventions!A37)</f>
        <v/>
      </c>
    </row>
    <row r="38" spans="1:4" x14ac:dyDescent="0.35">
      <c r="A38" s="4" t="str">
        <f>IF(ISBLANK(interventions!A38),"",interventions!A38)</f>
        <v/>
      </c>
    </row>
    <row r="39" spans="1:4" x14ac:dyDescent="0.35">
      <c r="A39" s="4" t="str">
        <f>IF(ISBLANK(interventions!A39),"",interventions!A39)</f>
        <v/>
      </c>
    </row>
    <row r="40" spans="1:4" x14ac:dyDescent="0.35">
      <c r="A40" s="4" t="str">
        <f>IF(ISBLANK(interventions!A40),"",interventions!A40)</f>
        <v/>
      </c>
    </row>
    <row r="41" spans="1:4" x14ac:dyDescent="0.35">
      <c r="A41" s="4" t="str">
        <f>IF(ISBLANK(interventions!A41),"",interventions!A41)</f>
        <v/>
      </c>
    </row>
    <row r="42" spans="1:4" x14ac:dyDescent="0.35">
      <c r="A42" s="4" t="str">
        <f>IF(ISBLANK(interventions!A42),"",interventions!A42)</f>
        <v/>
      </c>
    </row>
    <row r="43" spans="1:4" x14ac:dyDescent="0.35">
      <c r="A43" s="4" t="str">
        <f>IF(ISBLANK(interventions!A43),"",interventions!A43)</f>
        <v/>
      </c>
    </row>
    <row r="44" spans="1:4" x14ac:dyDescent="0.35">
      <c r="A44" s="4" t="str">
        <f>IF(ISBLANK(interventions!A44),"",interventions!A44)</f>
        <v/>
      </c>
    </row>
    <row r="45" spans="1:4" x14ac:dyDescent="0.35">
      <c r="A45" s="4" t="str">
        <f>IF(ISBLANK(interventions!A45),"",interventions!A45)</f>
        <v/>
      </c>
    </row>
  </sheetData>
  <conditionalFormatting sqref="B2:I29">
    <cfRule type="cellIs" dxfId="0" priority="7" operator="equal">
      <formula>"y"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247F-181A-4B6D-B2CD-717659CE10EB}">
  <sheetPr codeName="Sheet4"/>
  <dimension ref="A1:J45"/>
  <sheetViews>
    <sheetView zoomScale="80" zoomScaleNormal="80" workbookViewId="0">
      <pane ySplit="1" topLeftCell="A2" activePane="bottomLeft" state="frozen"/>
      <selection pane="bottomLeft" activeCell="A10" sqref="A10:XFD11"/>
    </sheetView>
  </sheetViews>
  <sheetFormatPr defaultRowHeight="14.5" x14ac:dyDescent="0.35"/>
  <cols>
    <col min="1" max="1" width="26.26953125" bestFit="1" customWidth="1"/>
    <col min="2" max="2" width="13.1796875" bestFit="1" customWidth="1"/>
    <col min="3" max="3" width="13.54296875" bestFit="1" customWidth="1"/>
    <col min="4" max="4" width="14.26953125" bestFit="1" customWidth="1"/>
    <col min="5" max="5" width="12.81640625" bestFit="1" customWidth="1"/>
    <col min="6" max="6" width="12.1796875" bestFit="1" customWidth="1"/>
    <col min="7" max="7" width="8.54296875" bestFit="1" customWidth="1"/>
    <col min="8" max="8" width="9.26953125" bestFit="1" customWidth="1"/>
    <col min="9" max="9" width="10.1796875" bestFit="1" customWidth="1"/>
  </cols>
  <sheetData>
    <row r="1" spans="1:10" x14ac:dyDescent="0.35">
      <c r="A1" s="3" t="s">
        <v>0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4</v>
      </c>
      <c r="G1" s="3" t="s">
        <v>16</v>
      </c>
      <c r="H1" s="3" t="s">
        <v>2</v>
      </c>
      <c r="I1" s="3" t="s">
        <v>3</v>
      </c>
      <c r="J1" s="8" t="s">
        <v>18</v>
      </c>
    </row>
    <row r="2" spans="1:10" x14ac:dyDescent="0.35">
      <c r="A2" s="4" t="str">
        <f>IF(ISBLANK(interventions!A2),"",interventions!A2)</f>
        <v>pwid_vax</v>
      </c>
      <c r="B2" s="13">
        <v>10</v>
      </c>
      <c r="C2" s="13">
        <v>20</v>
      </c>
      <c r="D2" s="13">
        <v>30</v>
      </c>
      <c r="E2" s="13">
        <v>40</v>
      </c>
      <c r="F2" t="s">
        <v>5</v>
      </c>
    </row>
    <row r="3" spans="1:10" x14ac:dyDescent="0.35">
      <c r="A3" s="4" t="str">
        <f>IF(ISBLANK(interventions!A3),"",interventions!A3)</f>
        <v>pwid_vax_campaign</v>
      </c>
      <c r="B3" s="13">
        <v>20</v>
      </c>
      <c r="C3" s="13">
        <v>30</v>
      </c>
      <c r="D3" s="13">
        <v>40</v>
      </c>
      <c r="E3" s="13">
        <v>50</v>
      </c>
      <c r="F3" t="s">
        <v>5</v>
      </c>
    </row>
    <row r="4" spans="1:10" x14ac:dyDescent="0.35">
      <c r="A4" s="4" t="str">
        <f>IF(ISBLANK(interventions!A4),"",interventions!A4)</f>
        <v>prison_vax_campaign</v>
      </c>
      <c r="B4" s="13">
        <v>10</v>
      </c>
      <c r="C4" s="13">
        <v>20</v>
      </c>
      <c r="D4" s="13">
        <v>30</v>
      </c>
      <c r="E4" s="13">
        <v>40</v>
      </c>
      <c r="F4" t="s">
        <v>5</v>
      </c>
      <c r="J4" s="9"/>
    </row>
    <row r="5" spans="1:10" x14ac:dyDescent="0.35">
      <c r="A5" s="4" t="str">
        <f>IF(ISBLANK(interventions!A5),"",interventions!A5)</f>
        <v>teen_vax</v>
      </c>
      <c r="B5" s="13">
        <v>20</v>
      </c>
      <c r="C5" s="13">
        <v>30</v>
      </c>
      <c r="D5" s="13">
        <v>40</v>
      </c>
      <c r="E5" s="13">
        <v>50</v>
      </c>
      <c r="F5" t="s">
        <v>5</v>
      </c>
    </row>
    <row r="6" spans="1:10" x14ac:dyDescent="0.35">
      <c r="A6" s="4" t="str">
        <f>IF(ISBLANK(interventions!A6),"",interventions!A6)</f>
        <v>adults_vax</v>
      </c>
      <c r="B6" s="13">
        <v>10</v>
      </c>
      <c r="C6" s="13">
        <v>20</v>
      </c>
      <c r="D6" s="13">
        <v>30</v>
      </c>
      <c r="E6" s="13">
        <v>40</v>
      </c>
      <c r="F6" t="s">
        <v>5</v>
      </c>
    </row>
    <row r="7" spans="1:10" x14ac:dyDescent="0.35">
      <c r="A7" s="4" t="str">
        <f>IF(ISBLANK(interventions!A7),"",interventions!A7)</f>
        <v>pwid_counter</v>
      </c>
      <c r="B7" s="13">
        <v>10</v>
      </c>
      <c r="C7" s="13">
        <v>20</v>
      </c>
      <c r="D7" s="13">
        <v>30</v>
      </c>
      <c r="E7" s="13">
        <v>40</v>
      </c>
      <c r="F7" t="s">
        <v>5</v>
      </c>
    </row>
    <row r="8" spans="1:10" x14ac:dyDescent="0.35">
      <c r="A8" s="4" t="str">
        <f>IF(ISBLANK(interventions!A8),"",interventions!A8)</f>
        <v>prison_counter</v>
      </c>
      <c r="B8" s="13">
        <v>10</v>
      </c>
      <c r="C8" s="13">
        <v>20</v>
      </c>
      <c r="D8" s="13">
        <v>30</v>
      </c>
      <c r="E8" s="13">
        <v>40</v>
      </c>
      <c r="F8" t="s">
        <v>5</v>
      </c>
    </row>
    <row r="9" spans="1:10" x14ac:dyDescent="0.35">
      <c r="A9" s="4" t="str">
        <f>IF(ISBLANK(interventions!A9),"",interventions!A9)</f>
        <v>status_quo</v>
      </c>
      <c r="B9" s="13">
        <v>10</v>
      </c>
      <c r="C9" s="13">
        <v>20</v>
      </c>
      <c r="D9" s="13">
        <v>30</v>
      </c>
      <c r="E9" s="13">
        <v>40</v>
      </c>
      <c r="F9" t="s">
        <v>5</v>
      </c>
    </row>
    <row r="10" spans="1:10" x14ac:dyDescent="0.35">
      <c r="A10" s="4" t="str">
        <f>IF(ISBLANK(interventions!A10),"",interventions!A10)</f>
        <v/>
      </c>
      <c r="B10" s="2"/>
      <c r="C10" s="2"/>
      <c r="D10" s="2"/>
      <c r="E10" s="1"/>
    </row>
    <row r="11" spans="1:10" x14ac:dyDescent="0.35">
      <c r="A11" s="4" t="str">
        <f>IF(ISBLANK(interventions!A11),"",interventions!A11)</f>
        <v/>
      </c>
      <c r="B11" s="2"/>
      <c r="C11" s="2"/>
      <c r="D11" s="2"/>
      <c r="E11" s="1"/>
    </row>
    <row r="12" spans="1:10" x14ac:dyDescent="0.35">
      <c r="A12" s="4" t="str">
        <f>IF(ISBLANK(interventions!A12),"",interventions!A12)</f>
        <v/>
      </c>
      <c r="B12" s="2"/>
      <c r="C12" s="2"/>
      <c r="D12" s="2"/>
      <c r="E12" s="1"/>
    </row>
    <row r="13" spans="1:10" x14ac:dyDescent="0.35">
      <c r="A13" s="4" t="str">
        <f>IF(ISBLANK(interventions!A13),"",interventions!A13)</f>
        <v/>
      </c>
      <c r="B13" s="2"/>
      <c r="C13" s="2"/>
      <c r="D13" s="2"/>
      <c r="E13" s="1"/>
    </row>
    <row r="14" spans="1:10" x14ac:dyDescent="0.35">
      <c r="A14" s="4" t="str">
        <f>IF(ISBLANK(interventions!A14),"",interventions!A14)</f>
        <v/>
      </c>
      <c r="B14" s="2"/>
      <c r="C14" s="2"/>
      <c r="D14" s="2"/>
      <c r="E14" s="1"/>
    </row>
    <row r="15" spans="1:10" x14ac:dyDescent="0.35">
      <c r="A15" s="4" t="str">
        <f>IF(ISBLANK(interventions!A15),"",interventions!A15)</f>
        <v/>
      </c>
      <c r="B15" s="2"/>
      <c r="C15" s="2"/>
      <c r="D15" s="2"/>
      <c r="E15" s="1"/>
    </row>
    <row r="16" spans="1:10" x14ac:dyDescent="0.35">
      <c r="A16" s="4" t="str">
        <f>IF(ISBLANK(interventions!A16),"",interventions!A16)</f>
        <v/>
      </c>
      <c r="B16" s="2"/>
      <c r="C16" s="2"/>
      <c r="D16" s="2"/>
      <c r="E16" s="1"/>
    </row>
    <row r="17" spans="1:5" x14ac:dyDescent="0.35">
      <c r="A17" s="4" t="str">
        <f>IF(ISBLANK(interventions!A17),"",interventions!A17)</f>
        <v/>
      </c>
      <c r="B17" s="2"/>
      <c r="C17" s="2"/>
      <c r="D17" s="2"/>
      <c r="E17" s="1"/>
    </row>
    <row r="18" spans="1:5" x14ac:dyDescent="0.35">
      <c r="A18" s="4" t="str">
        <f>IF(ISBLANK(interventions!A18),"",interventions!A18)</f>
        <v/>
      </c>
      <c r="B18" s="2"/>
      <c r="C18" s="2"/>
      <c r="D18" s="2"/>
      <c r="E18" s="1"/>
    </row>
    <row r="19" spans="1:5" x14ac:dyDescent="0.35">
      <c r="A19" s="4" t="str">
        <f>IF(ISBLANK(interventions!A19),"",interventions!A19)</f>
        <v/>
      </c>
      <c r="B19" s="2"/>
      <c r="C19" s="2"/>
      <c r="D19" s="2"/>
      <c r="E19" s="1"/>
    </row>
    <row r="20" spans="1:5" x14ac:dyDescent="0.35">
      <c r="A20" s="4" t="str">
        <f>IF(ISBLANK(interventions!A20),"",interventions!A20)</f>
        <v/>
      </c>
      <c r="B20" s="2"/>
      <c r="C20" s="2"/>
      <c r="D20" s="2"/>
      <c r="E20" s="1"/>
    </row>
    <row r="21" spans="1:5" x14ac:dyDescent="0.35">
      <c r="A21" s="4" t="str">
        <f>IF(ISBLANK(interventions!A21),"",interventions!A21)</f>
        <v/>
      </c>
      <c r="B21" s="2"/>
      <c r="C21" s="2"/>
      <c r="D21" s="2"/>
      <c r="E21" s="1"/>
    </row>
    <row r="22" spans="1:5" x14ac:dyDescent="0.35">
      <c r="A22" s="4" t="str">
        <f>IF(ISBLANK(interventions!A22),"",interventions!A22)</f>
        <v/>
      </c>
      <c r="B22" s="2"/>
      <c r="C22" s="2"/>
      <c r="D22" s="2"/>
      <c r="E22" s="1"/>
    </row>
    <row r="23" spans="1:5" x14ac:dyDescent="0.35">
      <c r="A23" s="4" t="str">
        <f>IF(ISBLANK(interventions!A23),"",interventions!A23)</f>
        <v/>
      </c>
      <c r="B23" s="2"/>
      <c r="C23" s="2"/>
      <c r="D23" s="2"/>
      <c r="E23" s="1"/>
    </row>
    <row r="24" spans="1:5" x14ac:dyDescent="0.35">
      <c r="A24" s="4" t="str">
        <f>IF(ISBLANK(interventions!A24),"",interventions!A24)</f>
        <v/>
      </c>
      <c r="B24" s="2"/>
      <c r="C24" s="2"/>
      <c r="D24" s="2"/>
      <c r="E24" s="1"/>
    </row>
    <row r="25" spans="1:5" x14ac:dyDescent="0.35">
      <c r="A25" s="4" t="str">
        <f>IF(ISBLANK(interventions!A25),"",interventions!A25)</f>
        <v/>
      </c>
      <c r="B25" s="2"/>
      <c r="C25" s="2"/>
      <c r="D25" s="2"/>
      <c r="E25" s="1"/>
    </row>
    <row r="26" spans="1:5" x14ac:dyDescent="0.35">
      <c r="A26" s="4" t="str">
        <f>IF(ISBLANK(interventions!A26),"",interventions!A26)</f>
        <v/>
      </c>
      <c r="B26" s="2"/>
      <c r="C26" s="2"/>
      <c r="D26" s="2"/>
      <c r="E26" s="1"/>
    </row>
    <row r="27" spans="1:5" x14ac:dyDescent="0.35">
      <c r="A27" s="4" t="str">
        <f>IF(ISBLANK(interventions!A27),"",interventions!A27)</f>
        <v/>
      </c>
      <c r="B27" s="2"/>
      <c r="C27" s="2"/>
      <c r="D27" s="2"/>
      <c r="E27" s="1"/>
    </row>
    <row r="28" spans="1:5" x14ac:dyDescent="0.35">
      <c r="A28" s="4" t="str">
        <f>IF(ISBLANK(interventions!A28),"",interventions!A28)</f>
        <v/>
      </c>
      <c r="B28" s="2"/>
      <c r="C28" s="2"/>
      <c r="D28" s="2"/>
      <c r="E28" s="1"/>
    </row>
    <row r="29" spans="1:5" x14ac:dyDescent="0.35">
      <c r="A29" s="4" t="str">
        <f>IF(ISBLANK(interventions!A29),"",interventions!A29)</f>
        <v/>
      </c>
      <c r="B29" s="2"/>
      <c r="C29" s="2"/>
      <c r="D29" s="2"/>
      <c r="E29" s="1"/>
    </row>
    <row r="30" spans="1:5" x14ac:dyDescent="0.35">
      <c r="A30" s="4" t="str">
        <f>IF(ISBLANK(interventions!A30),"",interventions!A30)</f>
        <v/>
      </c>
      <c r="B30" s="2"/>
      <c r="C30" s="2"/>
      <c r="D30" s="2"/>
    </row>
    <row r="31" spans="1:5" x14ac:dyDescent="0.35">
      <c r="A31" s="4" t="str">
        <f>IF(ISBLANK(interventions!A31),"",interventions!A31)</f>
        <v/>
      </c>
      <c r="B31" s="2"/>
      <c r="C31" s="2"/>
      <c r="D31" s="2"/>
    </row>
    <row r="32" spans="1:5" x14ac:dyDescent="0.35">
      <c r="A32" s="4" t="str">
        <f>IF(ISBLANK(interventions!A32),"",interventions!A32)</f>
        <v/>
      </c>
      <c r="B32" s="2"/>
      <c r="C32" s="2"/>
      <c r="D32" s="2"/>
    </row>
    <row r="33" spans="1:4" x14ac:dyDescent="0.35">
      <c r="A33" s="4" t="str">
        <f>IF(ISBLANK(interventions!A33),"",interventions!A33)</f>
        <v/>
      </c>
      <c r="B33" s="2"/>
      <c r="C33" s="2"/>
      <c r="D33" s="2"/>
    </row>
    <row r="34" spans="1:4" x14ac:dyDescent="0.35">
      <c r="A34" s="4" t="str">
        <f>IF(ISBLANK(interventions!A34),"",interventions!A34)</f>
        <v/>
      </c>
      <c r="B34" s="2"/>
      <c r="C34" s="2"/>
      <c r="D34" s="2"/>
    </row>
    <row r="35" spans="1:4" x14ac:dyDescent="0.35">
      <c r="A35" s="4" t="str">
        <f>IF(ISBLANK(interventions!A35),"",interventions!A35)</f>
        <v/>
      </c>
      <c r="B35" s="2"/>
      <c r="C35" s="2"/>
      <c r="D35" s="2"/>
    </row>
    <row r="36" spans="1:4" x14ac:dyDescent="0.35">
      <c r="A36" s="4" t="str">
        <f>IF(ISBLANK(interventions!A36),"",interventions!A36)</f>
        <v/>
      </c>
      <c r="B36" s="2"/>
      <c r="C36" s="2"/>
      <c r="D36" s="2"/>
    </row>
    <row r="37" spans="1:4" x14ac:dyDescent="0.35">
      <c r="A37" s="4" t="str">
        <f>IF(ISBLANK(interventions!A37),"",interventions!A37)</f>
        <v/>
      </c>
      <c r="B37" s="2"/>
      <c r="C37" s="2"/>
      <c r="D37" s="2"/>
    </row>
    <row r="38" spans="1:4" x14ac:dyDescent="0.35">
      <c r="A38" s="4" t="str">
        <f>IF(ISBLANK(interventions!A38),"",interventions!A38)</f>
        <v/>
      </c>
      <c r="B38" s="2"/>
      <c r="C38" s="2"/>
      <c r="D38" s="2"/>
    </row>
    <row r="39" spans="1:4" x14ac:dyDescent="0.35">
      <c r="A39" s="4" t="str">
        <f>IF(ISBLANK(interventions!A39),"",interventions!A39)</f>
        <v/>
      </c>
      <c r="B39" s="2"/>
      <c r="C39" s="2"/>
      <c r="D39" s="2"/>
    </row>
    <row r="40" spans="1:4" x14ac:dyDescent="0.35">
      <c r="A40" s="4" t="str">
        <f>IF(ISBLANK(interventions!A40),"",interventions!A40)</f>
        <v/>
      </c>
      <c r="B40" s="2"/>
      <c r="C40" s="2"/>
      <c r="D40" s="2"/>
    </row>
    <row r="41" spans="1:4" x14ac:dyDescent="0.35">
      <c r="A41" s="4" t="str">
        <f>IF(ISBLANK(interventions!A41),"",interventions!A41)</f>
        <v/>
      </c>
      <c r="B41" s="2"/>
      <c r="C41" s="2"/>
      <c r="D41" s="2"/>
    </row>
    <row r="42" spans="1:4" x14ac:dyDescent="0.35">
      <c r="A42" s="4" t="str">
        <f>IF(ISBLANK(interventions!A42),"",interventions!A42)</f>
        <v/>
      </c>
      <c r="B42" s="2"/>
      <c r="C42" s="2"/>
      <c r="D42" s="2"/>
    </row>
    <row r="43" spans="1:4" x14ac:dyDescent="0.35">
      <c r="A43" s="4" t="str">
        <f>IF(ISBLANK(interventions!A43),"",interventions!A43)</f>
        <v/>
      </c>
      <c r="B43" s="2"/>
      <c r="C43" s="2"/>
      <c r="D43" s="2"/>
    </row>
    <row r="44" spans="1:4" x14ac:dyDescent="0.35">
      <c r="A44" s="4" t="str">
        <f>IF(ISBLANK(interventions!A44),"",interventions!A44)</f>
        <v/>
      </c>
      <c r="B44" s="2"/>
      <c r="C44" s="2"/>
      <c r="D44" s="2"/>
    </row>
    <row r="45" spans="1:4" x14ac:dyDescent="0.35">
      <c r="A45" s="4" t="str">
        <f>IF(ISBLANK(interventions!A45),"",interventions!A45)</f>
        <v/>
      </c>
      <c r="B45" s="2"/>
      <c r="C45" s="2"/>
      <c r="D45" s="2"/>
    </row>
  </sheetData>
  <dataValidations count="1">
    <dataValidation type="list" allowBlank="1" showInputMessage="1" showErrorMessage="1" sqref="F2:F29" xr:uid="{705BD241-D3AE-494C-B9B6-56110DA500F1}">
      <formula1>"one-off, continuous"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2EA-A822-4ED1-B8AA-05F696E2FA18}">
  <sheetPr codeName="Sheet5"/>
  <dimension ref="A1:O45"/>
  <sheetViews>
    <sheetView zoomScale="80" zoomScaleNormal="80" workbookViewId="0">
      <selection activeCell="A10" sqref="A10:XFD11"/>
    </sheetView>
  </sheetViews>
  <sheetFormatPr defaultRowHeight="14.5" x14ac:dyDescent="0.35"/>
  <cols>
    <col min="1" max="1" width="26.26953125" bestFit="1" customWidth="1"/>
    <col min="2" max="2" width="12.7265625" bestFit="1" customWidth="1"/>
    <col min="3" max="3" width="21.7265625" bestFit="1" customWidth="1"/>
    <col min="4" max="4" width="16.54296875" bestFit="1" customWidth="1"/>
    <col min="5" max="5" width="25.7265625" bestFit="1" customWidth="1"/>
    <col min="6" max="6" width="17.7265625" bestFit="1" customWidth="1"/>
    <col min="7" max="7" width="25.7265625" bestFit="1" customWidth="1"/>
    <col min="8" max="8" width="5.54296875" bestFit="1" customWidth="1"/>
    <col min="9" max="9" width="14.453125" bestFit="1" customWidth="1"/>
    <col min="10" max="10" width="23.7265625" customWidth="1"/>
    <col min="11" max="11" width="20.7265625" bestFit="1" customWidth="1"/>
    <col min="12" max="12" width="8.81640625" bestFit="1" customWidth="1"/>
    <col min="13" max="13" width="20.7265625" bestFit="1" customWidth="1"/>
    <col min="14" max="14" width="15.26953125" bestFit="1" customWidth="1"/>
    <col min="15" max="15" width="18.54296875" customWidth="1"/>
  </cols>
  <sheetData>
    <row r="1" spans="1:15" x14ac:dyDescent="0.35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14</v>
      </c>
      <c r="I1" s="3" t="s">
        <v>17</v>
      </c>
      <c r="J1" s="4" t="s">
        <v>50</v>
      </c>
      <c r="K1" s="4" t="s">
        <v>51</v>
      </c>
      <c r="L1" s="3" t="s">
        <v>58</v>
      </c>
      <c r="M1" s="4" t="s">
        <v>59</v>
      </c>
      <c r="N1" s="2"/>
      <c r="O1" s="2"/>
    </row>
    <row r="2" spans="1:15" x14ac:dyDescent="0.35">
      <c r="A2" s="4" t="str">
        <f>IF(ISBLANK(interventions!A2),"",interventions!A2)</f>
        <v>pwid_vax</v>
      </c>
      <c r="J2" t="s">
        <v>60</v>
      </c>
      <c r="K2" t="s">
        <v>52</v>
      </c>
    </row>
    <row r="3" spans="1:15" x14ac:dyDescent="0.35">
      <c r="A3" s="4" t="str">
        <f>IF(ISBLANK(interventions!A3),"",interventions!A3)</f>
        <v>pwid_vax_campaign</v>
      </c>
      <c r="D3">
        <v>0.8</v>
      </c>
      <c r="E3" t="s">
        <v>52</v>
      </c>
      <c r="F3">
        <v>0.8</v>
      </c>
      <c r="G3" t="s">
        <v>52</v>
      </c>
      <c r="H3">
        <v>0.8</v>
      </c>
      <c r="I3" t="s">
        <v>52</v>
      </c>
      <c r="J3">
        <v>0.8</v>
      </c>
      <c r="K3" t="s">
        <v>52</v>
      </c>
    </row>
    <row r="4" spans="1:15" x14ac:dyDescent="0.35">
      <c r="A4" s="4" t="str">
        <f>IF(ISBLANK(interventions!A4),"",interventions!A4)</f>
        <v>prison_vax_campaign</v>
      </c>
      <c r="D4">
        <v>0.8</v>
      </c>
      <c r="E4" t="s">
        <v>52</v>
      </c>
      <c r="F4">
        <v>0.8</v>
      </c>
      <c r="G4" t="s">
        <v>52</v>
      </c>
      <c r="H4">
        <v>0.8</v>
      </c>
      <c r="I4" t="s">
        <v>52</v>
      </c>
      <c r="J4">
        <v>0.8</v>
      </c>
      <c r="K4" t="s">
        <v>52</v>
      </c>
    </row>
    <row r="5" spans="1:15" x14ac:dyDescent="0.35">
      <c r="A5" s="4" t="str">
        <f>IF(ISBLANK(interventions!A5),"",interventions!A5)</f>
        <v>teen_vax</v>
      </c>
      <c r="J5" s="12" t="s">
        <v>53</v>
      </c>
      <c r="K5" t="s">
        <v>52</v>
      </c>
    </row>
    <row r="6" spans="1:15" x14ac:dyDescent="0.35">
      <c r="A6" s="4" t="str">
        <f>IF(ISBLANK(interventions!A6),"",interventions!A6)</f>
        <v>adults_vax</v>
      </c>
      <c r="J6">
        <v>0.8</v>
      </c>
      <c r="K6" t="s">
        <v>52</v>
      </c>
    </row>
    <row r="7" spans="1:15" x14ac:dyDescent="0.35">
      <c r="A7" s="4" t="str">
        <f>IF(ISBLANK(interventions!A7),"",interventions!A7)</f>
        <v>pwid_counter</v>
      </c>
      <c r="D7">
        <v>0.8</v>
      </c>
      <c r="E7" t="s">
        <v>52</v>
      </c>
      <c r="F7">
        <v>0.8</v>
      </c>
      <c r="G7" t="s">
        <v>52</v>
      </c>
      <c r="H7">
        <v>0.8</v>
      </c>
      <c r="I7" t="s">
        <v>52</v>
      </c>
    </row>
    <row r="8" spans="1:15" x14ac:dyDescent="0.35">
      <c r="A8" s="4" t="str">
        <f>IF(ISBLANK(interventions!A8),"",interventions!A8)</f>
        <v>prison_counter</v>
      </c>
      <c r="D8">
        <v>0.8</v>
      </c>
      <c r="E8" t="s">
        <v>52</v>
      </c>
      <c r="F8">
        <v>0.8</v>
      </c>
      <c r="G8" t="s">
        <v>52</v>
      </c>
      <c r="H8">
        <v>0.8</v>
      </c>
      <c r="I8" t="s">
        <v>52</v>
      </c>
    </row>
    <row r="9" spans="1:15" x14ac:dyDescent="0.35">
      <c r="A9" s="4" t="str">
        <f>IF(ISBLANK(interventions!A9),"",interventions!A9)</f>
        <v>status_quo</v>
      </c>
    </row>
    <row r="10" spans="1:15" x14ac:dyDescent="0.35">
      <c r="A10" s="4" t="str">
        <f>IF(ISBLANK(interventions!A10),"",interventions!A10)</f>
        <v/>
      </c>
    </row>
    <row r="11" spans="1:15" x14ac:dyDescent="0.35">
      <c r="A11" s="4" t="str">
        <f>IF(ISBLANK(interventions!A11),"",interventions!A11)</f>
        <v/>
      </c>
      <c r="H11" s="5"/>
    </row>
    <row r="12" spans="1:15" x14ac:dyDescent="0.35">
      <c r="A12" s="4" t="str">
        <f>IF(ISBLANK(interventions!A12),"",interventions!A12)</f>
        <v/>
      </c>
    </row>
    <row r="13" spans="1:15" x14ac:dyDescent="0.35">
      <c r="A13" s="4" t="str">
        <f>IF(ISBLANK(interventions!A13),"",interventions!A13)</f>
        <v/>
      </c>
      <c r="H13" s="5"/>
    </row>
    <row r="14" spans="1:15" x14ac:dyDescent="0.35">
      <c r="A14" s="4" t="str">
        <f>IF(ISBLANK(interventions!A14),"",interventions!A14)</f>
        <v/>
      </c>
    </row>
    <row r="15" spans="1:15" x14ac:dyDescent="0.35">
      <c r="A15" s="4" t="str">
        <f>IF(ISBLANK(interventions!A15),"",interventions!A15)</f>
        <v/>
      </c>
      <c r="H15" s="5"/>
    </row>
    <row r="16" spans="1:15" x14ac:dyDescent="0.35">
      <c r="A16" s="4" t="str">
        <f>IF(ISBLANK(interventions!A16),"",interventions!A16)</f>
        <v/>
      </c>
    </row>
    <row r="17" spans="1:8" x14ac:dyDescent="0.35">
      <c r="A17" s="4" t="str">
        <f>IF(ISBLANK(interventions!A17),"",interventions!A17)</f>
        <v/>
      </c>
    </row>
    <row r="18" spans="1:8" x14ac:dyDescent="0.35">
      <c r="A18" s="4" t="str">
        <f>IF(ISBLANK(interventions!A18),"",interventions!A18)</f>
        <v/>
      </c>
    </row>
    <row r="19" spans="1:8" x14ac:dyDescent="0.35">
      <c r="A19" s="4" t="str">
        <f>IF(ISBLANK(interventions!A19),"",interventions!A19)</f>
        <v/>
      </c>
    </row>
    <row r="20" spans="1:8" x14ac:dyDescent="0.35">
      <c r="A20" s="4" t="str">
        <f>IF(ISBLANK(interventions!A20),"",interventions!A20)</f>
        <v/>
      </c>
    </row>
    <row r="21" spans="1:8" x14ac:dyDescent="0.35">
      <c r="A21" s="4" t="str">
        <f>IF(ISBLANK(interventions!A21),"",interventions!A21)</f>
        <v/>
      </c>
    </row>
    <row r="22" spans="1:8" x14ac:dyDescent="0.35">
      <c r="A22" s="4" t="str">
        <f>IF(ISBLANK(interventions!A22),"",interventions!A22)</f>
        <v/>
      </c>
      <c r="H22" s="5"/>
    </row>
    <row r="23" spans="1:8" x14ac:dyDescent="0.35">
      <c r="A23" s="4" t="str">
        <f>IF(ISBLANK(interventions!A23),"",interventions!A23)</f>
        <v/>
      </c>
      <c r="H23" s="5"/>
    </row>
    <row r="24" spans="1:8" x14ac:dyDescent="0.35">
      <c r="A24" s="4" t="str">
        <f>IF(ISBLANK(interventions!A24),"",interventions!A24)</f>
        <v/>
      </c>
    </row>
    <row r="25" spans="1:8" x14ac:dyDescent="0.35">
      <c r="A25" s="4" t="str">
        <f>IF(ISBLANK(interventions!A25),"",interventions!A25)</f>
        <v/>
      </c>
    </row>
    <row r="26" spans="1:8" x14ac:dyDescent="0.35">
      <c r="A26" s="4" t="str">
        <f>IF(ISBLANK(interventions!A26),"",interventions!A26)</f>
        <v/>
      </c>
    </row>
    <row r="27" spans="1:8" x14ac:dyDescent="0.35">
      <c r="A27" s="4" t="str">
        <f>IF(ISBLANK(interventions!A27),"",interventions!A27)</f>
        <v/>
      </c>
    </row>
    <row r="28" spans="1:8" x14ac:dyDescent="0.35">
      <c r="A28" s="4" t="str">
        <f>IF(ISBLANK(interventions!A28),"",interventions!A28)</f>
        <v/>
      </c>
    </row>
    <row r="29" spans="1:8" x14ac:dyDescent="0.35">
      <c r="A29" s="4" t="str">
        <f>IF(ISBLANK(interventions!A29),"",interventions!A29)</f>
        <v/>
      </c>
    </row>
    <row r="30" spans="1:8" x14ac:dyDescent="0.35">
      <c r="A30" s="4" t="str">
        <f>IF(ISBLANK(interventions!A30),"",interventions!A30)</f>
        <v/>
      </c>
    </row>
    <row r="31" spans="1:8" x14ac:dyDescent="0.35">
      <c r="A31" s="4" t="str">
        <f>IF(ISBLANK(interventions!A31),"",interventions!A31)</f>
        <v/>
      </c>
    </row>
    <row r="32" spans="1:8" x14ac:dyDescent="0.35">
      <c r="A32" s="4" t="str">
        <f>IF(ISBLANK(interventions!A32),"",interventions!A32)</f>
        <v/>
      </c>
    </row>
    <row r="33" spans="1:1" x14ac:dyDescent="0.35">
      <c r="A33" s="4" t="str">
        <f>IF(ISBLANK(interventions!A33),"",interventions!A33)</f>
        <v/>
      </c>
    </row>
    <row r="34" spans="1:1" x14ac:dyDescent="0.35">
      <c r="A34" s="4" t="str">
        <f>IF(ISBLANK(interventions!A34),"",interventions!A34)</f>
        <v/>
      </c>
    </row>
    <row r="35" spans="1:1" x14ac:dyDescent="0.35">
      <c r="A35" s="4" t="str">
        <f>IF(ISBLANK(interventions!A35),"",interventions!A35)</f>
        <v/>
      </c>
    </row>
    <row r="36" spans="1:1" x14ac:dyDescent="0.35">
      <c r="A36" s="4" t="str">
        <f>IF(ISBLANK(interventions!A36),"",interventions!A36)</f>
        <v/>
      </c>
    </row>
    <row r="37" spans="1:1" x14ac:dyDescent="0.35">
      <c r="A37" s="4" t="str">
        <f>IF(ISBLANK(interventions!A37),"",interventions!A37)</f>
        <v/>
      </c>
    </row>
    <row r="38" spans="1:1" x14ac:dyDescent="0.35">
      <c r="A38" s="4" t="str">
        <f>IF(ISBLANK(interventions!A38),"",interventions!A38)</f>
        <v/>
      </c>
    </row>
    <row r="39" spans="1:1" x14ac:dyDescent="0.35">
      <c r="A39" s="4" t="str">
        <f>IF(ISBLANK(interventions!A39),"",interventions!A39)</f>
        <v/>
      </c>
    </row>
    <row r="40" spans="1:1" x14ac:dyDescent="0.35">
      <c r="A40" s="4" t="str">
        <f>IF(ISBLANK(interventions!A40),"",interventions!A40)</f>
        <v/>
      </c>
    </row>
    <row r="41" spans="1:1" x14ac:dyDescent="0.35">
      <c r="A41" s="4" t="str">
        <f>IF(ISBLANK(interventions!A41),"",interventions!A41)</f>
        <v/>
      </c>
    </row>
    <row r="42" spans="1:1" x14ac:dyDescent="0.35">
      <c r="A42" s="4" t="str">
        <f>IF(ISBLANK(interventions!A42),"",interventions!A42)</f>
        <v/>
      </c>
    </row>
    <row r="43" spans="1:1" x14ac:dyDescent="0.35">
      <c r="A43" s="4" t="str">
        <f>IF(ISBLANK(interventions!A43),"",interventions!A43)</f>
        <v/>
      </c>
    </row>
    <row r="44" spans="1:1" x14ac:dyDescent="0.35">
      <c r="A44" s="4" t="str">
        <f>IF(ISBLANK(interventions!A44),"",interventions!A44)</f>
        <v/>
      </c>
    </row>
    <row r="45" spans="1:1" x14ac:dyDescent="0.35">
      <c r="A45" s="4" t="str">
        <f>IF(ISBLANK(interventions!A45),"",interventions!A45)</f>
        <v/>
      </c>
    </row>
  </sheetData>
  <dataValidations count="1">
    <dataValidation type="list" allowBlank="1" showInputMessage="1" showErrorMessage="1" sqref="G2:G45 E2:E45 I2:I45 K2:K45 C2:C45 M2:M45" xr:uid="{9A136EE2-9E44-426F-8888-910675484DBA}">
      <formula1>"RR, OR, PROB"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A95-9913-4E01-BBC8-E12EAEB492A2}">
  <dimension ref="A1:F20"/>
  <sheetViews>
    <sheetView zoomScale="80" zoomScaleNormal="80" workbookViewId="0">
      <selection activeCell="C11" sqref="C11"/>
    </sheetView>
  </sheetViews>
  <sheetFormatPr defaultRowHeight="14.5" x14ac:dyDescent="0.35"/>
  <cols>
    <col min="1" max="1" width="14.81640625" bestFit="1" customWidth="1"/>
    <col min="2" max="2" width="44.54296875" bestFit="1" customWidth="1"/>
    <col min="3" max="3" width="25.1796875" bestFit="1" customWidth="1"/>
    <col min="4" max="4" width="9.81640625" bestFit="1" customWidth="1"/>
    <col min="5" max="5" width="9.26953125" bestFit="1" customWidth="1"/>
    <col min="6" max="6" width="14" bestFit="1" customWidth="1"/>
  </cols>
  <sheetData>
    <row r="1" spans="1:6" x14ac:dyDescent="0.35">
      <c r="A1" s="27" t="s">
        <v>54</v>
      </c>
      <c r="B1" s="27" t="s">
        <v>78</v>
      </c>
      <c r="C1" s="27" t="s">
        <v>55</v>
      </c>
      <c r="D1" s="27" t="s">
        <v>57</v>
      </c>
      <c r="E1" s="27" t="s">
        <v>56</v>
      </c>
      <c r="F1" s="27" t="s">
        <v>67</v>
      </c>
    </row>
    <row r="2" spans="1:6" x14ac:dyDescent="0.35">
      <c r="A2" s="15" t="s">
        <v>70</v>
      </c>
      <c r="B2" t="s">
        <v>61</v>
      </c>
      <c r="C2" t="s">
        <v>62</v>
      </c>
      <c r="D2">
        <v>2027</v>
      </c>
      <c r="E2">
        <v>2050</v>
      </c>
    </row>
    <row r="3" spans="1:6" x14ac:dyDescent="0.35">
      <c r="A3" s="30" t="s">
        <v>71</v>
      </c>
      <c r="B3" s="31" t="s">
        <v>69</v>
      </c>
      <c r="C3" s="31" t="s">
        <v>63</v>
      </c>
      <c r="D3" s="31">
        <v>2027</v>
      </c>
      <c r="E3" s="31">
        <v>2028</v>
      </c>
      <c r="F3" s="31"/>
    </row>
    <row r="4" spans="1:6" x14ac:dyDescent="0.35">
      <c r="A4" s="28" t="s">
        <v>72</v>
      </c>
      <c r="B4" s="29" t="s">
        <v>68</v>
      </c>
      <c r="C4" s="29" t="s">
        <v>63</v>
      </c>
      <c r="D4" s="29">
        <v>2027</v>
      </c>
      <c r="E4" s="29">
        <v>2028</v>
      </c>
      <c r="F4" s="29"/>
    </row>
    <row r="5" spans="1:6" x14ac:dyDescent="0.35">
      <c r="A5" s="26" t="s">
        <v>72</v>
      </c>
      <c r="B5" s="21" t="s">
        <v>68</v>
      </c>
      <c r="C5" s="21" t="s">
        <v>64</v>
      </c>
      <c r="D5" s="21">
        <v>2027</v>
      </c>
      <c r="E5" s="21">
        <v>2050</v>
      </c>
      <c r="F5" s="21"/>
    </row>
    <row r="6" spans="1:6" x14ac:dyDescent="0.35">
      <c r="A6" s="25" t="s">
        <v>73</v>
      </c>
      <c r="B6" s="21" t="s">
        <v>79</v>
      </c>
      <c r="C6" s="21" t="s">
        <v>38</v>
      </c>
      <c r="D6" s="21">
        <v>2027</v>
      </c>
      <c r="E6" s="21">
        <v>2050</v>
      </c>
      <c r="F6" s="21" t="s">
        <v>70</v>
      </c>
    </row>
    <row r="7" spans="1:6" x14ac:dyDescent="0.35">
      <c r="A7" s="16" t="s">
        <v>74</v>
      </c>
      <c r="B7" t="s">
        <v>80</v>
      </c>
      <c r="C7" t="s">
        <v>38</v>
      </c>
      <c r="D7">
        <v>2028</v>
      </c>
      <c r="E7">
        <v>2050</v>
      </c>
      <c r="F7" t="s">
        <v>71</v>
      </c>
    </row>
    <row r="8" spans="1:6" x14ac:dyDescent="0.35">
      <c r="A8" s="24" t="s">
        <v>74</v>
      </c>
      <c r="B8" s="21" t="s">
        <v>80</v>
      </c>
      <c r="C8" s="21" t="s">
        <v>39</v>
      </c>
      <c r="D8" s="21">
        <v>2027</v>
      </c>
      <c r="E8" s="21">
        <v>2028</v>
      </c>
      <c r="F8" s="21"/>
    </row>
    <row r="9" spans="1:6" x14ac:dyDescent="0.35">
      <c r="A9" s="17" t="s">
        <v>75</v>
      </c>
      <c r="B9" t="s">
        <v>84</v>
      </c>
      <c r="C9" t="s">
        <v>38</v>
      </c>
      <c r="D9">
        <v>2028</v>
      </c>
      <c r="E9">
        <v>2050</v>
      </c>
      <c r="F9" t="s">
        <v>72</v>
      </c>
    </row>
    <row r="10" spans="1:6" x14ac:dyDescent="0.35">
      <c r="A10" s="17" t="s">
        <v>75</v>
      </c>
      <c r="B10" t="s">
        <v>84</v>
      </c>
      <c r="C10" t="s">
        <v>39</v>
      </c>
      <c r="D10">
        <v>2027</v>
      </c>
      <c r="E10">
        <v>2028</v>
      </c>
    </row>
    <row r="11" spans="1:6" x14ac:dyDescent="0.35">
      <c r="A11" s="23" t="s">
        <v>75</v>
      </c>
      <c r="B11" s="21" t="s">
        <v>84</v>
      </c>
      <c r="C11" s="21" t="s">
        <v>40</v>
      </c>
      <c r="D11" s="21">
        <v>2027</v>
      </c>
      <c r="E11" s="21">
        <v>2050</v>
      </c>
      <c r="F11" s="21"/>
    </row>
    <row r="12" spans="1:6" x14ac:dyDescent="0.35">
      <c r="A12" s="18" t="s">
        <v>76</v>
      </c>
      <c r="B12" t="s">
        <v>85</v>
      </c>
      <c r="C12" t="s">
        <v>38</v>
      </c>
      <c r="D12">
        <v>2028</v>
      </c>
      <c r="E12">
        <v>2050</v>
      </c>
      <c r="F12" t="s">
        <v>72</v>
      </c>
    </row>
    <row r="13" spans="1:6" x14ac:dyDescent="0.35">
      <c r="A13" s="18" t="s">
        <v>76</v>
      </c>
      <c r="B13" t="s">
        <v>85</v>
      </c>
      <c r="C13" t="s">
        <v>39</v>
      </c>
      <c r="D13">
        <v>2027</v>
      </c>
      <c r="E13">
        <v>2028</v>
      </c>
    </row>
    <row r="14" spans="1:6" x14ac:dyDescent="0.35">
      <c r="A14" s="18" t="s">
        <v>76</v>
      </c>
      <c r="B14" t="s">
        <v>85</v>
      </c>
      <c r="C14" t="s">
        <v>40</v>
      </c>
      <c r="D14">
        <v>2027</v>
      </c>
      <c r="E14">
        <v>2050</v>
      </c>
    </row>
    <row r="15" spans="1:6" x14ac:dyDescent="0.35">
      <c r="A15" s="20" t="s">
        <v>76</v>
      </c>
      <c r="B15" s="21" t="s">
        <v>85</v>
      </c>
      <c r="C15" s="21" t="s">
        <v>37</v>
      </c>
      <c r="D15" s="21">
        <v>2027</v>
      </c>
      <c r="E15" s="21">
        <v>2050</v>
      </c>
      <c r="F15" s="21"/>
    </row>
    <row r="16" spans="1:6" x14ac:dyDescent="0.35">
      <c r="A16" s="19" t="s">
        <v>77</v>
      </c>
      <c r="B16" t="s">
        <v>86</v>
      </c>
      <c r="C16" t="s">
        <v>38</v>
      </c>
      <c r="D16">
        <v>2028</v>
      </c>
      <c r="E16">
        <v>2050</v>
      </c>
      <c r="F16" t="s">
        <v>72</v>
      </c>
    </row>
    <row r="17" spans="1:6" x14ac:dyDescent="0.35">
      <c r="A17" s="19" t="s">
        <v>77</v>
      </c>
      <c r="B17" t="s">
        <v>86</v>
      </c>
      <c r="C17" t="s">
        <v>39</v>
      </c>
      <c r="D17">
        <v>2027</v>
      </c>
      <c r="E17">
        <v>2028</v>
      </c>
    </row>
    <row r="18" spans="1:6" x14ac:dyDescent="0.35">
      <c r="A18" s="19" t="s">
        <v>77</v>
      </c>
      <c r="B18" t="s">
        <v>86</v>
      </c>
      <c r="C18" t="s">
        <v>40</v>
      </c>
      <c r="D18">
        <v>2027</v>
      </c>
      <c r="E18">
        <v>2050</v>
      </c>
    </row>
    <row r="19" spans="1:6" x14ac:dyDescent="0.35">
      <c r="A19" s="19" t="s">
        <v>77</v>
      </c>
      <c r="B19" t="s">
        <v>86</v>
      </c>
      <c r="C19" t="s">
        <v>37</v>
      </c>
      <c r="D19">
        <v>2027</v>
      </c>
      <c r="E19">
        <v>2050</v>
      </c>
    </row>
    <row r="20" spans="1:6" x14ac:dyDescent="0.35">
      <c r="A20" s="22" t="s">
        <v>77</v>
      </c>
      <c r="B20" s="21" t="s">
        <v>86</v>
      </c>
      <c r="C20" s="21" t="s">
        <v>41</v>
      </c>
      <c r="D20" s="21">
        <v>2027</v>
      </c>
      <c r="E20" s="21">
        <f>D20+5</f>
        <v>2032</v>
      </c>
      <c r="F20" s="2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0DCA50-A1C8-4B02-A520-4AE25ED4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882B21-9C06-4A25-BA73-35DB35426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D8656-6848-4E43-8697-69A82BA725E9}">
  <ds:schemaRefs>
    <ds:schemaRef ds:uri="http://purl.org/dc/elements/1.1/"/>
    <ds:schemaRef ds:uri="http://purl.org/dc/terms/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interventions</vt:lpstr>
      <vt:lpstr>target_pops</vt:lpstr>
      <vt:lpstr>target_comps</vt:lpstr>
      <vt:lpstr>spending</vt:lpstr>
      <vt:lpstr>effects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2023-06-26T03:40:05Z</dcterms:created>
  <dcterms:modified xsi:type="dcterms:W3CDTF">2026-03-18T09:59:26Z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