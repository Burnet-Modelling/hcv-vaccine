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C:\Users\farah.houdroge\Documents\GitHub\hcv-vaccine\framework\"/>
    </mc:Choice>
  </mc:AlternateContent>
  <xr:revisionPtr revIDLastSave="0" documentId="13_ncr:1_{590D1965-D17D-4FB1-8314-AE8C963DF587}" xr6:coauthVersionLast="47" xr6:coauthVersionMax="47" xr10:uidLastSave="{00000000-0000-0000-0000-000000000000}"/>
  <bookViews>
    <workbookView xWindow="-120" yWindow="-120" windowWidth="29040" windowHeight="15720" activeTab="4" xr2:uid="{00000000-000D-0000-FFFF-FFFF00000000}"/>
  </bookViews>
  <sheets>
    <sheet name="About" sheetId="9" r:id="rId1"/>
    <sheet name="Databook Pages" sheetId="1" r:id="rId2"/>
    <sheet name="Population types" sheetId="10" r:id="rId3"/>
    <sheet name="Compartments" sheetId="2" r:id="rId4"/>
    <sheet name="Parameters" sheetId="6" r:id="rId5"/>
    <sheet name="Characteristics" sheetId="4" r:id="rId6"/>
    <sheet name="Transitions" sheetId="3" r:id="rId7"/>
    <sheet name="Interactions" sheetId="5" r:id="rId8"/>
    <sheet name="Cascades" sheetId="7"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5" i="4" l="1"/>
  <c r="B22" i="4"/>
  <c r="B20" i="4" l="1"/>
  <c r="B21" i="4"/>
  <c r="B23" i="4"/>
  <c r="B24" i="4"/>
  <c r="B25" i="4"/>
  <c r="B26" i="4"/>
  <c r="B27" i="4"/>
  <c r="B28" i="4"/>
  <c r="B37" i="4"/>
  <c r="B40" i="4"/>
  <c r="B42" i="4"/>
  <c r="B44" i="4"/>
  <c r="B45" i="4"/>
  <c r="B46" i="4"/>
  <c r="B47" i="4"/>
  <c r="B19" i="4"/>
  <c r="A20" i="4"/>
  <c r="A21" i="4"/>
  <c r="A22" i="4"/>
  <c r="A23" i="4"/>
  <c r="A24" i="4"/>
  <c r="A25" i="4"/>
  <c r="A26" i="4"/>
  <c r="A27" i="4"/>
  <c r="A28" i="4"/>
  <c r="A37" i="4"/>
  <c r="A40" i="4"/>
  <c r="A42" i="4"/>
  <c r="A44" i="4"/>
  <c r="A46" i="4"/>
  <c r="A47" i="4"/>
  <c r="A19" i="4"/>
  <c r="A168" i="3"/>
  <c r="A169" i="3"/>
  <c r="A170" i="3"/>
  <c r="A171" i="3"/>
  <c r="A172" i="3"/>
  <c r="A173" i="3"/>
  <c r="A174" i="3"/>
  <c r="A177" i="3"/>
  <c r="A178" i="3"/>
  <c r="A179" i="3"/>
  <c r="A180" i="3"/>
  <c r="A181" i="3"/>
  <c r="A182" i="3"/>
  <c r="A183" i="3"/>
  <c r="A184" i="3"/>
  <c r="A185" i="3"/>
  <c r="A186" i="3"/>
  <c r="A187" i="3"/>
  <c r="A188" i="3"/>
  <c r="A189" i="3"/>
  <c r="A190" i="3"/>
  <c r="A191" i="3"/>
  <c r="A192" i="3"/>
  <c r="A193" i="3"/>
  <c r="A194" i="3"/>
  <c r="A195" i="3"/>
  <c r="A198" i="3"/>
  <c r="A199" i="3"/>
  <c r="A200" i="3"/>
  <c r="A201" i="3"/>
  <c r="A202" i="3"/>
  <c r="A203" i="3"/>
  <c r="A204" i="3"/>
  <c r="A205" i="3"/>
  <c r="A206" i="3"/>
  <c r="A207" i="3"/>
  <c r="A208" i="3"/>
  <c r="A209" i="3"/>
  <c r="A210" i="3"/>
  <c r="A211" i="3"/>
  <c r="A212" i="3"/>
  <c r="A213" i="3"/>
  <c r="A214" i="3"/>
  <c r="A215" i="3"/>
  <c r="A216" i="3"/>
  <c r="A219" i="3"/>
  <c r="A220" i="3"/>
  <c r="A221" i="3"/>
  <c r="A222" i="3"/>
  <c r="A223" i="3"/>
  <c r="A224" i="3"/>
  <c r="A225" i="3"/>
  <c r="A226" i="3"/>
  <c r="A227" i="3"/>
  <c r="A228" i="3"/>
  <c r="A229" i="3"/>
  <c r="A230" i="3"/>
  <c r="A231" i="3"/>
  <c r="A232" i="3"/>
  <c r="A233" i="3"/>
  <c r="A234" i="3"/>
  <c r="A235" i="3"/>
  <c r="A236" i="3"/>
  <c r="A237" i="3"/>
  <c r="A240" i="3"/>
  <c r="A241" i="3"/>
  <c r="A242" i="3"/>
  <c r="A243" i="3"/>
  <c r="A244" i="3"/>
  <c r="A245" i="3"/>
  <c r="A246" i="3"/>
  <c r="A247" i="3"/>
  <c r="A248" i="3"/>
  <c r="A249" i="3"/>
  <c r="A250" i="3"/>
  <c r="A251" i="3"/>
  <c r="A252" i="3"/>
  <c r="A253" i="3"/>
  <c r="A254" i="3"/>
  <c r="A255" i="3"/>
  <c r="A256" i="3"/>
  <c r="A257" i="3"/>
  <c r="A258" i="3"/>
  <c r="A261" i="3"/>
  <c r="A262" i="3"/>
  <c r="A263" i="3"/>
  <c r="A264" i="3"/>
  <c r="A265" i="3"/>
  <c r="A266" i="3"/>
  <c r="A267" i="3"/>
  <c r="A268" i="3"/>
  <c r="A269" i="3"/>
  <c r="A270" i="3"/>
  <c r="A271" i="3"/>
  <c r="A272" i="3"/>
  <c r="A273" i="3"/>
  <c r="A274" i="3"/>
  <c r="A275" i="3"/>
  <c r="A276" i="3"/>
  <c r="A277" i="3"/>
  <c r="A278" i="3"/>
  <c r="A279" i="3"/>
  <c r="A282" i="3"/>
  <c r="A283" i="3"/>
  <c r="A284" i="3"/>
  <c r="A285" i="3"/>
  <c r="A286" i="3"/>
  <c r="A287" i="3"/>
  <c r="A288" i="3"/>
  <c r="A289" i="3"/>
  <c r="A290" i="3"/>
  <c r="A291" i="3"/>
  <c r="A292" i="3"/>
  <c r="A293" i="3"/>
  <c r="A294" i="3"/>
  <c r="A295" i="3"/>
  <c r="A296" i="3"/>
  <c r="A297" i="3"/>
  <c r="A298" i="3"/>
  <c r="A299" i="3"/>
  <c r="A300" i="3"/>
  <c r="A301" i="3"/>
  <c r="A302" i="3"/>
  <c r="A305" i="3"/>
  <c r="A306" i="3"/>
  <c r="A307" i="3"/>
  <c r="A308" i="3"/>
  <c r="A309" i="3"/>
  <c r="A310" i="3"/>
  <c r="A311" i="3"/>
  <c r="A312" i="3"/>
  <c r="A313" i="3"/>
  <c r="A314" i="3"/>
  <c r="A315" i="3"/>
  <c r="A316" i="3"/>
  <c r="A317" i="3"/>
  <c r="A318" i="3"/>
  <c r="A319" i="3"/>
  <c r="A320" i="3"/>
  <c r="A321" i="3"/>
  <c r="A322" i="3"/>
  <c r="A323" i="3"/>
  <c r="A324" i="3"/>
  <c r="A325" i="3"/>
  <c r="A167" i="3"/>
  <c r="C304" i="3"/>
  <c r="D304" i="3"/>
  <c r="E304" i="3"/>
  <c r="F304" i="3"/>
  <c r="G304" i="3"/>
  <c r="H304" i="3"/>
  <c r="I304" i="3"/>
  <c r="J304" i="3"/>
  <c r="K304" i="3"/>
  <c r="L304" i="3"/>
  <c r="M304" i="3"/>
  <c r="N304" i="3"/>
  <c r="O304" i="3"/>
  <c r="P304" i="3"/>
  <c r="Q304" i="3"/>
  <c r="R304" i="3"/>
  <c r="S304" i="3"/>
  <c r="T304" i="3"/>
  <c r="U304" i="3"/>
  <c r="B304" i="3"/>
  <c r="C281" i="3"/>
  <c r="D281" i="3"/>
  <c r="E281" i="3"/>
  <c r="F281" i="3"/>
  <c r="G281" i="3"/>
  <c r="H281" i="3"/>
  <c r="I281" i="3"/>
  <c r="J281" i="3"/>
  <c r="K281" i="3"/>
  <c r="L281" i="3"/>
  <c r="M281" i="3"/>
  <c r="N281" i="3"/>
  <c r="O281" i="3"/>
  <c r="P281" i="3"/>
  <c r="Q281" i="3"/>
  <c r="R281" i="3"/>
  <c r="S281" i="3"/>
  <c r="T281" i="3"/>
  <c r="U281" i="3"/>
  <c r="V281" i="3"/>
  <c r="W281" i="3"/>
  <c r="X281" i="3"/>
  <c r="Y281" i="3"/>
  <c r="Z281" i="3"/>
  <c r="AA281" i="3"/>
  <c r="AB281" i="3"/>
  <c r="AC281" i="3"/>
  <c r="AD281" i="3"/>
  <c r="B281" i="3"/>
  <c r="C260" i="3"/>
  <c r="D260" i="3"/>
  <c r="E260" i="3"/>
  <c r="F260" i="3"/>
  <c r="G260" i="3"/>
  <c r="H260" i="3"/>
  <c r="I260" i="3"/>
  <c r="J260" i="3"/>
  <c r="K260" i="3"/>
  <c r="L260" i="3"/>
  <c r="M260" i="3"/>
  <c r="N260" i="3"/>
  <c r="O260" i="3"/>
  <c r="P260" i="3"/>
  <c r="Q260" i="3"/>
  <c r="R260" i="3"/>
  <c r="S260" i="3"/>
  <c r="T260" i="3"/>
  <c r="U260" i="3"/>
  <c r="V260" i="3"/>
  <c r="W260" i="3"/>
  <c r="X260" i="3"/>
  <c r="Y260" i="3"/>
  <c r="Z260" i="3"/>
  <c r="AA260" i="3"/>
  <c r="AB260" i="3"/>
  <c r="AC260" i="3"/>
  <c r="AD260" i="3"/>
  <c r="AE260" i="3"/>
  <c r="AF260" i="3"/>
  <c r="AG260" i="3"/>
  <c r="AH260" i="3"/>
  <c r="AI260" i="3"/>
  <c r="AJ260" i="3"/>
  <c r="B260" i="3"/>
  <c r="C239" i="3"/>
  <c r="D239" i="3"/>
  <c r="E239" i="3"/>
  <c r="F239" i="3"/>
  <c r="G239" i="3"/>
  <c r="H239" i="3"/>
  <c r="I239" i="3"/>
  <c r="J239" i="3"/>
  <c r="K239" i="3"/>
  <c r="L239" i="3"/>
  <c r="M239" i="3"/>
  <c r="N239" i="3"/>
  <c r="O239" i="3"/>
  <c r="P239" i="3"/>
  <c r="Q239" i="3"/>
  <c r="R239" i="3"/>
  <c r="S239" i="3"/>
  <c r="T239" i="3"/>
  <c r="U239" i="3"/>
  <c r="V239" i="3"/>
  <c r="W239" i="3"/>
  <c r="X239" i="3"/>
  <c r="Y239" i="3"/>
  <c r="Z239" i="3"/>
  <c r="AA239" i="3"/>
  <c r="B239" i="3"/>
  <c r="C218" i="3"/>
  <c r="D218" i="3"/>
  <c r="E218" i="3"/>
  <c r="F218" i="3"/>
  <c r="G218" i="3"/>
  <c r="H218" i="3"/>
  <c r="I218" i="3"/>
  <c r="J218" i="3"/>
  <c r="K218" i="3"/>
  <c r="L218" i="3"/>
  <c r="M218" i="3"/>
  <c r="N218" i="3"/>
  <c r="O218" i="3"/>
  <c r="P218" i="3"/>
  <c r="Q218" i="3"/>
  <c r="R218" i="3"/>
  <c r="S218" i="3"/>
  <c r="T218" i="3"/>
  <c r="U218" i="3"/>
  <c r="V218" i="3"/>
  <c r="W218" i="3"/>
  <c r="X218" i="3"/>
  <c r="Y218" i="3"/>
  <c r="Z218" i="3"/>
  <c r="AA218" i="3"/>
  <c r="B218" i="3"/>
  <c r="C197" i="3"/>
  <c r="D197" i="3"/>
  <c r="E197" i="3"/>
  <c r="F197" i="3"/>
  <c r="G197" i="3"/>
  <c r="H197" i="3"/>
  <c r="I197" i="3"/>
  <c r="J197" i="3"/>
  <c r="K197" i="3"/>
  <c r="L197" i="3"/>
  <c r="M197" i="3"/>
  <c r="N197" i="3"/>
  <c r="O197" i="3"/>
  <c r="P197" i="3"/>
  <c r="Q197" i="3"/>
  <c r="R197" i="3"/>
  <c r="S197" i="3"/>
  <c r="T197" i="3"/>
  <c r="U197" i="3"/>
  <c r="V197" i="3"/>
  <c r="W197" i="3"/>
  <c r="X197" i="3"/>
  <c r="Y197" i="3"/>
  <c r="Z197" i="3"/>
  <c r="AA197" i="3"/>
  <c r="B197" i="3"/>
  <c r="C176" i="3"/>
  <c r="D176" i="3"/>
  <c r="E176" i="3"/>
  <c r="F176" i="3"/>
  <c r="G176" i="3"/>
  <c r="H176" i="3"/>
  <c r="I176" i="3"/>
  <c r="J176" i="3"/>
  <c r="K176" i="3"/>
  <c r="L176" i="3"/>
  <c r="M176" i="3"/>
  <c r="N176" i="3"/>
  <c r="O176" i="3"/>
  <c r="P176" i="3"/>
  <c r="Q176" i="3"/>
  <c r="R176" i="3"/>
  <c r="S176" i="3"/>
  <c r="T176" i="3"/>
  <c r="U176" i="3"/>
  <c r="V176" i="3"/>
  <c r="W176" i="3"/>
  <c r="X176" i="3"/>
  <c r="Y176" i="3"/>
  <c r="Z176" i="3"/>
  <c r="AA176" i="3"/>
  <c r="B176" i="3"/>
  <c r="C166" i="3"/>
  <c r="D166" i="3"/>
  <c r="E166" i="3"/>
  <c r="F166" i="3"/>
  <c r="G166" i="3"/>
  <c r="H166" i="3"/>
  <c r="I166" i="3"/>
  <c r="J166" i="3"/>
  <c r="K166" i="3"/>
  <c r="L166" i="3"/>
  <c r="M166" i="3"/>
  <c r="B166" i="3"/>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149" i="2"/>
  <c r="H77" i="6"/>
  <c r="H76" i="6"/>
  <c r="H75" i="6"/>
  <c r="H74" i="6"/>
  <c r="H72" i="6" l="1"/>
  <c r="H73"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A1" authorId="0" shapeId="0" xr:uid="{81FEFA03-739A-C346-8137-5A8ACB041632}">
      <text>
        <r>
          <rPr>
            <sz val="10"/>
            <color rgb="FF000000"/>
            <rFont val="Tahoma"/>
            <family val="2"/>
          </rPr>
          <t>For instructions on how to fill this out, please see cascade.tools/ug-frw-databookpages</t>
        </r>
      </text>
    </comment>
    <comment ref="B1" authorId="0" shapeId="0" xr:uid="{A0B63E8C-E18B-D146-8DCF-446716EF6F5E}">
      <text>
        <r>
          <rPr>
            <sz val="10"/>
            <color rgb="FF000000"/>
            <rFont val="Tahoma"/>
            <family val="2"/>
          </rPr>
          <t xml:space="preserve">For instructions on how to fill this out, please see </t>
        </r>
        <r>
          <rPr>
            <sz val="10"/>
            <color rgb="FF000000"/>
            <rFont val="Tahoma"/>
            <family val="2"/>
          </rPr>
          <t>cascade.tools/ug-frw-databookpages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Romesh</author>
  </authors>
  <commentList>
    <comment ref="A1" authorId="0" shapeId="0" xr:uid="{B66A40B7-D1A4-4FD5-B2E5-BE4A3E984FAF}">
      <text>
        <r>
          <rPr>
            <sz val="9"/>
            <color indexed="81"/>
            <rFont val="Tahoma"/>
            <family val="2"/>
          </rPr>
          <t>The code name for the population type. This should be lowercase with no spaces</t>
        </r>
      </text>
    </comment>
    <comment ref="B1" authorId="0" shapeId="0" xr:uid="{135DCF85-E328-4A8D-807B-4D98AB125498}">
      <text>
        <r>
          <rPr>
            <sz val="9"/>
            <color indexed="81"/>
            <rFont val="Tahoma"/>
            <family val="2"/>
          </rPr>
          <t xml:space="preserve">The display name appears on plots and other outputs.  It should be in sentence case.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Romesh</author>
  </authors>
  <commentList>
    <comment ref="A1" authorId="0" shapeId="0" xr:uid="{8F11EEB6-017C-4E97-8DFB-6E8BA3F55C2C}">
      <text>
        <r>
          <rPr>
            <sz val="10"/>
            <color rgb="FF000000"/>
            <rFont val="Tahoma"/>
            <family val="2"/>
          </rPr>
          <t xml:space="preserve">The code name should be in lower case without spaces.
</t>
        </r>
        <r>
          <rPr>
            <sz val="10"/>
            <color rgb="FF000000"/>
            <rFont val="Tahoma"/>
            <family val="2"/>
          </rPr>
          <t xml:space="preserve">For </t>
        </r>
        <r>
          <rPr>
            <sz val="10"/>
            <color rgb="FF000000"/>
            <rFont val="Calibri"/>
            <family val="2"/>
            <scheme val="minor"/>
          </rPr>
          <t>further instructions on how to fill this out, please see cascade.tools/ug-frw-compartments</t>
        </r>
        <r>
          <rPr>
            <sz val="10"/>
            <color rgb="FF000000"/>
            <rFont val="Calibri"/>
            <family val="2"/>
            <scheme val="minor"/>
          </rPr>
          <t xml:space="preserve">
</t>
        </r>
      </text>
    </comment>
    <comment ref="B1" authorId="0" shapeId="0" xr:uid="{18044106-CF0A-4F46-AE9F-654B913C6CA3}">
      <text>
        <r>
          <rPr>
            <sz val="10"/>
            <color rgb="FF000000"/>
            <rFont val="Tahoma"/>
            <family val="2"/>
          </rPr>
          <t xml:space="preserve">The display name appears on plots and other outputs.  It should be in sentence case. </t>
        </r>
        <r>
          <rPr>
            <sz val="10"/>
            <color rgb="FF000000"/>
            <rFont val="Calibri"/>
            <family val="2"/>
            <scheme val="minor"/>
          </rPr>
          <t>For further instructions on how to fill this out, please see cascade.tools/ug-frw-compartments</t>
        </r>
        <r>
          <rPr>
            <sz val="10"/>
            <color rgb="FF000000"/>
            <rFont val="Calibri"/>
            <family val="2"/>
            <scheme val="minor"/>
          </rPr>
          <t xml:space="preserve">
</t>
        </r>
      </text>
    </comment>
    <comment ref="C1" authorId="0" shapeId="0" xr:uid="{50EA1244-E946-434D-A412-9398789E7050}">
      <text>
        <r>
          <rPr>
            <sz val="10"/>
            <color rgb="FF000000"/>
            <rFont val="Tahoma"/>
            <family val="2"/>
          </rPr>
          <t xml:space="preserve">This column is for tagging a compartment as an abstract 'source' state,
</t>
        </r>
        <r>
          <rPr>
            <sz val="10"/>
            <color rgb="FF000000"/>
            <rFont val="Tahoma"/>
            <family val="2"/>
          </rPr>
          <t xml:space="preserve">from which entities can flow into the rest of a network.
</t>
        </r>
        <r>
          <rPr>
            <sz val="10"/>
            <color rgb="FF000000"/>
            <rFont val="Tahoma"/>
            <family val="2"/>
          </rPr>
          <t xml:space="preserve">Compartment inflows are prohibited, compartment size is meaningless
</t>
        </r>
        <r>
          <rPr>
            <sz val="10"/>
            <color rgb="FF000000"/>
            <rFont val="Tahoma"/>
            <family val="2"/>
          </rPr>
          <t xml:space="preserve">and, accordingly, compartment outflows cannot be specified in relative
</t>
        </r>
        <r>
          <rPr>
            <sz val="10"/>
            <color rgb="FF000000"/>
            <rFont val="Tahoma"/>
            <family val="2"/>
          </rPr>
          <t xml:space="preserve">format.
</t>
        </r>
        <r>
          <rPr>
            <sz val="10"/>
            <color rgb="FF000000"/>
            <rFont val="Tahoma"/>
            <family val="2"/>
          </rPr>
          <t xml:space="preserve">This tag should only be enabled for sources of network flows that are
</t>
        </r>
        <r>
          <rPr>
            <sz val="10"/>
            <color rgb="FF000000"/>
            <rFont val="Tahoma"/>
            <family val="2"/>
          </rPr>
          <t xml:space="preserve">not intrinsically bound by size, e.g. births or immigration.
</t>
        </r>
        <r>
          <rPr>
            <sz val="10"/>
            <color rgb="FF000000"/>
            <rFont val="Tahoma"/>
            <family val="2"/>
          </rPr>
          <t xml:space="preserve">Flows from sources can still be dependent on other variables in the
</t>
        </r>
        <r>
          <rPr>
            <sz val="10"/>
            <color rgb="FF000000"/>
            <rFont val="Tahoma"/>
            <family val="2"/>
          </rPr>
          <t xml:space="preserve">cascade, e.g. if births are controlled by parental population size,
</t>
        </r>
        <r>
          <rPr>
            <sz val="10"/>
            <color rgb="FF000000"/>
            <rFont val="Tahoma"/>
            <family val="2"/>
          </rPr>
          <t xml:space="preserve">while migrations between populations are considered transfers,
</t>
        </r>
        <r>
          <rPr>
            <sz val="10"/>
            <color rgb="FF000000"/>
            <rFont val="Tahoma"/>
            <family val="2"/>
          </rPr>
          <t xml:space="preserve">i.e. between sets of compartments, and do not involve source nodes.
</t>
        </r>
        <r>
          <rPr>
            <sz val="10"/>
            <color rgb="FF000000"/>
            <rFont val="Tahoma"/>
            <family val="2"/>
          </rPr>
          <t xml:space="preserve">
</t>
        </r>
        <r>
          <rPr>
            <sz val="10"/>
            <color rgb="FF000000"/>
            <rFont val="Tahoma"/>
            <family val="2"/>
          </rPr>
          <t xml:space="preserve">Note: This tag is only enabled for a compartment by marking the
</t>
        </r>
        <r>
          <rPr>
            <sz val="10"/>
            <color rgb="FF000000"/>
            <rFont val="Tahoma"/>
            <family val="2"/>
          </rPr>
          <t xml:space="preserve">corresponding cell 'y'.
</t>
        </r>
        <r>
          <rPr>
            <sz val="10"/>
            <color rgb="FF000000"/>
            <rFont val="Tahoma"/>
            <family val="2"/>
          </rPr>
          <t xml:space="preserve">Anything else, including keeping the cell blank, disables the tag.
</t>
        </r>
        <r>
          <rPr>
            <sz val="10"/>
            <color rgb="FF000000"/>
            <rFont val="Tahoma"/>
            <family val="2"/>
          </rPr>
          <t xml:space="preserve">
</t>
        </r>
        <r>
          <rPr>
            <sz val="10"/>
            <color rgb="FF000000"/>
            <rFont val="Calibri"/>
            <family val="2"/>
            <scheme val="minor"/>
          </rPr>
          <t>For further instructions on how to fill this out, please see cascade.tools/ug-frw-compartments</t>
        </r>
        <r>
          <rPr>
            <sz val="10"/>
            <color rgb="FF000000"/>
            <rFont val="Calibri"/>
            <family val="2"/>
            <scheme val="minor"/>
          </rPr>
          <t xml:space="preserve">
</t>
        </r>
      </text>
    </comment>
    <comment ref="D1" authorId="0" shapeId="0" xr:uid="{4B1D614A-6995-4BC4-9139-ADC85A780737}">
      <text>
        <r>
          <rPr>
            <sz val="10"/>
            <color rgb="FF000000"/>
            <rFont val="Tahoma"/>
            <family val="2"/>
          </rPr>
          <t xml:space="preserve">This column is for tagging a compartment as an abstract 'sink' state,
</t>
        </r>
        <r>
          <rPr>
            <sz val="10"/>
            <color rgb="FF000000"/>
            <rFont val="Tahoma"/>
            <family val="2"/>
          </rPr>
          <t xml:space="preserve">into which entities can flow from the rest of a network.
</t>
        </r>
        <r>
          <rPr>
            <sz val="10"/>
            <color rgb="FF000000"/>
            <rFont val="Tahoma"/>
            <family val="2"/>
          </rPr>
          <t xml:space="preserve">Compartment outflows are prohibited and compartment size denotes
</t>
        </r>
        <r>
          <rPr>
            <sz val="10"/>
            <color rgb="FF000000"/>
            <rFont val="Tahoma"/>
            <family val="2"/>
          </rPr>
          <t xml:space="preserve">the accumulation of all inflowing entities from the start of
</t>
        </r>
        <r>
          <rPr>
            <sz val="10"/>
            <color rgb="FF000000"/>
            <rFont val="Tahoma"/>
            <family val="2"/>
          </rPr>
          <t xml:space="preserve">simulation, the utility of which the user must judge on their own.
</t>
        </r>
        <r>
          <rPr>
            <sz val="10"/>
            <color rgb="FF000000"/>
            <rFont val="Tahoma"/>
            <family val="2"/>
          </rPr>
          <t xml:space="preserve">This tag should only be enabled for sinks of network flows that mark
</t>
        </r>
        <r>
          <rPr>
            <sz val="10"/>
            <color rgb="FF000000"/>
            <rFont val="Tahoma"/>
            <family val="2"/>
          </rPr>
          <t xml:space="preserve">the exit of entities from further involvement in a cascade, e.g. deaths
</t>
        </r>
        <r>
          <rPr>
            <sz val="10"/>
            <color rgb="FF000000"/>
            <rFont val="Tahoma"/>
            <family val="2"/>
          </rPr>
          <t xml:space="preserve">and emigration.
</t>
        </r>
        <r>
          <rPr>
            <sz val="10"/>
            <color rgb="FF000000"/>
            <rFont val="Tahoma"/>
            <family val="2"/>
          </rPr>
          <t xml:space="preserve">Migrations between populations are considered transfers, i.e. between
</t>
        </r>
        <r>
          <rPr>
            <sz val="10"/>
            <color rgb="FF000000"/>
            <rFont val="Tahoma"/>
            <family val="2"/>
          </rPr>
          <t xml:space="preserve">sets of compartments, and do not involve sink nodes.
</t>
        </r>
        <r>
          <rPr>
            <sz val="10"/>
            <color rgb="FF000000"/>
            <rFont val="Tahoma"/>
            <family val="2"/>
          </rPr>
          <t xml:space="preserve">
</t>
        </r>
        <r>
          <rPr>
            <sz val="10"/>
            <color rgb="FF000000"/>
            <rFont val="Tahoma"/>
            <family val="2"/>
          </rPr>
          <t xml:space="preserve">Note: This tag is only enabled for a compartment by marking the
</t>
        </r>
        <r>
          <rPr>
            <sz val="10"/>
            <color rgb="FF000000"/>
            <rFont val="Tahoma"/>
            <family val="2"/>
          </rPr>
          <t xml:space="preserve">corresponding cell 'y'.
</t>
        </r>
        <r>
          <rPr>
            <sz val="10"/>
            <color rgb="FF000000"/>
            <rFont val="Tahoma"/>
            <family val="2"/>
          </rPr>
          <t xml:space="preserve">Anything else, including keeping the cell blank, disables the tag.
</t>
        </r>
        <r>
          <rPr>
            <sz val="10"/>
            <color rgb="FF000000"/>
            <rFont val="Tahoma"/>
            <family val="2"/>
          </rPr>
          <t xml:space="preserve">
</t>
        </r>
        <r>
          <rPr>
            <sz val="10"/>
            <color rgb="FF000000"/>
            <rFont val="Calibri"/>
            <family val="2"/>
            <scheme val="minor"/>
          </rPr>
          <t>For further instructions on how to fill this out, please see cascade.tools/ug-frw-compartments</t>
        </r>
        <r>
          <rPr>
            <sz val="10"/>
            <color rgb="FF000000"/>
            <rFont val="Calibri"/>
            <family val="2"/>
            <scheme val="minor"/>
          </rPr>
          <t xml:space="preserve">
</t>
        </r>
      </text>
    </comment>
    <comment ref="E1" authorId="0" shapeId="0" xr:uid="{DB56E746-A899-4F16-8FAE-6600FA84B075}">
      <text>
        <r>
          <rPr>
            <sz val="10"/>
            <color rgb="FF000000"/>
            <rFont val="Tahoma"/>
            <family val="2"/>
          </rPr>
          <t xml:space="preserve">This column is for tagging a compartment as an abstract 'junction'
</t>
        </r>
        <r>
          <rPr>
            <sz val="10"/>
            <color rgb="FF000000"/>
            <rFont val="Tahoma"/>
            <family val="2"/>
          </rPr>
          <t xml:space="preserve">state, commonly used to control the aggregation and disaggregation of
</t>
        </r>
        <r>
          <rPr>
            <sz val="10"/>
            <color rgb="FF000000"/>
            <rFont val="Tahoma"/>
            <family val="2"/>
          </rPr>
          <t xml:space="preserve">network flows.
</t>
        </r>
        <r>
          <rPr>
            <sz val="10"/>
            <color rgb="FF000000"/>
            <rFont val="Tahoma"/>
            <family val="2"/>
          </rPr>
          <t xml:space="preserve">These special nodes are designed to empty out their contents
</t>
        </r>
        <r>
          <rPr>
            <sz val="10"/>
            <color rgb="FF000000"/>
            <rFont val="Tahoma"/>
            <family val="2"/>
          </rPr>
          <t xml:space="preserve">immediately after collecting inflow, meaning that they will never
</t>
        </r>
        <r>
          <rPr>
            <sz val="10"/>
            <color rgb="FF000000"/>
            <rFont val="Tahoma"/>
            <family val="2"/>
          </rPr>
          <t xml:space="preserve">accumulate any entities at any point in time.
</t>
        </r>
        <r>
          <rPr>
            <sz val="10"/>
            <color rgb="FF000000"/>
            <rFont val="Tahoma"/>
            <family val="2"/>
          </rPr>
          <t xml:space="preserve">Accordingly, compartment size is always zero and there must always be
</t>
        </r>
        <r>
          <rPr>
            <sz val="10"/>
            <color rgb="FF000000"/>
            <rFont val="Tahoma"/>
            <family val="2"/>
          </rPr>
          <t xml:space="preserve">at least one compartment outflow, each of which must be specified in
</t>
        </r>
        <r>
          <rPr>
            <sz val="10"/>
            <color rgb="FF000000"/>
            <rFont val="Tahoma"/>
            <family val="2"/>
          </rPr>
          <t xml:space="preserve">weighted format.
</t>
        </r>
        <r>
          <rPr>
            <sz val="10"/>
            <color rgb="FF000000"/>
            <rFont val="Tahoma"/>
            <family val="2"/>
          </rPr>
          <t xml:space="preserve">Inflowing entities will be flushed out to connected states in
</t>
        </r>
        <r>
          <rPr>
            <sz val="10"/>
            <color rgb="FF000000"/>
            <rFont val="Tahoma"/>
            <family val="2"/>
          </rPr>
          <t xml:space="preserve">proportion with the weights of the outflowing transitions.
</t>
        </r>
        <r>
          <rPr>
            <sz val="10"/>
            <color rgb="FF000000"/>
            <rFont val="Tahoma"/>
            <family val="2"/>
          </rPr>
          <t xml:space="preserve">Models using junctions must be well designed, as a recursion limit will
</t>
        </r>
        <r>
          <rPr>
            <sz val="10"/>
            <color rgb="FF000000"/>
            <rFont val="Tahoma"/>
            <family val="2"/>
          </rPr>
          <t xml:space="preserve">break networks involving endless cycles during simulation runtime.
</t>
        </r>
        <r>
          <rPr>
            <sz val="10"/>
            <color rgb="FF000000"/>
            <rFont val="Tahoma"/>
            <family val="2"/>
          </rPr>
          <t xml:space="preserve">
</t>
        </r>
        <r>
          <rPr>
            <sz val="10"/>
            <color rgb="FF000000"/>
            <rFont val="Tahoma"/>
            <family val="2"/>
          </rPr>
          <t xml:space="preserve">Note: This tag is only enabled for a compartment by marking the
</t>
        </r>
        <r>
          <rPr>
            <sz val="10"/>
            <color rgb="FF000000"/>
            <rFont val="Tahoma"/>
            <family val="2"/>
          </rPr>
          <t xml:space="preserve">corresponding cell 'y'.
</t>
        </r>
        <r>
          <rPr>
            <sz val="10"/>
            <color rgb="FF000000"/>
            <rFont val="Tahoma"/>
            <family val="2"/>
          </rPr>
          <t xml:space="preserve">Anything else, including keeping the cell blank, disables the tag.
</t>
        </r>
        <r>
          <rPr>
            <sz val="10"/>
            <color rgb="FF000000"/>
            <rFont val="Tahoma"/>
            <family val="2"/>
          </rPr>
          <t xml:space="preserve">
</t>
        </r>
        <r>
          <rPr>
            <sz val="10"/>
            <color rgb="FF000000"/>
            <rFont val="Calibri"/>
            <family val="2"/>
            <scheme val="minor"/>
          </rPr>
          <t>For further instructions on how to fill this out, please see cascade.tools/ug-frw-compartments</t>
        </r>
        <r>
          <rPr>
            <sz val="10"/>
            <color rgb="FF000000"/>
            <rFont val="Calibri"/>
            <family val="2"/>
            <scheme val="minor"/>
          </rPr>
          <t xml:space="preserve">
</t>
        </r>
      </text>
    </comment>
    <comment ref="F1" authorId="0" shapeId="0" xr:uid="{B4B78201-E703-45F2-B8E3-C4BE043769F5}">
      <text>
        <r>
          <rPr>
            <sz val="10"/>
            <color rgb="FF000000"/>
            <rFont val="Tahoma"/>
            <family val="2"/>
          </rPr>
          <t xml:space="preserve">This column determines how important user-provided values for this
</t>
        </r>
        <r>
          <rPr>
            <sz val="10"/>
            <color rgb="FF000000"/>
            <rFont val="Tahoma"/>
            <family val="2"/>
          </rPr>
          <t xml:space="preserve">compartment are to setting up the initial state of a model.
</t>
        </r>
        <r>
          <rPr>
            <sz val="10"/>
            <color rgb="FF000000"/>
            <rFont val="Tahoma"/>
            <family val="2"/>
          </rPr>
          <t xml:space="preserve">In general, the column value should be '1' if model construction
</t>
        </r>
        <r>
          <rPr>
            <sz val="10"/>
            <color rgb="FF000000"/>
            <rFont val="Tahoma"/>
            <family val="2"/>
          </rPr>
          <t xml:space="preserve">directly depends on what the user provides for compartment size.
</t>
        </r>
        <r>
          <rPr>
            <sz val="10"/>
            <color rgb="FF000000"/>
            <rFont val="Tahoma"/>
            <family val="2"/>
          </rPr>
          <t xml:space="preserve">It should be '0' if supplied values are only for calibration or
</t>
        </r>
        <r>
          <rPr>
            <sz val="10"/>
            <color rgb="FF000000"/>
            <rFont val="Tahoma"/>
            <family val="2"/>
          </rPr>
          <t xml:space="preserve">note-keeping purposes.
</t>
        </r>
        <r>
          <rPr>
            <sz val="10"/>
            <color rgb="FF000000"/>
            <rFont val="Tahoma"/>
            <family val="2"/>
          </rPr>
          <t xml:space="preserve">In this latter case, the linear-algebra method of setting up
</t>
        </r>
        <r>
          <rPr>
            <sz val="10"/>
            <color rgb="FF000000"/>
            <rFont val="Tahoma"/>
            <family val="2"/>
          </rPr>
          <t xml:space="preserve">compartment sizes may complain about an 'under-determined' system
</t>
        </r>
        <r>
          <rPr>
            <sz val="10"/>
            <color rgb="FF000000"/>
            <rFont val="Tahoma"/>
            <family val="2"/>
          </rPr>
          <t xml:space="preserve">during a model run.
</t>
        </r>
        <r>
          <rPr>
            <sz val="10"/>
            <color rgb="FF000000"/>
            <rFont val="Tahoma"/>
            <family val="2"/>
          </rPr>
          <t xml:space="preserve">To avoid this, every zero-weighted compartment should be matched
</t>
        </r>
        <r>
          <rPr>
            <sz val="10"/>
            <color rgb="FF000000"/>
            <rFont val="Tahoma"/>
            <family val="2"/>
          </rPr>
          <t xml:space="preserve">by a 'characteristic' defined in a later spreadsheet that includes
</t>
        </r>
        <r>
          <rPr>
            <sz val="10"/>
            <color rgb="FF000000"/>
            <rFont val="Tahoma"/>
            <family val="2"/>
          </rPr>
          <t xml:space="preserve">this compartment and is not weighted zero for setup weight.
</t>
        </r>
        <r>
          <rPr>
            <sz val="10"/>
            <color rgb="FF000000"/>
            <rFont val="Tahoma"/>
            <family val="2"/>
          </rPr>
          <t xml:space="preserve">
</t>
        </r>
        <r>
          <rPr>
            <sz val="10"/>
            <color rgb="FF000000"/>
            <rFont val="Tahoma"/>
            <family val="2"/>
          </rPr>
          <t xml:space="preserve">Note: Default value, i.e. a blank cell, is '1'.
</t>
        </r>
        <r>
          <rPr>
            <sz val="10"/>
            <color rgb="FF000000"/>
            <rFont val="Tahoma"/>
            <family val="2"/>
          </rPr>
          <t xml:space="preserve">Framework file parsing should also warn the user about a compartment
</t>
        </r>
        <r>
          <rPr>
            <sz val="10"/>
            <color rgb="FF000000"/>
            <rFont val="Tahoma"/>
            <family val="2"/>
          </rPr>
          <t xml:space="preserve">with nonzero setup weight that is suppressed in the databook, i.e.
</t>
        </r>
        <r>
          <rPr>
            <sz val="10"/>
            <color rgb="FF000000"/>
            <rFont val="Tahoma"/>
            <family val="2"/>
          </rPr>
          <t xml:space="preserve">has a databook order of '-1'.
</t>
        </r>
        <r>
          <rPr>
            <sz val="10"/>
            <color rgb="FF000000"/>
            <rFont val="Tahoma"/>
            <family val="2"/>
          </rPr>
          <t xml:space="preserve">
</t>
        </r>
        <r>
          <rPr>
            <sz val="10"/>
            <color rgb="FF000000"/>
            <rFont val="Calibri"/>
            <family val="2"/>
            <scheme val="minor"/>
          </rPr>
          <t>For further instructions on how to fill this out, please see cascade.tools/ug-frw-compartments</t>
        </r>
        <r>
          <rPr>
            <sz val="10"/>
            <color rgb="FF000000"/>
            <rFont val="Calibri"/>
            <family val="2"/>
            <scheme val="minor"/>
          </rPr>
          <t xml:space="preserve">
</t>
        </r>
      </text>
    </comment>
    <comment ref="G1" authorId="0" shapeId="0" xr:uid="{3F46A7DA-FE24-4E1C-9D15-BD3B9B2F2AA3}">
      <text>
        <r>
          <rPr>
            <sz val="10"/>
            <color rgb="FF000000"/>
            <rFont val="Tahoma"/>
            <family val="2"/>
          </rPr>
          <t xml:space="preserve">This column marks whether compartment size data can be rescaled
</t>
        </r>
        <r>
          <rPr>
            <sz val="10"/>
            <color rgb="FF000000"/>
            <rFont val="Tahoma"/>
            <family val="2"/>
          </rPr>
          <t xml:space="preserve">during model calibration processes. To enable calibration, enter a label in this column. If no value is entered, the item will not appear for calibration. If this column is not present, it will be automatically populated if the compartment appears on a databook page
</t>
        </r>
        <r>
          <rPr>
            <sz val="10"/>
            <color rgb="FF000000"/>
            <rFont val="Tahoma"/>
            <family val="2"/>
          </rPr>
          <t xml:space="preserve">
</t>
        </r>
        <r>
          <rPr>
            <sz val="10"/>
            <color rgb="FF000000"/>
            <rFont val="Calibri"/>
            <family val="2"/>
            <scheme val="minor"/>
          </rPr>
          <t>For further instructions on how to fill this out, please see cascade.tools/ug-frw-compartments</t>
        </r>
        <r>
          <rPr>
            <sz val="10"/>
            <color rgb="FF000000"/>
            <rFont val="Calibri"/>
            <family val="2"/>
            <scheme val="minor"/>
          </rPr>
          <t xml:space="preserve">
</t>
        </r>
      </text>
    </comment>
    <comment ref="H1" authorId="0" shapeId="0" xr:uid="{69690E77-E19A-4C62-A1A8-7A79BC1C6D8C}">
      <text>
        <r>
          <rPr>
            <sz val="10"/>
            <color rgb="FF000000"/>
            <rFont val="Calibri"/>
            <family val="2"/>
          </rPr>
          <t>For further instructions on how to fill this out, please see cascade.tools/ug-frw-compartments</t>
        </r>
        <r>
          <rPr>
            <sz val="8"/>
            <color rgb="FF000000"/>
            <rFont val="Calibri"/>
            <family val="2"/>
          </rPr>
          <t xml:space="preserve">
</t>
        </r>
        <r>
          <rPr>
            <sz val="8"/>
            <color rgb="FF000000"/>
            <rFont val="Tahoma"/>
            <family val="2"/>
          </rPr>
          <t xml:space="preserve">
</t>
        </r>
        <r>
          <rPr>
            <sz val="10"/>
            <color rgb="FF000000"/>
            <rFont val="Tahoma"/>
            <family val="2"/>
          </rPr>
          <t xml:space="preserve">This column optionally marks whether a data-input section should
</t>
        </r>
        <r>
          <rPr>
            <sz val="10"/>
            <color rgb="FF000000"/>
            <rFont val="Tahoma"/>
            <family val="2"/>
          </rPr>
          <t xml:space="preserve">appear for this compartment in a custom databook sheet, if allowed
</t>
        </r>
        <r>
          <rPr>
            <sz val="10"/>
            <color rgb="FF000000"/>
            <rFont val="Tahoma"/>
            <family val="2"/>
          </rPr>
          <t xml:space="preserve">to appear at all according to 'databook order'.
</t>
        </r>
        <r>
          <rPr>
            <sz val="10"/>
            <color rgb="FF000000"/>
            <rFont val="Tahoma"/>
            <family val="2"/>
          </rPr>
          <t xml:space="preserve">Each value should be a code name for a desired page defined in
</t>
        </r>
        <r>
          <rPr>
            <sz val="10"/>
            <color rgb="FF000000"/>
            <rFont val="Tahoma"/>
            <family val="2"/>
          </rPr>
          <t xml:space="preserve">the 'custom databook pages' worksheet page.
</t>
        </r>
        <r>
          <rPr>
            <sz val="10"/>
            <color rgb="FF000000"/>
            <rFont val="Tahoma"/>
            <family val="2"/>
          </rPr>
          <t xml:space="preserve">If a cell is left empty, the enabled data-input section should appear
</t>
        </r>
        <r>
          <rPr>
            <sz val="10"/>
            <color rgb="FF000000"/>
            <rFont val="Tahoma"/>
            <family val="2"/>
          </rPr>
          <t>in a default databook page dedicated to state variables.</t>
        </r>
      </text>
    </comment>
    <comment ref="I1" authorId="0" shapeId="0" xr:uid="{4DCCC305-48A8-4F07-8F0E-014ED2BF36F9}">
      <text>
        <r>
          <rPr>
            <sz val="10"/>
            <color rgb="FF000000"/>
            <rFont val="Tahoma"/>
            <family val="2"/>
          </rPr>
          <t xml:space="preserve">This column currently denotes whether a databook should request
</t>
        </r>
        <r>
          <rPr>
            <sz val="10"/>
            <color rgb="FF000000"/>
            <rFont val="Tahoma"/>
            <family val="2"/>
          </rPr>
          <t xml:space="preserve">values from the user for the historical size of this compartment.
</t>
        </r>
        <r>
          <rPr>
            <sz val="10"/>
            <color rgb="FF000000"/>
            <rFont val="Tahoma"/>
            <family val="2"/>
          </rPr>
          <t xml:space="preserve">A value of '-1' suppresses it from appearing in the databook.
</t>
        </r>
        <r>
          <rPr>
            <sz val="10"/>
            <color rgb="FF000000"/>
            <rFont val="Tahoma"/>
            <family val="2"/>
          </rPr>
          <t xml:space="preserve">
</t>
        </r>
        <r>
          <rPr>
            <sz val="10"/>
            <color rgb="FF000000"/>
            <rFont val="Calibri"/>
            <family val="2"/>
            <scheme val="minor"/>
          </rPr>
          <t>For further instructions on how to fill this out, please see cascade.tools/ug-frw-compartments</t>
        </r>
      </text>
    </comment>
    <comment ref="J1" authorId="1" shapeId="0" xr:uid="{DC11A7F4-D37B-4E6C-A328-CF93337111F1}">
      <text>
        <r>
          <rPr>
            <sz val="9"/>
            <color indexed="81"/>
            <rFont val="Tahoma"/>
            <family val="2"/>
          </rPr>
          <t>Text entered here will appear as a comment in the title row of data entry tables in the databook</t>
        </r>
      </text>
    </comment>
    <comment ref="K1" authorId="1" shapeId="0" xr:uid="{2251638F-94C3-4F08-AC30-DD8D855E93D0}">
      <text>
        <r>
          <rPr>
            <sz val="9"/>
            <color indexed="81"/>
            <rFont val="Tahoma"/>
            <family val="2"/>
          </rPr>
          <t>Assign quantity to a population type. This column must match a population type listed on the 'Population types' sheet. If left empty, the first population type listed will be used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Romesh</author>
    <author>Farah Houdroge</author>
  </authors>
  <commentList>
    <comment ref="A1" authorId="0" shapeId="0" xr:uid="{E2FBD3E0-0A11-1C4B-B047-ED175ED137D6}">
      <text>
        <r>
          <rPr>
            <sz val="10"/>
            <color rgb="FF000000"/>
            <rFont val="Tahoma"/>
            <family val="2"/>
          </rPr>
          <t xml:space="preserve">The code name should be in lower case without spaces.
</t>
        </r>
        <r>
          <rPr>
            <sz val="10"/>
            <color rgb="FF000000"/>
            <rFont val="Tahoma"/>
            <family val="2"/>
          </rPr>
          <t xml:space="preserve">
</t>
        </r>
        <r>
          <rPr>
            <sz val="10"/>
            <color rgb="FF000000"/>
            <rFont val="Calibri"/>
            <family val="2"/>
          </rPr>
          <t xml:space="preserve">For further instructions on how to fill this out, please see cascade.tools/ug-frw-parameters
</t>
        </r>
      </text>
    </comment>
    <comment ref="B1" authorId="0" shapeId="0" xr:uid="{98F43FDC-B8F2-624A-A3D7-83BC76723056}">
      <text>
        <r>
          <rPr>
            <sz val="10"/>
            <color rgb="FF000000"/>
            <rFont val="Tahoma"/>
            <family val="2"/>
          </rPr>
          <t xml:space="preserve">The display name will appear in plots and other outputs. It should be in sentence case.
</t>
        </r>
        <r>
          <rPr>
            <sz val="10"/>
            <color rgb="FF000000"/>
            <rFont val="Calibri"/>
            <family val="2"/>
          </rPr>
          <t>For further instructions on how to fill this out, please see cascade.tools/ug-frw-paramters</t>
        </r>
      </text>
    </comment>
    <comment ref="C1" authorId="0" shapeId="0" xr:uid="{EF5E3AFE-CA03-46C5-8AFC-2AC6046E3E09}">
      <text>
        <r>
          <rPr>
            <sz val="10"/>
            <color rgb="FF000000"/>
            <rFont val="Tahoma"/>
            <family val="2"/>
          </rPr>
          <t xml:space="preserve">This column defines a 'format' attribute for a 'par' item.
</t>
        </r>
        <r>
          <rPr>
            <sz val="10"/>
            <color rgb="FF000000"/>
            <rFont val="Calibri"/>
            <family val="2"/>
            <scheme val="minor"/>
          </rPr>
          <t>For further instructions on how to fill this out, please see cascade.tools/ug-frw-parameters</t>
        </r>
        <r>
          <rPr>
            <sz val="10"/>
            <color rgb="FF000000"/>
            <rFont val="Calibri"/>
            <family val="2"/>
            <scheme val="minor"/>
          </rPr>
          <t xml:space="preserve"> </t>
        </r>
      </text>
    </comment>
    <comment ref="D1" authorId="1" shapeId="0" xr:uid="{A300C74D-F272-4D9A-8D8B-F358A29F1078}">
      <text>
        <r>
          <rPr>
            <sz val="9"/>
            <color indexed="81"/>
            <rFont val="Tahoma"/>
            <family val="2"/>
          </rPr>
          <t xml:space="preserve">This column defines the timescale for transition parameters. A value can be set here if the number or probability associated with the parameter is not on an annual basis. Values should be entered in this column in units of years. For example, a parameter for a daily probability would have the timescale set to '=1/365'
For further instructions on how to fill this out, please see cascade.tools/ug-frw-parameters 
</t>
        </r>
      </text>
    </comment>
    <comment ref="E1" authorId="0" shapeId="0" xr:uid="{FCE4BAB8-A6E9-4C37-855F-51EEAFF610F3}">
      <text>
        <r>
          <rPr>
            <sz val="10"/>
            <color rgb="FF000000"/>
            <rFont val="Tahoma"/>
            <family val="2"/>
          </rPr>
          <t xml:space="preserve">This column defines a 'default_value' attribute for a 'par' item.
</t>
        </r>
        <r>
          <rPr>
            <sz val="10"/>
            <color rgb="FF000000"/>
            <rFont val="Calibri"/>
            <family val="2"/>
            <scheme val="minor"/>
          </rPr>
          <t>For further instructions on how to fill this out, please see cascade.tools/ug-frw-parameters</t>
        </r>
        <r>
          <rPr>
            <sz val="10"/>
            <color rgb="FF000000"/>
            <rFont val="Calibri"/>
            <family val="2"/>
            <scheme val="minor"/>
          </rPr>
          <t xml:space="preserve"> </t>
        </r>
        <r>
          <rPr>
            <sz val="10"/>
            <color rgb="FF000000"/>
            <rFont val="Calibri"/>
            <family val="2"/>
            <scheme val="minor"/>
          </rPr>
          <t xml:space="preserve">
</t>
        </r>
      </text>
    </comment>
    <comment ref="F1" authorId="0" shapeId="0" xr:uid="{F7DF6DA5-307D-42BB-80B5-CEE9AB8ED752}">
      <text>
        <r>
          <rPr>
            <sz val="10"/>
            <color rgb="FF000000"/>
            <rFont val="Tahoma"/>
            <family val="2"/>
          </rPr>
          <t xml:space="preserve">This column defines a 'min' attribute for a 'par' item.
</t>
        </r>
        <r>
          <rPr>
            <sz val="10"/>
            <color rgb="FF000000"/>
            <rFont val="Calibri"/>
            <family val="2"/>
            <scheme val="minor"/>
          </rPr>
          <t>For further instructions on how to fill this out, please see cascade.tools/ug-frw-parameters</t>
        </r>
        <r>
          <rPr>
            <sz val="10"/>
            <color rgb="FF000000"/>
            <rFont val="Calibri"/>
            <family val="2"/>
            <scheme val="minor"/>
          </rPr>
          <t xml:space="preserve"> </t>
        </r>
        <r>
          <rPr>
            <sz val="10"/>
            <color rgb="FF000000"/>
            <rFont val="Calibri"/>
            <family val="2"/>
            <scheme val="minor"/>
          </rPr>
          <t xml:space="preserve">
</t>
        </r>
      </text>
    </comment>
    <comment ref="G1" authorId="0" shapeId="0" xr:uid="{4C3AB2C0-9D0C-4C0E-9CF0-D571224FE5BD}">
      <text>
        <r>
          <rPr>
            <sz val="10"/>
            <color rgb="FF000000"/>
            <rFont val="Tahoma"/>
            <family val="2"/>
          </rPr>
          <t xml:space="preserve">This column defines a 'max' attribute for a 'par' item.
</t>
        </r>
        <r>
          <rPr>
            <sz val="10"/>
            <color rgb="FF000000"/>
            <rFont val="Calibri"/>
            <family val="2"/>
            <scheme val="minor"/>
          </rPr>
          <t>For further instructions on how to fill this out, please see cascade.tools/ug-frw-parameters</t>
        </r>
        <r>
          <rPr>
            <sz val="10"/>
            <color rgb="FF000000"/>
            <rFont val="Calibri"/>
            <family val="2"/>
            <scheme val="minor"/>
          </rPr>
          <t xml:space="preserve"> </t>
        </r>
        <r>
          <rPr>
            <sz val="10"/>
            <color rgb="FF000000"/>
            <rFont val="Calibri"/>
            <family val="2"/>
            <scheme val="minor"/>
          </rPr>
          <t xml:space="preserve">
</t>
        </r>
      </text>
    </comment>
    <comment ref="H1" authorId="0" shapeId="0" xr:uid="{98B9E77F-8634-4220-9AE2-2EB54A125949}">
      <text>
        <r>
          <rPr>
            <sz val="10"/>
            <color rgb="FF000000"/>
            <rFont val="Tahoma"/>
            <family val="2"/>
          </rPr>
          <t xml:space="preserve">This column defines a 'func' attribute for a 'par' item.
</t>
        </r>
        <r>
          <rPr>
            <sz val="10"/>
            <color rgb="FF000000"/>
            <rFont val="Calibri"/>
            <family val="2"/>
            <scheme val="minor"/>
          </rPr>
          <t>For further instructions on how to fill this out, please see cascade.tools/ug-frw-parameters</t>
        </r>
        <r>
          <rPr>
            <sz val="10"/>
            <color rgb="FF000000"/>
            <rFont val="Calibri"/>
            <family val="2"/>
            <scheme val="minor"/>
          </rPr>
          <t xml:space="preserve"> </t>
        </r>
        <r>
          <rPr>
            <sz val="10"/>
            <color rgb="FF000000"/>
            <rFont val="Calibri"/>
            <family val="2"/>
            <scheme val="minor"/>
          </rPr>
          <t xml:space="preserve">
</t>
        </r>
      </text>
    </comment>
    <comment ref="I1" authorId="0" shapeId="0" xr:uid="{974FC231-C2BA-4000-88CD-AB6CE23C45D0}">
      <text>
        <r>
          <rPr>
            <sz val="10"/>
            <color rgb="FF000000"/>
            <rFont val="Tahoma"/>
            <family val="2"/>
          </rPr>
          <t xml:space="preserve">If set to 'y', the parameter can be targeted by programs, and it will appear in the program book for any projects using this framework
</t>
        </r>
        <r>
          <rPr>
            <sz val="10"/>
            <color rgb="FF000000"/>
            <rFont val="Tahoma"/>
            <family val="2"/>
          </rPr>
          <t xml:space="preserve">
</t>
        </r>
        <r>
          <rPr>
            <sz val="10"/>
            <color rgb="FF000000"/>
            <rFont val="Calibri"/>
            <family val="2"/>
            <scheme val="minor"/>
          </rPr>
          <t>For further instructions on how to fill this out, please see cascade.tools/ug-frw-parameters</t>
        </r>
        <r>
          <rPr>
            <sz val="10"/>
            <color rgb="FF000000"/>
            <rFont val="Calibri"/>
            <family val="2"/>
            <scheme val="minor"/>
          </rPr>
          <t xml:space="preserve"> </t>
        </r>
        <r>
          <rPr>
            <sz val="10"/>
            <color rgb="FF000000"/>
            <rFont val="Calibri"/>
            <family val="2"/>
            <scheme val="minor"/>
          </rPr>
          <t xml:space="preserve">
</t>
        </r>
      </text>
    </comment>
    <comment ref="J1" authorId="0" shapeId="0" xr:uid="{2081E04D-F569-4CB4-A2D6-429C64002467}">
      <text>
        <r>
          <rPr>
            <sz val="10"/>
            <color rgb="FF000000"/>
            <rFont val="Tahoma"/>
            <family val="2"/>
          </rPr>
          <t xml:space="preserve">This column marks whether compartment size data can be rescaled during model calibration processes. To enable calibration, enter a label in this column. If no value is entered, the item will not appear for calibration. If this column is not present, it will be automatically populated if the parameter is targetable
</t>
        </r>
        <r>
          <rPr>
            <sz val="10"/>
            <color rgb="FF000000"/>
            <rFont val="Tahoma"/>
            <family val="2"/>
          </rPr>
          <t xml:space="preserve">
</t>
        </r>
        <r>
          <rPr>
            <sz val="10"/>
            <color rgb="FF000000"/>
            <rFont val="Calibri"/>
            <family val="2"/>
            <scheme val="minor"/>
          </rPr>
          <t>For further instructions on how to fill this out, please see cascade.tools/ug-frw-parameters</t>
        </r>
        <r>
          <rPr>
            <sz val="10"/>
            <color rgb="FF000000"/>
            <rFont val="Calibri"/>
            <family val="2"/>
            <scheme val="minor"/>
          </rPr>
          <t xml:space="preserve"> </t>
        </r>
        <r>
          <rPr>
            <sz val="10"/>
            <color rgb="FF000000"/>
            <rFont val="Calibri"/>
            <family val="2"/>
            <scheme val="minor"/>
          </rPr>
          <t xml:space="preserve">
</t>
        </r>
      </text>
    </comment>
    <comment ref="K1" authorId="0" shapeId="0" xr:uid="{9AB3D83C-D0BC-4583-B5B1-006FE7C2562F}">
      <text>
        <r>
          <rPr>
            <sz val="10"/>
            <color rgb="FF000000"/>
            <rFont val="Tahoma"/>
            <family val="2"/>
          </rPr>
          <t xml:space="preserve">This column optionally marks whether a data-input section should appear for this parameter in a custom databook sheet, if allowed to appear at all according to 'databook order'.
</t>
        </r>
        <r>
          <rPr>
            <sz val="10"/>
            <color rgb="FF000000"/>
            <rFont val="Tahoma"/>
            <family val="2"/>
          </rPr>
          <t xml:space="preserve">
</t>
        </r>
        <r>
          <rPr>
            <sz val="10"/>
            <color rgb="FF000000"/>
            <rFont val="Tahoma"/>
            <family val="2"/>
          </rPr>
          <t xml:space="preserve">Each value should be a code name for a desired page defined in the 'custom databook pages' worksheet page. If a cell is left empty, the enabled data-input section should appear in a default databook page dedicated to parameters.
</t>
        </r>
        <r>
          <rPr>
            <sz val="10"/>
            <color rgb="FF000000"/>
            <rFont val="Tahoma"/>
            <family val="2"/>
          </rPr>
          <t xml:space="preserve">
</t>
        </r>
        <r>
          <rPr>
            <sz val="10"/>
            <color rgb="FF000000"/>
            <rFont val="Calibri"/>
            <family val="2"/>
          </rPr>
          <t xml:space="preserve">For further instructions on how to fill this out, please see cascade.tools/ug-frw-parameters 
</t>
        </r>
      </text>
    </comment>
    <comment ref="L1" authorId="0" shapeId="0" xr:uid="{F4694702-1A69-4233-A84B-A75E88284228}">
      <text>
        <r>
          <rPr>
            <sz val="10"/>
            <color rgb="FF000000"/>
            <rFont val="Tahoma"/>
            <family val="2"/>
          </rPr>
          <t xml:space="preserve">This column currently denotes whether a databook should request
</t>
        </r>
        <r>
          <rPr>
            <sz val="10"/>
            <color rgb="FF000000"/>
            <rFont val="Tahoma"/>
            <family val="2"/>
          </rPr>
          <t xml:space="preserve">historical values from the user for this parameter.
</t>
        </r>
        <r>
          <rPr>
            <sz val="10"/>
            <color rgb="FF000000"/>
            <rFont val="Tahoma"/>
            <family val="2"/>
          </rPr>
          <t xml:space="preserve">A value of '-1' suppresses it from appearing in the databook.
</t>
        </r>
        <r>
          <rPr>
            <sz val="10"/>
            <color rgb="FF000000"/>
            <rFont val="Tahoma"/>
            <family val="2"/>
          </rPr>
          <t xml:space="preserve">
</t>
        </r>
        <r>
          <rPr>
            <sz val="10"/>
            <color rgb="FF000000"/>
            <rFont val="Calibri"/>
            <family val="2"/>
            <scheme val="minor"/>
          </rPr>
          <t>For further instructions on how to fill this out, please see cascade.tools/ug-frw-parameters</t>
        </r>
        <r>
          <rPr>
            <sz val="10"/>
            <color rgb="FF000000"/>
            <rFont val="Calibri"/>
            <family val="2"/>
            <scheme val="minor"/>
          </rPr>
          <t xml:space="preserve"> </t>
        </r>
        <r>
          <rPr>
            <sz val="10"/>
            <color rgb="FF000000"/>
            <rFont val="Calibri"/>
            <family val="2"/>
            <scheme val="minor"/>
          </rPr>
          <t xml:space="preserve">
</t>
        </r>
      </text>
    </comment>
    <comment ref="M1" authorId="1" shapeId="0" xr:uid="{334442D1-1566-452B-87A7-78190747C88B}">
      <text>
        <r>
          <rPr>
            <sz val="9"/>
            <color indexed="81"/>
            <rFont val="Tahoma"/>
            <family val="2"/>
          </rPr>
          <t>Text entered here will appear as a comment in the title row of data entry tables in the databook</t>
        </r>
      </text>
    </comment>
    <comment ref="N1" authorId="1" shapeId="0" xr:uid="{5A40974B-8263-4A1B-86CF-7F6950F59981}">
      <text>
        <r>
          <rPr>
            <sz val="9"/>
            <color indexed="81"/>
            <rFont val="Tahoma"/>
            <family val="2"/>
          </rPr>
          <t>Assign quantity to a population type. This column must match a population type listed on the 'Population types' sheet. If left empty, the first population type listed will be used</t>
        </r>
      </text>
    </comment>
    <comment ref="O1" authorId="0" shapeId="0" xr:uid="{313E745F-67D8-4CE4-B4E8-2FEEBB5B4A9E}">
      <text>
        <r>
          <rPr>
            <sz val="10"/>
            <color rgb="FF000000"/>
            <rFont val="Tahoma"/>
            <family val="2"/>
          </rPr>
          <t xml:space="preserve">If set to 'y', the parameter will serve as a time-limited transition that moves all people from a compartment once they have been in the compartment for the specified duration. These parameters cannot vary over time, are not targetable, and cannot be derivatives </t>
        </r>
        <r>
          <rPr>
            <sz val="10"/>
            <color rgb="FF000000"/>
            <rFont val="Calibri"/>
            <family val="2"/>
            <scheme val="minor"/>
          </rPr>
          <t xml:space="preserve">
</t>
        </r>
      </text>
    </comment>
    <comment ref="P1" authorId="0" shapeId="0" xr:uid="{7CD0FEB9-3AFA-45D0-BB50-215863F77842}">
      <text>
        <r>
          <rPr>
            <sz val="10"/>
            <color rgb="FF000000"/>
            <rFont val="Tahoma"/>
            <family val="2"/>
          </rPr>
          <t xml:space="preserve">If set to 'y', the parameter function will be used as the derivative of the parameter. A derivative parameter must have a function and must appear in the databook. The databook value corresponds to the initial conditions. </t>
        </r>
      </text>
    </comment>
    <comment ref="H43" authorId="2" shapeId="0" xr:uid="{32537B29-6722-4515-80A9-B89AFBA846B5}">
      <text>
        <r>
          <rPr>
            <b/>
            <sz val="9"/>
            <color indexed="81"/>
            <rFont val="Tahoma"/>
            <family val="2"/>
          </rPr>
          <t>Farah Houdroge:</t>
        </r>
        <r>
          <rPr>
            <sz val="9"/>
            <color indexed="81"/>
            <rFont val="Tahoma"/>
            <family val="2"/>
          </rPr>
          <t xml:space="preserve">
https://www.kirby.unsw.edu.au/sites/default/files/documents/Annual-Surveillance-Report-2024-Methods_1.pdf
"People who were cured of chronic hepatitis C were assumed to have reduced rates of disease progression to decompensated cirrhosis (90% reduction (22,23)) and hepatocellular carcinoma (77% reduction (24))."</t>
        </r>
      </text>
    </comment>
    <comment ref="H44" authorId="2" shapeId="0" xr:uid="{BB6FFFE6-7630-40F4-8858-259E1C741D0C}">
      <text>
        <r>
          <rPr>
            <b/>
            <sz val="9"/>
            <color indexed="81"/>
            <rFont val="Tahoma"/>
            <family val="2"/>
          </rPr>
          <t>Farah Houdroge:</t>
        </r>
        <r>
          <rPr>
            <sz val="9"/>
            <color indexed="81"/>
            <rFont val="Tahoma"/>
            <family val="2"/>
          </rPr>
          <t xml:space="preserve">
https://www.kirby.unsw.edu.au/sites/default/files/documents/Annual-Surveillance-Report-2024-Methods_1.pdf
"People who were cured of chronic hepatitis C were assumed to have reduced rates of disease progression to decompensated cirrhosis (90% reduction (22,23)) and hepatocellular carcinoma (77% reduction (24))."</t>
        </r>
      </text>
    </comment>
    <comment ref="A181" authorId="2" shapeId="0" xr:uid="{89A6D7D5-DC97-4C4B-9F4C-3E55E5168809}">
      <text>
        <r>
          <rPr>
            <b/>
            <sz val="9"/>
            <color indexed="81"/>
            <rFont val="Tahoma"/>
            <family val="2"/>
          </rPr>
          <t>Farah Houdroge:</t>
        </r>
        <r>
          <rPr>
            <sz val="9"/>
            <color indexed="81"/>
            <rFont val="Tahoma"/>
            <family val="2"/>
          </rPr>
          <t xml:space="preserve">
https://www.health.gov.au/sites/default/files/2023-01/hepatitis-c-newly-acquired-surveillance-case-definition_0.pdf
Laboratory definitive evidence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Romesh</author>
  </authors>
  <commentList>
    <comment ref="A1" authorId="0" shapeId="0" xr:uid="{A81A74DD-AC0E-4B65-846B-CB2954186FEC}">
      <text>
        <r>
          <rPr>
            <sz val="10"/>
            <color rgb="FF000000"/>
            <rFont val="Tahoma"/>
            <family val="2"/>
          </rPr>
          <t xml:space="preserve">The code name should be in lower case without spaces.
</t>
        </r>
        <r>
          <rPr>
            <sz val="10"/>
            <color rgb="FF000000"/>
            <rFont val="Tahoma"/>
            <family val="2"/>
          </rPr>
          <t xml:space="preserve">
</t>
        </r>
        <r>
          <rPr>
            <sz val="10"/>
            <color rgb="FF000000"/>
            <rFont val="Calibri"/>
            <family val="2"/>
            <scheme val="minor"/>
          </rPr>
          <t>For further instructions on how to fill this out, please see cascade.tools/ug-frw-characteristics</t>
        </r>
        <r>
          <rPr>
            <sz val="10"/>
            <color rgb="FF000000"/>
            <rFont val="Calibri"/>
            <family val="2"/>
            <scheme val="minor"/>
          </rPr>
          <t xml:space="preserve">
</t>
        </r>
      </text>
    </comment>
    <comment ref="B1" authorId="0" shapeId="0" xr:uid="{57EA8209-4B86-41FB-BF49-4A6D4754AB5F}">
      <text>
        <r>
          <rPr>
            <sz val="10"/>
            <color rgb="FF000000"/>
            <rFont val="Tahoma"/>
            <family val="2"/>
          </rPr>
          <t xml:space="preserve">The display name will appear in plots and other outputs. It should be in sentence case.
</t>
        </r>
        <r>
          <rPr>
            <sz val="10"/>
            <color rgb="FF000000"/>
            <rFont val="Calibri"/>
            <family val="2"/>
            <scheme val="minor"/>
          </rPr>
          <t>For further instructions on how to fill this out, please see cascade.tools/ug-frw-characteristics</t>
        </r>
      </text>
    </comment>
    <comment ref="C1" authorId="0" shapeId="0" xr:uid="{6201EA2B-5CE9-45D3-ABC5-5BC441C9B026}">
      <text>
        <r>
          <rPr>
            <sz val="10"/>
            <color rgb="FF000000"/>
            <rFont val="Tahoma"/>
            <family val="2"/>
          </rPr>
          <t xml:space="preserve">This column is for the 'components' of a cascade characteristic.
</t>
        </r>
        <r>
          <rPr>
            <sz val="10"/>
            <color rgb="FF000000"/>
            <rFont val="Tahoma"/>
            <family val="2"/>
          </rPr>
          <t xml:space="preserve">
</t>
        </r>
        <r>
          <rPr>
            <sz val="10"/>
            <color rgb="FF000000"/>
            <rFont val="Tahoma"/>
            <family val="2"/>
          </rPr>
          <t xml:space="preserve">A component is either a compartment or a characteristic that has
</t>
        </r>
        <r>
          <rPr>
            <sz val="10"/>
            <color rgb="FF000000"/>
            <rFont val="Tahoma"/>
            <family val="2"/>
          </rPr>
          <t xml:space="preserve">been previously defined, i.e. in a previous row, and should be
</t>
        </r>
        <r>
          <rPr>
            <sz val="10"/>
            <color rgb="FF000000"/>
            <rFont val="Tahoma"/>
            <family val="2"/>
          </rPr>
          <t xml:space="preserve">listed in this (and appropriate subsequent columns) by 'Code Name'.
</t>
        </r>
        <r>
          <rPr>
            <sz val="10"/>
            <color rgb="FF000000"/>
            <rFont val="Tahoma"/>
            <family val="2"/>
          </rPr>
          <t xml:space="preserve">For example, characteristic 'infected' may include 'dis_stage_1',
</t>
        </r>
        <r>
          <rPr>
            <sz val="10"/>
            <color rgb="FF000000"/>
            <rFont val="Tahoma"/>
            <family val="2"/>
          </rPr>
          <t xml:space="preserve">'dis_stage_2' and 'dis_advanced', where 'dis_advanced' is another
</t>
        </r>
        <r>
          <rPr>
            <sz val="10"/>
            <color rgb="FF000000"/>
            <rFont val="Tahoma"/>
            <family val="2"/>
          </rPr>
          <t xml:space="preserve">previously-defined characteristic including 'dis_stage_3' and
</t>
        </r>
        <r>
          <rPr>
            <sz val="10"/>
            <color rgb="FF000000"/>
            <rFont val="Tahoma"/>
            <family val="2"/>
          </rPr>
          <t xml:space="preserve">'dis_stage_4'.
</t>
        </r>
        <r>
          <rPr>
            <sz val="10"/>
            <color rgb="FF000000"/>
            <rFont val="Tahoma"/>
            <family val="2"/>
          </rPr>
          <t xml:space="preserve">
</t>
        </r>
        <r>
          <rPr>
            <sz val="10"/>
            <color rgb="FF000000"/>
            <rFont val="Tahoma"/>
            <family val="2"/>
          </rPr>
          <t xml:space="preserve">In an example model, 'infected' would track population size summed
</t>
        </r>
        <r>
          <rPr>
            <sz val="10"/>
            <color rgb="FF000000"/>
            <rFont val="Tahoma"/>
            <family val="2"/>
          </rPr>
          <t xml:space="preserve">across the four 'dis_stage' states.
</t>
        </r>
        <r>
          <rPr>
            <sz val="10"/>
            <color rgb="FF000000"/>
            <rFont val="Tahoma"/>
            <family val="2"/>
          </rPr>
          <t xml:space="preserve">
</t>
        </r>
        <r>
          <rPr>
            <sz val="10"/>
            <color rgb="FF000000"/>
            <rFont val="Tahoma"/>
            <family val="2"/>
          </rPr>
          <t xml:space="preserve">Note: If two or more components are listed in the same column, they
</t>
        </r>
        <r>
          <rPr>
            <sz val="10"/>
            <color rgb="FF000000"/>
            <rFont val="Tahoma"/>
            <family val="2"/>
          </rPr>
          <t xml:space="preserve">must be separated by a comma.
</t>
        </r>
        <r>
          <rPr>
            <sz val="10"/>
            <color rgb="FF000000"/>
            <rFont val="Tahoma"/>
            <family val="2"/>
          </rPr>
          <t xml:space="preserve">
</t>
        </r>
        <r>
          <rPr>
            <sz val="10"/>
            <color rgb="FF000000"/>
            <rFont val="Calibri"/>
            <family val="2"/>
            <scheme val="minor"/>
          </rPr>
          <t>For further instructions on how to fill this out, please see cascade.tools/ug-frw-characteristics</t>
        </r>
        <r>
          <rPr>
            <sz val="10"/>
            <color rgb="FF000000"/>
            <rFont val="Calibri"/>
            <family val="2"/>
            <scheme val="minor"/>
          </rPr>
          <t xml:space="preserve">
</t>
        </r>
      </text>
    </comment>
    <comment ref="D1" authorId="0" shapeId="0" xr:uid="{7BD7B4BC-A36F-458A-A3A5-AFA478F72DEB}">
      <text>
        <r>
          <rPr>
            <sz val="10"/>
            <color rgb="FF000000"/>
            <rFont val="Tahoma"/>
            <family val="2"/>
          </rPr>
          <t xml:space="preserve">This column defines a 'denominator' attribute for a 'charac' item.
</t>
        </r>
        <r>
          <rPr>
            <sz val="10"/>
            <color rgb="FF000000"/>
            <rFont val="Calibri"/>
            <family val="2"/>
            <scheme val="minor"/>
          </rPr>
          <t>For further instructions on how to fill this out, please see cascade.tools/ug-frw-characteristics</t>
        </r>
        <r>
          <rPr>
            <sz val="10"/>
            <color rgb="FF000000"/>
            <rFont val="Calibri"/>
            <family val="2"/>
            <scheme val="minor"/>
          </rPr>
          <t xml:space="preserve">
</t>
        </r>
      </text>
    </comment>
    <comment ref="E1" authorId="0" shapeId="0" xr:uid="{39B7B833-74F0-4AC6-AF4B-699C22909F95}">
      <text>
        <r>
          <rPr>
            <sz val="10"/>
            <color rgb="FF000000"/>
            <rFont val="Tahoma"/>
            <family val="2"/>
          </rPr>
          <t xml:space="preserve">This column defines a 'default_value' attribute for a 'charac' item.
</t>
        </r>
        <r>
          <rPr>
            <sz val="10"/>
            <color rgb="FF000000"/>
            <rFont val="Calibri"/>
            <family val="2"/>
            <scheme val="minor"/>
          </rPr>
          <t>For further instructions on how to fill this out, please see cascade.tools/ug-frw-characteristics</t>
        </r>
        <r>
          <rPr>
            <sz val="10"/>
            <color rgb="FF000000"/>
            <rFont val="Calibri"/>
            <family val="2"/>
            <scheme val="minor"/>
          </rPr>
          <t xml:space="preserve">
</t>
        </r>
      </text>
    </comment>
    <comment ref="F1" authorId="0" shapeId="0" xr:uid="{A8C56C78-1F68-424B-8E30-7A6B97DEEFE2}">
      <text>
        <r>
          <rPr>
            <sz val="10"/>
            <color rgb="FF000000"/>
            <rFont val="Tahoma"/>
            <family val="2"/>
          </rPr>
          <t xml:space="preserve">This column determines how important user-provided values for this
</t>
        </r>
        <r>
          <rPr>
            <sz val="10"/>
            <color rgb="FF000000"/>
            <rFont val="Tahoma"/>
            <family val="2"/>
          </rPr>
          <t xml:space="preserve">characteristic are to setting up the initial state of a model.
</t>
        </r>
        <r>
          <rPr>
            <sz val="10"/>
            <color rgb="FF000000"/>
            <rFont val="Tahoma"/>
            <family val="2"/>
          </rPr>
          <t xml:space="preserve">In general, the column value should be '1' if model construction
</t>
        </r>
        <r>
          <rPr>
            <sz val="10"/>
            <color rgb="FF000000"/>
            <rFont val="Tahoma"/>
            <family val="2"/>
          </rPr>
          <t xml:space="preserve">directly depends on what the user provides for the characteristic.
</t>
        </r>
        <r>
          <rPr>
            <sz val="10"/>
            <color rgb="FF000000"/>
            <rFont val="Tahoma"/>
            <family val="2"/>
          </rPr>
          <t xml:space="preserve">It should be '0' if supplied values are only for calibration or
</t>
        </r>
        <r>
          <rPr>
            <sz val="10"/>
            <color rgb="FF000000"/>
            <rFont val="Tahoma"/>
            <family val="2"/>
          </rPr>
          <t xml:space="preserve">note-keeping purposes.
</t>
        </r>
        <r>
          <rPr>
            <sz val="10"/>
            <color rgb="FF000000"/>
            <rFont val="Tahoma"/>
            <family val="2"/>
          </rPr>
          <t xml:space="preserve">In this latter case, the linear-algebra method of setting up
</t>
        </r>
        <r>
          <rPr>
            <sz val="10"/>
            <color rgb="FF000000"/>
            <rFont val="Tahoma"/>
            <family val="2"/>
          </rPr>
          <t xml:space="preserve">compartment sizes may complain about an 'under-determined' system
</t>
        </r>
        <r>
          <rPr>
            <sz val="10"/>
            <color rgb="FF000000"/>
            <rFont val="Tahoma"/>
            <family val="2"/>
          </rPr>
          <t xml:space="preserve">during a model run.
</t>
        </r>
        <r>
          <rPr>
            <sz val="10"/>
            <color rgb="FF000000"/>
            <rFont val="Tahoma"/>
            <family val="2"/>
          </rPr>
          <t xml:space="preserve">To avoid this, every compartment that has a nonzero setup weight
</t>
        </r>
        <r>
          <rPr>
            <sz val="10"/>
            <color rgb="FF000000"/>
            <rFont val="Tahoma"/>
            <family val="2"/>
          </rPr>
          <t xml:space="preserve">should be included in at least one distinct characteristic.
</t>
        </r>
        <r>
          <rPr>
            <sz val="10"/>
            <color rgb="FF000000"/>
            <rFont val="Tahoma"/>
            <family val="2"/>
          </rPr>
          <t xml:space="preserve">
</t>
        </r>
        <r>
          <rPr>
            <sz val="10"/>
            <color rgb="FF000000"/>
            <rFont val="Tahoma"/>
            <family val="2"/>
          </rPr>
          <t xml:space="preserve">Note: Default value, i.e. a blank cell, is '1'.
</t>
        </r>
        <r>
          <rPr>
            <sz val="10"/>
            <color rgb="FF000000"/>
            <rFont val="Tahoma"/>
            <family val="2"/>
          </rPr>
          <t xml:space="preserve">Framework file parsing should also warn the user about a characteristic
</t>
        </r>
        <r>
          <rPr>
            <sz val="10"/>
            <color rgb="FF000000"/>
            <rFont val="Tahoma"/>
            <family val="2"/>
          </rPr>
          <t xml:space="preserve">with nonzero setup weight that is suppressed in the databook, i.e.
</t>
        </r>
        <r>
          <rPr>
            <sz val="10"/>
            <color rgb="FF000000"/>
            <rFont val="Tahoma"/>
            <family val="2"/>
          </rPr>
          <t xml:space="preserve">has a databook order of '-1'.
</t>
        </r>
        <r>
          <rPr>
            <sz val="10"/>
            <color rgb="FF000000"/>
            <rFont val="Tahoma"/>
            <family val="2"/>
          </rPr>
          <t xml:space="preserve">
</t>
        </r>
        <r>
          <rPr>
            <sz val="10"/>
            <color rgb="FF000000"/>
            <rFont val="Calibri"/>
            <family val="2"/>
            <scheme val="minor"/>
          </rPr>
          <t>For further instructions on how to fill this out, please see cascade.tools/ug-frw-characteristics</t>
        </r>
        <r>
          <rPr>
            <sz val="10"/>
            <color rgb="FF000000"/>
            <rFont val="Calibri"/>
            <family val="2"/>
            <scheme val="minor"/>
          </rPr>
          <t xml:space="preserve">
</t>
        </r>
      </text>
    </comment>
    <comment ref="G1" authorId="0" shapeId="0" xr:uid="{EE09D36E-A545-468A-9499-0CDA7C399F13}">
      <text>
        <r>
          <rPr>
            <sz val="10"/>
            <color rgb="FF000000"/>
            <rFont val="Tahoma"/>
            <family val="2"/>
          </rPr>
          <t xml:space="preserve">This column marks whether compartment size data can be rescaled
</t>
        </r>
        <r>
          <rPr>
            <sz val="10"/>
            <color rgb="FF000000"/>
            <rFont val="Tahoma"/>
            <family val="2"/>
          </rPr>
          <t xml:space="preserve">during model calibration processes. To enable calibration, enter a label in this column. If no value is entered, the item will not appear for calibration. If this column is not present, it will be automatically populated if the characteristic appears on a databook page.
</t>
        </r>
        <r>
          <rPr>
            <sz val="10"/>
            <color rgb="FF000000"/>
            <rFont val="Tahoma"/>
            <family val="2"/>
          </rPr>
          <t xml:space="preserve">
</t>
        </r>
        <r>
          <rPr>
            <sz val="10"/>
            <color rgb="FF000000"/>
            <rFont val="Calibri"/>
            <family val="2"/>
            <scheme val="minor"/>
          </rPr>
          <t>For further instructions on how to fill this out, please see cascade.tools/ug-frw-characteristics</t>
        </r>
        <r>
          <rPr>
            <sz val="10"/>
            <color rgb="FF000000"/>
            <rFont val="Calibri"/>
            <family val="2"/>
            <scheme val="minor"/>
          </rPr>
          <t xml:space="preserve">
</t>
        </r>
      </text>
    </comment>
    <comment ref="H1" authorId="0" shapeId="0" xr:uid="{559607C2-31DF-4F19-8B38-ADD8E67B050A}">
      <text>
        <r>
          <rPr>
            <sz val="10"/>
            <color rgb="FF000000"/>
            <rFont val="Tahoma"/>
            <family val="2"/>
          </rPr>
          <t xml:space="preserve">This column optionally marks whether a data-input section should
</t>
        </r>
        <r>
          <rPr>
            <sz val="10"/>
            <color rgb="FF000000"/>
            <rFont val="Tahoma"/>
            <family val="2"/>
          </rPr>
          <t xml:space="preserve">appear for this characteristic in a custom databook sheet, if allowed
</t>
        </r>
        <r>
          <rPr>
            <sz val="10"/>
            <color rgb="FF000000"/>
            <rFont val="Tahoma"/>
            <family val="2"/>
          </rPr>
          <t xml:space="preserve">to appear at all according to 'databook order'.
</t>
        </r>
        <r>
          <rPr>
            <sz val="10"/>
            <color rgb="FF000000"/>
            <rFont val="Tahoma"/>
            <family val="2"/>
          </rPr>
          <t xml:space="preserve">Each value should be a code name for a desired page defined in
</t>
        </r>
        <r>
          <rPr>
            <sz val="10"/>
            <color rgb="FF000000"/>
            <rFont val="Tahoma"/>
            <family val="2"/>
          </rPr>
          <t xml:space="preserve">the 'custom databook pages' worksheet page.
</t>
        </r>
        <r>
          <rPr>
            <sz val="10"/>
            <color rgb="FF000000"/>
            <rFont val="Tahoma"/>
            <family val="2"/>
          </rPr>
          <t xml:space="preserve">If a cell is left empty, the enabled data-input section should appear
</t>
        </r>
        <r>
          <rPr>
            <sz val="10"/>
            <color rgb="FF000000"/>
            <rFont val="Tahoma"/>
            <family val="2"/>
          </rPr>
          <t xml:space="preserve">in a default databook page dedicated to state variables.
</t>
        </r>
        <r>
          <rPr>
            <sz val="10"/>
            <color rgb="FF000000"/>
            <rFont val="Tahoma"/>
            <family val="2"/>
          </rPr>
          <t xml:space="preserve">
</t>
        </r>
        <r>
          <rPr>
            <sz val="10"/>
            <color rgb="FF000000"/>
            <rFont val="Calibri"/>
            <family val="2"/>
          </rPr>
          <t xml:space="preserve">For further instructions on how to fill this out, please see cascade.tools/ug-frw-characteristics
</t>
        </r>
      </text>
    </comment>
    <comment ref="I1" authorId="0" shapeId="0" xr:uid="{ADDFC9C7-7898-4FFB-896C-C95E74B008F3}">
      <text>
        <r>
          <rPr>
            <sz val="10"/>
            <color rgb="FF000000"/>
            <rFont val="Tahoma"/>
            <family val="2"/>
          </rPr>
          <t xml:space="preserve">This column currently denotes whether a databook should request
</t>
        </r>
        <r>
          <rPr>
            <sz val="10"/>
            <color rgb="FF000000"/>
            <rFont val="Tahoma"/>
            <family val="2"/>
          </rPr>
          <t xml:space="preserve">historical values from the user for this characteristic.
</t>
        </r>
        <r>
          <rPr>
            <sz val="10"/>
            <color rgb="FF000000"/>
            <rFont val="Tahoma"/>
            <family val="2"/>
          </rPr>
          <t xml:space="preserve">A value of '-1' suppresses it from appearing in the databook.
</t>
        </r>
        <r>
          <rPr>
            <sz val="10"/>
            <color rgb="FF000000"/>
            <rFont val="Tahoma"/>
            <family val="2"/>
          </rPr>
          <t xml:space="preserve">
</t>
        </r>
        <r>
          <rPr>
            <sz val="10"/>
            <color rgb="FF000000"/>
            <rFont val="Calibri"/>
            <family val="2"/>
            <scheme val="minor"/>
          </rPr>
          <t>For further instructions on how to fill this out, please see cascade.tools/ug-frw-characteristics</t>
        </r>
        <r>
          <rPr>
            <sz val="10"/>
            <color rgb="FF000000"/>
            <rFont val="Calibri"/>
            <family val="2"/>
            <scheme val="minor"/>
          </rPr>
          <t xml:space="preserve">
</t>
        </r>
      </text>
    </comment>
    <comment ref="J1" authorId="1" shapeId="0" xr:uid="{1C23A732-9959-4088-8261-754697652C47}">
      <text>
        <r>
          <rPr>
            <sz val="9"/>
            <color indexed="81"/>
            <rFont val="Tahoma"/>
            <family val="2"/>
          </rPr>
          <t>Text entered here will appear as a comment in the title row of data entry tables in the databook</t>
        </r>
      </text>
    </comment>
    <comment ref="K1" authorId="1" shapeId="0" xr:uid="{118400D4-A6D3-48E2-89E8-2C7DD58D978B}">
      <text>
        <r>
          <rPr>
            <sz val="9"/>
            <color indexed="81"/>
            <rFont val="Tahoma"/>
            <family val="2"/>
          </rPr>
          <t>Assign quantity to a population type. This column must match a population type listed on the 'Population types' sheet. If left empty, the first population type listed will be used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Romesh</author>
  </authors>
  <commentList>
    <comment ref="A1" authorId="0" shapeId="0" xr:uid="{66A64F1C-99F5-114A-9E5C-A6F5444B3812}">
      <text>
        <r>
          <rPr>
            <sz val="10"/>
            <color rgb="FF000000"/>
            <rFont val="Tahoma"/>
            <family val="2"/>
          </rPr>
          <t xml:space="preserve">The code name should be in lower case without spaces.
</t>
        </r>
        <r>
          <rPr>
            <sz val="10"/>
            <color rgb="FF000000"/>
            <rFont val="Tahoma"/>
            <family val="2"/>
          </rPr>
          <t xml:space="preserve">
</t>
        </r>
        <r>
          <rPr>
            <sz val="10"/>
            <color rgb="FF000000"/>
            <rFont val="Calibri"/>
            <family val="2"/>
          </rPr>
          <t xml:space="preserve">For further instructions on how to fill this out, please see cascade.tools/ug-frw-interactions
</t>
        </r>
      </text>
    </comment>
    <comment ref="B1" authorId="0" shapeId="0" xr:uid="{C2A1EF6A-7EE4-264E-8ABE-0FFF8850940E}">
      <text>
        <r>
          <rPr>
            <sz val="10"/>
            <color rgb="FF000000"/>
            <rFont val="Tahoma"/>
            <family val="2"/>
          </rPr>
          <t xml:space="preserve">The display name will appear in plots and other outputs. It should be in sentence case.
</t>
        </r>
        <r>
          <rPr>
            <sz val="10"/>
            <color rgb="FF000000"/>
            <rFont val="Calibri"/>
            <family val="2"/>
          </rPr>
          <t xml:space="preserve">For further instructions on how to fill this out, please see </t>
        </r>
        <r>
          <rPr>
            <sz val="10"/>
            <color rgb="FF000000"/>
            <rFont val="Calibri"/>
            <family val="2"/>
            <scheme val="minor"/>
          </rPr>
          <t>cascade.tools/ug-frw-interactions</t>
        </r>
        <r>
          <rPr>
            <sz val="10"/>
            <color rgb="FF000000"/>
            <rFont val="Calibri"/>
            <family val="2"/>
            <scheme val="minor"/>
          </rPr>
          <t xml:space="preserve"> </t>
        </r>
      </text>
    </comment>
    <comment ref="C1" authorId="0" shapeId="0" xr:uid="{ED07D9E4-694E-4387-BFA2-CAB6F8A058EC}">
      <text>
        <r>
          <rPr>
            <sz val="10"/>
            <color rgb="FF000000"/>
            <rFont val="Tahoma"/>
            <family val="2"/>
          </rPr>
          <t xml:space="preserve">This column defines a 'default_value' attribute for a 'interpop' item.
</t>
        </r>
        <r>
          <rPr>
            <sz val="10"/>
            <color rgb="FF000000"/>
            <rFont val="Tahoma"/>
            <family val="2"/>
          </rPr>
          <t xml:space="preserve">
</t>
        </r>
        <r>
          <rPr>
            <sz val="10"/>
            <color rgb="FF000000"/>
            <rFont val="Calibri"/>
            <family val="2"/>
            <scheme val="minor"/>
          </rPr>
          <t xml:space="preserve">For further instructions on how to fill this out, please see cascade.tools/ug-frw-interactions </t>
        </r>
      </text>
    </comment>
    <comment ref="D1" authorId="1" shapeId="0" xr:uid="{9E95838B-CD2F-4A66-94E7-842ADACD12FA}">
      <text>
        <r>
          <rPr>
            <sz val="9"/>
            <color indexed="81"/>
            <rFont val="Tahoma"/>
            <family val="2"/>
          </rPr>
          <t>Assign quantity to a population type. This column must match a population type listed on the 'Population types' sheet. If left empty, the first population type listed will be used</t>
        </r>
      </text>
    </comment>
    <comment ref="E1" authorId="1" shapeId="0" xr:uid="{D67BF957-D5C5-4856-B436-A23E71DF6876}">
      <text>
        <r>
          <rPr>
            <sz val="9"/>
            <color indexed="81"/>
            <rFont val="Tahoma"/>
            <family val="2"/>
          </rPr>
          <t>Assign quantity to a population type. This column must match a population type listed on the 'Population types' sheet. If left empty, the first population type listed will be used</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Romesh</author>
  </authors>
  <commentList>
    <comment ref="A1" authorId="0" shapeId="0" xr:uid="{77AE8E77-AAD7-45CE-A468-978F1C6266EF}">
      <text>
        <r>
          <rPr>
            <sz val="9"/>
            <color rgb="FF000000"/>
            <rFont val="Tahoma"/>
            <family val="2"/>
          </rPr>
          <t xml:space="preserve">Specify the name of your cascade in this cell. In the cells below, specify the names of your cascade's stages
</t>
        </r>
        <r>
          <rPr>
            <sz val="9"/>
            <color rgb="FF000000"/>
            <rFont val="Tahoma"/>
            <family val="2"/>
          </rPr>
          <t xml:space="preserve">
</t>
        </r>
        <r>
          <rPr>
            <sz val="10"/>
            <color rgb="FF000000"/>
            <rFont val="Calibri"/>
            <family val="2"/>
          </rPr>
          <t>For further instructions on how to fill this out, please see cascade.tools/ug-frw-cascades</t>
        </r>
        <r>
          <rPr>
            <sz val="9"/>
            <color rgb="FF000000"/>
            <rFont val="Calibri"/>
            <family val="2"/>
          </rPr>
          <t xml:space="preserve">
</t>
        </r>
      </text>
    </comment>
    <comment ref="B1" authorId="0" shapeId="0" xr:uid="{7EA222D7-599B-4B81-97A9-360AF72F703E}">
      <text>
        <r>
          <rPr>
            <sz val="9"/>
            <color rgb="FF000000"/>
            <rFont val="Tahoma"/>
            <family val="2"/>
          </rPr>
          <t xml:space="preserve">In this column, specify which compartments and characteristics make up each cascade stage. You should specify them as a comma separated list of code names e.g., 'sus, inf, rec'
</t>
        </r>
        <r>
          <rPr>
            <sz val="9"/>
            <color rgb="FF000000"/>
            <rFont val="Tahoma"/>
            <family val="2"/>
          </rPr>
          <t xml:space="preserve">
</t>
        </r>
        <r>
          <rPr>
            <sz val="10"/>
            <color rgb="FF000000"/>
            <rFont val="Calibri"/>
            <family val="2"/>
            <scheme val="minor"/>
          </rPr>
          <t>For further instructions on how to fill this out, please see cascade.tools/ug-frw-cascades</t>
        </r>
        <r>
          <rPr>
            <sz val="9"/>
            <color rgb="FF000000"/>
            <rFont val="Calibri"/>
            <family val="2"/>
            <scheme val="minor"/>
          </rPr>
          <t xml:space="preserve">
</t>
        </r>
      </text>
    </comment>
    <comment ref="A8" authorId="0" shapeId="0" xr:uid="{FED80341-D73D-416E-B75A-6D9D1B4DD7DE}">
      <text>
        <r>
          <rPr>
            <sz val="9"/>
            <color rgb="FF000000"/>
            <rFont val="Tahoma"/>
            <family val="2"/>
          </rPr>
          <t xml:space="preserve">Specify the name of your cascade in this cell. In the cells below, specify the names of your cascade's stages
</t>
        </r>
        <r>
          <rPr>
            <sz val="9"/>
            <color rgb="FF000000"/>
            <rFont val="Tahoma"/>
            <family val="2"/>
          </rPr>
          <t xml:space="preserve">
</t>
        </r>
        <r>
          <rPr>
            <sz val="10"/>
            <color rgb="FF000000"/>
            <rFont val="Calibri"/>
            <family val="2"/>
          </rPr>
          <t>For further instructions on how to fill this out, please see cascade.tools/ug-frw-cascades</t>
        </r>
        <r>
          <rPr>
            <sz val="9"/>
            <color rgb="FF000000"/>
            <rFont val="Calibri"/>
            <family val="2"/>
          </rPr>
          <t xml:space="preserve">
</t>
        </r>
      </text>
    </comment>
    <comment ref="B8" authorId="0" shapeId="0" xr:uid="{2CD5E934-F76A-4711-83FB-878669F0BF02}">
      <text>
        <r>
          <rPr>
            <sz val="9"/>
            <color rgb="FF000000"/>
            <rFont val="Tahoma"/>
            <family val="2"/>
          </rPr>
          <t xml:space="preserve">In this column, specify which compartments and characteristics make up each cascade stage. You should specify them as a comma separated list of code names e.g., 'sus, inf, rec'
</t>
        </r>
        <r>
          <rPr>
            <sz val="9"/>
            <color rgb="FF000000"/>
            <rFont val="Tahoma"/>
            <family val="2"/>
          </rPr>
          <t xml:space="preserve">
</t>
        </r>
        <r>
          <rPr>
            <sz val="10"/>
            <color rgb="FF000000"/>
            <rFont val="Calibri"/>
            <family val="2"/>
            <scheme val="minor"/>
          </rPr>
          <t>For further instructions on how to fill this out, please see cascade.tools/ug-frw-cascades</t>
        </r>
        <r>
          <rPr>
            <sz val="9"/>
            <color rgb="FF000000"/>
            <rFont val="Calibri"/>
            <family val="2"/>
            <scheme val="minor"/>
          </rPr>
          <t xml:space="preserve">
</t>
        </r>
      </text>
    </comment>
  </commentList>
</comments>
</file>

<file path=xl/sharedStrings.xml><?xml version="1.0" encoding="utf-8"?>
<sst xmlns="http://schemas.openxmlformats.org/spreadsheetml/2006/main" count="5634" uniqueCount="1652">
  <si>
    <t>Datasheet Code Name</t>
  </si>
  <si>
    <t>Datasheet Title</t>
  </si>
  <si>
    <t>Code Name</t>
  </si>
  <si>
    <t>Display Name</t>
  </si>
  <si>
    <t>Is Source</t>
  </si>
  <si>
    <t>Is Sink</t>
  </si>
  <si>
    <t>Is Junction</t>
  </si>
  <si>
    <t>Default Value</t>
  </si>
  <si>
    <t>Setup Weight</t>
  </si>
  <si>
    <t>Databook Page</t>
  </si>
  <si>
    <t>Databook Order</t>
  </si>
  <si>
    <t>Components</t>
  </si>
  <si>
    <t>Denominator</t>
  </si>
  <si>
    <t>Format</t>
  </si>
  <si>
    <t>Minimum Value</t>
  </si>
  <si>
    <t>Maximum Value</t>
  </si>
  <si>
    <t>Function</t>
  </si>
  <si>
    <t>Constituents</t>
  </si>
  <si>
    <t>Name</t>
  </si>
  <si>
    <t>Description</t>
  </si>
  <si>
    <t>Calibrate</t>
  </si>
  <si>
    <t>Targetable</t>
  </si>
  <si>
    <t>Guidance</t>
  </si>
  <si>
    <t>Timescale</t>
  </si>
  <si>
    <t>Code name</t>
  </si>
  <si>
    <t>Population type</t>
  </si>
  <si>
    <t>From population type</t>
  </si>
  <si>
    <t>To population type</t>
  </si>
  <si>
    <t>Timed</t>
  </si>
  <si>
    <t>Is derivative</t>
  </si>
  <si>
    <t>sh_init</t>
  </si>
  <si>
    <t>Initialization</t>
  </si>
  <si>
    <t>sh_demo</t>
  </si>
  <si>
    <t xml:space="preserve">Demographics </t>
  </si>
  <si>
    <t>Infectiousness</t>
  </si>
  <si>
    <t>sh_hcv</t>
  </si>
  <si>
    <t>Disease Progression</t>
  </si>
  <si>
    <t>sh_treat</t>
  </si>
  <si>
    <t>Treatment</t>
  </si>
  <si>
    <t>sh_ltfu</t>
  </si>
  <si>
    <t>Loss to follow-up</t>
  </si>
  <si>
    <t>sh_ltc</t>
  </si>
  <si>
    <t>human</t>
  </si>
  <si>
    <t>Human</t>
  </si>
  <si>
    <t>env</t>
  </si>
  <si>
    <t>Totals</t>
  </si>
  <si>
    <t>y</t>
  </si>
  <si>
    <t>n</t>
  </si>
  <si>
    <t>s0_abneg</t>
  </si>
  <si>
    <t>Susceptible: never infected</t>
  </si>
  <si>
    <t>s0_uw</t>
  </si>
  <si>
    <t>Liver Fibrosis F0: susceptible with antibodies (unaware)</t>
  </si>
  <si>
    <t>s0_aw</t>
  </si>
  <si>
    <t>Liver Fibrosis F0: susceptible with antibodies (aware)</t>
  </si>
  <si>
    <t>f0_acute_uw</t>
  </si>
  <si>
    <t>Liver Fibrosis F0: acute, undiagnosed antibody positive</t>
  </si>
  <si>
    <t>f0_acute_aw</t>
  </si>
  <si>
    <t>Liver Fibrosis F0: acute, diagnosed antibody positive (first infection, aware)</t>
  </si>
  <si>
    <t>f0_uw_clear_j</t>
  </si>
  <si>
    <t>Junction: unaware of HCV antibodies and achieving spontaneous viral clearance</t>
  </si>
  <si>
    <t>f0_clear_j</t>
  </si>
  <si>
    <t>Junction: aware of HCV antibodies and achieving spontaneous viral clearance</t>
  </si>
  <si>
    <t>f0_clear_reinf_j</t>
  </si>
  <si>
    <t>Junction: aware of HCV antibodies and achieving spontaneous viral clearance after reinfection following ab+ diagnosis</t>
  </si>
  <si>
    <t>undiag_ltc_j</t>
  </si>
  <si>
    <t>Junction: proportion of undiagnosed that are lost to care</t>
  </si>
  <si>
    <t>This junction is to represent those who are not reached by the existing services but can be linked to care via programs</t>
  </si>
  <si>
    <t>f0_ab_ud</t>
  </si>
  <si>
    <t>Liver Fibrosis F0: chronic, undiagnosed antibodies positive</t>
  </si>
  <si>
    <t>f0_ud_ltc</t>
  </si>
  <si>
    <t>Liver Fibrosis F0: chronic, undiagnosed, lost to care</t>
  </si>
  <si>
    <t>This compartment contains those who are not reached by the existing services but can be linked to care via programs</t>
  </si>
  <si>
    <t>f0_ab_d</t>
  </si>
  <si>
    <t>Liver Fibrosis F0: chronic, diagnosed antibodies positive</t>
  </si>
  <si>
    <t>f0_ab_ltfu_j</t>
  </si>
  <si>
    <t>Junction: lost to follow-up after antibody diagnosis for liver fibrosis F0</t>
  </si>
  <si>
    <t>f0_ab_ltfu</t>
  </si>
  <si>
    <t>Liver Fibrosis F0: chronic, diagnosed antibodies positive, lost to follow-up</t>
  </si>
  <si>
    <t>f0_pcr_d</t>
  </si>
  <si>
    <t>Liver Fibrosis F0: chronic, diagnosed positive-strand RNA (PCR test)</t>
  </si>
  <si>
    <t>f0_pcr_ltfu_j</t>
  </si>
  <si>
    <t>Junction: lost to follow-up after RNA diagnosis for liver fibrosis F0</t>
  </si>
  <si>
    <t>f0_pcr_ltfu</t>
  </si>
  <si>
    <t>Liver Fibrosis F0: chronic, diagnosed positive-strand RNA, lost to follow-up</t>
  </si>
  <si>
    <t>f0_t1</t>
  </si>
  <si>
    <t>Liver Fibrosis F0: chronic, on treatment 1</t>
  </si>
  <si>
    <t>f0_t1_j</t>
  </si>
  <si>
    <t>Junction: treatment 1 outcome for liver fibrosis F0</t>
  </si>
  <si>
    <t>f0_t1ltf_j</t>
  </si>
  <si>
    <t>Junction: treatment 1 follow-up for liver fibrosis F0</t>
  </si>
  <si>
    <t>f0_ft1</t>
  </si>
  <si>
    <t>Liver Fibrosis F0: chronic, failed treatment 1</t>
  </si>
  <si>
    <t>f0_ft1_ltfu</t>
  </si>
  <si>
    <t>Liver Fibrosis F0: chronic, failed treatment 1, lost to follow-up</t>
  </si>
  <si>
    <t>s0</t>
  </si>
  <si>
    <t>Liver Fibrosis F0: susceptible with antibodies (aware and treated)</t>
  </si>
  <si>
    <t>f0_acute</t>
  </si>
  <si>
    <t>Liver Fibrosis F0: acute (re-infection)</t>
  </si>
  <si>
    <t>f0_t2</t>
  </si>
  <si>
    <t>Liver Fibrosis F0: chronic, on treatment 2</t>
  </si>
  <si>
    <t>f0_t2_j</t>
  </si>
  <si>
    <t>Junction: treatment 2 outcome for liver fibrosis F0</t>
  </si>
  <si>
    <t>f0_ft2</t>
  </si>
  <si>
    <t>Liver Fibrosis F0: chronic, failed treatment 2</t>
  </si>
  <si>
    <t>f1_ab_ud</t>
  </si>
  <si>
    <t>Liver Fibrosis F1: chronic, undiagnosed antibodies positive</t>
  </si>
  <si>
    <t>f1_ud_ltc</t>
  </si>
  <si>
    <t>Liver Fibrosis F1: chronic, undiagnosed, lost to care</t>
  </si>
  <si>
    <t>f1_ab_d</t>
  </si>
  <si>
    <t>Liver Fibrosis F1: chronic, diagnosed antibodies positive</t>
  </si>
  <si>
    <t>f1_ab_ltfu_j</t>
  </si>
  <si>
    <t>Junction: lost to follow-up after antibody diagnosis for liver fibrosis F1</t>
  </si>
  <si>
    <t>f1_ab_ltfu</t>
  </si>
  <si>
    <t>Liver Fibrosis F1: chronic, diagnosed antibodies positive, lost to follow-up</t>
  </si>
  <si>
    <t>f1_pcr_d</t>
  </si>
  <si>
    <t>Liver Fibrosis F1: chronic, diagnosed positive-strand RNA (PCR test)</t>
  </si>
  <si>
    <t>f1_pcr_ltfu_j</t>
  </si>
  <si>
    <t>Junction: lost to follow-up after RNA diagnosis for liver fibrosis F1</t>
  </si>
  <si>
    <t>f1_pcr_ltfu</t>
  </si>
  <si>
    <t>Liver Fibrosis F1: chronic, diagnosed positive-strand RNA, lost to follow-up</t>
  </si>
  <si>
    <t>f1_t1</t>
  </si>
  <si>
    <t>Liver Fibrosis F1: chronic, on treatment 1</t>
  </si>
  <si>
    <t>f1_t1_j</t>
  </si>
  <si>
    <t>Junction: treatment 1 outcome for liver fibrosis F1</t>
  </si>
  <si>
    <t>f1_t1ltf_j</t>
  </si>
  <si>
    <t>Junction: treatment 1 follow-up for liver fibrosis F1</t>
  </si>
  <si>
    <t>f1_ft1</t>
  </si>
  <si>
    <t>Liver Fibrosis F1: chronic, failed treatment 1</t>
  </si>
  <si>
    <t>f1_ft1_ltfu</t>
  </si>
  <si>
    <t>Liver Fibrosis F1: chronic, failed treatment 1, lost to follow-up</t>
  </si>
  <si>
    <t>s1</t>
  </si>
  <si>
    <t>Liver Fibrosis F1: susceptible with antibodies (aware and treated)</t>
  </si>
  <si>
    <t>f1_acute</t>
  </si>
  <si>
    <t>Liver Fibrosis F1: acute (re-infection)</t>
  </si>
  <si>
    <t>f1_clear_j</t>
  </si>
  <si>
    <t>Junction: liver fibrosis F1 achieving spontaneous viral clearance</t>
  </si>
  <si>
    <t>f1_t2</t>
  </si>
  <si>
    <t>Liver Fibrosis F1: chronic, on treatment 2</t>
  </si>
  <si>
    <t>f1_t2_j</t>
  </si>
  <si>
    <t>Junction: treatment 2 outcome for liver fibrosis F1</t>
  </si>
  <si>
    <t>f1_ft2</t>
  </si>
  <si>
    <t>Liver Fibrosis F1: chronic, failed treatment 2</t>
  </si>
  <si>
    <t>f2_ab_ud</t>
  </si>
  <si>
    <t>Liver Fibrosis F2: chronic, undiagnosed antibodies positive</t>
  </si>
  <si>
    <t>f2_ud_ltc</t>
  </si>
  <si>
    <t>Liver Fibrosis F2: chronic, undiagnosed, lost to care</t>
  </si>
  <si>
    <t>f2_ab_d</t>
  </si>
  <si>
    <t>Liver Fibrosis F2: chronic, diagnosed antibodies positive</t>
  </si>
  <si>
    <t>f2_ab_ltfu_j</t>
  </si>
  <si>
    <t>Junction: lost to follow-up after antibody diagnosis for liver fibrosis F2</t>
  </si>
  <si>
    <t>f2_ab_ltfu</t>
  </si>
  <si>
    <t>Liver Fibrosis F2: chronic, diagnosed antibodies positive, lost to follow-up</t>
  </si>
  <si>
    <t>f2_pcr_d</t>
  </si>
  <si>
    <t>Liver Fibrosis F2: chronic, diagnosed positive-strand RNA (PCR test)</t>
  </si>
  <si>
    <t>f2_pcr_ltfu_j</t>
  </si>
  <si>
    <t>Junction: lost to follow-up after RNA diagnosis for liver fibrosis F2</t>
  </si>
  <si>
    <t>f2_pcr_ltfu</t>
  </si>
  <si>
    <t>Liver Fibrosis F2: chronic, diagnosed positive-strand RNA, lost to follow-up</t>
  </si>
  <si>
    <t>f2_t1</t>
  </si>
  <si>
    <t>Liver Fibrosis F2: chronic, on treatment 1</t>
  </si>
  <si>
    <t>f2_t1_j</t>
  </si>
  <si>
    <t>Junction: treatment 1 outcome for liver fibrosis F2</t>
  </si>
  <si>
    <t>f2_t1ltf_j</t>
  </si>
  <si>
    <t>Junction: treatment 1 follow-up liver fibrosis F2</t>
  </si>
  <si>
    <t>f2_ft1</t>
  </si>
  <si>
    <t>Liver Fibrosis F2: chronic, failed treatment 1</t>
  </si>
  <si>
    <t>f2_ft1_ltfu</t>
  </si>
  <si>
    <t>Liver Fibrosis F2: chronic, failed treatment 1, lost to follow-up</t>
  </si>
  <si>
    <t>s2</t>
  </si>
  <si>
    <t>Liver Fibrosis F2: susceptible with antibodies (aware and treated)</t>
  </si>
  <si>
    <t>f2_acute</t>
  </si>
  <si>
    <t>Liver Fibrosis F2: acute (re-infection)</t>
  </si>
  <si>
    <t>f2_clear_j</t>
  </si>
  <si>
    <t>Junction: liver fibrosis F2 achieving spontaneous viral clearance</t>
  </si>
  <si>
    <t>f2_t2</t>
  </si>
  <si>
    <t>Liver Fibrosis F2: chronic, on treatment 2</t>
  </si>
  <si>
    <t>f2_t2_j</t>
  </si>
  <si>
    <t>Junction: treatment 2 outcome for liver fibrosis F2</t>
  </si>
  <si>
    <t>f2_ft2</t>
  </si>
  <si>
    <t>Liver Fibrosis F2: chronic, failed treatment 2</t>
  </si>
  <si>
    <t>f3_ab_ud</t>
  </si>
  <si>
    <t>Liver Fibrosis F3: chronic, undiagnosed antibodies positive</t>
  </si>
  <si>
    <t>f3_ud_ltc</t>
  </si>
  <si>
    <t>Liver Fibrosis F3: chronic, undiagnosed, lost to care</t>
  </si>
  <si>
    <t>f3_ab_d</t>
  </si>
  <si>
    <t>Liver Fibrosis F3: chronic, diagnosed antibodies positive</t>
  </si>
  <si>
    <t>f3_ab_ltfu_j</t>
  </si>
  <si>
    <t>Junction: lost to follow-up after antibody diagnosis for liver fibrosis F3</t>
  </si>
  <si>
    <t>f3_ab_ltfu</t>
  </si>
  <si>
    <t>Liver Fibrosis F3: chronic, diagnosed antibodies positive, lost to follow-up</t>
  </si>
  <si>
    <t>f3_pcr_d</t>
  </si>
  <si>
    <t>Liver Fibrosis F3: chronic, diagnosed positive-strand RNA (PCR test)</t>
  </si>
  <si>
    <t>f3_pcr_ltfu_j</t>
  </si>
  <si>
    <t>Junction: lost to follow-up after RNA diagnosis for liver fibrosis F3</t>
  </si>
  <si>
    <t>f3_pcr_ltfu</t>
  </si>
  <si>
    <t>Liver Fibrosis F3: chronic, diagnosed positive-strand RNA, lost to follow-up</t>
  </si>
  <si>
    <t>f3_t1</t>
  </si>
  <si>
    <t>Liver Fibrosis F3: chronic, on treatment 1</t>
  </si>
  <si>
    <t>f3_t1_j</t>
  </si>
  <si>
    <t>Junction: treatment 1 outcome for liver fibrosis F3</t>
  </si>
  <si>
    <t>f3_t1ltf_j</t>
  </si>
  <si>
    <t>Junction: treatment 1 follow-up for liver fibrosis F3</t>
  </si>
  <si>
    <t>f3_ft1</t>
  </si>
  <si>
    <t>Liver Fibrosis F3: chronic, failed treatment 1</t>
  </si>
  <si>
    <t>f3_ft1_ltfu</t>
  </si>
  <si>
    <t>Liver Fibrosis F3: chronic, failed treatment 1, lost to follow-up</t>
  </si>
  <si>
    <t>s3</t>
  </si>
  <si>
    <t>Liver Fibrosis F3: susceptible with antibodies (aware and treated)</t>
  </si>
  <si>
    <t>f3_acute</t>
  </si>
  <si>
    <t>Liver Fibrosis F3: acute (re-infection)</t>
  </si>
  <si>
    <t>f3_clear_j</t>
  </si>
  <si>
    <t>Junction: liver fibrosis F3 achieving spontaneous viral clearance</t>
  </si>
  <si>
    <t>f3_t2</t>
  </si>
  <si>
    <t>Liver Fibrosis F3: chronic, on treatment 2</t>
  </si>
  <si>
    <t>f3_t2_j</t>
  </si>
  <si>
    <t>Junction: treatment 2 outcome for liver fibrosis F3</t>
  </si>
  <si>
    <t>f3_ft2</t>
  </si>
  <si>
    <t>Liver Fibrosis F3: chronic, failed treatment 2</t>
  </si>
  <si>
    <t>f4_ab_ud</t>
  </si>
  <si>
    <t>Liver Fibrosis F4: chronic, undiagnosed antibodies positive</t>
  </si>
  <si>
    <t>f4_ud_ltc</t>
  </si>
  <si>
    <t>Liver Fibrosis F4: chronic, undiagnosed, lost to care</t>
  </si>
  <si>
    <t>f4_ab_d</t>
  </si>
  <si>
    <t>Liver Fibrosis F4: chronic, diagnosed antibodies positive</t>
  </si>
  <si>
    <t>f4_ab_ltfu_j</t>
  </si>
  <si>
    <t>Junction: lost to follow-up after antibody diagnosis for liver fibrosis F4</t>
  </si>
  <si>
    <t>f4_ab_ltfu</t>
  </si>
  <si>
    <t>Liver Fibrosis F4: chronic, diagnosed antibodies positive, lost to follow-up</t>
  </si>
  <si>
    <t>f4_pcr_d</t>
  </si>
  <si>
    <t>Liver Fibrosis F4: chronic, diagnosed positive-strand RNA (PCR test)</t>
  </si>
  <si>
    <t>f4_pcr_ltfu_j</t>
  </si>
  <si>
    <t>Junction: lost to follow-up after RNA diagnosis for liver fibrosis F4</t>
  </si>
  <si>
    <t>f4_pcr_ltfu</t>
  </si>
  <si>
    <t>Liver Fibrosis F4: chronic, diagnosed positive-strand RNA, lost to follow-up</t>
  </si>
  <si>
    <t>f4_t1</t>
  </si>
  <si>
    <t>Liver Fibrosis F4: chronic, on treatment 1</t>
  </si>
  <si>
    <t>f4_t1_j</t>
  </si>
  <si>
    <t>Junction: treatment 1 outcome for liver fibrosis F4</t>
  </si>
  <si>
    <t>f4_t1ltf_j</t>
  </si>
  <si>
    <t>Junction: treatment 1 follow-up for liver fibrosis F4</t>
  </si>
  <si>
    <t>f4_ft1</t>
  </si>
  <si>
    <t>Liver Fibrosis F4: chronic, failed treatment 1</t>
  </si>
  <si>
    <t>f4_ft1_ltfu</t>
  </si>
  <si>
    <t>Liver Fibrosis F4: chronic, failed treatment 1, lost to follow-up</t>
  </si>
  <si>
    <t>s4</t>
  </si>
  <si>
    <t>Liver Fibrosis F4: susceptible with antibodies (aware and treated)</t>
  </si>
  <si>
    <t>f4_acute</t>
  </si>
  <si>
    <t>Liver Fibrosis F4: acute (re-infection)</t>
  </si>
  <si>
    <t>f4_clear_j</t>
  </si>
  <si>
    <t>Junction: liver fibrosis F4 achieving spontaneous viral clearance</t>
  </si>
  <si>
    <t>f4_t2</t>
  </si>
  <si>
    <t>Liver Fibrosis F4: chronic, on treatment 2</t>
  </si>
  <si>
    <t>f4_t2_j</t>
  </si>
  <si>
    <t>Junction: treatment 2 outcome for liver fibrosis F4</t>
  </si>
  <si>
    <t>f4_ft2</t>
  </si>
  <si>
    <t>Liver Fibrosis F4: chronic, failed treatment 2</t>
  </si>
  <si>
    <t>dc_ab_ud</t>
  </si>
  <si>
    <t>Decompensated Cirrhosis: chronic, undiagnosed antibodies positive</t>
  </si>
  <si>
    <t>dc_ud_ltc</t>
  </si>
  <si>
    <t>Decompensated Cirrhosis: chronic, undiagnosed, lost to care</t>
  </si>
  <si>
    <t>dc_ab_d</t>
  </si>
  <si>
    <t>Decompensated Cirrhosis: chronic, diagnosed antibodies positive</t>
  </si>
  <si>
    <t>dc_ab_ltfu_j</t>
  </si>
  <si>
    <t>Junction: lost to follow-up after antibody diagnosis for decompensated cirrhosis</t>
  </si>
  <si>
    <t>dc_ab_ltfu</t>
  </si>
  <si>
    <t>Decompensated Cirrhosis: chronic, diagnosed antibodies positive, lost to follow-up</t>
  </si>
  <si>
    <t>dc_pcr_d</t>
  </si>
  <si>
    <t>Decompensated Cirrhosis: chronic, diagnosed positive-strand RNA (PCR test)</t>
  </si>
  <si>
    <t>dc_pcr_ltfu_j</t>
  </si>
  <si>
    <t>Junction: lost to follow-up after RNA diagnosis for decompensated cirrhosis</t>
  </si>
  <si>
    <t>dc_pcr_ltfu</t>
  </si>
  <si>
    <t>Decompensated Cirrhosis: chronic, diagnosed positive-strand RNA, lost to follow-up</t>
  </si>
  <si>
    <t>dc_t1</t>
  </si>
  <si>
    <t>Decompensated Cirrhosis: chronic, on treatment 1</t>
  </si>
  <si>
    <t>dc_t1_j</t>
  </si>
  <si>
    <t>Junction: treatment 1 outcome for decompensated cirrhosis</t>
  </si>
  <si>
    <t>dc_t1ltf_j</t>
  </si>
  <si>
    <t>Junction: treatment 1 follow-up for decompensated cirrhosis</t>
  </si>
  <si>
    <t>dc_ft1</t>
  </si>
  <si>
    <t>Decompensated Cirrhosis: chronic, failed treatment 1</t>
  </si>
  <si>
    <t>dc_ft1_ltfu</t>
  </si>
  <si>
    <t>Decompensated Cirrhosis: chronic, failed treatment 1, lost to follow-up</t>
  </si>
  <si>
    <t>sdc</t>
  </si>
  <si>
    <t>Decompensated Cirrhosis: susceptible with antibodies (aware and treated)</t>
  </si>
  <si>
    <t>dc_acute</t>
  </si>
  <si>
    <t>Decompensated Cirrhosis: acute (re-infection)</t>
  </si>
  <si>
    <t>dc_clear_j</t>
  </si>
  <si>
    <t>Junction: decompensated cirrhosis achieving spontaneous viral clearance</t>
  </si>
  <si>
    <t>dc_t2</t>
  </si>
  <si>
    <t>Decompensated Cirrhosis: chronic, on treatment 2</t>
  </si>
  <si>
    <t>dc_t2_j</t>
  </si>
  <si>
    <t>Junction: treatment 2 outcome for decompensated cirrhosis</t>
  </si>
  <si>
    <t>dc_ft2</t>
  </si>
  <si>
    <t>Decompensated Cirrhosis: chronic, failed treatment 2</t>
  </si>
  <si>
    <t>dc_lt1</t>
  </si>
  <si>
    <t>Decompensated Cirrhosis: liver transplant 1 year ago</t>
  </si>
  <si>
    <t>dc_lt2</t>
  </si>
  <si>
    <t>Decompensated Cirrhosis: liver transplant 2+ years ago</t>
  </si>
  <si>
    <t>hcc_ab_ud</t>
  </si>
  <si>
    <t>Hepatocellular Carcinoma: chronic, undiagnosed antibodies positive</t>
  </si>
  <si>
    <t>hcc_ud_ltc</t>
  </si>
  <si>
    <t>Hepatocellular Carcinoma: chronic, undiagnosed, lost to care</t>
  </si>
  <si>
    <t>hcc_ab_d</t>
  </si>
  <si>
    <t>Hepatocellular Carcinoma: chronic, diagnosed antibodies positive</t>
  </si>
  <si>
    <t>hcc_ab_ltfu_j</t>
  </si>
  <si>
    <t>Junction: lost to follow-up after antibody diagnosis for hepatocellular carcinoma</t>
  </si>
  <si>
    <t>hcc_ab_ltfu</t>
  </si>
  <si>
    <t>Hepatocellular Carcinoma: chronic, diagnosed antibodies positive, lost to follow-up</t>
  </si>
  <si>
    <t>hcc_pcr_d</t>
  </si>
  <si>
    <t>Hepatocellular Carcinoma: chronic, diagnosed positive-strand RNA (PCR test)</t>
  </si>
  <si>
    <t>hcc_pcr_ltfu_j</t>
  </si>
  <si>
    <t>Junction: lost to follow-up after RNA diagnosis for hepatocellular carcinoma</t>
  </si>
  <si>
    <t>hcc_pcr_ltfu</t>
  </si>
  <si>
    <t>Hepatocellular Carcinoma: chronic, diagnosed positive-strand RNA, lost to follow-up</t>
  </si>
  <si>
    <t>hcc_t1</t>
  </si>
  <si>
    <t>Hepatocellular Carcinoma: chronic, on treatment 1</t>
  </si>
  <si>
    <t>hcc_t1_j</t>
  </si>
  <si>
    <t>Junction: treatment 1 outcome for hepatocellular carcinoma</t>
  </si>
  <si>
    <t>hcc_t1ltf_j</t>
  </si>
  <si>
    <t>Junction: treatment 1 follow-up for hepatocellular carcinoma</t>
  </si>
  <si>
    <t>hcc_ft1</t>
  </si>
  <si>
    <t>Hepatocellular Carcinoma: chronic, failed treatment 1</t>
  </si>
  <si>
    <t>hcc_ft1_ltfu</t>
  </si>
  <si>
    <t>Hepatocellular Carcinoma: chronic, failed treatment 1, lost to follow-up</t>
  </si>
  <si>
    <t>shcc</t>
  </si>
  <si>
    <t>Hepatocellular Carcinoma: susceptible with antibodies (aware and treated)</t>
  </si>
  <si>
    <t>hcc_acute</t>
  </si>
  <si>
    <t>Hepatocellular Carcinoma: acute (re-infection)</t>
  </si>
  <si>
    <t>hcc_clear_j</t>
  </si>
  <si>
    <t>Junction: hepatocellular carcinoma achieving spontaneous viral clearance</t>
  </si>
  <si>
    <t>hcc_t2</t>
  </si>
  <si>
    <t>Hepatocellular Carcinoma: chronic, on treatment 2</t>
  </si>
  <si>
    <t>hcc_t2_j</t>
  </si>
  <si>
    <t>Junction: treatment 2 outcome for hepatocellular carcinoma</t>
  </si>
  <si>
    <t>hcc_ft2</t>
  </si>
  <si>
    <t>Hepatocellular Carcinoma: chronic, failed treatment 2</t>
  </si>
  <si>
    <t>hcc_lt1</t>
  </si>
  <si>
    <t>Hepatocellular Carcinoma: liver transplant 1 year ago</t>
  </si>
  <si>
    <t>hcc_lt2</t>
  </si>
  <si>
    <t>Hepatocellular Carcinoma: liver transplant 2+ years ago</t>
  </si>
  <si>
    <t>dead_all</t>
  </si>
  <si>
    <t>Death: All-Cause</t>
  </si>
  <si>
    <t>dead_dc</t>
  </si>
  <si>
    <t>Death: Decompensated Cirrhosis</t>
  </si>
  <si>
    <t>dead_hcc</t>
  </si>
  <si>
    <t>Death: Hepatocellular Carcinoma</t>
  </si>
  <si>
    <t>dead_lt1</t>
  </si>
  <si>
    <t>Death: Liver Transplant</t>
  </si>
  <si>
    <t>dead_lt2</t>
  </si>
  <si>
    <t>Death: Liver Transplant 1 Year Ago</t>
  </si>
  <si>
    <t>infx_pwid</t>
  </si>
  <si>
    <t>death_all</t>
  </si>
  <si>
    <t>clear_dur</t>
  </si>
  <si>
    <t>test_ab_acute</t>
  </si>
  <si>
    <t>prop_clear</t>
  </si>
  <si>
    <t>prop_chronic</t>
  </si>
  <si>
    <t>test_ab_clear</t>
  </si>
  <si>
    <t>prop_ud</t>
  </si>
  <si>
    <t>prop_ud_ltc</t>
  </si>
  <si>
    <t>test_ab_f0f2_und_ic</t>
  </si>
  <si>
    <t>test_pcr_f0f2_und_ic</t>
  </si>
  <si>
    <t>f0_f1_pr</t>
  </si>
  <si>
    <t>test_ab_f0f2_und_nic</t>
  </si>
  <si>
    <t>test_pcr_f0f2_und_nic</t>
  </si>
  <si>
    <t>f0f2_ab_fur</t>
  </si>
  <si>
    <t>test_pcr_f0f2_ab_ic</t>
  </si>
  <si>
    <t>f0f2_pcr_fur</t>
  </si>
  <si>
    <t>tx_f0</t>
  </si>
  <si>
    <t>treat_dur</t>
  </si>
  <si>
    <t>treat_fail</t>
  </si>
  <si>
    <t>prop_svr</t>
  </si>
  <si>
    <t>f0f2_t1_fur</t>
  </si>
  <si>
    <t>tx_f0_fail</t>
  </si>
  <si>
    <t>f1_f2_pr</t>
  </si>
  <si>
    <t>tx_f1</t>
  </si>
  <si>
    <t>tx_f1_fail</t>
  </si>
  <si>
    <t>f2_f3_pr</t>
  </si>
  <si>
    <t>tx_f2</t>
  </si>
  <si>
    <t>tx_f2_fail</t>
  </si>
  <si>
    <t>test_ab_f3f4_und_ic</t>
  </si>
  <si>
    <t>test_pcr_f3f4_und_ic</t>
  </si>
  <si>
    <t>f3_f4_pr</t>
  </si>
  <si>
    <t>test_ab_f3f4_und_nic</t>
  </si>
  <si>
    <t>test_pcr_f3f4_und_nic</t>
  </si>
  <si>
    <t>f3f4_ab_fur</t>
  </si>
  <si>
    <t>test_pcr_f3f4_ab_ic</t>
  </si>
  <si>
    <t>f3f4_pcr_fur</t>
  </si>
  <si>
    <t>tx_f3</t>
  </si>
  <si>
    <t>f3f4_t1_fur</t>
  </si>
  <si>
    <t>tx_f3_fail</t>
  </si>
  <si>
    <t>f4_dc_pr</t>
  </si>
  <si>
    <t>f4_hcc_pr</t>
  </si>
  <si>
    <t>tx_f4</t>
  </si>
  <si>
    <t>tx_f4_fail</t>
  </si>
  <si>
    <t>s4_dc</t>
  </si>
  <si>
    <t>dc_hcc_pr</t>
  </si>
  <si>
    <t>death_dc</t>
  </si>
  <si>
    <t>tx_dc</t>
  </si>
  <si>
    <t>dc_ltr</t>
  </si>
  <si>
    <t>tx_dc_fail</t>
  </si>
  <si>
    <t>s4_hcc</t>
  </si>
  <si>
    <t>death_sdc</t>
  </si>
  <si>
    <t>dc_lt2r</t>
  </si>
  <si>
    <t>death_lt1</t>
  </si>
  <si>
    <t>death_lt2</t>
  </si>
  <si>
    <t>death_hcc</t>
  </si>
  <si>
    <t>tx_hcc</t>
  </si>
  <si>
    <t>hcc_ltr</t>
  </si>
  <si>
    <t>tx_hcc_fail</t>
  </si>
  <si>
    <t>death_shcc</t>
  </si>
  <si>
    <t>hcc_lt2r</t>
  </si>
  <si>
    <t>Care</t>
  </si>
  <si>
    <t>Ever infected</t>
  </si>
  <si>
    <t>Diagnosed (antibody)</t>
  </si>
  <si>
    <t>abpos,pcr,treated,cured</t>
  </si>
  <si>
    <t>Diagnosed (RNA)</t>
  </si>
  <si>
    <t>pcr,treated,cured</t>
  </si>
  <si>
    <t>Treated</t>
  </si>
  <si>
    <t>treated,cured</t>
  </si>
  <si>
    <t>Cured</t>
  </si>
  <si>
    <t>cured</t>
  </si>
  <si>
    <t>chronic</t>
  </si>
  <si>
    <t>pcr,treated,ltfu_pcr,ltfu_ft1,treated_fail</t>
  </si>
  <si>
    <t>idu</t>
  </si>
  <si>
    <t>Injecting Drug Use Transmission</t>
  </si>
  <si>
    <t>number</t>
  </si>
  <si>
    <t>All cause death rate</t>
  </si>
  <si>
    <t>rate</t>
  </si>
  <si>
    <t>probability</t>
  </si>
  <si>
    <t>Proportion of undiagnosed that are lost to care</t>
  </si>
  <si>
    <t>proportion</t>
  </si>
  <si>
    <t>Proportion of undiagnosed that can't be reached by existing services (can be linked to care via programs)</t>
  </si>
  <si>
    <t>Proportion of undiagnosed that can be reached by existing services</t>
  </si>
  <si>
    <t>1-prop_ud_ltc</t>
  </si>
  <si>
    <t>Proportion of HCV infections spontaneously clearing</t>
  </si>
  <si>
    <t>Proportion of acute PLHCV turned chronic (not cleared spontaneously)</t>
  </si>
  <si>
    <t>1-prop_clear</t>
  </si>
  <si>
    <t>F0 to F1 progression rate</t>
  </si>
  <si>
    <t>F1 to F2 progression rate</t>
  </si>
  <si>
    <t>F2 to F3 progression rate</t>
  </si>
  <si>
    <t>F3 to F4 progression rate</t>
  </si>
  <si>
    <t>F4 to DC progression rate</t>
  </si>
  <si>
    <t>F4 to HCC progression rate</t>
  </si>
  <si>
    <t>Susceptible F4 to DC progression rate</t>
  </si>
  <si>
    <t>Susceptible F4 to HCC progression rate</t>
  </si>
  <si>
    <t>DC to HCC progression rate</t>
  </si>
  <si>
    <t>sh_lt</t>
  </si>
  <si>
    <t>Liver Transplant</t>
  </si>
  <si>
    <t>DC death rate</t>
  </si>
  <si>
    <t>HCC death rate</t>
  </si>
  <si>
    <t>death_reduce_dc</t>
  </si>
  <si>
    <t>Reduction in mortality post DC cure</t>
  </si>
  <si>
    <t>death_reduce_hcc</t>
  </si>
  <si>
    <t>Reduction in mortality post HCC cure</t>
  </si>
  <si>
    <t>Liver Transplant in Year 1 death rate</t>
  </si>
  <si>
    <t>Liver Transplant 2+ Years Ago death rate</t>
  </si>
  <si>
    <t>Antibody testing rate in F0 (acute first infection)</t>
  </si>
  <si>
    <t>Antibody testing rate in F0 (cleared first infection)</t>
  </si>
  <si>
    <t>Antibody testing rate in F0-F2, undiagnosed, in care</t>
  </si>
  <si>
    <t>Antibody testing rate in F0-F2, undiagnosed, not in care</t>
  </si>
  <si>
    <t>Antibody testing rate in F3+, undiagnosed, in care</t>
  </si>
  <si>
    <t>Antibody testing rate in F3+, undiagnosed, not in care</t>
  </si>
  <si>
    <t>RNA testing rate in F0-F2, Ab diagnosed, in care</t>
  </si>
  <si>
    <t>RNA testing rate in F3+, Ab diagnosed, in care</t>
  </si>
  <si>
    <t>RNA testing rate in F0-F2, undiagnosed, in care</t>
  </si>
  <si>
    <t>RNA testing rate in F0-F2, undiagnosed, not in care</t>
  </si>
  <si>
    <t>RNA testing rate in F3+, undiagnosed, in care</t>
  </si>
  <si>
    <t>RNA testing rate in F3+, undiagnosed, not in care</t>
  </si>
  <si>
    <t>Follow-up proportion on antibody test in F0-F2</t>
  </si>
  <si>
    <t>Follow-up proportion on PCR test in F0-F2</t>
  </si>
  <si>
    <t>Follow-up proportion after treatment initiation in F0-F2</t>
  </si>
  <si>
    <t>Follow-up proportion on antibody test in F3+</t>
  </si>
  <si>
    <t>Follow-up proportion on PCR test in F3+</t>
  </si>
  <si>
    <t>Follow-up proportion after treatment initiation in F3+</t>
  </si>
  <si>
    <t>Average duration for spontaneous viral clearance</t>
  </si>
  <si>
    <t>duration</t>
  </si>
  <si>
    <t>Average treatment duration</t>
  </si>
  <si>
    <t>Probability of achieving SVR</t>
  </si>
  <si>
    <t>1-prop_svr</t>
  </si>
  <si>
    <t>tx</t>
  </si>
  <si>
    <t>Probability of treatment failure</t>
  </si>
  <si>
    <t>sh_tot</t>
  </si>
  <si>
    <t>Number of treatment intiations</t>
  </si>
  <si>
    <t>DC to liver transplant rate</t>
  </si>
  <si>
    <t>DC liver transplant 1 to 2+ years ago rate</t>
  </si>
  <si>
    <t>HCC to liver transplant rate</t>
  </si>
  <si>
    <t>HCC liver transplant 1 to 2+ years ago rate</t>
  </si>
  <si>
    <t>chronic_total</t>
  </si>
  <si>
    <t>early_fibrosis_total</t>
  </si>
  <si>
    <t>moderate_fibrosis_total</t>
  </si>
  <si>
    <t>cirrhosis_total</t>
  </si>
  <si>
    <t>dc_inci_total</t>
  </si>
  <si>
    <t>hcc_inci_total</t>
  </si>
  <si>
    <t>deaths_hcv_total</t>
  </si>
  <si>
    <t>Treatment initiations in F0</t>
  </si>
  <si>
    <t>Treatment initiations in F1</t>
  </si>
  <si>
    <t>Treatment initiations in F2</t>
  </si>
  <si>
    <t>Treatment initiations in F3</t>
  </si>
  <si>
    <t>Treatment initiations in F4</t>
  </si>
  <si>
    <t>Treatment initiations in DC</t>
  </si>
  <si>
    <t>Treatment initiations in HCC</t>
  </si>
  <si>
    <t>tx_fail</t>
  </si>
  <si>
    <t>Treatment initiations in F0 failed tx1</t>
  </si>
  <si>
    <t>Treatment initiations in F1 failed tx1</t>
  </si>
  <si>
    <t>Treatment initiations in F2 failed tx1</t>
  </si>
  <si>
    <t>Treatment initiations in F3 failed tx1</t>
  </si>
  <si>
    <t>Treatment initiations in F4 failed tx1</t>
  </si>
  <si>
    <t>Treatment initiations in DC failed tx1</t>
  </si>
  <si>
    <t>Treatment initiations in HCC failed tx1</t>
  </si>
  <si>
    <t>tx_m</t>
  </si>
  <si>
    <t>Modelled number of treatment initiations</t>
  </si>
  <si>
    <t>inci</t>
  </si>
  <si>
    <t>s0_abneg:f0_acute_uw</t>
  </si>
  <si>
    <t>undiag_chronic_m</t>
  </si>
  <si>
    <t>Modelled entrance into undiag chronic</t>
  </si>
  <si>
    <t>:f0_ab_ud+:f1_ab_ud+:f2_ab_ud+:f3_ab_ud+:f4_ab_ud+:dc_ab_ud+:hcc_ab_ud</t>
  </si>
  <si>
    <t>undiag_m</t>
  </si>
  <si>
    <t>Modelled entrance into undiag engaged with care</t>
  </si>
  <si>
    <t>s0_abneg:f0_acute_uw - :f0_ud_ltc</t>
  </si>
  <si>
    <t>undiag_pcr_m</t>
  </si>
  <si>
    <t>Modelled entrance into undiag pcr</t>
  </si>
  <si>
    <t>:f0_ab_d+:f1_ab_d+:f2_ab_d+:f3_ab_d+:f4_ab_d+:dc_ab_d+:hcc_ab_d</t>
  </si>
  <si>
    <t>undiag_ltc_m</t>
  </si>
  <si>
    <t>Modelled entrance into undiag ltc</t>
  </si>
  <si>
    <t>:f0_ud_ltc+:f1_ud_ltc+:f2_ud_ltc+:f3_ud_ltc+:f4_ud_ltc+:dc_ud_ltc+:hcc_ud_ltc</t>
  </si>
  <si>
    <t>untreat_m</t>
  </si>
  <si>
    <t>Modelled entrance into pcr diagnosed and failed treatment 1, able to begin treatment</t>
  </si>
  <si>
    <t>:f0_pcr_d+:f1_pcr_d+:f2_pcr_d+:f3_pcr_d+:f4_pcr_d+:dc_pcr_d+:hcc_pcr_d+:f0_ft1+:f1_ft1+:f2_ft1+:f3_ft1+:f4_ft1+:dc_ft1+:hcc_ft1</t>
  </si>
  <si>
    <t>Susceptible DC death rate</t>
  </si>
  <si>
    <t>death_dc*(1-death_reduce_dc)</t>
  </si>
  <si>
    <t>Susceptible HCC death rate</t>
  </si>
  <si>
    <t>death_hcc*(1-death_reduce_hcc)</t>
  </si>
  <si>
    <t>dc_inci</t>
  </si>
  <si>
    <t>Number of incident cases of HCV‑related decompensated cirrhosis</t>
  </si>
  <si>
    <t>f4_dc_pr:flow</t>
  </si>
  <si>
    <t>hcc_inci</t>
  </si>
  <si>
    <t>Number of incident cases of HCV‑related hepatocellular carcinoma</t>
  </si>
  <si>
    <t>f4_hcc_pr:flow + dc_hcc_pr:flow</t>
  </si>
  <si>
    <t>deaths_hcv</t>
  </si>
  <si>
    <t>Number of HCV-related deaths</t>
  </si>
  <si>
    <t>deaths_all</t>
  </si>
  <si>
    <t>Number of all-cause deaths</t>
  </si>
  <si>
    <t>death_all:flow</t>
  </si>
  <si>
    <t>ab_all_m</t>
  </si>
  <si>
    <t>Re-RNA diagnosis</t>
  </si>
  <si>
    <t>f0</t>
  </si>
  <si>
    <t>Liver Fibrosis F0 (Chronic)</t>
  </si>
  <si>
    <t>f0_ud_ltc,f0_ab_ud,f0_ab_d,f0_ab_ltfu,f0_pcr_d,f0_pcr_ltfu,f0_t1,f0_ft1,f0_ft1_ltfu,f0_t2,f0_ft2</t>
  </si>
  <si>
    <t>f1</t>
  </si>
  <si>
    <t>Liver Fibrosis F1 (Chronic)</t>
  </si>
  <si>
    <t>f1_ud_ltc,f1_ab_ud,f1_ab_d,f1_ab_ltfu,f1_pcr_d,f1_pcr_ltfu,f1_t1,f1_ft1,f1_ft1_ltfu,f1_t2,f1_ft2</t>
  </si>
  <si>
    <t>f2</t>
  </si>
  <si>
    <t>Liver Fibrosis F2 (Chronic)</t>
  </si>
  <si>
    <t>f2_ud_ltc,f2_ab_ud,f2_ab_d,f2_ab_ltfu,f2_pcr_d,f2_pcr_ltfu,f2_t1,f2_ft1,f2_ft1_ltfu,f2_t2,f2_ft2</t>
  </si>
  <si>
    <t>f0f2</t>
  </si>
  <si>
    <t>Liver Fibrosis F0-2 (Chronic)</t>
  </si>
  <si>
    <t>f0,f1,f2</t>
  </si>
  <si>
    <t>f3</t>
  </si>
  <si>
    <t>Liver Fibrosis F3 (Chronic)</t>
  </si>
  <si>
    <t>f3_ud_ltc,f3_ab_ud,f3_ab_d,f3_ab_ltfu,f3_pcr_d,f3_pcr_ltfu,f3_t1,f3_ft1,f3_ft1_ltfu,f3_t2,f3_ft2</t>
  </si>
  <si>
    <t>f4</t>
  </si>
  <si>
    <t>Liver Fibrosis F4 (Chronic)</t>
  </si>
  <si>
    <t>f4_ud_ltc,f4_ab_ud,f4_ab_d,f4_ab_ltfu,f4_pcr_d,f4_pcr_ltfu,f4_t1,f4_ft1,f4_ft1_ltfu,f4_t2,f4_ft2</t>
  </si>
  <si>
    <t>f3f4</t>
  </si>
  <si>
    <t>Liver Fibrosis F3-4 (Chronic)</t>
  </si>
  <si>
    <t>f3,f4</t>
  </si>
  <si>
    <t>fibrosis</t>
  </si>
  <si>
    <t>Liver Fibrosis All Stages (Chronic)</t>
  </si>
  <si>
    <t>f0f2,f3,f4</t>
  </si>
  <si>
    <t>Decompensated Cirrhosis (Chronic)</t>
  </si>
  <si>
    <t>dc_ud_ltc,dc_ab_ud,dc_ab_d,dc_ab_ltfu,dc_pcr_d,dc_pcr_ltfu,dc_t1,dc_ft1,dc_ft1_ltfu,dc_t2,dc_ft2</t>
  </si>
  <si>
    <t>cancer</t>
  </si>
  <si>
    <t>Hepatocellular Carcinoma (Chronic)</t>
  </si>
  <si>
    <t>hcc_ud_ltc,hcc_ab_ud,hcc_ab_d,hcc_ab_ltfu,hcc_pcr_d,hcc_pcr_ltfu,hcc_t1,hcc_ft1,hcc_ft1_ltfu,hcc_t2,hcc_ft2</t>
  </si>
  <si>
    <t>dc_hcc</t>
  </si>
  <si>
    <t>Decompensated Cirrhosis and Hepatocellular Carcinoma (Chronic)</t>
  </si>
  <si>
    <t>acute</t>
  </si>
  <si>
    <t>Population living with acute HCV</t>
  </si>
  <si>
    <t>f0_acute_uw,f0_acute_aw,f0_acute,f1_acute,f2_acute,f3_acute,f4_acute,dc_acute,hcc_acute</t>
  </si>
  <si>
    <t>Population living with chronic HCV</t>
  </si>
  <si>
    <t>total_hcv</t>
  </si>
  <si>
    <t>Total population living with HCV</t>
  </si>
  <si>
    <t>prop_f0f2</t>
  </si>
  <si>
    <t>Proportion who have F0-F2</t>
  </si>
  <si>
    <t>prop_f3</t>
  </si>
  <si>
    <t>Proportion who have F3</t>
  </si>
  <si>
    <t>prop_f4</t>
  </si>
  <si>
    <t>Proportion who have F4</t>
  </si>
  <si>
    <t>prop_dc</t>
  </si>
  <si>
    <t>Proportion who have DC</t>
  </si>
  <si>
    <t>prop_hcc</t>
  </si>
  <si>
    <t>Proportion who have HCC</t>
  </si>
  <si>
    <t>prop_f0f2_acute</t>
  </si>
  <si>
    <t>Proportion of Acute HCV cases with Liver Fibrosis F0-2</t>
  </si>
  <si>
    <t>prop_f3_acute</t>
  </si>
  <si>
    <t>Proportion of Acute HCV cases with Liver Fibrosis F3</t>
  </si>
  <si>
    <t>prop_f4_acute</t>
  </si>
  <si>
    <t>Proportion of Acute HCV cases with Liver Fibrosis F4</t>
  </si>
  <si>
    <t>prop_dc_acute</t>
  </si>
  <si>
    <t>Proportion of Acute HCV cases with Decompensated Cirrhosis</t>
  </si>
  <si>
    <t>prop_hcc_acute</t>
  </si>
  <si>
    <t>Proportion of Acute HCV cases with Hepatocellular Carcinoma</t>
  </si>
  <si>
    <t>sus</t>
  </si>
  <si>
    <t>Susceptible, antibody positive (aware, unaware, treated)</t>
  </si>
  <si>
    <t>s0_uw,s0_aw,s0,s1,s2,s3,s4,sdc,shcc</t>
  </si>
  <si>
    <t>sus_abneg</t>
  </si>
  <si>
    <t>Susceptible, antibody negative (never infected)</t>
  </si>
  <si>
    <t>sus_treated</t>
  </si>
  <si>
    <t>Susceptible, antibody positive (aware and treated)</t>
  </si>
  <si>
    <t>s0,s1,s2,s3,s4,sdc,shcc</t>
  </si>
  <si>
    <t>alive</t>
  </si>
  <si>
    <t>Population size</t>
  </si>
  <si>
    <t>HCV Prevalence</t>
  </si>
  <si>
    <t>prev</t>
  </si>
  <si>
    <t xml:space="preserve">Prevalence of undiagnosed/diagnosed but not on treatment </t>
  </si>
  <si>
    <t>abpos, pcr, ltfu_ab, ltfu_pcr</t>
  </si>
  <si>
    <t>ltfu</t>
  </si>
  <si>
    <t>Lost to follow-up</t>
  </si>
  <si>
    <t>f0_ab_ltfu,f0_pcr_ltfu,f0_ft1_ltfu,f1_ab_ltfu,f1_pcr_ltfu,f1_ft1_ltfu,f2_ab_ltfu,f2_pcr_ltfu,f2_ft1_ltfu,f3_ab_ltfu,f3_pcr_ltfu,f3_ft1_ltfu,f4_ab_ltfu,f4_pcr_ltfu,f4_ft1_ltfu,dc_ab_ltfu,dc_pcr_ltfu,dc_ft1_ltfu,hcc_ab_ltfu,hcc_pcr_ltfu,hcc_ft1_ltfu</t>
  </si>
  <si>
    <t>ltfu_prop</t>
  </si>
  <si>
    <t>Lost to follow up (%)</t>
  </si>
  <si>
    <t>treated1_prop</t>
  </si>
  <si>
    <t>Treated once (%)</t>
  </si>
  <si>
    <t>treated1</t>
  </si>
  <si>
    <t>treated1_fail</t>
  </si>
  <si>
    <t>Failed treatment 1</t>
  </si>
  <si>
    <t>treated1_fail_prop</t>
  </si>
  <si>
    <t>Treatment 1 failure (%)</t>
  </si>
  <si>
    <t>treated2_prop</t>
  </si>
  <si>
    <t>Treated twice (%)</t>
  </si>
  <si>
    <t>treated2</t>
  </si>
  <si>
    <t>treated2_fail</t>
  </si>
  <si>
    <t>Failed treatment 2</t>
  </si>
  <si>
    <t>treated2_fail_prop</t>
  </si>
  <si>
    <t>Treatment failure (%)</t>
  </si>
  <si>
    <t>treated_fail</t>
  </si>
  <si>
    <t>Failed treatment</t>
  </si>
  <si>
    <t>treated1_fail, treated2_fail</t>
  </si>
  <si>
    <t>prop_treated_fail</t>
  </si>
  <si>
    <t>Failed treatment (%)</t>
  </si>
  <si>
    <t>transplant_all</t>
  </si>
  <si>
    <t>Number of HCV liver transplants</t>
  </si>
  <si>
    <t>dc_lt1,dc_lt2,hcc_lt1,hcc_lt2</t>
  </si>
  <si>
    <t>transplant_prop</t>
  </si>
  <si>
    <t>Liver transplants (%)</t>
  </si>
  <si>
    <t>Treated and achieved SVR</t>
  </si>
  <si>
    <t>cured_prop</t>
  </si>
  <si>
    <t>Cured (%)</t>
  </si>
  <si>
    <t>undiag</t>
  </si>
  <si>
    <t>Undiagnosed (excl. ltfu)</t>
  </si>
  <si>
    <t>f0_ab_ud,f1_ab_ud,f2_ab_ud,f3_ab_ud,f4_ab_ud,dc_ab_ud,hcc_ab_ud,f0_acute_uw,s0_uw</t>
  </si>
  <si>
    <t>undiag_chronic</t>
  </si>
  <si>
    <t>Undiagnosed (ab) chronic</t>
  </si>
  <si>
    <t>prev_undiag</t>
  </si>
  <si>
    <t>HCV prevalence among undiagnosed</t>
  </si>
  <si>
    <t>prop_undiag</t>
  </si>
  <si>
    <t>Undiagnosed proportion</t>
  </si>
  <si>
    <t>prop_tx_fail</t>
  </si>
  <si>
    <t>Proportion that failed treatments</t>
  </si>
  <si>
    <t>Number on treatment 1</t>
  </si>
  <si>
    <t>Number on treatment 2</t>
  </si>
  <si>
    <t>treated</t>
  </si>
  <si>
    <t>On treatment</t>
  </si>
  <si>
    <t>treated1,treated2</t>
  </si>
  <si>
    <t>prop_treated</t>
  </si>
  <si>
    <t>On treatment (%)</t>
  </si>
  <si>
    <t>abpos</t>
  </si>
  <si>
    <t>Total number of antibody positive diagnosis</t>
  </si>
  <si>
    <t>abpos_chronic</t>
  </si>
  <si>
    <t>f0_ab_d,f1_ab_d,f2_ab_d,f3_ab_d,f4_ab_d,dc_ab_d,hcc_ab_d</t>
  </si>
  <si>
    <t>pcr</t>
  </si>
  <si>
    <t>prop_ab_diag</t>
  </si>
  <si>
    <t>Proportion that have received an antibody diagnosis</t>
  </si>
  <si>
    <t>prop_pcr_diag</t>
  </si>
  <si>
    <t>RNA+ diagnosed (%)</t>
  </si>
  <si>
    <t>prop_ab_diag_chronic</t>
  </si>
  <si>
    <t>Antibody+ diagnosed (%)</t>
  </si>
  <si>
    <t>undiag_f0f2_prop</t>
  </si>
  <si>
    <t>Undiagnosed Ab+ f0-f2 proportion</t>
  </si>
  <si>
    <t>f0_ab_ud,f1_ab_ud,f2_ab_ud,f0_acute_uw,s0_uw</t>
  </si>
  <si>
    <t>undiag_f0_prop</t>
  </si>
  <si>
    <t>Undiagnosed Ab+ f0 proportion</t>
  </si>
  <si>
    <t>undiag_f0acute_prop</t>
  </si>
  <si>
    <t>Undiagnosed Ab+ f0 acute proportion</t>
  </si>
  <si>
    <t>undiag_s0_prop</t>
  </si>
  <si>
    <t>Undiagnosed Ab+ s0 proportion</t>
  </si>
  <si>
    <t>undiag_f1_prop</t>
  </si>
  <si>
    <t>Undiagnosed Ab+ f1 proportion</t>
  </si>
  <si>
    <t>undiag_f2_prop</t>
  </si>
  <si>
    <t>Undiagnosed Ab+ f2 proportion</t>
  </si>
  <si>
    <t>undiag_f3f4_prop</t>
  </si>
  <si>
    <t>Undiagnosed Ab+ f3-f4 proportion</t>
  </si>
  <si>
    <t>f3_ab_ud,f4_ab_ud</t>
  </si>
  <si>
    <t>undiag_f3_prop</t>
  </si>
  <si>
    <t>Undiagnosed Ab+ f3 proportion</t>
  </si>
  <si>
    <t>undiag_f4_prop</t>
  </si>
  <si>
    <t>Undiagnosed Ab+ f4 proportion</t>
  </si>
  <si>
    <t>undiag_dc_prop</t>
  </si>
  <si>
    <t>Undiagnosed Ab+ dc proportion</t>
  </si>
  <si>
    <t>undiag_hcc_prop</t>
  </si>
  <si>
    <t>Undiagnosed Ab+ hcc proportion</t>
  </si>
  <si>
    <t>undiag_ab_check</t>
  </si>
  <si>
    <t>Check undiag ab</t>
  </si>
  <si>
    <t>undiag_pcr</t>
  </si>
  <si>
    <t>Undiagnosed (pcr)</t>
  </si>
  <si>
    <t>undiag_pcr_ltfu</t>
  </si>
  <si>
    <t>Undiagnosed (pcr) ab_ltfu (not including linked)</t>
  </si>
  <si>
    <t>f0_ab_ltfu,f1_ab_ltfu,f2_ab_ltfu,f3_ab_ltfu,f4_ab_ltfu,dc_ab_ltfu,hcc_ab_ltfu</t>
  </si>
  <si>
    <t>undiag_pcr_f0f2_prop</t>
  </si>
  <si>
    <t>Undiagnosed RNA+ f0-f2 proportion</t>
  </si>
  <si>
    <t>f0_ab_d,f1_ab_d,f2_ab_d</t>
  </si>
  <si>
    <t>undiag_pcr_f0_prop</t>
  </si>
  <si>
    <t>Undiagnosed RNA+ f0 proportion</t>
  </si>
  <si>
    <t>undiag_pcr_f1_prop</t>
  </si>
  <si>
    <t>Undiagnosed RNA+ f1 proportion</t>
  </si>
  <si>
    <t>undiag_pcr_f2_prop</t>
  </si>
  <si>
    <t>Undiagnosed RNA+ f2 proportion</t>
  </si>
  <si>
    <t>undiag_pcr_f3f4_prop</t>
  </si>
  <si>
    <t>Undiagnosed RNA+ f3-f4 proportion</t>
  </si>
  <si>
    <t>f3_ab_d,f4_ab_ud</t>
  </si>
  <si>
    <t>undiag_pcr_f3_prop</t>
  </si>
  <si>
    <t>Undiagnosed RNA+ f3 proportion</t>
  </si>
  <si>
    <t>undiag_pcr_f4_prop</t>
  </si>
  <si>
    <t>Undiagnosed RNA+ f4 proportion</t>
  </si>
  <si>
    <t>undiag_pcr_dc_prop</t>
  </si>
  <si>
    <t>Undiagnosed RNA+ dc proportion</t>
  </si>
  <si>
    <t>undiag_pcr_hcc_prop</t>
  </si>
  <si>
    <t>Undiagnosed RNA+ hcc proportion</t>
  </si>
  <si>
    <t>undiag_pcr_tot</t>
  </si>
  <si>
    <t>Undiagnosed pcr total</t>
  </si>
  <si>
    <t>undiag_pcr, undiag_pcr_ltfu</t>
  </si>
  <si>
    <t>undiag_pcr_check</t>
  </si>
  <si>
    <t>Check undiag pcr</t>
  </si>
  <si>
    <t>undiag_f0_all</t>
  </si>
  <si>
    <t>Undiagnosed Ab+ or RNA+ f0</t>
  </si>
  <si>
    <t>f0_ab_ud,f0_ab_d</t>
  </si>
  <si>
    <t>undiag_f1_all</t>
  </si>
  <si>
    <t>Undiagnosed Ab+ or RNA+ f1</t>
  </si>
  <si>
    <t>f1_ab_ud,f1_ab_d</t>
  </si>
  <si>
    <t>undiag_f2_all</t>
  </si>
  <si>
    <t>Undiagnosed Ab+ or RNA+ f2</t>
  </si>
  <si>
    <t>f2_ab_ud,f2_ab_d</t>
  </si>
  <si>
    <t>undiag_f3_all</t>
  </si>
  <si>
    <t>Undiagnosed Ab+ or RNA+ f3</t>
  </si>
  <si>
    <t>f3_ab_ud,f3_ab_d</t>
  </si>
  <si>
    <t>undiag_f4_all</t>
  </si>
  <si>
    <t>Undiagnosed Ab+ or RNA+ f4</t>
  </si>
  <si>
    <t>f4_ab_ud,f4_ab_d</t>
  </si>
  <si>
    <t>undiag_dc_all</t>
  </si>
  <si>
    <t>Undiagnosed Ab+ or RNA+ dc</t>
  </si>
  <si>
    <t>dc_ab_ud,dc_ab_d</t>
  </si>
  <si>
    <t>undiag_hcc_all</t>
  </si>
  <si>
    <t>Undiagnosed Ab+ or RNA+ hcc</t>
  </si>
  <si>
    <t>hcc_ab_ud,hcc_ab_d</t>
  </si>
  <si>
    <t>untreated</t>
  </si>
  <si>
    <t>Untreated &amp; eligible for treatment</t>
  </si>
  <si>
    <t>f0_pcr_d,f1_pcr_d,f2_pcr_d,f3_pcr_d,f4_pcr_d,dc_pcr_d,hcc_pcr_d, treated1_fail</t>
  </si>
  <si>
    <t>untreated_tot</t>
  </si>
  <si>
    <t>Untreated and pcr diagnosed</t>
  </si>
  <si>
    <t>untreated, undiag_pcr_ltfu</t>
  </si>
  <si>
    <t>untreated_f0_prop</t>
  </si>
  <si>
    <t>Untreated f0 proportion</t>
  </si>
  <si>
    <t>untreated_f0fail_prop</t>
  </si>
  <si>
    <t>Untreated f0 failed tx 1 proportion</t>
  </si>
  <si>
    <t>untreated_f1_prop</t>
  </si>
  <si>
    <t>Untreated f1 proportion</t>
  </si>
  <si>
    <t>untreated_f1fail_prop</t>
  </si>
  <si>
    <t>Untreated f1 failed tx 1 proportion</t>
  </si>
  <si>
    <t>untreated_f2_prop</t>
  </si>
  <si>
    <t>Untreated f2 proportion</t>
  </si>
  <si>
    <t>untreated_f2fail_prop</t>
  </si>
  <si>
    <t>Untreated f2 failed tx 1 proportion</t>
  </si>
  <si>
    <t>untreated_f3_prop</t>
  </si>
  <si>
    <t>Untreated f3 proportion</t>
  </si>
  <si>
    <t>untreated_f3fail_prop</t>
  </si>
  <si>
    <t>Untreated f3 failed tx 1 proportion</t>
  </si>
  <si>
    <t>untreated_f4_prop</t>
  </si>
  <si>
    <t>Untreated f4 proportion</t>
  </si>
  <si>
    <t>untreated_f4fail_prop</t>
  </si>
  <si>
    <t>Untreated f4 failed tx 1 proportion</t>
  </si>
  <si>
    <t>untreated_dc_prop</t>
  </si>
  <si>
    <t>Untreated dc proportion</t>
  </si>
  <si>
    <t>untreated_dcfail_prop</t>
  </si>
  <si>
    <t>Untreated dc failed tx 1 proportion</t>
  </si>
  <si>
    <t>untreated_hcc_prop</t>
  </si>
  <si>
    <t>Untreated hcc proportion</t>
  </si>
  <si>
    <t>untreated_hccfail_prop</t>
  </si>
  <si>
    <t>Untreated hcc failed tx 1 proportion</t>
  </si>
  <si>
    <t>untreated_f0f2_prop</t>
  </si>
  <si>
    <t>Untreated f0-f2 proportion</t>
  </si>
  <si>
    <t>f0_pcr_d, f1_pcr_d, f2_pcr_d</t>
  </si>
  <si>
    <t>untreated_f3f4_prop</t>
  </si>
  <si>
    <t>Untreated f3-f4 proportion</t>
  </si>
  <si>
    <t>f3_pcr_d, f4_pcr_d</t>
  </si>
  <si>
    <t>untreated_dchcc_prop</t>
  </si>
  <si>
    <t>Untreated dc-hcc proportion</t>
  </si>
  <si>
    <t>dc_pcr_d, hcc_pcr_d</t>
  </si>
  <si>
    <t>untreated_f0f2fail_prop</t>
  </si>
  <si>
    <t>Untreated f0-f2 failed tx 1 proportion</t>
  </si>
  <si>
    <t>f0_ft1, f1_ft1, f2_ft1</t>
  </si>
  <si>
    <t>untreated_f3f4fail_prop</t>
  </si>
  <si>
    <t>Untreated f3-f4 failed tx 1 proportion</t>
  </si>
  <si>
    <t>f3_ft1, f4_ft1</t>
  </si>
  <si>
    <t>untreated_dchccfail_prop</t>
  </si>
  <si>
    <t>Untreated dc-hcc failed tx 1 proportion</t>
  </si>
  <si>
    <t>dc_ft1, hcc_ft1</t>
  </si>
  <si>
    <t>untreated_f0f2all_prop</t>
  </si>
  <si>
    <t>Untreated f0-f2 total proportion</t>
  </si>
  <si>
    <t>f0_pcr_d, f1_pcr_d, f2_pcr_d, f0_ft1, f1_ft1, f2_ft1</t>
  </si>
  <si>
    <t>untreated_f3f4all_prop</t>
  </si>
  <si>
    <t>Untreated f3-f4 total proportion</t>
  </si>
  <si>
    <t>f3_pcr_d, f4_pcr_d, f3_ft1, f4_ft1</t>
  </si>
  <si>
    <t>untreated_dchccall_prop</t>
  </si>
  <si>
    <t>Untreated dc-hcc total proportion</t>
  </si>
  <si>
    <t>dc_pcr_d, dc_ft1, hcc_pcr_d, hcc_ft1</t>
  </si>
  <si>
    <t>ltfu_f0f2</t>
  </si>
  <si>
    <t>Number of lost to follow-up F0-F2</t>
  </si>
  <si>
    <t>f0_ab_ltfu,f0_pcr_ltfu,f0_ft1_ltfu,f1_ab_ltfu,f1_pcr_ltfu,f1_ft1_ltfu,f2_ab_ltfu,f2_pcr_ltfu,f2_ft1_ltfu</t>
  </si>
  <si>
    <t>ltfu_f3f4</t>
  </si>
  <si>
    <t>Number of lost to follow-up F3-F4</t>
  </si>
  <si>
    <t>f3_ab_ltfu,f3_pcr_ltfu,f3_ft1_ltfu,f4_ab_ltfu,f4_pcr_ltfu,f4_ft1_ltfu</t>
  </si>
  <si>
    <t>ltfu_dc</t>
  </si>
  <si>
    <t>Number of lost to follow-up DC</t>
  </si>
  <si>
    <t>dc_ab_ltfu,dc_pcr_ltfu,dc_ft1_ltfu</t>
  </si>
  <si>
    <t>ltfu_hcc</t>
  </si>
  <si>
    <t>Number of lost to follow-up HCC</t>
  </si>
  <si>
    <t>hcc_ab_ltfu,hcc_pcr_ltfu,hcc_ft1_ltfu</t>
  </si>
  <si>
    <t>ltfu_ab</t>
  </si>
  <si>
    <t>LTFU after Ab diagnosis</t>
  </si>
  <si>
    <t>f0_ab_ltfu, f1_ab_ltfu, f2_ab_ltfu, f3_ab_ltfu, f4_ab_ltfu, dc_ab_ltfu, hcc_ab_ltfu</t>
  </si>
  <si>
    <t>ltfu_pcr</t>
  </si>
  <si>
    <t>LTFU after RNA diagnosis</t>
  </si>
  <si>
    <t>f0_pcr_ltfu, f1_pcr_ltfu, f2_pcr_ltfu, f3_pcr_ltfu, f4_pcr_ltfu, dc_pcr_ltfu, hcc_pcr_ltfu</t>
  </si>
  <si>
    <t>ltfu_ft1</t>
  </si>
  <si>
    <t>LTFU after failed tx 1</t>
  </si>
  <si>
    <t>f0_ft1_ltfu, f1_ft1_ltfu, f2_ft1_ltfu, f3_ft1_ltfu, f4_ft1_ltfu, dc_ft1_ltfu, hcc_ft1_ltfu</t>
  </si>
  <si>
    <t>prop_ltfu_ab</t>
  </si>
  <si>
    <t>Proportion LTFU after Ab diagnosis</t>
  </si>
  <si>
    <t>prop_ltfu_pcr</t>
  </si>
  <si>
    <t>Proportion LTFU after RNA diagnosis</t>
  </si>
  <si>
    <t>prop_ltfu_tx</t>
  </si>
  <si>
    <t>Proportion LTFU after failed treatment 1</t>
  </si>
  <si>
    <t>fail1_f0</t>
  </si>
  <si>
    <t>Failed treatment 1 F0</t>
  </si>
  <si>
    <t>fail1_f1</t>
  </si>
  <si>
    <t>Failed treatment 1 F1</t>
  </si>
  <si>
    <t>fail1_f2</t>
  </si>
  <si>
    <t>Failed treatment 1 F2</t>
  </si>
  <si>
    <t>fail1_f3</t>
  </si>
  <si>
    <t>Failed treatment 1 F3</t>
  </si>
  <si>
    <t>fail1_f4</t>
  </si>
  <si>
    <t>Failed treatment 1 F4</t>
  </si>
  <si>
    <t>fail1_dc</t>
  </si>
  <si>
    <t>Failed treatment 1 DC</t>
  </si>
  <si>
    <t>fail1_hcc</t>
  </si>
  <si>
    <t>Failed treatment 1 HCC</t>
  </si>
  <si>
    <t>fail2_f0</t>
  </si>
  <si>
    <t>Failed treatment 2 F0</t>
  </si>
  <si>
    <t>fail2_f1</t>
  </si>
  <si>
    <t>Failed treatment 2 F1</t>
  </si>
  <si>
    <t>fail2_f2</t>
  </si>
  <si>
    <t>Failed treatment 2 F2</t>
  </si>
  <si>
    <t>fail2_f3</t>
  </si>
  <si>
    <t>Failed treatment 2 F3</t>
  </si>
  <si>
    <t>fail2_f4</t>
  </si>
  <si>
    <t>Failed treatment 2 F4</t>
  </si>
  <si>
    <t>fail2_dc</t>
  </si>
  <si>
    <t>Failed treatment 2 DC</t>
  </si>
  <si>
    <t>fail2_hcc</t>
  </si>
  <si>
    <t>Failed treatment 2 HCC</t>
  </si>
  <si>
    <t>undiag_f0</t>
  </si>
  <si>
    <t>Number undiagnosed F0</t>
  </si>
  <si>
    <t>undiag_f1</t>
  </si>
  <si>
    <t>Number undiagnosed F1</t>
  </si>
  <si>
    <t>undiag_f2</t>
  </si>
  <si>
    <t>Number undiagnosed F2</t>
  </si>
  <si>
    <t>undiag_f3</t>
  </si>
  <si>
    <t>Number undiagnosed F3</t>
  </si>
  <si>
    <t>undiag_f4</t>
  </si>
  <si>
    <t>Number undiagnosed F4</t>
  </si>
  <si>
    <t>undiag_dc</t>
  </si>
  <si>
    <t>Number undiagnosed DC</t>
  </si>
  <si>
    <t>undiag_hcc</t>
  </si>
  <si>
    <t>Number undiagnosed HCC</t>
  </si>
  <si>
    <t>undiag_acute</t>
  </si>
  <si>
    <t>Number undiagnosed acute</t>
  </si>
  <si>
    <t>ltfu_tx_f0</t>
  </si>
  <si>
    <t>LTFU failed tx 1 F0</t>
  </si>
  <si>
    <t>ltfu_tx_f1</t>
  </si>
  <si>
    <t>LTFU failed tx 1 F1</t>
  </si>
  <si>
    <t>ltfu_tx_f2</t>
  </si>
  <si>
    <t>LTFU failed tx 1 F2</t>
  </si>
  <si>
    <t>ltfu_tx_f3</t>
  </si>
  <si>
    <t>LTFU failed tx 1 F3</t>
  </si>
  <si>
    <t>ltfu_tx_f4</t>
  </si>
  <si>
    <t>LTFU failed tx 1 F4</t>
  </si>
  <si>
    <t>ltfu_tx_dc</t>
  </si>
  <si>
    <t>LTFU failed tx 1 DC</t>
  </si>
  <si>
    <t>ltfu_tx_hcc</t>
  </si>
  <si>
    <t>LTFU failed tx 1 HCC</t>
  </si>
  <si>
    <t>ltfu_ab_f0</t>
  </si>
  <si>
    <t>LTFU antibody test F0</t>
  </si>
  <si>
    <t>ltfu_ab_f1</t>
  </si>
  <si>
    <t>LTFU antibody test F1</t>
  </si>
  <si>
    <t>ltfu_ab_f2</t>
  </si>
  <si>
    <t>LTFU antibody test F2</t>
  </si>
  <si>
    <t>ltfu_ab_f3</t>
  </si>
  <si>
    <t>LTFU antibody test F3</t>
  </si>
  <si>
    <t>ltfu_ab_f4</t>
  </si>
  <si>
    <t>LTFU antibody test F4</t>
  </si>
  <si>
    <t>ltfu_ab_dc</t>
  </si>
  <si>
    <t>LTFU antibody test DC</t>
  </si>
  <si>
    <t>ltfu_ab_hcc</t>
  </si>
  <si>
    <t>LTFU antibody test HCC</t>
  </si>
  <si>
    <t>ltfu_pcr_f0</t>
  </si>
  <si>
    <t>LTFU PCR test F0</t>
  </si>
  <si>
    <t>ltfu_pcr_f1</t>
  </si>
  <si>
    <t>LTFU PCR test F1</t>
  </si>
  <si>
    <t>ltfu_pcr_f2</t>
  </si>
  <si>
    <t>LTFU PCR test F2</t>
  </si>
  <si>
    <t>ltfu_pcr_f3</t>
  </si>
  <si>
    <t>LTFU PCR test F3</t>
  </si>
  <si>
    <t>ltfu_pcr_f4</t>
  </si>
  <si>
    <t>LTFU PCR test F4</t>
  </si>
  <si>
    <t>ltfu_pcr_dc</t>
  </si>
  <si>
    <t>LTFU PCR test DC</t>
  </si>
  <si>
    <t>ltfu_pcr_hcc</t>
  </si>
  <si>
    <t>LTFU PCR test HCC</t>
  </si>
  <si>
    <t>prop_ltfu_ab_f0f2</t>
  </si>
  <si>
    <t>Proportion LTFU antibody test in F0-F2</t>
  </si>
  <si>
    <t>ltfu_ab_f0, ltfu_ab_f1, ltfu_ab_f2</t>
  </si>
  <si>
    <t>prop_ltfu_ab_f3</t>
  </si>
  <si>
    <t>Proportion LTFU antibody test in F3</t>
  </si>
  <si>
    <t>prop_ltfu_ab_f4</t>
  </si>
  <si>
    <t>Proportion LTFU antibody test in F4</t>
  </si>
  <si>
    <t>prop_ltfu_ab_dc</t>
  </si>
  <si>
    <t>Proportion LTFU antibody test in DC</t>
  </si>
  <si>
    <t>prop_ltfu_ab_hcc</t>
  </si>
  <si>
    <t>Proportion LTFU antibody test in HCC</t>
  </si>
  <si>
    <t>prop_ltfu_pcr_f0f2</t>
  </si>
  <si>
    <t>Proportion LTFU PCR test in F0-F2</t>
  </si>
  <si>
    <t>ltfu_pcr_f0, ltfu_pcr_f1, ltfu_pcr_f2</t>
  </si>
  <si>
    <t>prop_ltfu_pcr_f3</t>
  </si>
  <si>
    <t>Proportion LTFU PCR test in F3</t>
  </si>
  <si>
    <t>prop_ltfu_pcr_f4</t>
  </si>
  <si>
    <t>Proportion LTFU PCR test in F4</t>
  </si>
  <si>
    <t>prop_ltfu_pcr_dc</t>
  </si>
  <si>
    <t>Proportion LTFU PCR test in DC</t>
  </si>
  <si>
    <t>prop_ltfu_pcr_hcc</t>
  </si>
  <si>
    <t>Proportion LTFU PCR test in HCC</t>
  </si>
  <si>
    <t>prop_ltfu_ft1_f0f2</t>
  </si>
  <si>
    <t>Proportion LTFU after treatment 1 in F0-F2</t>
  </si>
  <si>
    <t>ltfu_tx_f0, ltfu_tx_f1, ltfu_tx_f2</t>
  </si>
  <si>
    <t>prop_ltfu_ft1_f3</t>
  </si>
  <si>
    <t>Proportion LTFU after treatment 1 in F3</t>
  </si>
  <si>
    <t>prop_ltfu_ft1_f4</t>
  </si>
  <si>
    <t>Proportion LTFU after treatment 1 in F4</t>
  </si>
  <si>
    <t>prop_ltfu_ft1_dc</t>
  </si>
  <si>
    <t>Proportion LTFU after treatment 1 in DC</t>
  </si>
  <si>
    <t>prop_ltfu_ft1_hcc</t>
  </si>
  <si>
    <t>Proportion LTFU after treatment 1 in HCC</t>
  </si>
  <si>
    <t>undiag_f0f2</t>
  </si>
  <si>
    <t>F0-F2 undiagnosed</t>
  </si>
  <si>
    <t>undiag_f0, undiag_f1, undiag_f2, f0_acute_uw, s0_uw</t>
  </si>
  <si>
    <t>prop_acute_undiagf0f2</t>
  </si>
  <si>
    <t>Proportion acute F0-F2 undiagnosed</t>
  </si>
  <si>
    <t>prop_sus_undiagf0f2</t>
  </si>
  <si>
    <t>Proportion susceptible F0-F2 undiagnosed</t>
  </si>
  <si>
    <t>prop_f0f2_undiagf0f2</t>
  </si>
  <si>
    <t>Proportion chronic F0-F2 undiagnosed</t>
  </si>
  <si>
    <t>undiag_f0, undiag_f1, undiag_f2</t>
  </si>
  <si>
    <t>prop_f0_undiagf0f2</t>
  </si>
  <si>
    <t>Proportion chronic F0 undiagnosed</t>
  </si>
  <si>
    <t>prop_f1_undiagf0f2</t>
  </si>
  <si>
    <t>Proportion chronic F1 undiagnosed</t>
  </si>
  <si>
    <t>prop_f2_undiagf0f2</t>
  </si>
  <si>
    <t>Proportion chronic F2 undiagnosed</t>
  </si>
  <si>
    <t>undiag_ltc</t>
  </si>
  <si>
    <t>Undiagnosed, lost to care</t>
  </si>
  <si>
    <t>f0_ud_ltc,f1_ud_ltc,f2_ud_ltc,f3_ud_ltc,f4_ud_ltc,dc_ud_ltc,hcc_ud_ltc</t>
  </si>
  <si>
    <t>undiag_ltc_f0</t>
  </si>
  <si>
    <t>Undiagnosed, lost to care f0</t>
  </si>
  <si>
    <t>undiag_ltc_f1</t>
  </si>
  <si>
    <t>Undiagnosed, lost to care f1</t>
  </si>
  <si>
    <t>undiag_ltc_f2</t>
  </si>
  <si>
    <t>Undiagnosed, lost to care f2</t>
  </si>
  <si>
    <t>undiag_ltc_f3</t>
  </si>
  <si>
    <t>Undiagnosed, lost to care f3</t>
  </si>
  <si>
    <t>undiag_ltc_f4</t>
  </si>
  <si>
    <t>Undiagnosed, lost to care f4</t>
  </si>
  <si>
    <t>undiag_ltc_dc</t>
  </si>
  <si>
    <t>Undiagnosed, lost to care dc</t>
  </si>
  <si>
    <t>undiag_ltc_hcc</t>
  </si>
  <si>
    <t>Undiagnosed, lost to care hcc</t>
  </si>
  <si>
    <t>undiag_prop_ltc_f0</t>
  </si>
  <si>
    <t>Undiagnosed, lost to care f0 proportion</t>
  </si>
  <si>
    <t>undiag_prop_ltc_f1</t>
  </si>
  <si>
    <t>Undiagnosed, lost to care f1 proportion</t>
  </si>
  <si>
    <t>undiag_prop_ltc_f2</t>
  </si>
  <si>
    <t>Undiagnosed, lost to care f2 proportion</t>
  </si>
  <si>
    <t>undiag_prop_ltc_f3</t>
  </si>
  <si>
    <t>Undiagnosed, lost to care f3 proportion</t>
  </si>
  <si>
    <t>undiag_prop_ltc_f4</t>
  </si>
  <si>
    <t>Undiagnosed, lost to care f4 proportion</t>
  </si>
  <si>
    <t>undiag_prop_ltc_dc</t>
  </si>
  <si>
    <t>Undiagnosed, lost to care dc proportion</t>
  </si>
  <si>
    <t>undiag_prop_ltc_hcc</t>
  </si>
  <si>
    <t>Undiagnosed, lost to care hcc proportion</t>
  </si>
  <si>
    <t>undiag_prop_ltc_check</t>
  </si>
  <si>
    <t>Check for undiag ltc</t>
  </si>
  <si>
    <t>undiag_all</t>
  </si>
  <si>
    <t>Undiagnosed</t>
  </si>
  <si>
    <t>undiag_chronic, undiag_ltc</t>
  </si>
  <si>
    <t>prop_undiag_all</t>
  </si>
  <si>
    <t>Undiagnosed (%)</t>
  </si>
  <si>
    <t>ab_test_j</t>
  </si>
  <si>
    <t>Antibody test junction</t>
  </si>
  <si>
    <t>f0_ab_ltfu_j, f1_ab_ltfu_j, f2_ab_ltfu_j, f3_ab_ltfu_j, f4_ab_ltfu_j, dc_ab_ltfu_j, hcc_ab_ltfu_j</t>
  </si>
  <si>
    <t>pcr_test_j</t>
  </si>
  <si>
    <t>PCR test junction</t>
  </si>
  <si>
    <t>f0_pcr_ltfu_j, f1_pcr_ltfu_j, f2_pcr_ltfu_j, f3_pcr_ltfu_j, f4_pcr_ltfu_j, dc_pcr_ltfu_j, hcc_pcr_ltfu_j</t>
  </si>
  <si>
    <t>Loss to follow-up rate on antibody test in F0-F2</t>
  </si>
  <si>
    <t>Loss to follow-up rate on PCR test in F0-F2</t>
  </si>
  <si>
    <t>Loss to follow-up rate after treatment initiation in F0-F2</t>
  </si>
  <si>
    <t>Loss to follow-up rate on antibody test in F3+</t>
  </si>
  <si>
    <t>Loss to follow-up rate on PCR test in F3+</t>
  </si>
  <si>
    <t>Loss to follow-up rate after treatment initiation in F3+</t>
  </si>
  <si>
    <t>Disease Burden</t>
  </si>
  <si>
    <t>sh_burden</t>
  </si>
  <si>
    <t>Number of treatments</t>
  </si>
  <si>
    <t>HCV-related deaths</t>
  </si>
  <si>
    <t>Chronic HCV infections</t>
  </si>
  <si>
    <t>Chronic HCV infections in F0-F2</t>
  </si>
  <si>
    <t>Chronic HCV infections in F3</t>
  </si>
  <si>
    <t>DC incidence</t>
  </si>
  <si>
    <t>HCC incidence</t>
  </si>
  <si>
    <t>Overall Indicators</t>
  </si>
  <si>
    <t>reengage_ab_f0f2_ab_ltfu</t>
  </si>
  <si>
    <t>reengage_ab_f3f4_ab_ltfu</t>
  </si>
  <si>
    <t>reengage_pcr_f0f2_rna_ltfu</t>
  </si>
  <si>
    <t>reengage_pcr_f3f4_rna_ltfu</t>
  </si>
  <si>
    <t>reengage_f0f2_ft1_ltfu</t>
  </si>
  <si>
    <t>reengage_f3f4_ft1_ltfu</t>
  </si>
  <si>
    <t>reengage_pcr_f0f2_ab_ltfu</t>
  </si>
  <si>
    <t>reengage_pcr_f3f4_ab_ltfu</t>
  </si>
  <si>
    <t>ltfu_f0f2_ab</t>
  </si>
  <si>
    <t>1-ltfu_f0f2_ab</t>
  </si>
  <si>
    <t>ltfu_f3f4_ab</t>
  </si>
  <si>
    <t>1-ltfu_f3f4_ab</t>
  </si>
  <si>
    <t>ltfu_f3f4_pcr</t>
  </si>
  <si>
    <t>1-ltfu_f3f4_pcr</t>
  </si>
  <si>
    <t>ltfu_f0f2_pcr</t>
  </si>
  <si>
    <t>1-ltfu_f0f2_pcr</t>
  </si>
  <si>
    <t>ltfu_f0f2_ft1</t>
  </si>
  <si>
    <t>1-ltfu_f0f2_ft1</t>
  </si>
  <si>
    <t>ltfu_f3f4_ft1</t>
  </si>
  <si>
    <t>1-ltfu_f3f4_ft1</t>
  </si>
  <si>
    <t>Re-engagement</t>
  </si>
  <si>
    <t>Antibody re-engagement in care, F0-F2, lost to follow-up after Ab test</t>
  </si>
  <si>
    <t>Antibody re-engagement in care, F3+, lost to follow-up after Ab test</t>
  </si>
  <si>
    <t>RNA re-engagement in care, F0-F2, lost to follow up after RNA test</t>
  </si>
  <si>
    <t>RNA re-engagement in care, F3+, lost to follow up after RNA test</t>
  </si>
  <si>
    <t>Re-engagement in care after treatment initiation, F0-F2</t>
  </si>
  <si>
    <t>Re-engagement in care after treatment initiation, F3+</t>
  </si>
  <si>
    <t>RNA re-engagement in care, F0-F2, lost to follow up after Ab test</t>
  </si>
  <si>
    <t>RNA re-engagement in care, F3+, lost to follow up after Ab test</t>
  </si>
  <si>
    <t>sh_infx</t>
  </si>
  <si>
    <t>Diagnosis</t>
  </si>
  <si>
    <t>sh_diag</t>
  </si>
  <si>
    <t>lt_total</t>
  </si>
  <si>
    <t>lt_m</t>
  </si>
  <si>
    <t>Modelled number of liver transplants</t>
  </si>
  <si>
    <t>dc_ltr:flow + hcc_ltr:flow</t>
  </si>
  <si>
    <t>Liver transplants due to HCV</t>
  </si>
  <si>
    <t>to_f4_m</t>
  </si>
  <si>
    <t>to_hcc_m</t>
  </si>
  <si>
    <t>Modelled number of transition to stage F4</t>
  </si>
  <si>
    <t>Modelled number of transition to stage HCC</t>
  </si>
  <si>
    <t>f3_f4_pr:flow</t>
  </si>
  <si>
    <t>f4_hcc_pr:flow + dc_hcc_pr:flow + s4_hcc:flow</t>
  </si>
  <si>
    <t>f0f2_ic</t>
  </si>
  <si>
    <t>f3_ic</t>
  </si>
  <si>
    <t>dc_ic</t>
  </si>
  <si>
    <t>hcc_ic</t>
  </si>
  <si>
    <t>f0_ic</t>
  </si>
  <si>
    <t>f1_ic</t>
  </si>
  <si>
    <t>f2_ic</t>
  </si>
  <si>
    <t>F0 in care</t>
  </si>
  <si>
    <t>F1 in care</t>
  </si>
  <si>
    <t>F2 in care</t>
  </si>
  <si>
    <t>F3 in care</t>
  </si>
  <si>
    <t>DC in care</t>
  </si>
  <si>
    <t>HCC in care</t>
  </si>
  <si>
    <t>F0-F2 in care</t>
  </si>
  <si>
    <t>f0_ab_d,f0_pcr_d,f0_t1,f0_ft1,f0_t2,f0_ft2</t>
  </si>
  <si>
    <t>f1_ab_d,f1_pcr_d,f1_t1,f1_ft1,f1_t2,f1_ft2</t>
  </si>
  <si>
    <t>f2_ab_d,f2_pcr_d,f2_t1,f2_ft1,f2_t2,f2_ft2</t>
  </si>
  <si>
    <t>f0_ic,f1_ic,f2_ic</t>
  </si>
  <si>
    <t>f4_ab_d,f4_pcr_d,f4_t1,f4_ft1,f4_t2,f4_ft2</t>
  </si>
  <si>
    <t>f3_ab_d,f3_pcr_d,f3_t1,f3_ft1,f3_t2,f3_ft2</t>
  </si>
  <si>
    <t>dc_ab_d,dc_pcr_d,dc_t1,dc_ft1,dc_t2,dc_ft2</t>
  </si>
  <si>
    <t>hcc_ab_d,hcc_pcr_d,hcc_t1,hcc_ft1,hcc_t2,hcc_ft2</t>
  </si>
  <si>
    <t>f4_ic</t>
  </si>
  <si>
    <t>F4 in care</t>
  </si>
  <si>
    <t>tx1_f0</t>
  </si>
  <si>
    <t>tx1_f1</t>
  </si>
  <si>
    <t>tx1_f2</t>
  </si>
  <si>
    <t>tx1_f3</t>
  </si>
  <si>
    <t>tx1_f4</t>
  </si>
  <si>
    <t>tx1_dc</t>
  </si>
  <si>
    <t>tx1_hcc</t>
  </si>
  <si>
    <t>tx2_f0</t>
  </si>
  <si>
    <t>tx2_f1</t>
  </si>
  <si>
    <t>tx2_f2</t>
  </si>
  <si>
    <t>tx2_f4</t>
  </si>
  <si>
    <t>tx2_dc</t>
  </si>
  <si>
    <t>tx2_hcc</t>
  </si>
  <si>
    <t>tx2_f3</t>
  </si>
  <si>
    <t>On treatment 1 F0</t>
  </si>
  <si>
    <t>On treatment 1 F1</t>
  </si>
  <si>
    <t>On treatment 1 F2</t>
  </si>
  <si>
    <t>On treatment 1 F3</t>
  </si>
  <si>
    <t>On treatment 1 F4</t>
  </si>
  <si>
    <t>On treatment 2 F0</t>
  </si>
  <si>
    <t>On treatment 2 F1</t>
  </si>
  <si>
    <t>On treatment 2 F2</t>
  </si>
  <si>
    <t>On treatment 2 F3</t>
  </si>
  <si>
    <t>On treatment 2 F4</t>
  </si>
  <si>
    <t>On treatment 2 DC</t>
  </si>
  <si>
    <t>On treatment 2 HCC</t>
  </si>
  <si>
    <t>On treatment 1 DC</t>
  </si>
  <si>
    <t>On treatment 1 HCC</t>
  </si>
  <si>
    <t>hcv_inci_total</t>
  </si>
  <si>
    <t>HCV incidence</t>
  </si>
  <si>
    <t>undiag_ab_rna</t>
  </si>
  <si>
    <t>Undiagnosed Ab or RNA</t>
  </si>
  <si>
    <t>undiag_all, undiag_pcr_tot</t>
  </si>
  <si>
    <t>sus_deaths</t>
  </si>
  <si>
    <t>Deaths from susceptible compartments</t>
  </si>
  <si>
    <t>s0_abneg:dead_all+s0_aw:dead_all+s0:dead_all+s1:dead_all+s2:dead_all+s3:dead_all+s4:dead_all+sdc:dead_all+shcc:dead_all+sdc:dead_dc+shcc:dead_hcc</t>
  </si>
  <si>
    <t>all_deaths</t>
  </si>
  <si>
    <t>All deaths (HCV + non-HCV)</t>
  </si>
  <si>
    <t>acute_deaths</t>
  </si>
  <si>
    <t>Deaths from acute compartments</t>
  </si>
  <si>
    <t>lt_deaths</t>
  </si>
  <si>
    <t>Deaths from liver transplant compartments</t>
  </si>
  <si>
    <t>dc_lt1:dead_all+dc_lt2:dead_all+hcc_lt1:dead_all+hcc_lt2:dead_all</t>
  </si>
  <si>
    <t>f0_acute:dead_all+f1_acute:dead_all+f2_acute:dead_all+f3_acute:dead_all+f4_acute:dead_all+dc_acute:dead_all+hcc_acute:dead_all+dc_acute:dead_dc+hcc_acute:dead_hcc</t>
  </si>
  <si>
    <t>chronic_deaths</t>
  </si>
  <si>
    <t>Deaths from chronic compartments</t>
  </si>
  <si>
    <t>cc_plhcv</t>
  </si>
  <si>
    <t>sh_cc</t>
  </si>
  <si>
    <t>cc_RNA_tested</t>
  </si>
  <si>
    <t>RNA tested</t>
  </si>
  <si>
    <t>cc_treated_12_mths</t>
  </si>
  <si>
    <t>Treated in the last 12 months</t>
  </si>
  <si>
    <t>cc_cured</t>
  </si>
  <si>
    <t>Care Cascade</t>
  </si>
  <si>
    <t>infx_primary</t>
  </si>
  <si>
    <t>Force of Infection constant (re-infection)</t>
  </si>
  <si>
    <t>infx_pwid_primary</t>
  </si>
  <si>
    <t>Infectivity among PWID (primary infection)</t>
  </si>
  <si>
    <t>Infectivity among PWID (re-infection)</t>
  </si>
  <si>
    <t>Force of Infection (primary infection)</t>
  </si>
  <si>
    <t>Force of Infection (re-infection)</t>
  </si>
  <si>
    <t>foi_primary</t>
  </si>
  <si>
    <t>SRC_POP_AVG(foi_primary, idu, alive)</t>
  </si>
  <si>
    <t>infx_reinfection</t>
  </si>
  <si>
    <t>foi_reinfection</t>
  </si>
  <si>
    <t>SRC_POP_AVG(foi_reinfection, idu, alive)</t>
  </si>
  <si>
    <t>infx_primary*prevalence</t>
  </si>
  <si>
    <t>prevalence</t>
  </si>
  <si>
    <t>treatments</t>
  </si>
  <si>
    <t>Treatment initiations (first treatment)</t>
  </si>
  <si>
    <t>Treatment initiations (re-treatment due to failure)</t>
  </si>
  <si>
    <t>prop_chronic:flow</t>
  </si>
  <si>
    <t>Modelled incidence (chronic)</t>
  </si>
  <si>
    <t>inci_all_m</t>
  </si>
  <si>
    <t>New infections (primary)</t>
  </si>
  <si>
    <t>Modelled incidence (acute)</t>
  </si>
  <si>
    <t>retreat_prop</t>
  </si>
  <si>
    <t>treatments*retreat_prop</t>
  </si>
  <si>
    <t>treatments*(1-retreat_prop)</t>
  </si>
  <si>
    <t>Proportion of treatments that are retreatments due to failure</t>
  </si>
  <si>
    <t>dead_f4</t>
  </si>
  <si>
    <t>Death: Cirrhosis</t>
  </si>
  <si>
    <t>death_f4</t>
  </si>
  <si>
    <t>F4 death rate</t>
  </si>
  <si>
    <t>sdc_relapse</t>
  </si>
  <si>
    <t>shcc_relapse</t>
  </si>
  <si>
    <t>Susceptible DC relapse rate</t>
  </si>
  <si>
    <t>Susceptible HCC relapse rate</t>
  </si>
  <si>
    <t>tx*f0_pcr_d/pcr</t>
  </si>
  <si>
    <t>tx*f1_pcr_d/pcr</t>
  </si>
  <si>
    <t>tx*f2_pcr_d/pcr</t>
  </si>
  <si>
    <t>tx*f3_pcr_d/pcr</t>
  </si>
  <si>
    <t>tx*f4_pcr_d/pcr</t>
  </si>
  <si>
    <t>tx*dc_pcr_d/pcr</t>
  </si>
  <si>
    <t>tx*hcc_pcr_d/pcr</t>
  </si>
  <si>
    <t>tx_fail*f0_pcr_d/pcr</t>
  </si>
  <si>
    <t>tx_fail*f1_pcr_d/pcr</t>
  </si>
  <si>
    <t>tx_fail*f2_pcr_d/pcr</t>
  </si>
  <si>
    <t>tx_fail*f3_pcr_d/pcr</t>
  </si>
  <si>
    <t>tx_fail*f4_pcr_d/pcr</t>
  </si>
  <si>
    <t>tx_fail*dc_pcr_d/pcr</t>
  </si>
  <si>
    <t>tx_fail*hcc_pcr_d/pcr</t>
  </si>
  <si>
    <t>Incidence per 100 person-years</t>
  </si>
  <si>
    <t>sus_all</t>
  </si>
  <si>
    <t>Susceptible (all)</t>
  </si>
  <si>
    <t>sus, sus_abneg</t>
  </si>
  <si>
    <t>100*inci_all_m/max(sus_all,1e-15)</t>
  </si>
  <si>
    <t>inci_100py</t>
  </si>
  <si>
    <t>Modelled number of antibody diagnosis notifications including acute and susceptible</t>
  </si>
  <si>
    <t>test_re_pcr</t>
  </si>
  <si>
    <t>notifications_m</t>
  </si>
  <si>
    <t>Modelled number of notifications</t>
  </si>
  <si>
    <t>prop_chronic*((s0_aw:f0_acute+s0:f0_acute+s1:f1_acute+s2:f2_acute)*test_pcr_f0f2_ab_ic+(s3:f3_acute+s4:f4_acute+sdc:dc_acute+shcc:hcc_acute)*test_pcr_f3f4_ab_ic)+test_pcr_f0f2_und_nic:flow+test_pcr_f3f4_und_nic:flow</t>
  </si>
  <si>
    <t>dc_total</t>
  </si>
  <si>
    <t>deaths_all + deaths_hcv</t>
  </si>
  <si>
    <t>deaths_all_total</t>
  </si>
  <si>
    <t>All-cause deaths (18+)</t>
  </si>
  <si>
    <t>ab_notif_total</t>
  </si>
  <si>
    <t>treat_total</t>
  </si>
  <si>
    <t>deaths_hcv + deaths_all</t>
  </si>
  <si>
    <t>chronic,acute</t>
  </si>
  <si>
    <t>Living with HCV</t>
  </si>
  <si>
    <t>d_cirrhosis</t>
  </si>
  <si>
    <t>hcc_total</t>
  </si>
  <si>
    <t>Chronic HCV infections in HCC</t>
  </si>
  <si>
    <t>Positive antibody tests</t>
  </si>
  <si>
    <t>plhcv_total</t>
  </si>
  <si>
    <t>Total number of people living with HCV</t>
  </si>
  <si>
    <t>s4_dc:flow + f4_dc_pr:flow + sdc_relapse:flow</t>
  </si>
  <si>
    <t>dc_hcc_pr:flow + f4_hcc_pr:flow + s4_hcc:flow + shcc_relapse:flow</t>
  </si>
  <si>
    <t>:dead_f4 + :dead_dc + :dead_hcc + :dead_lt1 + :dead_lt2</t>
  </si>
  <si>
    <t>Immigration</t>
  </si>
  <si>
    <t>emig_r</t>
  </si>
  <si>
    <t>Emigration rate</t>
  </si>
  <si>
    <t>mig_r</t>
  </si>
  <si>
    <t>Net migration rate</t>
  </si>
  <si>
    <t>max(mig_r,0)*alive</t>
  </si>
  <si>
    <t>min(mig_r,0)*-1</t>
  </si>
  <si>
    <t>immi</t>
  </si>
  <si>
    <t>Source: Immigration</t>
  </si>
  <si>
    <t>emig</t>
  </si>
  <si>
    <t>Sink: Emigration</t>
  </si>
  <si>
    <t>Source: Live births</t>
  </si>
  <si>
    <t>birth</t>
  </si>
  <si>
    <t>immi_nb</t>
  </si>
  <si>
    <t>birth_nb</t>
  </si>
  <si>
    <t>Number of live births</t>
  </si>
  <si>
    <t>d_cirrhosis,cancer</t>
  </si>
  <si>
    <t>fibrosis,d_cirrhosis,cancer</t>
  </si>
  <si>
    <t>percent_diagnosed</t>
  </si>
  <si>
    <t>treat_overall</t>
  </si>
  <si>
    <t>abpos,pcr,treated,ltfu,treated_fail</t>
  </si>
  <si>
    <t>Percent diagnosed Ab or RNA (ever)</t>
  </si>
  <si>
    <t>prop_treat_pre2015</t>
  </si>
  <si>
    <t>Proportion of treatments allocated to each population pre-DAA</t>
  </si>
  <si>
    <t>prop_treat_post2015</t>
  </si>
  <si>
    <t>Proportion of treatments allocated to each population post-DAA</t>
  </si>
  <si>
    <t>Number of treatments per population group (intermediate calculation step)</t>
  </si>
  <si>
    <t>f4_dc_pr*0.26</t>
  </si>
  <si>
    <t>f4_hcc_pr*0.29</t>
  </si>
  <si>
    <t>diag_nb_total</t>
  </si>
  <si>
    <t>Total number of diagnoses</t>
  </si>
  <si>
    <t>Antibody diagnosed</t>
  </si>
  <si>
    <t>RNA diagnosed</t>
  </si>
  <si>
    <t>sh_other</t>
  </si>
  <si>
    <t>Other intermediate pars</t>
  </si>
  <si>
    <t>mult_prog</t>
  </si>
  <si>
    <t>f0_f1_pr_1</t>
  </si>
  <si>
    <t>f1_f2_pr_1</t>
  </si>
  <si>
    <t>f2_f3_pr_1</t>
  </si>
  <si>
    <t>f3_f4_pr_1</t>
  </si>
  <si>
    <t>f4_dc_pr_1</t>
  </si>
  <si>
    <t>f4_hcc_pr_1</t>
  </si>
  <si>
    <t>sdc_relapse_1</t>
  </si>
  <si>
    <t>shcc_relapse_1</t>
  </si>
  <si>
    <t>dc_hcc_pr_1</t>
  </si>
  <si>
    <t>f0_f1_pr_1*mult_prog</t>
  </si>
  <si>
    <t>f1_f2_pr_1*mult_prog</t>
  </si>
  <si>
    <t>f2_f3_pr_1*mult_prog</t>
  </si>
  <si>
    <t>f3_f4_pr_1*mult_prog</t>
  </si>
  <si>
    <t>f4_dc_pr_1*mult_prog</t>
  </si>
  <si>
    <t>f4_hcc_pr_1*mult_prog</t>
  </si>
  <si>
    <t>sdc_relapse_1*mult_prog</t>
  </si>
  <si>
    <t>shcc_relapse_1*mult_prog</t>
  </si>
  <si>
    <t>dc_hcc_pr_1*mult_prog</t>
  </si>
  <si>
    <t>mult_death</t>
  </si>
  <si>
    <t>Multiplier for death rates (intermediate step for calibration)</t>
  </si>
  <si>
    <t>Multiplier for progression rates (intermediate step for calibration)</t>
  </si>
  <si>
    <t>death_f4_1</t>
  </si>
  <si>
    <t>death_dc_1</t>
  </si>
  <si>
    <t>death_hcc_1</t>
  </si>
  <si>
    <t>death_lt1_1</t>
  </si>
  <si>
    <t>death_lt2_1</t>
  </si>
  <si>
    <t>death_f4_1*mult_death</t>
  </si>
  <si>
    <t>death_dc_1*mult_death</t>
  </si>
  <si>
    <t>death_hcc_1*mult_death</t>
  </si>
  <si>
    <t>death_lt1_1*mult_death</t>
  </si>
  <si>
    <t>death_lt2_1*mult_death</t>
  </si>
  <si>
    <t>F0 to F1 progression rate (intermediate step)</t>
  </si>
  <si>
    <t>F1 to F2 progression rate (intermediate step)</t>
  </si>
  <si>
    <t>F2 to F3 progression rate (intermediate step)</t>
  </si>
  <si>
    <t>F3 to F4 progression rate (intermediate step)</t>
  </si>
  <si>
    <t>F4 to DC progression rate (intermediate step)</t>
  </si>
  <si>
    <t>F4 to HCC progression rate (intermediate step)</t>
  </si>
  <si>
    <t>Susceptible DC relapse rate (intermediate step)</t>
  </si>
  <si>
    <t>Susceptible HCC relapse rate (intermediate step)</t>
  </si>
  <si>
    <t>DC to HCC progression rate (intermediate step)</t>
  </si>
  <si>
    <t>F4 death rate (intermediate step)</t>
  </si>
  <si>
    <t>DC death rate (intermediate step)</t>
  </si>
  <si>
    <t>HCC death rate (intermediate step)</t>
  </si>
  <si>
    <t>Liver Transplant in Year 1 death rate (intermediate step)</t>
  </si>
  <si>
    <t>Liver Transplant 2+ Years Ago death rate (intermediate step)</t>
  </si>
  <si>
    <t>test_ab_f0f2_und_ic_1</t>
  </si>
  <si>
    <t>test_ab_f3f4_und_ic_1</t>
  </si>
  <si>
    <t>test_pcr_f0f2_ab_ic_1</t>
  </si>
  <si>
    <t>test_pcr_f3f4_ab_ic_1</t>
  </si>
  <si>
    <t>Antibody testing rate in F0-F2, undiagnosed, in care (intermediate step)</t>
  </si>
  <si>
    <t>Antibody testing rate in F3+, undiagnosed, in care (intermediate step)</t>
  </si>
  <si>
    <t>RNA testing rate in F0-F2, Ab diagnosed, in care (intermediate step)</t>
  </si>
  <si>
    <t>RNA testing rate in F3+, Ab diagnosed, in care (intermediate step)</t>
  </si>
  <si>
    <t>HCV framework vaccinated</t>
  </si>
  <si>
    <t>#ignore</t>
  </si>
  <si>
    <t>Vaccinated compartment transitions</t>
  </si>
  <si>
    <t>sh_vax</t>
  </si>
  <si>
    <t>Vaccine parameters</t>
  </si>
  <si>
    <t>vaccine_uptake</t>
  </si>
  <si>
    <t>vaccine_waning</t>
  </si>
  <si>
    <t>s0_vax</t>
  </si>
  <si>
    <t>s1_vax</t>
  </si>
  <si>
    <t>s2_vax</t>
  </si>
  <si>
    <t>s4_vax</t>
  </si>
  <si>
    <t>s3_vax</t>
  </si>
  <si>
    <t>sdc_vax</t>
  </si>
  <si>
    <t>shcc_vax</t>
  </si>
  <si>
    <t>Vaccinated to non-vaccinated transitions (waning immunity)</t>
  </si>
  <si>
    <t>s0_abneg_vax</t>
  </si>
  <si>
    <t>f0_acute_uw_vax</t>
  </si>
  <si>
    <t>s0_uw_vax</t>
  </si>
  <si>
    <t>s0_aw_vax</t>
  </si>
  <si>
    <t>f0_acute_aw_vax</t>
  </si>
  <si>
    <t>f0_ab_ud_vax</t>
  </si>
  <si>
    <t>f0_ud_ltc_vax</t>
  </si>
  <si>
    <t>f0_ab_ltfu_vax</t>
  </si>
  <si>
    <t>f0_ab_d_vax</t>
  </si>
  <si>
    <t>f0_pcr_ltfu_vax</t>
  </si>
  <si>
    <t>f0_pcr_d_vax</t>
  </si>
  <si>
    <t>f0_t1_vax</t>
  </si>
  <si>
    <t>f0_ft1_vax</t>
  </si>
  <si>
    <t>f0_ft1_ltfu_vax</t>
  </si>
  <si>
    <t>f0_acute_vax</t>
  </si>
  <si>
    <t>f0_t2_vax</t>
  </si>
  <si>
    <t>f0_ft2_vax</t>
  </si>
  <si>
    <t>f1_ab_ud_vax</t>
  </si>
  <si>
    <t>f1_ud_ltc_vax</t>
  </si>
  <si>
    <t>f1_ab_ltfu_vax</t>
  </si>
  <si>
    <t>f1_ab_d_vax</t>
  </si>
  <si>
    <t>f1_pcr_ltfu_vax</t>
  </si>
  <si>
    <t>f1_pcr_d_vax</t>
  </si>
  <si>
    <t>f1_t1_vax</t>
  </si>
  <si>
    <t>f1_ft1_vax</t>
  </si>
  <si>
    <t>f1_ft1_ltfu_vax</t>
  </si>
  <si>
    <t>f1_acute_vax</t>
  </si>
  <si>
    <t>f1_t2_vax</t>
  </si>
  <si>
    <t>f1_ft2_vax</t>
  </si>
  <si>
    <t>f2_ab_ud_vax</t>
  </si>
  <si>
    <t>f2_ud_ltc_vax</t>
  </si>
  <si>
    <t>f2_ab_ltfu_vax</t>
  </si>
  <si>
    <t>f2_ab_d_vax</t>
  </si>
  <si>
    <t>f2_pcr_ltfu_vax</t>
  </si>
  <si>
    <t>f2_pcr_d_vax</t>
  </si>
  <si>
    <t>f2_t1_vax</t>
  </si>
  <si>
    <t>f2_ft1_vax</t>
  </si>
  <si>
    <t>f2_ft1_ltfu_vax</t>
  </si>
  <si>
    <t>f2_acute_vax</t>
  </si>
  <si>
    <t>f2_t2_vax</t>
  </si>
  <si>
    <t>f2_ft2_vax</t>
  </si>
  <si>
    <t>f3_ab_ud_vax</t>
  </si>
  <si>
    <t>f3_ud_ltc_vax</t>
  </si>
  <si>
    <t>f3_ab_ltfu_vax</t>
  </si>
  <si>
    <t>f3_ab_d_vax</t>
  </si>
  <si>
    <t>f3_pcr_ltfu_vax</t>
  </si>
  <si>
    <t>f3_pcr_d_vax</t>
  </si>
  <si>
    <t>f3_t1_vax</t>
  </si>
  <si>
    <t>f3_ft1_vax</t>
  </si>
  <si>
    <t>f3_ft1_ltfu_vax</t>
  </si>
  <si>
    <t>f3_acute_vax</t>
  </si>
  <si>
    <t>f3_t2_vax</t>
  </si>
  <si>
    <t>f3_ft2_vax</t>
  </si>
  <si>
    <t>f4_ab_ud_vax</t>
  </si>
  <si>
    <t>f4_ud_ltc_vax</t>
  </si>
  <si>
    <t>f4_ab_ltfu_vax</t>
  </si>
  <si>
    <t>f4_ab_d_vax</t>
  </si>
  <si>
    <t>f4_pcr_ltfu_vax</t>
  </si>
  <si>
    <t>f4_pcr_d_vax</t>
  </si>
  <si>
    <t>f4_t1_vax</t>
  </si>
  <si>
    <t>f4_ft1_vax</t>
  </si>
  <si>
    <t>f4_ft1_ltfu_vax</t>
  </si>
  <si>
    <t>f4_acute_vax</t>
  </si>
  <si>
    <t>f4_t2_vax</t>
  </si>
  <si>
    <t>f4_ft2_vax</t>
  </si>
  <si>
    <t>dc_ab_ud_vax</t>
  </si>
  <si>
    <t>dc_ud_ltc_vax</t>
  </si>
  <si>
    <t>dc_ab_ltfu_vax</t>
  </si>
  <si>
    <t>dc_ab_d_vax</t>
  </si>
  <si>
    <t>dc_pcr_ltfu_vax</t>
  </si>
  <si>
    <t>dc_pcr_d_vax</t>
  </si>
  <si>
    <t>dc_t1_vax</t>
  </si>
  <si>
    <t>dc_ft1_vax</t>
  </si>
  <si>
    <t>dc_ft1_ltfu_vax</t>
  </si>
  <si>
    <t>dc_acute_vax</t>
  </si>
  <si>
    <t>dc_t2_vax</t>
  </si>
  <si>
    <t>dc_ft2_vax</t>
  </si>
  <si>
    <t>dc_lt1_vax</t>
  </si>
  <si>
    <t>dc_lt2_vax</t>
  </si>
  <si>
    <t>hcc_ab_ud_vax</t>
  </si>
  <si>
    <t>hcc_ud_ltc_vax</t>
  </si>
  <si>
    <t>hcc_ab_ltfu_vax</t>
  </si>
  <si>
    <t>hcc_ab_d_vax</t>
  </si>
  <si>
    <t>hcc_pcr_ltfu_vax</t>
  </si>
  <si>
    <t>hcc_pcr_d_vax</t>
  </si>
  <si>
    <t>hcc_t1_vax</t>
  </si>
  <si>
    <t>hcc_ft1_vax</t>
  </si>
  <si>
    <t>hcc_ft1_ltfu_vax</t>
  </si>
  <si>
    <t>hcc_acute_vax</t>
  </si>
  <si>
    <t>hcc_t2_vax</t>
  </si>
  <si>
    <t>hcc_ft2_vax</t>
  </si>
  <si>
    <t>hcc_lt1_vax</t>
  </si>
  <si>
    <t>hcc_lt2_vax</t>
  </si>
  <si>
    <t>vaccine_prop_clear</t>
  </si>
  <si>
    <t>vaccine_prop_chronic</t>
  </si>
  <si>
    <t>Vaccine: duration for waning effectiveness</t>
  </si>
  <si>
    <t>Vaccine: proportion of HCV infections spontaneously clearing</t>
  </si>
  <si>
    <t>1-vaccine_prop_clear</t>
  </si>
  <si>
    <t>vaccine_clear_dur</t>
  </si>
  <si>
    <t>Vaccine: duration for spontaneous viral clearance</t>
  </si>
  <si>
    <t>Vaccine: vaccination uptake</t>
  </si>
  <si>
    <t>Vaccine: proportion of acute HCV infections turned chronic</t>
  </si>
  <si>
    <t>acute,chronic,acute_vax,chronic_vax</t>
  </si>
  <si>
    <t>f0_ud_ltc_vax,f0_ab_ud_vax,f0_ab_d_vax,f0_ab_ltfu_vax,f0_pcr_d_vax,f0_pcr_ltfu_vax,f0_t1_vax,f0_ft1_vax,f0_ft1_ltfu_vax,f0_t2_vax,f0_ft2_vax</t>
  </si>
  <si>
    <t>f1_ud_ltc_vax,f1_ab_ud_vax,f1_ab_d_vax,f1_ab_ltfu_vax,f1_pcr_d_vax,f1_pcr_ltfu_vax,f1_t1_vax,f1_ft1_vax,f1_ft1_ltfu_vax,f1_t2_vax,f1_ft2_vax</t>
  </si>
  <si>
    <t>f2_ud_ltc_vax,f2_ab_ud_vax,f2_ab_d_vax,f2_ab_ltfu_vax,f2_pcr_d_vax,f2_pcr_ltfu_vax,f2_t1_vax,f2_ft1_vax,f2_ft1_ltfu_vax,f2_t2_vax,f2_ft2_vax</t>
  </si>
  <si>
    <t>f0_vax,f1_vax,f2_vax</t>
  </si>
  <si>
    <t>f3_ud_ltc_vax,f3_ab_ud_vax,f3_ab_d_vax,f3_ab_ltfu_vax,f3_pcr_d_vax,f3_pcr_ltfu_vax,f3_t1_vax,f3_ft1_vax,f3_ft1_ltfu_vax,f3_t2_vax,f3_ft2_vax</t>
  </si>
  <si>
    <t>f4_ud_ltc_vax,f4_ab_ud_vax,f4_ab_d_vax,f4_ab_ltfu_vax,f4_pcr_d_vax,f4_pcr_ltfu_vax,f4_t1_vax,f4_ft1_vax,f4_ft1_ltfu_vax,f4_t2_vax,f4_ft2_vax</t>
  </si>
  <si>
    <t>f3_vax,f4_vax</t>
  </si>
  <si>
    <t>f0f2_vax,f3_vax,f4_vax</t>
  </si>
  <si>
    <t>dc_ud_ltc_vax,dc_ab_ud_vax,dc_ab_d_vax,dc_ab_ltfu_vax,dc_pcr_d_vax,dc_pcr_ltfu_vax,dc_t1_vax,dc_ft1_vax,dc_ft1_ltfu_vax,dc_t2_vax,dc_ft2_vax</t>
  </si>
  <si>
    <t>hcc_ud_ltc_vax,hcc_ab_ud_vax,hcc_ab_d_vax,hcc_ab_ltfu_vax,hcc_pcr_d_vax,hcc_pcr_ltfu_vax,hcc_t1_vax,hcc_ft1_vax,hcc_ft1_ltfu_vax,hcc_t2_vax,hcc_ft2_vax</t>
  </si>
  <si>
    <t>d_cirrhosis_vax,cancer_vax</t>
  </si>
  <si>
    <t>f0_acute_uw_vax,f0_acute_aw_vax,f0_acute_vax,f1_acute_vax,f2_acute_vax,f3_acute_vax,f4_acute_vax,dc_acute_vax,hcc_acute_vax</t>
  </si>
  <si>
    <t>fibrosis_vax,d_cirrhosis_vax,cancer_vax</t>
  </si>
  <si>
    <t>s0_uw_vax,s0_aw_vax,s0_vax,s1_vax,s2_vax,s3_vax,s4_vax,sdc_vax,shcc_vax</t>
  </si>
  <si>
    <t>s0_vax,s1_vax,s2_vax,s3_vax,s4_vax,sdc_vax,shcc_vax</t>
  </si>
  <si>
    <t>sus_vax, sus_abneg_vax</t>
  </si>
  <si>
    <t>chronic,acute,sus,sus_abneg,chronic_vax,acute_vax,sus_vax,sus_abneg_vax</t>
  </si>
  <si>
    <t>chronic,acute,chronic_vax,acute_vax</t>
  </si>
  <si>
    <t>tx_f0:flow+tx_f0_fail:flow+tx_f1:flow+tx_f1_fail:flow+tx_f2:flow+tx_f2_fail:flow+tx_f3:flow+tx_f3_fail:flow+tx_f4:flow+tx_f4_fail:flow+tx_dc:flow+tx_dc_fail:flow+tx_hcc:flow+tx_hcc_fail:flow</t>
  </si>
  <si>
    <t>test_re_pcr_vax</t>
  </si>
  <si>
    <t>Re-RNA diagnosis (vaccinated)</t>
  </si>
  <si>
    <t>ab_all_m + test_re_pcr + test_re_pcr_vax</t>
  </si>
  <si>
    <t>f0f2,f0f2_vax</t>
  </si>
  <si>
    <t>f3,f3_vax</t>
  </si>
  <si>
    <t>f4,f4_vax</t>
  </si>
  <si>
    <t>d_cirrhosis,d_cirrhosis_vax</t>
  </si>
  <si>
    <t>cancer,cancer_vax</t>
  </si>
  <si>
    <t>vaccine_prop_chronic*((s0_aw_vax:f0_acute_vax+s0_vax:f0_acute_vax+s1_vax:f1_acute_vax+s2_vax:f2_acute_vax)*test_pcr_f0f2_ab_ic+(s3_vax:f3_acute_vax+s4_vax:f4_acute_vax+sdc_vax:dc_acute_vax+shcc_vax:hcc_acute_vax)*test_pcr_f3f4_ab_ic)</t>
  </si>
  <si>
    <t>f0_ab_ud,f1_ab_ud,f2_ab_ud,f3_ab_ud,f4_ab_ud,dc_ab_ud,hcc_ab_ud,f0_ab_ud_vax,f1_ab_ud_vax,f2_ab_ud_vax,f3_ab_ud_vax,f4_ab_ud_vax,dc_ab_ud_vax,hcc_ab_ud_vax</t>
  </si>
  <si>
    <t>f0_ud_ltc,f1_ud_ltc,f2_ud_ltc,f3_ud_ltc,f4_ud_ltc,dc_ud_ltc,hcc_ud_ltc, f0_ud_ltc_vax,f1_ud_ltc_vax,f2_ud_ltc_vax,f3_ud_ltc_vax,f4_ud_ltc_vax,dc_ud_ltc_vax,hcc_ud_ltc_vax</t>
  </si>
  <si>
    <t>f0_ab_d,f1_ab_d,f2_ab_d,f3_ab_d,f4_ab_d,dc_ab_d,hcc_ab_d, f0_ab_d_vax,f1_ab_d_vax,f2_ab_d_vax,f3_ab_d_vax,f4_ab_d_vax,dc_ab_d_vax,hcc_ab_d_vax</t>
  </si>
  <si>
    <t>f0_pcr_d,f1_pcr_d,f2_pcr_d,f3_pcr_d,f4_pcr_d,dc_pcr_d,hcc_pcr_d, f0_pcr_d_vax,f1_pcr_d_vax,f2_pcr_d_vax,f3_pcr_d_vax,f4_pcr_d_vax,dc_pcr_d_vax,hcc_pcr_d_vax</t>
  </si>
  <si>
    <t>f0_t1,f1_t1,f2_t1,f3_t1,f4_t1,dc_t1,hcc_t1, f0_t1_vax,f1_t1_vax,f2_t1_vax,f3_t1_vax,f4_t1_vax,dc_t1_vax,hcc_t1_vax</t>
  </si>
  <si>
    <t>f0_t2,f1_t2,f2_t2,f3_t2,f4_t2,dc_t2,hcc_t2, f0_t2_vax,f1_t2_vax,f2_t2_vax,f3_t2_vax,f4_t2_vax,dc_t2_vax,hcc_t2_vax</t>
  </si>
  <si>
    <t>total_hcv, sus, sus_vax</t>
  </si>
  <si>
    <t>s0,s1,s2,s3,s4,sdc,shcc,s0_vax,s1_vax,s2_vax,s3_vax,s4_vax,sdc_vax,shcc_vax</t>
  </si>
  <si>
    <t>f0_ft1,f1_ft1,f2_ft1,f3_ft1,f4_ft1,dc_ft1,hcc_ft1,f0_ft1_vax,f1_ft1_vax,f2_ft1_vax,f3_ft1_vax,f4_ft1_vax,dc_ft1_vax,hcc_ft1_vax</t>
  </si>
  <si>
    <t>f0_ft2,f1_ft2,f2_ft2,f3_ft2,f4_ft2,dc_ft2,hcc_ft2, f0_ft2_vax,f1_ft2_vax,f2_ft2_vax,f3_ft2_vax,f4_ft2_vax,dc_ft2_vax,hcc_ft2_vax</t>
  </si>
  <si>
    <t>chronic_all</t>
  </si>
  <si>
    <t>Population living with chronic HCV (vaccinated+non-vaccinated)</t>
  </si>
  <si>
    <t>chronic, chronic_vax</t>
  </si>
  <si>
    <t>Deaths from susceptible compartments (vaccinated)</t>
  </si>
  <si>
    <t>Deaths from acute compartments (vaccinated)</t>
  </si>
  <si>
    <t>Deaths from liver transplant compartments (vaccinated)</t>
  </si>
  <si>
    <t>sus_deaths_vax</t>
  </si>
  <si>
    <t>acute_deaths_vax</t>
  </si>
  <si>
    <t>lt_deaths_vax</t>
  </si>
  <si>
    <t>s0_abneg_vax:dead_all+s0_aw_vax:dead_all+s0_vax:dead_all+s1_vax:dead_all+s2_vax:dead_all+s3_vax:dead_all+s4_vax:dead_all+sdc_vax:dead_all+shcc_vax:dead_all+sdc_vax:dead_dc+shcc_vax:dead_hcc</t>
  </si>
  <si>
    <t>f0_acute_vax:dead_all+f1_acute_vax:dead_all+f2_acute_vax:dead_all+f3_acute_vax:dead_all+f4_acute_vax:dead_all+dc_acute_vax:dead_all+hcc_acute_vax:dead_all+dc_acute_vax:dead_dc+hcc_acute_vax:dead_hcc</t>
  </si>
  <si>
    <t>dc_lt1_vax:dead_all+dc_lt2_vax:dead_all+hcc_lt1_vax:dead_all+hcc_lt2_vax:dead_all</t>
  </si>
  <si>
    <t>all_deaths - (sus_deaths+acute_deaths+lt_deaths+sus_deaths_vax+acute_deaths_vax+lt_deaths_vax)</t>
  </si>
  <si>
    <t>alive_vax</t>
  </si>
  <si>
    <t>Population size (vaccinated)</t>
  </si>
  <si>
    <t>chronic_vax,acute_vax,sus_vax,sus_abneg_vax</t>
  </si>
  <si>
    <t>infx_gen</t>
  </si>
  <si>
    <t>infx_pwid, infx_gen</t>
  </si>
  <si>
    <t>Number of prevalent cases of compensated cirrhosis due to HCV (including cured)</t>
  </si>
  <si>
    <t>Number of prevalent cases of decompensated compensated cirrhosis due to HCV (including cured)</t>
  </si>
  <si>
    <t>compensated_cirrhosis</t>
  </si>
  <si>
    <t>decompensated_cirrhosis</t>
  </si>
  <si>
    <t>f4,f4_vax,s4,s4_vax</t>
  </si>
  <si>
    <t>d_cirrhosis,d_cirrhosis_vax,sdc,sdc_vax</t>
  </si>
  <si>
    <t>early_fibrosis</t>
  </si>
  <si>
    <t>moderate_fibrosis</t>
  </si>
  <si>
    <t>Moderate fibrosis cases (F3)</t>
  </si>
  <si>
    <t>Early fibrosis cases (F0-F2)</t>
  </si>
  <si>
    <t>liver_cancer</t>
  </si>
  <si>
    <t>Liver cancer (including treated)</t>
  </si>
  <si>
    <t>Decompensated cirrhosis cases (including treated)</t>
  </si>
  <si>
    <t>Compensated cirrhosis cases (including treated)</t>
  </si>
  <si>
    <t>cancer,cancer_vax,shcc,shcc_vax</t>
  </si>
  <si>
    <t>Force of Infection constant</t>
  </si>
  <si>
    <t>Infectivity among the general population</t>
  </si>
  <si>
    <t>infx_pwid_primary, infx_gen</t>
  </si>
  <si>
    <t>infx_pwid_primary:flow+infx_pwid:flow+infx_gen:flow</t>
  </si>
  <si>
    <t>prev_notx</t>
  </si>
  <si>
    <t>Prevalence (intermediate calibration step)</t>
  </si>
  <si>
    <t>f0_acute_aw,f0_ab_d,f1_ab_d,f2_ab_d,f3_ab_d,f4_ab_d,dc_ab_d,hcc_ab_d,f0_acute_aw_vax,f0_ab_d_vax,f1_ab_d_vax,f2_ab_d_vax,f3_ab_d_vax,f4_ab_d_vax,dc_ab_d_vax,hcc_ab_d_vax</t>
  </si>
  <si>
    <t>f0_ab_ud,f1_ab_ud,f2_ab_ud,f3_ab_ud,f4_ab_ud,dc_ab_ud,hcc_ab_ud,f0_acute_uw,s0_uw,f0_ab_ud_vax,f1_ab_ud_vax,f2_ab_ud_vax,f3_ab_ud_vax,f4_ab_ud_vax,dc_ab_ud_vax,hcc_ab_ud_vax,f0_acute_uw_vax,s0_uw_vax</t>
  </si>
  <si>
    <t>Modelled number of positive RNA tests</t>
  </si>
  <si>
    <t>pcr_all_m</t>
  </si>
  <si>
    <t>test_pcr_f0f2_ab_ic:flow+test_pcr_f3f4_ab_ic:flow+test_pcr_f0f2_und_ic:flow+test_pcr_f0f2_und_nic:flow+test_pcr_f3f4_und_ic:flow+test_pcr_f3f4_und_nic:flow</t>
  </si>
  <si>
    <t>test_ab_f0f2_und_ic:flow+test_ab_f3f4_und_ic:flow+test_ab_f0f2_und_nic:flow+test_ab_f3f4_und_nic:flow+test_ab_acute:flow+test_ab_clear:flow</t>
  </si>
  <si>
    <t>RNA+ that have been Ab+ diagnosed or not</t>
  </si>
  <si>
    <t>undiag_infected</t>
  </si>
  <si>
    <t>Undiagnosed (ab), infected</t>
  </si>
  <si>
    <t>f0_ab_ud,f1_ab_ud,f2_ab_ud,f3_ab_ud,f4_ab_ud,dc_ab_ud,hcc_ab_ud,f0_acute_uw,f0_ab_ud_vax,f1_ab_ud_vax,f2_ab_ud_vax,f3_ab_ud_vax,f4_ab_ud_vax,dc_ab_ud_vax,hcc_ab_ud_vax,f0_acute_uw_vax</t>
  </si>
  <si>
    <t>abpos, undiag_infected</t>
  </si>
  <si>
    <t>rnapos_ab_undiag_diag</t>
  </si>
  <si>
    <t>Prior infection cleared or cured (aware)</t>
  </si>
  <si>
    <t>sus_treated,sus_treated_vax,s0_aw,s0_aw_vax</t>
  </si>
  <si>
    <t>abpos, undiag, sus_aw</t>
  </si>
  <si>
    <t>sus_aw</t>
  </si>
  <si>
    <t>rna_test_efficiency</t>
  </si>
  <si>
    <t>abpos_undiag_diag_sus</t>
  </si>
  <si>
    <t>ab_test_efficiency</t>
  </si>
  <si>
    <t>Antibody testing efficiency</t>
  </si>
  <si>
    <t>PCR testing efficiency</t>
  </si>
  <si>
    <t>untested</t>
  </si>
  <si>
    <t>Untested population</t>
  </si>
  <si>
    <t>undiag,sus_abneg,sus_abneg_vax</t>
  </si>
  <si>
    <t>Ab+ diagnosed or not, and past infections</t>
  </si>
  <si>
    <t>prop_svr:flow</t>
  </si>
  <si>
    <t>cc_ever_tested</t>
  </si>
  <si>
    <t>sus_aw,abpos,pcr,treated,ltfu,treated_fail</t>
  </si>
  <si>
    <t>Proportion ever tested</t>
  </si>
  <si>
    <t>Separate test multiplier for PWID and Prisoners (no need to calibrate it)</t>
  </si>
  <si>
    <t>test_mult_pwidpris</t>
  </si>
  <si>
    <t>Testing rate multiplier non-PWID (intermediate calculation/calibration step)</t>
  </si>
  <si>
    <t>test_mult_gpop</t>
  </si>
  <si>
    <t>(test_mult_gpop+test_mult_pwidpris)*test_ab_f0f2_und_ic_1</t>
  </si>
  <si>
    <t>(test_mult_gpop+test_mult_pwidpris)*test_ab_f3f4_und_ic_1</t>
  </si>
  <si>
    <t>prop_treat_pre2015_pwid</t>
  </si>
  <si>
    <t>prop_treat_post2015_pwid</t>
  </si>
  <si>
    <t>Proportion of treatments allocated to each population pre-DAA (PWID and Prisoners)</t>
  </si>
  <si>
    <t>Proportion of treatments allocated to each population post-DAA (PWID and Prisoners)</t>
  </si>
  <si>
    <t>(test_mult_gpop+test_mult_pwidpris)*test_pcr_f0f2_ab_ic_1</t>
  </si>
  <si>
    <t>(test_mult_gpop+test_mult_pwidpris)*test_pcr_f3f4_ab_ic_1</t>
  </si>
  <si>
    <t>vaccine_waning_dur</t>
  </si>
  <si>
    <t>Vaccine: waning effectiveness rate</t>
  </si>
  <si>
    <t>(prop_treat_pre2015+prop_treat_post2015+prop_treat_pre2015_pwid+prop_treat_post2015_pwid)*treat_overall</t>
  </si>
  <si>
    <t>vaccine_infx_mult_pwid</t>
  </si>
  <si>
    <t>vaccine_infx_mult_gen</t>
  </si>
  <si>
    <t>Vaccine: FOI multiplier for PWID</t>
  </si>
  <si>
    <t>Vaccine: FOI multiplier for gPop</t>
  </si>
  <si>
    <t>Vaccine: FOI for PWID</t>
  </si>
  <si>
    <t>Vaccine: FOI for gPop</t>
  </si>
  <si>
    <t>infx_pwid*vaccine_infx_mult_pwid</t>
  </si>
  <si>
    <t>infx_gen*vaccine_infx_mult_gen</t>
  </si>
  <si>
    <t>vaccine_infx_pwid</t>
  </si>
  <si>
    <t>vaccine_infx_gen</t>
  </si>
  <si>
    <t>vaccine_infx_pwid, vaccine_infx_gen</t>
  </si>
  <si>
    <t>f4_all</t>
  </si>
  <si>
    <t>Stage F4 (non-vaccinated &amp; vaccinated)</t>
  </si>
  <si>
    <t>d_cirrhosis_all</t>
  </si>
  <si>
    <t>acute_all</t>
  </si>
  <si>
    <t>Acute cases (non-vaccinated &amp; vaccinated)</t>
  </si>
  <si>
    <t>acute,acute_vax</t>
  </si>
  <si>
    <t>f0f3_utx</t>
  </si>
  <si>
    <t>f0f3_c</t>
  </si>
  <si>
    <t>Untreated HCV in stages F0-F3 (no cirrhosis)</t>
  </si>
  <si>
    <t>Untreated HCV with cirrhosis or HCC</t>
  </si>
  <si>
    <t>HCV cured with no cirrhosis</t>
  </si>
  <si>
    <t>HCV cured with cirrhosis or HCC</t>
  </si>
  <si>
    <t>f0f2,f3,f0f2_vax,f3_vax</t>
  </si>
  <si>
    <t>f4,dc_hcc,f4_vax,dc_hcc_vax</t>
  </si>
  <si>
    <t>s0,s1,s2,s3,s0_vax,s1_vax,s2_vax,s3_vax</t>
  </si>
  <si>
    <t>s4,sdc,shcc,s4_vax,sdc_vax,shcc_vax</t>
  </si>
  <si>
    <t>dc_udx</t>
  </si>
  <si>
    <t>hcc_udx</t>
  </si>
  <si>
    <t>f0f2_dx</t>
  </si>
  <si>
    <t>f3_dx</t>
  </si>
  <si>
    <t>f4_dx</t>
  </si>
  <si>
    <t>dc_dx</t>
  </si>
  <si>
    <t>hcc_dx</t>
  </si>
  <si>
    <t>Undiagnosed HCV living with decompensation</t>
  </si>
  <si>
    <t>Undiagnosed HCV living with liver cancer</t>
  </si>
  <si>
    <t>Diagnosed HCV with minimal fibrosis</t>
  </si>
  <si>
    <t>Diagnosed HCV with significant fibrosis</t>
  </si>
  <si>
    <t>Diagnosed HCV with compensated cirrhosis</t>
  </si>
  <si>
    <t>Diagnosed HCV with decompensation</t>
  </si>
  <si>
    <t>Diagnosed HCV with liver cancer</t>
  </si>
  <si>
    <t>dc_ab_ud,dc_ud_ltc,dc_ab_ud_vax,dc_ud_ltc_vax</t>
  </si>
  <si>
    <t>hcc_ab_ud,hcc_ud_ltc,hcc_ab_ud_vax,hcc_ud_ltc_vax</t>
  </si>
  <si>
    <t>f0_dx</t>
  </si>
  <si>
    <t>f1_dx</t>
  </si>
  <si>
    <t>f2_dx</t>
  </si>
  <si>
    <t>Liver Fibrosis F0 diagnosed</t>
  </si>
  <si>
    <t>Liver Fibrosis F1 diagnosed</t>
  </si>
  <si>
    <t>Liver Fibrosis F2 diagnosed</t>
  </si>
  <si>
    <t>f1_ab_d,f1_ab_ltfu,f1_pcr_d,f1_pcr_ltfu,f1_t1,f1_ft1,f1_ft1_ltfu,f1_t2,f1_ft2, f1_ab_d_vax,f1_ab_ltfu_vax,f1_pcr_d_vax,f1_pcr_ltfu_vax,f1_t1_vax,f1_ft1_vax,f1_ft1_ltfu_vax,f1_t2_vax,f1_ft2_vax</t>
  </si>
  <si>
    <t>f2_ab_d,f2_ab_ltfu,f2_pcr_d,f2_pcr_ltfu,f2_t1,f2_ft1,f2_ft1_ltfu,f2_t2,f2_ft2, f2_ab_d_vax,f2_ab_ltfu_vax,f2_pcr_d_vax,f2_pcr_ltfu_vax,f2_t1_vax,f2_ft1_vax,f2_ft1_ltfu_vax,f2_t2_vax,f2_ft2_vax</t>
  </si>
  <si>
    <t>f3_ab_d,f3_ab_ltfu,f3_pcr_d,f3_pcr_ltfu,f3_t1,f3_ft1,f3_ft1_ltfu,f3_t2,f3_ft2, f3_ab_d_vax,f3_ab_ltfu_vax,f3_pcr_d_vax,f3_pcr_ltfu_vax,f3_t1_vax,f3_ft1_vax,f3_ft1_ltfu_vax,f3_t2_vax,f3_ft2_vax</t>
  </si>
  <si>
    <t>f4_ab_d,f4_ab_ltfu,f4_pcr_d,f4_pcr_ltfu,f4_t1,f4_ft1,f4_ft1_ltfu,f4_t2,f4_ft2, f4_ab_d_vax,f4_ab_ltfu_vax,f4_pcr_d_vax,f4_pcr_ltfu_vax,f4_t1_vax,f4_ft1_vax,f4_ft1_ltfu_vax,f4_t2_vax,f4_ft2_vax</t>
  </si>
  <si>
    <t>dc_ab_d,dc_ab_ltfu,dc_pcr_d,dc_pcr_ltfu,dc_t1,dc_ft1,dc_ft1_ltfu,dc_t2,dc_ft2, dc_ab_d_vax,dc_ab_ltfu_vax,dc_pcr_d_vax,dc_pcr_ltfu_vax,dc_t1_vax,dc_ft1_vax,dc_ft1_ltfu_vax,dc_t2_vax,dc_ft2_vax</t>
  </si>
  <si>
    <t>hcc_ab_d,hcc_ab_ltfu,hcc_pcr_d,hcc_pcr_ltfu,hcc_t1,hcc_ft1,hcc_ft1_ltfu,hcc_t2,hcc_ft2, hcc_ab_d_vax,hcc_ab_ltfu_vax,hcc_pcr_d_vax,hcc_pcr_ltfu_vax,hcc_t1_vax,hcc_ft1_vax,hcc_ft1_ltfu_vax,hcc_t2_vax,hcc_ft2_vax</t>
  </si>
  <si>
    <t>f0_dx,f1_dx,f2_dx</t>
  </si>
  <si>
    <t>cancer_all</t>
  </si>
  <si>
    <t>Liver Cancer cases (non-vaccinated &amp; vaccinated)</t>
  </si>
  <si>
    <t>Decompensated Cirrhosis cases (non-vaccinated &amp; vaccinated)</t>
  </si>
  <si>
    <t>f0_ab_d,f0_ab_ltfu,f0_pcr_d,f0_pcr_ltfu,f0_t1,f0_ft1,f0_ft1_ltfu,f0_t2,f0_ft2,f0_ab_d_vax,f0_ab_ltfu_vax,f0_pcr_d_vax,f0_pcr_ltfu_vax,f0_t1_vax,f0_ft1_vax,f0_ft1_ltfu_vax,f0_t2_vax,f0_ft2_vax</t>
  </si>
  <si>
    <t>f4_c</t>
  </si>
  <si>
    <t>f4_utx</t>
  </si>
  <si>
    <t>ab_tests_m</t>
  </si>
  <si>
    <t>pcr_tests_m</t>
  </si>
  <si>
    <t>Modelled number of antibody tests (testing rate x population size)</t>
  </si>
  <si>
    <t>Modelled number of PCR tests (testing rate x antibody diagnosed population size)</t>
  </si>
  <si>
    <t>max(test_ab_f0f2_und_ic, test_ab_f3f4_und_ic)*alive</t>
  </si>
  <si>
    <t>max(test_pcr_f0f2_ab_ic, test_pcr_f3f4_ab_ic)*abpos_chronic</t>
  </si>
  <si>
    <t>inci_m</t>
  </si>
  <si>
    <t>1/vaccine_waning_dur</t>
  </si>
  <si>
    <t>vaccine_prop_clear_initial</t>
  </si>
  <si>
    <t>vaccine_prop_chronic_initial</t>
  </si>
  <si>
    <t>Vaccine: proportion of initial acute HCV infections turned chronic</t>
  </si>
  <si>
    <t>Vaccine: proportion of initial HCV infections spontaneously clearing</t>
  </si>
  <si>
    <t>1-vaccine_prop_clear_initial</t>
  </si>
  <si>
    <t>acute_vax_initial</t>
  </si>
  <si>
    <t>Population living with initial acute HCV (vaccinated)</t>
  </si>
  <si>
    <t>f0_acute_uw_vax,f0_acute_aw_vax</t>
  </si>
  <si>
    <t>f0_acute_vax,f1_acute_vax,f2_acute_vax,f3_acute_vax,f4_acute_vax,dc_acute_vax,hcc_acute_vax</t>
  </si>
  <si>
    <t>Population living with repeat acute HCV (vaccinated)</t>
  </si>
  <si>
    <t>acute_vax_reinfected</t>
  </si>
  <si>
    <t>other</t>
  </si>
  <si>
    <t>Other sources of transmission</t>
  </si>
  <si>
    <t>Force of Infection (other)</t>
  </si>
  <si>
    <t>infx_gen1</t>
  </si>
  <si>
    <t>foi_gen</t>
  </si>
  <si>
    <t>Force of infection (other gen pop)</t>
  </si>
  <si>
    <t>SRC_POP_AVG(foi_gen,other, alive)</t>
  </si>
  <si>
    <t>infx_gen1*prevalence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</si>
</sst>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b/>
      <sz val="11"/>
      <color theme="1"/>
      <name val="Calibri"/>
      <family val="2"/>
      <scheme val="minor"/>
    </font>
    <font>
      <sz val="10"/>
      <color rgb="FF000000"/>
      <name val="Tahoma"/>
      <family val="2"/>
    </font>
    <font>
      <sz val="8"/>
      <color rgb="FF000000"/>
      <name val="Tahoma"/>
      <family val="2"/>
    </font>
    <font>
      <sz val="10"/>
      <color rgb="FF000000"/>
      <name val="Calibri"/>
      <family val="2"/>
      <scheme val="minor"/>
    </font>
    <font>
      <sz val="10"/>
      <color rgb="FF000000"/>
      <name val="Calibri"/>
      <family val="2"/>
    </font>
    <font>
      <sz val="8"/>
      <color rgb="FF000000"/>
      <name val="Calibri"/>
      <family val="2"/>
    </font>
    <font>
      <sz val="9"/>
      <color rgb="FF000000"/>
      <name val="Tahoma"/>
      <family val="2"/>
    </font>
    <font>
      <sz val="9"/>
      <color rgb="FF000000"/>
      <name val="Calibri"/>
      <family val="2"/>
      <scheme val="minor"/>
    </font>
    <font>
      <sz val="9"/>
      <color rgb="FF000000"/>
      <name val="Calibri"/>
      <family val="2"/>
    </font>
    <font>
      <sz val="9"/>
      <color indexed="81"/>
      <name val="Tahoma"/>
      <family val="2"/>
    </font>
    <font>
      <sz val="11"/>
      <color theme="4"/>
      <name val="Calibri"/>
      <family val="2"/>
    </font>
    <font>
      <sz val="11"/>
      <color theme="1"/>
      <name val="Calibri"/>
      <family val="2"/>
    </font>
    <font>
      <sz val="11"/>
      <color rgb="FFC0504D"/>
      <name val="Calibri"/>
      <family val="2"/>
    </font>
    <font>
      <b/>
      <sz val="11"/>
      <color rgb="FF000000"/>
      <name val="Calibri"/>
      <family val="2"/>
    </font>
    <font>
      <b/>
      <sz val="11"/>
      <color rgb="FFC0504D"/>
      <name val="Calibri"/>
      <family val="2"/>
    </font>
    <font>
      <b/>
      <sz val="11"/>
      <color theme="1"/>
      <name val="Calibri"/>
      <family val="2"/>
    </font>
    <font>
      <sz val="8"/>
      <name val="Calibri"/>
      <family val="2"/>
      <scheme val="minor"/>
    </font>
    <font>
      <b/>
      <sz val="9"/>
      <color indexed="81"/>
      <name val="Tahoma"/>
      <family val="2"/>
    </font>
    <font>
      <b/>
      <sz val="11"/>
      <color theme="4"/>
      <name val="Calibri"/>
      <family val="2"/>
    </font>
  </fonts>
  <fills count="12">
    <fill>
      <patternFill patternType="none"/>
    </fill>
    <fill>
      <patternFill patternType="gray125"/>
    </fill>
    <fill>
      <patternFill patternType="solid">
        <fgColor theme="5" tint="0.79998168889431442"/>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rgb="FFFFFF00"/>
        <bgColor indexed="64"/>
      </patternFill>
    </fill>
    <fill>
      <patternFill patternType="solid">
        <fgColor theme="0" tint="-4.9989318521683403E-2"/>
        <bgColor indexed="64"/>
      </patternFill>
    </fill>
    <fill>
      <patternFill patternType="solid">
        <fgColor rgb="FF92D050"/>
        <bgColor indexed="64"/>
      </patternFill>
    </fill>
  </fills>
  <borders count="5">
    <border>
      <left/>
      <right/>
      <top/>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08">
    <xf numFmtId="0" fontId="0" fillId="0" borderId="0" xfId="0"/>
    <xf numFmtId="0" fontId="1" fillId="0" borderId="0" xfId="0" applyFont="1" applyAlignment="1">
      <alignment horizontal="center"/>
    </xf>
    <xf numFmtId="0" fontId="0" fillId="0" borderId="0" xfId="0" applyAlignment="1">
      <alignment horizontal="center"/>
    </xf>
    <xf numFmtId="0" fontId="1" fillId="0" borderId="0" xfId="0" applyFont="1"/>
    <xf numFmtId="0" fontId="0" fillId="0" borderId="0" xfId="0" applyAlignment="1">
      <alignment horizontal="left"/>
    </xf>
    <xf numFmtId="0" fontId="0" fillId="0" borderId="0" xfId="0" applyAlignment="1">
      <alignment vertical="top"/>
    </xf>
    <xf numFmtId="0" fontId="11" fillId="0" borderId="1" xfId="0" applyFont="1" applyBorder="1" applyAlignment="1">
      <alignment horizontal="left"/>
    </xf>
    <xf numFmtId="0" fontId="11" fillId="0" borderId="1" xfId="0" applyFont="1" applyBorder="1"/>
    <xf numFmtId="0" fontId="12" fillId="0" borderId="0" xfId="0" applyFont="1" applyAlignment="1">
      <alignment horizontal="left"/>
    </xf>
    <xf numFmtId="0" fontId="12" fillId="0" borderId="0" xfId="0" applyFont="1"/>
    <xf numFmtId="0" fontId="12" fillId="0" borderId="2" xfId="0" applyFont="1" applyBorder="1" applyAlignment="1">
      <alignment horizontal="left"/>
    </xf>
    <xf numFmtId="0" fontId="12" fillId="0" borderId="2" xfId="0" applyFont="1" applyBorder="1"/>
    <xf numFmtId="0" fontId="13" fillId="0" borderId="0" xfId="0" applyFont="1" applyAlignment="1">
      <alignment horizontal="left"/>
    </xf>
    <xf numFmtId="0" fontId="13" fillId="0" borderId="0" xfId="0" applyFont="1"/>
    <xf numFmtId="0" fontId="12" fillId="0" borderId="1" xfId="0" applyFont="1" applyBorder="1" applyAlignment="1">
      <alignment horizontal="left"/>
    </xf>
    <xf numFmtId="0" fontId="12" fillId="0" borderId="1" xfId="0" applyFont="1" applyBorder="1"/>
    <xf numFmtId="0" fontId="14" fillId="0" borderId="3" xfId="0" applyFont="1" applyBorder="1"/>
    <xf numFmtId="0" fontId="14" fillId="0" borderId="3" xfId="0" applyFont="1" applyBorder="1" applyAlignment="1">
      <alignment horizontal="left"/>
    </xf>
    <xf numFmtId="0" fontId="15" fillId="0" borderId="3" xfId="0" applyFont="1" applyBorder="1" applyAlignment="1">
      <alignment horizontal="left"/>
    </xf>
    <xf numFmtId="0" fontId="16" fillId="0" borderId="3" xfId="0" applyFont="1" applyBorder="1" applyAlignment="1">
      <alignment horizontal="left"/>
    </xf>
    <xf numFmtId="0" fontId="12" fillId="0" borderId="3" xfId="0" applyFont="1" applyBorder="1"/>
    <xf numFmtId="0" fontId="0" fillId="0" borderId="3" xfId="0" applyBorder="1"/>
    <xf numFmtId="0" fontId="1" fillId="0" borderId="3" xfId="0" applyFont="1" applyBorder="1"/>
    <xf numFmtId="0" fontId="15" fillId="0" borderId="0" xfId="0" applyFont="1" applyAlignment="1">
      <alignment horizontal="left"/>
    </xf>
    <xf numFmtId="0" fontId="0" fillId="0" borderId="4" xfId="0" applyBorder="1"/>
    <xf numFmtId="0" fontId="0" fillId="2" borderId="1" xfId="0" applyFill="1" applyBorder="1" applyAlignment="1">
      <alignment horizontal="left"/>
    </xf>
    <xf numFmtId="0" fontId="0" fillId="2" borderId="1" xfId="0" applyFill="1" applyBorder="1"/>
    <xf numFmtId="0" fontId="0" fillId="2" borderId="1" xfId="0" applyFill="1" applyBorder="1" applyAlignment="1">
      <alignment horizontal="center"/>
    </xf>
    <xf numFmtId="0" fontId="0" fillId="3" borderId="2" xfId="0" applyFill="1" applyBorder="1" applyAlignment="1">
      <alignment horizontal="left"/>
    </xf>
    <xf numFmtId="0" fontId="0" fillId="3" borderId="2" xfId="0" applyFill="1" applyBorder="1"/>
    <xf numFmtId="0" fontId="0" fillId="3" borderId="2" xfId="0" applyFill="1" applyBorder="1" applyAlignment="1">
      <alignment horizontal="center"/>
    </xf>
    <xf numFmtId="0" fontId="0" fillId="3" borderId="2" xfId="0" applyFill="1" applyBorder="1" applyAlignment="1">
      <alignment horizontal="right"/>
    </xf>
    <xf numFmtId="0" fontId="0" fillId="3" borderId="1" xfId="0" applyFill="1" applyBorder="1" applyAlignment="1">
      <alignment horizontal="left"/>
    </xf>
    <xf numFmtId="0" fontId="0" fillId="3" borderId="1" xfId="0" applyFill="1" applyBorder="1"/>
    <xf numFmtId="0" fontId="0" fillId="3" borderId="1" xfId="0" applyFill="1" applyBorder="1" applyAlignment="1">
      <alignment horizontal="center"/>
    </xf>
    <xf numFmtId="0" fontId="0" fillId="2" borderId="2" xfId="0" applyFill="1" applyBorder="1" applyAlignment="1">
      <alignment horizontal="left"/>
    </xf>
    <xf numFmtId="0" fontId="0" fillId="2" borderId="2" xfId="0" applyFill="1" applyBorder="1"/>
    <xf numFmtId="0" fontId="0" fillId="2" borderId="2" xfId="0" applyFill="1" applyBorder="1" applyAlignment="1">
      <alignment horizontal="center"/>
    </xf>
    <xf numFmtId="0" fontId="0" fillId="2" borderId="0" xfId="0" applyFill="1" applyAlignment="1">
      <alignment horizontal="left"/>
    </xf>
    <xf numFmtId="0" fontId="0" fillId="2" borderId="0" xfId="0" applyFill="1"/>
    <xf numFmtId="0" fontId="0" fillId="2" borderId="0" xfId="0" applyFill="1" applyAlignment="1">
      <alignment horizontal="center"/>
    </xf>
    <xf numFmtId="0" fontId="0" fillId="3" borderId="0" xfId="0" applyFill="1" applyAlignment="1">
      <alignment horizontal="left"/>
    </xf>
    <xf numFmtId="0" fontId="0" fillId="3" borderId="0" xfId="0" applyFill="1"/>
    <xf numFmtId="0" fontId="0" fillId="3" borderId="0" xfId="0" applyFill="1" applyAlignment="1">
      <alignment horizontal="center"/>
    </xf>
    <xf numFmtId="0" fontId="0" fillId="4" borderId="2" xfId="0" applyFill="1" applyBorder="1" applyAlignment="1">
      <alignment horizontal="left"/>
    </xf>
    <xf numFmtId="0" fontId="0" fillId="4" borderId="2" xfId="0" applyFill="1" applyBorder="1"/>
    <xf numFmtId="0" fontId="0" fillId="4" borderId="2" xfId="0" applyFill="1" applyBorder="1" applyAlignment="1">
      <alignment horizontal="center"/>
    </xf>
    <xf numFmtId="0" fontId="0" fillId="4" borderId="0" xfId="0" applyFill="1" applyAlignment="1">
      <alignment horizontal="left"/>
    </xf>
    <xf numFmtId="0" fontId="0" fillId="4" borderId="0" xfId="0" applyFill="1"/>
    <xf numFmtId="0" fontId="0" fillId="4" borderId="0" xfId="0" applyFill="1" applyAlignment="1">
      <alignment horizontal="center"/>
    </xf>
    <xf numFmtId="0" fontId="0" fillId="4" borderId="1" xfId="0" applyFill="1" applyBorder="1" applyAlignment="1">
      <alignment horizontal="left"/>
    </xf>
    <xf numFmtId="0" fontId="0" fillId="4" borderId="1" xfId="0" applyFill="1" applyBorder="1"/>
    <xf numFmtId="0" fontId="0" fillId="4" borderId="1" xfId="0" applyFill="1" applyBorder="1" applyAlignment="1">
      <alignment horizontal="center"/>
    </xf>
    <xf numFmtId="0" fontId="0" fillId="5" borderId="2" xfId="0" applyFill="1" applyBorder="1" applyAlignment="1">
      <alignment horizontal="left"/>
    </xf>
    <xf numFmtId="0" fontId="0" fillId="5" borderId="2" xfId="0" applyFill="1" applyBorder="1"/>
    <xf numFmtId="0" fontId="0" fillId="5" borderId="2" xfId="0" applyFill="1" applyBorder="1" applyAlignment="1">
      <alignment horizontal="center"/>
    </xf>
    <xf numFmtId="0" fontId="0" fillId="5" borderId="0" xfId="0" applyFill="1" applyAlignment="1">
      <alignment horizontal="left"/>
    </xf>
    <xf numFmtId="0" fontId="0" fillId="5" borderId="0" xfId="0" applyFill="1"/>
    <xf numFmtId="0" fontId="0" fillId="5" borderId="0" xfId="0" applyFill="1" applyAlignment="1">
      <alignment horizontal="center"/>
    </xf>
    <xf numFmtId="0" fontId="0" fillId="5" borderId="1" xfId="0" applyFill="1" applyBorder="1" applyAlignment="1">
      <alignment horizontal="left"/>
    </xf>
    <xf numFmtId="0" fontId="0" fillId="5" borderId="1" xfId="0" applyFill="1" applyBorder="1"/>
    <xf numFmtId="0" fontId="0" fillId="5" borderId="1" xfId="0" applyFill="1" applyBorder="1" applyAlignment="1">
      <alignment horizontal="center"/>
    </xf>
    <xf numFmtId="0" fontId="0" fillId="6" borderId="2" xfId="0" applyFill="1" applyBorder="1" applyAlignment="1">
      <alignment horizontal="left"/>
    </xf>
    <xf numFmtId="0" fontId="0" fillId="6" borderId="2" xfId="0" applyFill="1" applyBorder="1"/>
    <xf numFmtId="0" fontId="0" fillId="6" borderId="2" xfId="0" applyFill="1" applyBorder="1" applyAlignment="1">
      <alignment horizontal="center"/>
    </xf>
    <xf numFmtId="0" fontId="0" fillId="6" borderId="0" xfId="0" applyFill="1" applyAlignment="1">
      <alignment horizontal="left"/>
    </xf>
    <xf numFmtId="0" fontId="0" fillId="6" borderId="0" xfId="0" applyFill="1"/>
    <xf numFmtId="0" fontId="0" fillId="6" borderId="0" xfId="0" applyFill="1" applyAlignment="1">
      <alignment horizontal="center"/>
    </xf>
    <xf numFmtId="0" fontId="0" fillId="6" borderId="1" xfId="0" applyFill="1" applyBorder="1" applyAlignment="1">
      <alignment horizontal="left"/>
    </xf>
    <xf numFmtId="0" fontId="0" fillId="6" borderId="1" xfId="0" applyFill="1" applyBorder="1"/>
    <xf numFmtId="0" fontId="0" fillId="6" borderId="1" xfId="0" applyFill="1" applyBorder="1" applyAlignment="1">
      <alignment horizontal="center"/>
    </xf>
    <xf numFmtId="0" fontId="0" fillId="7" borderId="2" xfId="0" applyFill="1" applyBorder="1" applyAlignment="1">
      <alignment horizontal="left"/>
    </xf>
    <xf numFmtId="0" fontId="0" fillId="7" borderId="2" xfId="0" applyFill="1" applyBorder="1"/>
    <xf numFmtId="0" fontId="0" fillId="7" borderId="2" xfId="0" applyFill="1" applyBorder="1" applyAlignment="1">
      <alignment horizontal="center"/>
    </xf>
    <xf numFmtId="0" fontId="0" fillId="7" borderId="0" xfId="0" applyFill="1" applyAlignment="1">
      <alignment horizontal="left"/>
    </xf>
    <xf numFmtId="0" fontId="0" fillId="7" borderId="0" xfId="0" applyFill="1"/>
    <xf numFmtId="0" fontId="0" fillId="7" borderId="0" xfId="0" applyFill="1" applyAlignment="1">
      <alignment horizontal="center"/>
    </xf>
    <xf numFmtId="0" fontId="0" fillId="7" borderId="1" xfId="0" applyFill="1" applyBorder="1" applyAlignment="1">
      <alignment horizontal="left"/>
    </xf>
    <xf numFmtId="0" fontId="0" fillId="7" borderId="1" xfId="0" applyFill="1" applyBorder="1"/>
    <xf numFmtId="0" fontId="0" fillId="7" borderId="1" xfId="0" applyFill="1" applyBorder="1" applyAlignment="1">
      <alignment horizontal="center"/>
    </xf>
    <xf numFmtId="0" fontId="0" fillId="8" borderId="2" xfId="0" applyFill="1" applyBorder="1" applyAlignment="1">
      <alignment horizontal="left"/>
    </xf>
    <xf numFmtId="0" fontId="0" fillId="8" borderId="2" xfId="0" applyFill="1" applyBorder="1"/>
    <xf numFmtId="0" fontId="0" fillId="8" borderId="2" xfId="0" applyFill="1" applyBorder="1" applyAlignment="1">
      <alignment horizontal="center"/>
    </xf>
    <xf numFmtId="0" fontId="0" fillId="8" borderId="1" xfId="0" applyFill="1" applyBorder="1" applyAlignment="1">
      <alignment horizontal="left"/>
    </xf>
    <xf numFmtId="0" fontId="0" fillId="8" borderId="1" xfId="0" applyFill="1" applyBorder="1"/>
    <xf numFmtId="0" fontId="0" fillId="8" borderId="1" xfId="0" applyFill="1" applyBorder="1" applyAlignment="1">
      <alignment horizontal="center"/>
    </xf>
    <xf numFmtId="0" fontId="0" fillId="3" borderId="0" xfId="0" applyFill="1" applyAlignment="1">
      <alignment horizontal="right"/>
    </xf>
    <xf numFmtId="0" fontId="11" fillId="0" borderId="0" xfId="0" applyFont="1" applyAlignment="1">
      <alignment horizontal="left"/>
    </xf>
    <xf numFmtId="0" fontId="11" fillId="0" borderId="0" xfId="0" applyFont="1"/>
    <xf numFmtId="0" fontId="19" fillId="0" borderId="3" xfId="0" applyFont="1" applyBorder="1" applyAlignment="1">
      <alignment horizontal="left"/>
    </xf>
    <xf numFmtId="0" fontId="0" fillId="10" borderId="0" xfId="0" applyFill="1" applyAlignment="1">
      <alignment horizontal="left"/>
    </xf>
    <xf numFmtId="0" fontId="0" fillId="10" borderId="0" xfId="0" applyFill="1"/>
    <xf numFmtId="0" fontId="0" fillId="10" borderId="0" xfId="0" applyFill="1" applyAlignment="1">
      <alignment horizontal="center"/>
    </xf>
    <xf numFmtId="0" fontId="0" fillId="10" borderId="1" xfId="0" applyFill="1" applyBorder="1" applyAlignment="1">
      <alignment horizontal="left"/>
    </xf>
    <xf numFmtId="0" fontId="0" fillId="10" borderId="1" xfId="0" applyFill="1" applyBorder="1"/>
    <xf numFmtId="0" fontId="0" fillId="10" borderId="1" xfId="0" applyFill="1" applyBorder="1" applyAlignment="1">
      <alignment horizontal="center"/>
    </xf>
    <xf numFmtId="0" fontId="0" fillId="10" borderId="2" xfId="0" applyFill="1" applyBorder="1" applyAlignment="1">
      <alignment horizontal="left"/>
    </xf>
    <xf numFmtId="0" fontId="0" fillId="10" borderId="2" xfId="0" applyFill="1" applyBorder="1"/>
    <xf numFmtId="0" fontId="0" fillId="10" borderId="2" xfId="0" applyFill="1" applyBorder="1" applyAlignment="1">
      <alignment horizontal="center"/>
    </xf>
    <xf numFmtId="0" fontId="1" fillId="9" borderId="0" xfId="0" applyFont="1" applyFill="1"/>
    <xf numFmtId="0" fontId="0" fillId="9" borderId="0" xfId="0" applyFill="1"/>
    <xf numFmtId="0" fontId="12" fillId="0" borderId="3" xfId="0" applyFont="1" applyBorder="1" applyAlignment="1">
      <alignment horizontal="left"/>
    </xf>
    <xf numFmtId="0" fontId="0" fillId="9" borderId="3" xfId="0" applyFill="1" applyBorder="1"/>
    <xf numFmtId="0" fontId="12" fillId="9" borderId="3" xfId="0" applyFont="1" applyFill="1" applyBorder="1"/>
    <xf numFmtId="0" fontId="12" fillId="11" borderId="3" xfId="0" applyFont="1" applyFill="1" applyBorder="1"/>
    <xf numFmtId="0" fontId="0" fillId="11" borderId="3" xfId="0" applyFill="1" applyBorder="1"/>
    <xf numFmtId="0" fontId="0" fillId="10" borderId="0" xfId="0" quotePrefix="1" applyFill="1" applyAlignment="1">
      <alignment horizontal="center"/>
    </xf>
    <xf numFmtId="0" fontId="0" fillId="0" borderId="0" xfId="0" quotePrefix="1" applyAlignment="1">
      <alignment horizontal="center"/>
    </xf>
  </cellXfs>
  <cellStyles count="1">
    <cellStyle name="Normal" xfId="0" builtinId="0"/>
  </cellStyles>
  <dxfs count="19">
    <dxf>
      <fill>
        <patternFill>
          <bgColor theme="5" tint="0.79998168889431442"/>
        </patternFill>
      </fill>
    </dxf>
    <dxf>
      <fill>
        <patternFill>
          <bgColor theme="5" tint="0.79998168889431442"/>
        </patternFill>
      </fill>
    </dxf>
    <dxf>
      <fill>
        <patternFill>
          <bgColor rgb="FFFF0000"/>
        </patternFill>
      </fill>
    </dxf>
    <dxf>
      <fill>
        <patternFill>
          <bgColor theme="5" tint="0.79998168889431442"/>
        </patternFill>
      </fill>
    </dxf>
    <dxf>
      <fill>
        <patternFill>
          <bgColor theme="5" tint="0.79998168889431442"/>
        </patternFill>
      </fill>
    </dxf>
    <dxf>
      <fill>
        <patternFill>
          <bgColor rgb="FFFF0000"/>
        </patternFill>
      </fill>
    </dxf>
    <dxf>
      <fill>
        <patternFill>
          <bgColor theme="5" tint="0.79998168889431442"/>
        </patternFill>
      </fill>
    </dxf>
    <dxf>
      <fill>
        <patternFill>
          <bgColor theme="5" tint="0.79998168889431442"/>
        </patternFill>
      </fill>
    </dxf>
    <dxf>
      <fill>
        <patternFill>
          <bgColor rgb="FFFF0000"/>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rgb="FFF2DCDB"/>
        </patternFill>
      </fill>
    </dxf>
    <dxf>
      <fill>
        <patternFill>
          <bgColor theme="5" tint="0.79998168889431442"/>
        </patternFill>
      </fill>
    </dxf>
    <dxf>
      <fill>
        <patternFill>
          <bgColor rgb="FFF2DCDB"/>
        </patternFill>
      </fill>
    </dxf>
    <dxf>
      <fill>
        <patternFill>
          <bgColor theme="5" tint="0.7999816888943144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EF971-4BEF-4E47-AA22-99A396340633}">
  <sheetPr>
    <tabColor rgb="FFFFC000"/>
  </sheetPr>
  <dimension ref="A1:B2"/>
  <sheetViews>
    <sheetView workbookViewId="0">
      <selection activeCell="B18" sqref="B18"/>
    </sheetView>
  </sheetViews>
  <sheetFormatPr defaultColWidth="8.85546875" defaultRowHeight="15" x14ac:dyDescent="0.25"/>
  <cols>
    <col min="1" max="1" width="25.140625" bestFit="1" customWidth="1"/>
    <col min="2" max="2" width="74.85546875" customWidth="1"/>
  </cols>
  <sheetData>
    <row r="1" spans="1:2" x14ac:dyDescent="0.25">
      <c r="A1" s="3" t="s">
        <v>18</v>
      </c>
      <c r="B1" s="3" t="s">
        <v>19</v>
      </c>
    </row>
    <row r="2" spans="1:2" x14ac:dyDescent="0.25">
      <c r="A2" s="5" t="s">
        <v>1324</v>
      </c>
      <c r="B2" s="5" t="s">
        <v>1324</v>
      </c>
    </row>
  </sheetData>
  <pageMargins left="0.7" right="0.7" top="0.75" bottom="0.75" header="0.3" footer="0.3"/>
  <pageSetup paperSize="0"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79998168889431442"/>
  </sheetPr>
  <dimension ref="A1:B15"/>
  <sheetViews>
    <sheetView workbookViewId="0">
      <selection activeCell="B16" sqref="B16"/>
    </sheetView>
  </sheetViews>
  <sheetFormatPr defaultColWidth="8.85546875" defaultRowHeight="15" x14ac:dyDescent="0.25"/>
  <cols>
    <col min="1" max="1" width="20.7109375" customWidth="1"/>
    <col min="2" max="2" width="21.7109375" customWidth="1"/>
  </cols>
  <sheetData>
    <row r="1" spans="1:2" x14ac:dyDescent="0.25">
      <c r="A1" s="1" t="s">
        <v>0</v>
      </c>
      <c r="B1" s="1" t="s">
        <v>1</v>
      </c>
    </row>
    <row r="2" spans="1:2" x14ac:dyDescent="0.25">
      <c r="A2" t="s">
        <v>1028</v>
      </c>
      <c r="B2" t="s">
        <v>1027</v>
      </c>
    </row>
    <row r="3" spans="1:2" x14ac:dyDescent="0.25">
      <c r="A3" t="s">
        <v>32</v>
      </c>
      <c r="B3" t="s">
        <v>33</v>
      </c>
    </row>
    <row r="4" spans="1:2" x14ac:dyDescent="0.25">
      <c r="A4" t="s">
        <v>1066</v>
      </c>
      <c r="B4" t="s">
        <v>34</v>
      </c>
    </row>
    <row r="5" spans="1:2" x14ac:dyDescent="0.25">
      <c r="A5" t="s">
        <v>35</v>
      </c>
      <c r="B5" t="s">
        <v>36</v>
      </c>
    </row>
    <row r="6" spans="1:2" x14ac:dyDescent="0.25">
      <c r="A6" t="s">
        <v>1068</v>
      </c>
      <c r="B6" t="s">
        <v>1067</v>
      </c>
    </row>
    <row r="7" spans="1:2" x14ac:dyDescent="0.25">
      <c r="A7" t="s">
        <v>39</v>
      </c>
      <c r="B7" t="s">
        <v>40</v>
      </c>
    </row>
    <row r="8" spans="1:2" x14ac:dyDescent="0.25">
      <c r="A8" t="s">
        <v>41</v>
      </c>
      <c r="B8" t="s">
        <v>1057</v>
      </c>
    </row>
    <row r="9" spans="1:2" x14ac:dyDescent="0.25">
      <c r="A9" t="s">
        <v>37</v>
      </c>
      <c r="B9" t="s">
        <v>38</v>
      </c>
    </row>
    <row r="10" spans="1:2" x14ac:dyDescent="0.25">
      <c r="A10" t="s">
        <v>446</v>
      </c>
      <c r="B10" t="s">
        <v>447</v>
      </c>
    </row>
    <row r="11" spans="1:2" x14ac:dyDescent="0.25">
      <c r="A11" t="s">
        <v>481</v>
      </c>
      <c r="B11" t="s">
        <v>1036</v>
      </c>
    </row>
    <row r="12" spans="1:2" x14ac:dyDescent="0.25">
      <c r="A12" t="s">
        <v>30</v>
      </c>
      <c r="B12" t="s">
        <v>31</v>
      </c>
    </row>
    <row r="13" spans="1:2" x14ac:dyDescent="0.25">
      <c r="A13" t="s">
        <v>1151</v>
      </c>
      <c r="B13" t="s">
        <v>1157</v>
      </c>
    </row>
    <row r="14" spans="1:2" x14ac:dyDescent="0.25">
      <c r="A14" t="s">
        <v>1268</v>
      </c>
      <c r="B14" t="s">
        <v>1269</v>
      </c>
    </row>
    <row r="15" spans="1:2" x14ac:dyDescent="0.25">
      <c r="A15" t="s">
        <v>1327</v>
      </c>
      <c r="B15" t="s">
        <v>1328</v>
      </c>
    </row>
  </sheetData>
  <conditionalFormatting sqref="B1:B1048576">
    <cfRule type="expression" dxfId="18" priority="1">
      <formula>AND(A1&lt;&gt;"",NOT(B1&lt;&gt;""))</formula>
    </cfRule>
  </conditionalFormatting>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E1581-31F4-42B1-9DE6-29B15D89E18B}">
  <sheetPr>
    <tabColor theme="5" tint="0.79998168889431442"/>
  </sheetPr>
  <dimension ref="A1:B3"/>
  <sheetViews>
    <sheetView workbookViewId="0">
      <selection activeCell="A3" sqref="A3"/>
    </sheetView>
  </sheetViews>
  <sheetFormatPr defaultRowHeight="15" x14ac:dyDescent="0.25"/>
  <cols>
    <col min="1" max="1" width="11" bestFit="1" customWidth="1"/>
    <col min="2" max="2" width="37" customWidth="1"/>
  </cols>
  <sheetData>
    <row r="1" spans="1:2" x14ac:dyDescent="0.25">
      <c r="A1" s="3" t="s">
        <v>24</v>
      </c>
      <c r="B1" s="3" t="s">
        <v>19</v>
      </c>
    </row>
    <row r="2" spans="1:2" x14ac:dyDescent="0.25">
      <c r="A2" t="s">
        <v>42</v>
      </c>
      <c r="B2" t="s">
        <v>43</v>
      </c>
    </row>
    <row r="3" spans="1:2" x14ac:dyDescent="0.25">
      <c r="A3" t="s">
        <v>44</v>
      </c>
      <c r="B3" t="s">
        <v>45</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tint="0.79998168889431442"/>
  </sheetPr>
  <dimension ref="A1:K300"/>
  <sheetViews>
    <sheetView topLeftCell="A88" zoomScale="80" zoomScaleNormal="80" workbookViewId="0">
      <selection activeCell="A107" sqref="A107:A108"/>
    </sheetView>
  </sheetViews>
  <sheetFormatPr defaultColWidth="8.85546875" defaultRowHeight="15" x14ac:dyDescent="0.25"/>
  <cols>
    <col min="1" max="1" width="15" style="4" bestFit="1" customWidth="1"/>
    <col min="2" max="2" width="108.140625" bestFit="1" customWidth="1"/>
    <col min="3" max="3" width="8.85546875" style="2" bestFit="1" customWidth="1"/>
    <col min="4" max="4" width="6.5703125" style="2" bestFit="1" customWidth="1"/>
    <col min="5" max="5" width="10.28515625" style="2" bestFit="1" customWidth="1"/>
    <col min="6" max="6" width="13.28515625" bestFit="1" customWidth="1"/>
    <col min="7" max="7" width="9" bestFit="1" customWidth="1"/>
    <col min="8" max="8" width="14.28515625" bestFit="1" customWidth="1"/>
    <col min="9" max="9" width="15.140625" style="2" bestFit="1" customWidth="1"/>
    <col min="10" max="10" width="38.42578125" customWidth="1"/>
    <col min="11" max="11" width="15.28515625" bestFit="1" customWidth="1"/>
  </cols>
  <sheetData>
    <row r="1" spans="1:11" s="2" customFormat="1" x14ac:dyDescent="0.25">
      <c r="A1" s="1" t="s">
        <v>2</v>
      </c>
      <c r="B1" s="1" t="s">
        <v>3</v>
      </c>
      <c r="C1" s="1" t="s">
        <v>4</v>
      </c>
      <c r="D1" s="1" t="s">
        <v>5</v>
      </c>
      <c r="E1" s="1" t="s">
        <v>6</v>
      </c>
      <c r="F1" s="1" t="s">
        <v>8</v>
      </c>
      <c r="G1" s="1" t="s">
        <v>20</v>
      </c>
      <c r="H1" s="1" t="s">
        <v>9</v>
      </c>
      <c r="I1" s="1" t="s">
        <v>10</v>
      </c>
      <c r="J1" s="1" t="s">
        <v>22</v>
      </c>
      <c r="K1" s="1" t="s">
        <v>25</v>
      </c>
    </row>
    <row r="2" spans="1:11" x14ac:dyDescent="0.25">
      <c r="A2" s="87" t="s">
        <v>1247</v>
      </c>
      <c r="B2" s="88" t="s">
        <v>1246</v>
      </c>
      <c r="C2" s="2" t="s">
        <v>46</v>
      </c>
      <c r="D2" s="2" t="s">
        <v>47</v>
      </c>
      <c r="E2" s="2" t="s">
        <v>47</v>
      </c>
      <c r="F2" s="2">
        <v>0</v>
      </c>
      <c r="G2" s="2"/>
      <c r="H2" s="2"/>
      <c r="J2" s="2"/>
      <c r="K2" s="2" t="s">
        <v>42</v>
      </c>
    </row>
    <row r="3" spans="1:11" x14ac:dyDescent="0.25">
      <c r="A3" s="6" t="s">
        <v>1242</v>
      </c>
      <c r="B3" s="7" t="s">
        <v>1243</v>
      </c>
      <c r="C3" s="2" t="s">
        <v>46</v>
      </c>
      <c r="D3" s="2" t="s">
        <v>47</v>
      </c>
      <c r="E3" s="2" t="s">
        <v>47</v>
      </c>
      <c r="F3" s="2">
        <v>0</v>
      </c>
      <c r="G3" s="2"/>
      <c r="H3" s="2"/>
      <c r="J3" s="2"/>
      <c r="K3" s="2" t="s">
        <v>42</v>
      </c>
    </row>
    <row r="4" spans="1:11" x14ac:dyDescent="0.25">
      <c r="A4" s="8" t="s">
        <v>48</v>
      </c>
      <c r="B4" s="9" t="s">
        <v>49</v>
      </c>
      <c r="C4" s="2" t="s">
        <v>47</v>
      </c>
      <c r="D4" s="2" t="s">
        <v>47</v>
      </c>
      <c r="E4" s="2" t="s">
        <v>47</v>
      </c>
      <c r="F4" s="2">
        <v>0</v>
      </c>
      <c r="K4" s="2" t="s">
        <v>42</v>
      </c>
    </row>
    <row r="5" spans="1:11" x14ac:dyDescent="0.25">
      <c r="A5" s="10" t="s">
        <v>50</v>
      </c>
      <c r="B5" s="11" t="s">
        <v>51</v>
      </c>
      <c r="C5" s="2" t="s">
        <v>47</v>
      </c>
      <c r="D5" s="2" t="s">
        <v>47</v>
      </c>
      <c r="E5" s="2" t="s">
        <v>47</v>
      </c>
      <c r="F5" s="2">
        <v>0</v>
      </c>
      <c r="K5" s="2" t="s">
        <v>42</v>
      </c>
    </row>
    <row r="6" spans="1:11" x14ac:dyDescent="0.25">
      <c r="A6" s="8" t="s">
        <v>52</v>
      </c>
      <c r="B6" s="9" t="s">
        <v>53</v>
      </c>
      <c r="C6" s="2" t="s">
        <v>47</v>
      </c>
      <c r="D6" s="2" t="s">
        <v>47</v>
      </c>
      <c r="E6" s="2" t="s">
        <v>47</v>
      </c>
      <c r="F6" s="2">
        <v>0</v>
      </c>
      <c r="K6" s="2" t="s">
        <v>42</v>
      </c>
    </row>
    <row r="7" spans="1:11" x14ac:dyDescent="0.25">
      <c r="A7" s="8" t="s">
        <v>54</v>
      </c>
      <c r="B7" s="9" t="s">
        <v>55</v>
      </c>
      <c r="C7" s="2" t="s">
        <v>47</v>
      </c>
      <c r="D7" s="2" t="s">
        <v>47</v>
      </c>
      <c r="E7" s="2" t="s">
        <v>47</v>
      </c>
      <c r="F7" s="2">
        <v>0</v>
      </c>
      <c r="K7" s="2" t="s">
        <v>42</v>
      </c>
    </row>
    <row r="8" spans="1:11" x14ac:dyDescent="0.25">
      <c r="A8" s="8" t="s">
        <v>56</v>
      </c>
      <c r="B8" s="9" t="s">
        <v>57</v>
      </c>
      <c r="C8" s="2" t="s">
        <v>47</v>
      </c>
      <c r="D8" s="2" t="s">
        <v>47</v>
      </c>
      <c r="E8" s="2" t="s">
        <v>47</v>
      </c>
      <c r="F8" s="2">
        <v>0</v>
      </c>
      <c r="K8" s="2" t="s">
        <v>42</v>
      </c>
    </row>
    <row r="9" spans="1:11" x14ac:dyDescent="0.25">
      <c r="A9" s="12" t="s">
        <v>58</v>
      </c>
      <c r="B9" s="13" t="s">
        <v>59</v>
      </c>
      <c r="C9" s="2" t="s">
        <v>47</v>
      </c>
      <c r="D9" s="2" t="s">
        <v>47</v>
      </c>
      <c r="E9" s="2" t="s">
        <v>46</v>
      </c>
      <c r="F9" s="2">
        <v>0</v>
      </c>
      <c r="K9" s="2" t="s">
        <v>42</v>
      </c>
    </row>
    <row r="10" spans="1:11" x14ac:dyDescent="0.25">
      <c r="A10" s="12" t="s">
        <v>60</v>
      </c>
      <c r="B10" s="13" t="s">
        <v>61</v>
      </c>
      <c r="C10" s="2" t="s">
        <v>47</v>
      </c>
      <c r="D10" s="2" t="s">
        <v>47</v>
      </c>
      <c r="E10" s="2" t="s">
        <v>46</v>
      </c>
      <c r="F10" s="2">
        <v>0</v>
      </c>
      <c r="K10" s="2" t="s">
        <v>42</v>
      </c>
    </row>
    <row r="11" spans="1:11" x14ac:dyDescent="0.25">
      <c r="A11" s="12" t="s">
        <v>62</v>
      </c>
      <c r="B11" s="13" t="s">
        <v>63</v>
      </c>
      <c r="C11" s="2" t="s">
        <v>47</v>
      </c>
      <c r="D11" s="2" t="s">
        <v>47</v>
      </c>
      <c r="E11" s="2" t="s">
        <v>46</v>
      </c>
      <c r="F11" s="2">
        <v>0</v>
      </c>
      <c r="K11" s="2" t="s">
        <v>42</v>
      </c>
    </row>
    <row r="12" spans="1:11" x14ac:dyDescent="0.25">
      <c r="A12" s="12" t="s">
        <v>64</v>
      </c>
      <c r="B12" s="13" t="s">
        <v>65</v>
      </c>
      <c r="C12" s="2" t="s">
        <v>47</v>
      </c>
      <c r="D12" s="2" t="s">
        <v>47</v>
      </c>
      <c r="E12" s="2" t="s">
        <v>46</v>
      </c>
      <c r="F12" s="2">
        <v>0</v>
      </c>
      <c r="J12" t="s">
        <v>66</v>
      </c>
      <c r="K12" s="2" t="s">
        <v>42</v>
      </c>
    </row>
    <row r="13" spans="1:11" x14ac:dyDescent="0.25">
      <c r="A13" s="8" t="s">
        <v>67</v>
      </c>
      <c r="B13" s="9" t="s">
        <v>68</v>
      </c>
      <c r="C13" s="2" t="s">
        <v>47</v>
      </c>
      <c r="D13" s="2" t="s">
        <v>47</v>
      </c>
      <c r="E13" s="2" t="s">
        <v>47</v>
      </c>
      <c r="F13" s="2">
        <v>0</v>
      </c>
      <c r="K13" s="2" t="s">
        <v>42</v>
      </c>
    </row>
    <row r="14" spans="1:11" x14ac:dyDescent="0.25">
      <c r="A14" s="8" t="s">
        <v>69</v>
      </c>
      <c r="B14" s="9" t="s">
        <v>70</v>
      </c>
      <c r="C14" s="2" t="s">
        <v>47</v>
      </c>
      <c r="D14" s="2" t="s">
        <v>47</v>
      </c>
      <c r="E14" s="2" t="s">
        <v>47</v>
      </c>
      <c r="F14" s="2">
        <v>0</v>
      </c>
      <c r="J14" t="s">
        <v>71</v>
      </c>
      <c r="K14" s="2" t="s">
        <v>42</v>
      </c>
    </row>
    <row r="15" spans="1:11" x14ac:dyDescent="0.25">
      <c r="A15" s="8" t="s">
        <v>72</v>
      </c>
      <c r="B15" s="9" t="s">
        <v>73</v>
      </c>
      <c r="C15" s="2" t="s">
        <v>47</v>
      </c>
      <c r="D15" s="2" t="s">
        <v>47</v>
      </c>
      <c r="E15" s="2" t="s">
        <v>47</v>
      </c>
      <c r="F15" s="2">
        <v>0</v>
      </c>
      <c r="K15" s="2" t="s">
        <v>42</v>
      </c>
    </row>
    <row r="16" spans="1:11" x14ac:dyDescent="0.25">
      <c r="A16" s="12" t="s">
        <v>74</v>
      </c>
      <c r="B16" s="13" t="s">
        <v>75</v>
      </c>
      <c r="C16" s="2" t="s">
        <v>47</v>
      </c>
      <c r="D16" s="2" t="s">
        <v>47</v>
      </c>
      <c r="E16" s="2" t="s">
        <v>46</v>
      </c>
      <c r="F16" s="2">
        <v>0</v>
      </c>
      <c r="K16" s="2" t="s">
        <v>42</v>
      </c>
    </row>
    <row r="17" spans="1:11" x14ac:dyDescent="0.25">
      <c r="A17" s="8" t="s">
        <v>76</v>
      </c>
      <c r="B17" s="9" t="s">
        <v>77</v>
      </c>
      <c r="C17" s="2" t="s">
        <v>47</v>
      </c>
      <c r="D17" s="2" t="s">
        <v>47</v>
      </c>
      <c r="E17" s="2" t="s">
        <v>47</v>
      </c>
      <c r="F17" s="2">
        <v>0</v>
      </c>
      <c r="K17" s="2" t="s">
        <v>42</v>
      </c>
    </row>
    <row r="18" spans="1:11" x14ac:dyDescent="0.25">
      <c r="A18" s="8" t="s">
        <v>78</v>
      </c>
      <c r="B18" s="9" t="s">
        <v>79</v>
      </c>
      <c r="C18" s="2" t="s">
        <v>47</v>
      </c>
      <c r="D18" s="2" t="s">
        <v>47</v>
      </c>
      <c r="E18" s="2" t="s">
        <v>47</v>
      </c>
      <c r="F18" s="2">
        <v>0</v>
      </c>
      <c r="K18" s="2" t="s">
        <v>42</v>
      </c>
    </row>
    <row r="19" spans="1:11" x14ac:dyDescent="0.25">
      <c r="A19" s="12" t="s">
        <v>80</v>
      </c>
      <c r="B19" s="13" t="s">
        <v>81</v>
      </c>
      <c r="C19" s="2" t="s">
        <v>47</v>
      </c>
      <c r="D19" s="2" t="s">
        <v>47</v>
      </c>
      <c r="E19" s="2" t="s">
        <v>46</v>
      </c>
      <c r="F19" s="2">
        <v>0</v>
      </c>
      <c r="K19" s="2" t="s">
        <v>42</v>
      </c>
    </row>
    <row r="20" spans="1:11" x14ac:dyDescent="0.25">
      <c r="A20" s="8" t="s">
        <v>82</v>
      </c>
      <c r="B20" s="9" t="s">
        <v>83</v>
      </c>
      <c r="C20" s="2" t="s">
        <v>47</v>
      </c>
      <c r="D20" s="2" t="s">
        <v>47</v>
      </c>
      <c r="E20" s="2" t="s">
        <v>47</v>
      </c>
      <c r="F20" s="2">
        <v>0</v>
      </c>
      <c r="K20" s="2" t="s">
        <v>42</v>
      </c>
    </row>
    <row r="21" spans="1:11" x14ac:dyDescent="0.25">
      <c r="A21" s="8" t="s">
        <v>84</v>
      </c>
      <c r="B21" s="9" t="s">
        <v>85</v>
      </c>
      <c r="C21" s="2" t="s">
        <v>47</v>
      </c>
      <c r="D21" s="2" t="s">
        <v>47</v>
      </c>
      <c r="E21" s="2" t="s">
        <v>47</v>
      </c>
      <c r="F21" s="2">
        <v>0</v>
      </c>
      <c r="K21" s="2" t="s">
        <v>42</v>
      </c>
    </row>
    <row r="22" spans="1:11" x14ac:dyDescent="0.25">
      <c r="A22" s="12" t="s">
        <v>86</v>
      </c>
      <c r="B22" s="13" t="s">
        <v>87</v>
      </c>
      <c r="C22" s="2" t="s">
        <v>47</v>
      </c>
      <c r="D22" s="2" t="s">
        <v>47</v>
      </c>
      <c r="E22" s="2" t="s">
        <v>46</v>
      </c>
      <c r="F22" s="2">
        <v>0</v>
      </c>
      <c r="K22" s="2" t="s">
        <v>42</v>
      </c>
    </row>
    <row r="23" spans="1:11" x14ac:dyDescent="0.25">
      <c r="A23" s="12" t="s">
        <v>88</v>
      </c>
      <c r="B23" s="13" t="s">
        <v>89</v>
      </c>
      <c r="C23" s="2" t="s">
        <v>47</v>
      </c>
      <c r="D23" s="2" t="s">
        <v>47</v>
      </c>
      <c r="E23" s="2" t="s">
        <v>46</v>
      </c>
      <c r="F23" s="2">
        <v>0</v>
      </c>
      <c r="K23" s="2" t="s">
        <v>42</v>
      </c>
    </row>
    <row r="24" spans="1:11" x14ac:dyDescent="0.25">
      <c r="A24" s="8" t="s">
        <v>90</v>
      </c>
      <c r="B24" s="9" t="s">
        <v>91</v>
      </c>
      <c r="C24" s="2" t="s">
        <v>47</v>
      </c>
      <c r="D24" s="2" t="s">
        <v>47</v>
      </c>
      <c r="E24" s="2" t="s">
        <v>47</v>
      </c>
      <c r="F24" s="2">
        <v>0</v>
      </c>
      <c r="K24" s="2" t="s">
        <v>42</v>
      </c>
    </row>
    <row r="25" spans="1:11" x14ac:dyDescent="0.25">
      <c r="A25" s="8" t="s">
        <v>92</v>
      </c>
      <c r="B25" s="9" t="s">
        <v>93</v>
      </c>
      <c r="C25" s="2" t="s">
        <v>47</v>
      </c>
      <c r="D25" s="2" t="s">
        <v>47</v>
      </c>
      <c r="E25" s="2" t="s">
        <v>47</v>
      </c>
      <c r="F25" s="2">
        <v>0</v>
      </c>
      <c r="K25" s="2" t="s">
        <v>42</v>
      </c>
    </row>
    <row r="26" spans="1:11" x14ac:dyDescent="0.25">
      <c r="A26" s="8" t="s">
        <v>94</v>
      </c>
      <c r="B26" s="9" t="s">
        <v>95</v>
      </c>
      <c r="C26" s="2" t="s">
        <v>47</v>
      </c>
      <c r="D26" s="2" t="s">
        <v>47</v>
      </c>
      <c r="E26" s="2" t="s">
        <v>47</v>
      </c>
      <c r="F26" s="2">
        <v>0</v>
      </c>
      <c r="K26" s="2" t="s">
        <v>42</v>
      </c>
    </row>
    <row r="27" spans="1:11" x14ac:dyDescent="0.25">
      <c r="A27" s="8" t="s">
        <v>96</v>
      </c>
      <c r="B27" s="9" t="s">
        <v>97</v>
      </c>
      <c r="C27" s="2" t="s">
        <v>47</v>
      </c>
      <c r="D27" s="2" t="s">
        <v>47</v>
      </c>
      <c r="E27" s="2" t="s">
        <v>47</v>
      </c>
      <c r="F27" s="2">
        <v>0</v>
      </c>
      <c r="K27" s="2" t="s">
        <v>42</v>
      </c>
    </row>
    <row r="28" spans="1:11" x14ac:dyDescent="0.25">
      <c r="A28" s="8" t="s">
        <v>98</v>
      </c>
      <c r="B28" s="9" t="s">
        <v>99</v>
      </c>
      <c r="C28" s="2" t="s">
        <v>47</v>
      </c>
      <c r="D28" s="2" t="s">
        <v>47</v>
      </c>
      <c r="E28" s="2" t="s">
        <v>47</v>
      </c>
      <c r="F28" s="2">
        <v>0</v>
      </c>
      <c r="K28" s="2" t="s">
        <v>42</v>
      </c>
    </row>
    <row r="29" spans="1:11" x14ac:dyDescent="0.25">
      <c r="A29" s="12" t="s">
        <v>100</v>
      </c>
      <c r="B29" s="13" t="s">
        <v>101</v>
      </c>
      <c r="C29" s="2" t="s">
        <v>47</v>
      </c>
      <c r="D29" s="2" t="s">
        <v>47</v>
      </c>
      <c r="E29" s="2" t="s">
        <v>46</v>
      </c>
      <c r="F29" s="2">
        <v>0</v>
      </c>
      <c r="K29" s="2" t="s">
        <v>42</v>
      </c>
    </row>
    <row r="30" spans="1:11" x14ac:dyDescent="0.25">
      <c r="A30" s="14" t="s">
        <v>102</v>
      </c>
      <c r="B30" s="15" t="s">
        <v>103</v>
      </c>
      <c r="C30" s="2" t="s">
        <v>47</v>
      </c>
      <c r="D30" s="2" t="s">
        <v>47</v>
      </c>
      <c r="E30" s="2" t="s">
        <v>47</v>
      </c>
      <c r="F30" s="2">
        <v>0</v>
      </c>
      <c r="K30" s="2" t="s">
        <v>42</v>
      </c>
    </row>
    <row r="31" spans="1:11" x14ac:dyDescent="0.25">
      <c r="A31" s="8" t="s">
        <v>104</v>
      </c>
      <c r="B31" s="9" t="s">
        <v>105</v>
      </c>
      <c r="C31" s="2" t="s">
        <v>47</v>
      </c>
      <c r="D31" s="2" t="s">
        <v>47</v>
      </c>
      <c r="E31" s="2" t="s">
        <v>47</v>
      </c>
      <c r="F31" s="2">
        <v>0</v>
      </c>
      <c r="K31" s="2" t="s">
        <v>42</v>
      </c>
    </row>
    <row r="32" spans="1:11" x14ac:dyDescent="0.25">
      <c r="A32" s="8" t="s">
        <v>106</v>
      </c>
      <c r="B32" s="9" t="s">
        <v>107</v>
      </c>
      <c r="C32" s="2" t="s">
        <v>47</v>
      </c>
      <c r="D32" s="2" t="s">
        <v>47</v>
      </c>
      <c r="E32" s="2" t="s">
        <v>47</v>
      </c>
      <c r="F32" s="2">
        <v>0</v>
      </c>
      <c r="K32" s="2" t="s">
        <v>42</v>
      </c>
    </row>
    <row r="33" spans="1:11" x14ac:dyDescent="0.25">
      <c r="A33" s="8" t="s">
        <v>108</v>
      </c>
      <c r="B33" s="9" t="s">
        <v>109</v>
      </c>
      <c r="C33" s="2" t="s">
        <v>47</v>
      </c>
      <c r="D33" s="2" t="s">
        <v>47</v>
      </c>
      <c r="E33" s="2" t="s">
        <v>47</v>
      </c>
      <c r="F33" s="2">
        <v>0</v>
      </c>
      <c r="K33" s="2" t="s">
        <v>42</v>
      </c>
    </row>
    <row r="34" spans="1:11" x14ac:dyDescent="0.25">
      <c r="A34" s="12" t="s">
        <v>110</v>
      </c>
      <c r="B34" s="13" t="s">
        <v>111</v>
      </c>
      <c r="C34" s="2" t="s">
        <v>47</v>
      </c>
      <c r="D34" s="2" t="s">
        <v>47</v>
      </c>
      <c r="E34" s="2" t="s">
        <v>46</v>
      </c>
      <c r="F34" s="2">
        <v>0</v>
      </c>
      <c r="K34" s="2" t="s">
        <v>42</v>
      </c>
    </row>
    <row r="35" spans="1:11" x14ac:dyDescent="0.25">
      <c r="A35" s="8" t="s">
        <v>112</v>
      </c>
      <c r="B35" s="9" t="s">
        <v>113</v>
      </c>
      <c r="C35" s="2" t="s">
        <v>47</v>
      </c>
      <c r="D35" s="2" t="s">
        <v>47</v>
      </c>
      <c r="E35" s="2" t="s">
        <v>47</v>
      </c>
      <c r="F35" s="2">
        <v>0</v>
      </c>
      <c r="K35" s="2" t="s">
        <v>42</v>
      </c>
    </row>
    <row r="36" spans="1:11" x14ac:dyDescent="0.25">
      <c r="A36" s="8" t="s">
        <v>114</v>
      </c>
      <c r="B36" s="9" t="s">
        <v>115</v>
      </c>
      <c r="C36" s="2" t="s">
        <v>47</v>
      </c>
      <c r="D36" s="2" t="s">
        <v>47</v>
      </c>
      <c r="E36" s="2" t="s">
        <v>47</v>
      </c>
      <c r="F36" s="2">
        <v>0</v>
      </c>
      <c r="K36" s="2" t="s">
        <v>42</v>
      </c>
    </row>
    <row r="37" spans="1:11" x14ac:dyDescent="0.25">
      <c r="A37" s="12" t="s">
        <v>116</v>
      </c>
      <c r="B37" s="13" t="s">
        <v>117</v>
      </c>
      <c r="C37" s="2" t="s">
        <v>47</v>
      </c>
      <c r="D37" s="2" t="s">
        <v>47</v>
      </c>
      <c r="E37" s="2" t="s">
        <v>46</v>
      </c>
      <c r="F37" s="2">
        <v>0</v>
      </c>
      <c r="K37" s="2" t="s">
        <v>42</v>
      </c>
    </row>
    <row r="38" spans="1:11" x14ac:dyDescent="0.25">
      <c r="A38" s="8" t="s">
        <v>118</v>
      </c>
      <c r="B38" s="9" t="s">
        <v>119</v>
      </c>
      <c r="C38" s="2" t="s">
        <v>47</v>
      </c>
      <c r="D38" s="2" t="s">
        <v>47</v>
      </c>
      <c r="E38" s="2" t="s">
        <v>47</v>
      </c>
      <c r="F38" s="2">
        <v>0</v>
      </c>
      <c r="K38" s="2" t="s">
        <v>42</v>
      </c>
    </row>
    <row r="39" spans="1:11" x14ac:dyDescent="0.25">
      <c r="A39" s="8" t="s">
        <v>120</v>
      </c>
      <c r="B39" s="9" t="s">
        <v>121</v>
      </c>
      <c r="C39" s="2" t="s">
        <v>47</v>
      </c>
      <c r="D39" s="2" t="s">
        <v>47</v>
      </c>
      <c r="E39" s="2" t="s">
        <v>47</v>
      </c>
      <c r="F39" s="2">
        <v>0</v>
      </c>
      <c r="K39" s="2" t="s">
        <v>42</v>
      </c>
    </row>
    <row r="40" spans="1:11" x14ac:dyDescent="0.25">
      <c r="A40" s="12" t="s">
        <v>122</v>
      </c>
      <c r="B40" s="13" t="s">
        <v>123</v>
      </c>
      <c r="C40" s="2" t="s">
        <v>47</v>
      </c>
      <c r="D40" s="2" t="s">
        <v>47</v>
      </c>
      <c r="E40" s="2" t="s">
        <v>46</v>
      </c>
      <c r="F40" s="2">
        <v>0</v>
      </c>
      <c r="K40" s="2" t="s">
        <v>42</v>
      </c>
    </row>
    <row r="41" spans="1:11" x14ac:dyDescent="0.25">
      <c r="A41" s="12" t="s">
        <v>124</v>
      </c>
      <c r="B41" s="13" t="s">
        <v>125</v>
      </c>
      <c r="C41" s="2" t="s">
        <v>47</v>
      </c>
      <c r="D41" s="2" t="s">
        <v>47</v>
      </c>
      <c r="E41" s="2" t="s">
        <v>46</v>
      </c>
      <c r="F41" s="2">
        <v>0</v>
      </c>
      <c r="K41" s="2" t="s">
        <v>42</v>
      </c>
    </row>
    <row r="42" spans="1:11" x14ac:dyDescent="0.25">
      <c r="A42" s="8" t="s">
        <v>126</v>
      </c>
      <c r="B42" s="9" t="s">
        <v>127</v>
      </c>
      <c r="C42" s="2" t="s">
        <v>47</v>
      </c>
      <c r="D42" s="2" t="s">
        <v>47</v>
      </c>
      <c r="E42" s="2" t="s">
        <v>47</v>
      </c>
      <c r="F42" s="2">
        <v>0</v>
      </c>
      <c r="K42" s="2" t="s">
        <v>42</v>
      </c>
    </row>
    <row r="43" spans="1:11" x14ac:dyDescent="0.25">
      <c r="A43" s="8" t="s">
        <v>128</v>
      </c>
      <c r="B43" s="9" t="s">
        <v>129</v>
      </c>
      <c r="C43" s="2" t="s">
        <v>47</v>
      </c>
      <c r="D43" s="2" t="s">
        <v>47</v>
      </c>
      <c r="E43" s="2" t="s">
        <v>47</v>
      </c>
      <c r="F43" s="2">
        <v>0</v>
      </c>
      <c r="K43" s="2" t="s">
        <v>42</v>
      </c>
    </row>
    <row r="44" spans="1:11" x14ac:dyDescent="0.25">
      <c r="A44" s="8" t="s">
        <v>130</v>
      </c>
      <c r="B44" s="9" t="s">
        <v>131</v>
      </c>
      <c r="C44" s="2" t="s">
        <v>47</v>
      </c>
      <c r="D44" s="2" t="s">
        <v>47</v>
      </c>
      <c r="E44" s="2" t="s">
        <v>47</v>
      </c>
      <c r="F44" s="2">
        <v>0</v>
      </c>
      <c r="K44" s="2" t="s">
        <v>42</v>
      </c>
    </row>
    <row r="45" spans="1:11" x14ac:dyDescent="0.25">
      <c r="A45" s="8" t="s">
        <v>132</v>
      </c>
      <c r="B45" s="9" t="s">
        <v>133</v>
      </c>
      <c r="C45" s="2" t="s">
        <v>47</v>
      </c>
      <c r="D45" s="2" t="s">
        <v>47</v>
      </c>
      <c r="E45" s="2" t="s">
        <v>47</v>
      </c>
      <c r="F45" s="2">
        <v>0</v>
      </c>
      <c r="K45" s="2" t="s">
        <v>42</v>
      </c>
    </row>
    <row r="46" spans="1:11" x14ac:dyDescent="0.25">
      <c r="A46" s="12" t="s">
        <v>134</v>
      </c>
      <c r="B46" s="13" t="s">
        <v>135</v>
      </c>
      <c r="C46" s="2" t="s">
        <v>47</v>
      </c>
      <c r="D46" s="2" t="s">
        <v>47</v>
      </c>
      <c r="E46" s="2" t="s">
        <v>46</v>
      </c>
      <c r="F46" s="2">
        <v>0</v>
      </c>
      <c r="K46" s="2" t="s">
        <v>42</v>
      </c>
    </row>
    <row r="47" spans="1:11" x14ac:dyDescent="0.25">
      <c r="A47" s="8" t="s">
        <v>136</v>
      </c>
      <c r="B47" s="9" t="s">
        <v>137</v>
      </c>
      <c r="C47" s="2" t="s">
        <v>47</v>
      </c>
      <c r="D47" s="2" t="s">
        <v>47</v>
      </c>
      <c r="E47" s="2" t="s">
        <v>47</v>
      </c>
      <c r="F47" s="2">
        <v>0</v>
      </c>
      <c r="K47" s="2" t="s">
        <v>42</v>
      </c>
    </row>
    <row r="48" spans="1:11" x14ac:dyDescent="0.25">
      <c r="A48" s="12" t="s">
        <v>138</v>
      </c>
      <c r="B48" s="13" t="s">
        <v>139</v>
      </c>
      <c r="C48" s="2" t="s">
        <v>47</v>
      </c>
      <c r="D48" s="2" t="s">
        <v>47</v>
      </c>
      <c r="E48" s="2" t="s">
        <v>46</v>
      </c>
      <c r="F48" s="2">
        <v>0</v>
      </c>
      <c r="K48" s="2" t="s">
        <v>42</v>
      </c>
    </row>
    <row r="49" spans="1:11" x14ac:dyDescent="0.25">
      <c r="A49" s="14" t="s">
        <v>140</v>
      </c>
      <c r="B49" s="15" t="s">
        <v>141</v>
      </c>
      <c r="C49" s="2" t="s">
        <v>47</v>
      </c>
      <c r="D49" s="2" t="s">
        <v>47</v>
      </c>
      <c r="E49" s="2" t="s">
        <v>47</v>
      </c>
      <c r="F49" s="2">
        <v>0</v>
      </c>
      <c r="K49" s="2" t="s">
        <v>42</v>
      </c>
    </row>
    <row r="50" spans="1:11" x14ac:dyDescent="0.25">
      <c r="A50" s="8" t="s">
        <v>142</v>
      </c>
      <c r="B50" s="9" t="s">
        <v>143</v>
      </c>
      <c r="C50" s="2" t="s">
        <v>47</v>
      </c>
      <c r="D50" s="2" t="s">
        <v>47</v>
      </c>
      <c r="E50" s="2" t="s">
        <v>47</v>
      </c>
      <c r="F50" s="2">
        <v>0</v>
      </c>
      <c r="K50" s="2" t="s">
        <v>42</v>
      </c>
    </row>
    <row r="51" spans="1:11" x14ac:dyDescent="0.25">
      <c r="A51" s="8" t="s">
        <v>144</v>
      </c>
      <c r="B51" s="9" t="s">
        <v>145</v>
      </c>
      <c r="C51" s="2" t="s">
        <v>47</v>
      </c>
      <c r="D51" s="2" t="s">
        <v>47</v>
      </c>
      <c r="E51" s="2" t="s">
        <v>47</v>
      </c>
      <c r="F51" s="2">
        <v>0</v>
      </c>
      <c r="K51" s="2" t="s">
        <v>42</v>
      </c>
    </row>
    <row r="52" spans="1:11" x14ac:dyDescent="0.25">
      <c r="A52" s="8" t="s">
        <v>146</v>
      </c>
      <c r="B52" s="9" t="s">
        <v>147</v>
      </c>
      <c r="C52" s="2" t="s">
        <v>47</v>
      </c>
      <c r="D52" s="2" t="s">
        <v>47</v>
      </c>
      <c r="E52" s="2" t="s">
        <v>47</v>
      </c>
      <c r="F52" s="2">
        <v>0</v>
      </c>
      <c r="K52" s="2" t="s">
        <v>42</v>
      </c>
    </row>
    <row r="53" spans="1:11" x14ac:dyDescent="0.25">
      <c r="A53" s="12" t="s">
        <v>148</v>
      </c>
      <c r="B53" s="13" t="s">
        <v>149</v>
      </c>
      <c r="C53" s="2" t="s">
        <v>47</v>
      </c>
      <c r="D53" s="2" t="s">
        <v>47</v>
      </c>
      <c r="E53" s="2" t="s">
        <v>46</v>
      </c>
      <c r="F53" s="2">
        <v>0</v>
      </c>
      <c r="K53" s="2" t="s">
        <v>42</v>
      </c>
    </row>
    <row r="54" spans="1:11" x14ac:dyDescent="0.25">
      <c r="A54" s="8" t="s">
        <v>150</v>
      </c>
      <c r="B54" s="9" t="s">
        <v>151</v>
      </c>
      <c r="C54" s="2" t="s">
        <v>47</v>
      </c>
      <c r="D54" s="2" t="s">
        <v>47</v>
      </c>
      <c r="E54" s="2" t="s">
        <v>47</v>
      </c>
      <c r="F54" s="2">
        <v>0</v>
      </c>
      <c r="K54" s="2" t="s">
        <v>42</v>
      </c>
    </row>
    <row r="55" spans="1:11" x14ac:dyDescent="0.25">
      <c r="A55" s="8" t="s">
        <v>152</v>
      </c>
      <c r="B55" s="9" t="s">
        <v>153</v>
      </c>
      <c r="C55" s="2" t="s">
        <v>47</v>
      </c>
      <c r="D55" s="2" t="s">
        <v>47</v>
      </c>
      <c r="E55" s="2" t="s">
        <v>47</v>
      </c>
      <c r="F55" s="2">
        <v>0</v>
      </c>
      <c r="K55" s="2" t="s">
        <v>42</v>
      </c>
    </row>
    <row r="56" spans="1:11" x14ac:dyDescent="0.25">
      <c r="A56" s="12" t="s">
        <v>154</v>
      </c>
      <c r="B56" s="13" t="s">
        <v>155</v>
      </c>
      <c r="C56" s="2" t="s">
        <v>47</v>
      </c>
      <c r="D56" s="2" t="s">
        <v>47</v>
      </c>
      <c r="E56" s="2" t="s">
        <v>46</v>
      </c>
      <c r="F56" s="2">
        <v>0</v>
      </c>
      <c r="K56" s="2" t="s">
        <v>42</v>
      </c>
    </row>
    <row r="57" spans="1:11" x14ac:dyDescent="0.25">
      <c r="A57" s="8" t="s">
        <v>156</v>
      </c>
      <c r="B57" s="9" t="s">
        <v>157</v>
      </c>
      <c r="C57" s="2" t="s">
        <v>47</v>
      </c>
      <c r="D57" s="2" t="s">
        <v>47</v>
      </c>
      <c r="E57" s="2" t="s">
        <v>47</v>
      </c>
      <c r="F57" s="2">
        <v>0</v>
      </c>
      <c r="K57" s="2" t="s">
        <v>42</v>
      </c>
    </row>
    <row r="58" spans="1:11" x14ac:dyDescent="0.25">
      <c r="A58" s="8" t="s">
        <v>158</v>
      </c>
      <c r="B58" s="9" t="s">
        <v>159</v>
      </c>
      <c r="C58" s="2" t="s">
        <v>47</v>
      </c>
      <c r="D58" s="2" t="s">
        <v>47</v>
      </c>
      <c r="E58" s="2" t="s">
        <v>47</v>
      </c>
      <c r="F58" s="2">
        <v>0</v>
      </c>
      <c r="K58" s="2" t="s">
        <v>42</v>
      </c>
    </row>
    <row r="59" spans="1:11" x14ac:dyDescent="0.25">
      <c r="A59" s="12" t="s">
        <v>160</v>
      </c>
      <c r="B59" s="13" t="s">
        <v>161</v>
      </c>
      <c r="C59" s="2" t="s">
        <v>47</v>
      </c>
      <c r="D59" s="2" t="s">
        <v>47</v>
      </c>
      <c r="E59" s="2" t="s">
        <v>46</v>
      </c>
      <c r="F59" s="2">
        <v>0</v>
      </c>
      <c r="K59" s="2" t="s">
        <v>42</v>
      </c>
    </row>
    <row r="60" spans="1:11" x14ac:dyDescent="0.25">
      <c r="A60" s="12" t="s">
        <v>162</v>
      </c>
      <c r="B60" s="13" t="s">
        <v>163</v>
      </c>
      <c r="C60" s="2" t="s">
        <v>47</v>
      </c>
      <c r="D60" s="2" t="s">
        <v>47</v>
      </c>
      <c r="E60" s="2" t="s">
        <v>46</v>
      </c>
      <c r="F60" s="2">
        <v>0</v>
      </c>
      <c r="K60" s="2" t="s">
        <v>42</v>
      </c>
    </row>
    <row r="61" spans="1:11" x14ac:dyDescent="0.25">
      <c r="A61" s="8" t="s">
        <v>164</v>
      </c>
      <c r="B61" s="9" t="s">
        <v>165</v>
      </c>
      <c r="C61" s="2" t="s">
        <v>47</v>
      </c>
      <c r="D61" s="2" t="s">
        <v>47</v>
      </c>
      <c r="E61" s="2" t="s">
        <v>47</v>
      </c>
      <c r="F61" s="2">
        <v>0</v>
      </c>
      <c r="K61" s="2" t="s">
        <v>42</v>
      </c>
    </row>
    <row r="62" spans="1:11" x14ac:dyDescent="0.25">
      <c r="A62" s="8" t="s">
        <v>166</v>
      </c>
      <c r="B62" s="9" t="s">
        <v>167</v>
      </c>
      <c r="C62" s="2" t="s">
        <v>47</v>
      </c>
      <c r="D62" s="2" t="s">
        <v>47</v>
      </c>
      <c r="E62" s="2" t="s">
        <v>47</v>
      </c>
      <c r="F62" s="2">
        <v>0</v>
      </c>
      <c r="K62" s="2" t="s">
        <v>42</v>
      </c>
    </row>
    <row r="63" spans="1:11" x14ac:dyDescent="0.25">
      <c r="A63" s="8" t="s">
        <v>168</v>
      </c>
      <c r="B63" s="9" t="s">
        <v>169</v>
      </c>
      <c r="C63" s="2" t="s">
        <v>47</v>
      </c>
      <c r="D63" s="2" t="s">
        <v>47</v>
      </c>
      <c r="E63" s="2" t="s">
        <v>47</v>
      </c>
      <c r="F63" s="2">
        <v>0</v>
      </c>
      <c r="K63" s="2" t="s">
        <v>42</v>
      </c>
    </row>
    <row r="64" spans="1:11" x14ac:dyDescent="0.25">
      <c r="A64" s="8" t="s">
        <v>170</v>
      </c>
      <c r="B64" s="9" t="s">
        <v>171</v>
      </c>
      <c r="C64" s="2" t="s">
        <v>47</v>
      </c>
      <c r="D64" s="2" t="s">
        <v>47</v>
      </c>
      <c r="E64" s="2" t="s">
        <v>47</v>
      </c>
      <c r="F64" s="2">
        <v>0</v>
      </c>
      <c r="K64" s="2" t="s">
        <v>42</v>
      </c>
    </row>
    <row r="65" spans="1:11" x14ac:dyDescent="0.25">
      <c r="A65" s="12" t="s">
        <v>172</v>
      </c>
      <c r="B65" s="13" t="s">
        <v>173</v>
      </c>
      <c r="C65" s="2" t="s">
        <v>47</v>
      </c>
      <c r="D65" s="2" t="s">
        <v>47</v>
      </c>
      <c r="E65" s="2" t="s">
        <v>46</v>
      </c>
      <c r="F65" s="2">
        <v>0</v>
      </c>
      <c r="K65" s="2" t="s">
        <v>42</v>
      </c>
    </row>
    <row r="66" spans="1:11" x14ac:dyDescent="0.25">
      <c r="A66" s="8" t="s">
        <v>174</v>
      </c>
      <c r="B66" s="9" t="s">
        <v>175</v>
      </c>
      <c r="C66" s="2" t="s">
        <v>47</v>
      </c>
      <c r="D66" s="2" t="s">
        <v>47</v>
      </c>
      <c r="E66" s="2" t="s">
        <v>47</v>
      </c>
      <c r="F66" s="2">
        <v>0</v>
      </c>
      <c r="K66" s="2" t="s">
        <v>42</v>
      </c>
    </row>
    <row r="67" spans="1:11" x14ac:dyDescent="0.25">
      <c r="A67" s="12" t="s">
        <v>176</v>
      </c>
      <c r="B67" s="13" t="s">
        <v>177</v>
      </c>
      <c r="C67" s="2" t="s">
        <v>47</v>
      </c>
      <c r="D67" s="2" t="s">
        <v>47</v>
      </c>
      <c r="E67" s="2" t="s">
        <v>46</v>
      </c>
      <c r="F67" s="2">
        <v>0</v>
      </c>
      <c r="K67" s="2" t="s">
        <v>42</v>
      </c>
    </row>
    <row r="68" spans="1:11" x14ac:dyDescent="0.25">
      <c r="A68" s="14" t="s">
        <v>178</v>
      </c>
      <c r="B68" s="15" t="s">
        <v>179</v>
      </c>
      <c r="C68" s="2" t="s">
        <v>47</v>
      </c>
      <c r="D68" s="2" t="s">
        <v>47</v>
      </c>
      <c r="E68" s="2" t="s">
        <v>47</v>
      </c>
      <c r="F68" s="2">
        <v>0</v>
      </c>
      <c r="K68" s="2" t="s">
        <v>42</v>
      </c>
    </row>
    <row r="69" spans="1:11" x14ac:dyDescent="0.25">
      <c r="A69" s="8" t="s">
        <v>180</v>
      </c>
      <c r="B69" s="9" t="s">
        <v>181</v>
      </c>
      <c r="C69" s="2" t="s">
        <v>47</v>
      </c>
      <c r="D69" s="2" t="s">
        <v>47</v>
      </c>
      <c r="E69" s="2" t="s">
        <v>47</v>
      </c>
      <c r="F69" s="2">
        <v>0</v>
      </c>
      <c r="K69" s="2" t="s">
        <v>42</v>
      </c>
    </row>
    <row r="70" spans="1:11" x14ac:dyDescent="0.25">
      <c r="A70" s="8" t="s">
        <v>182</v>
      </c>
      <c r="B70" s="9" t="s">
        <v>183</v>
      </c>
      <c r="C70" s="2" t="s">
        <v>47</v>
      </c>
      <c r="D70" s="2" t="s">
        <v>47</v>
      </c>
      <c r="E70" s="2" t="s">
        <v>47</v>
      </c>
      <c r="F70" s="2">
        <v>0</v>
      </c>
      <c r="K70" s="2" t="s">
        <v>42</v>
      </c>
    </row>
    <row r="71" spans="1:11" x14ac:dyDescent="0.25">
      <c r="A71" s="8" t="s">
        <v>184</v>
      </c>
      <c r="B71" s="9" t="s">
        <v>185</v>
      </c>
      <c r="C71" s="2" t="s">
        <v>47</v>
      </c>
      <c r="D71" s="2" t="s">
        <v>47</v>
      </c>
      <c r="E71" s="2" t="s">
        <v>47</v>
      </c>
      <c r="F71" s="2">
        <v>0</v>
      </c>
      <c r="K71" s="2" t="s">
        <v>42</v>
      </c>
    </row>
    <row r="72" spans="1:11" x14ac:dyDescent="0.25">
      <c r="A72" s="12" t="s">
        <v>186</v>
      </c>
      <c r="B72" s="13" t="s">
        <v>187</v>
      </c>
      <c r="C72" s="2" t="s">
        <v>47</v>
      </c>
      <c r="D72" s="2" t="s">
        <v>47</v>
      </c>
      <c r="E72" s="2" t="s">
        <v>46</v>
      </c>
      <c r="F72" s="2">
        <v>0</v>
      </c>
      <c r="K72" s="2" t="s">
        <v>42</v>
      </c>
    </row>
    <row r="73" spans="1:11" x14ac:dyDescent="0.25">
      <c r="A73" s="8" t="s">
        <v>188</v>
      </c>
      <c r="B73" s="9" t="s">
        <v>189</v>
      </c>
      <c r="C73" s="2" t="s">
        <v>47</v>
      </c>
      <c r="D73" s="2" t="s">
        <v>47</v>
      </c>
      <c r="E73" s="2" t="s">
        <v>47</v>
      </c>
      <c r="F73" s="2">
        <v>0</v>
      </c>
      <c r="K73" s="2" t="s">
        <v>42</v>
      </c>
    </row>
    <row r="74" spans="1:11" x14ac:dyDescent="0.25">
      <c r="A74" s="8" t="s">
        <v>190</v>
      </c>
      <c r="B74" s="9" t="s">
        <v>191</v>
      </c>
      <c r="C74" s="2" t="s">
        <v>47</v>
      </c>
      <c r="D74" s="2" t="s">
        <v>47</v>
      </c>
      <c r="E74" s="2" t="s">
        <v>47</v>
      </c>
      <c r="F74" s="2">
        <v>0</v>
      </c>
      <c r="K74" s="2" t="s">
        <v>42</v>
      </c>
    </row>
    <row r="75" spans="1:11" x14ac:dyDescent="0.25">
      <c r="A75" s="12" t="s">
        <v>192</v>
      </c>
      <c r="B75" s="13" t="s">
        <v>193</v>
      </c>
      <c r="C75" s="2" t="s">
        <v>47</v>
      </c>
      <c r="D75" s="2" t="s">
        <v>47</v>
      </c>
      <c r="E75" s="2" t="s">
        <v>46</v>
      </c>
      <c r="F75" s="2">
        <v>0</v>
      </c>
      <c r="K75" s="2" t="s">
        <v>42</v>
      </c>
    </row>
    <row r="76" spans="1:11" x14ac:dyDescent="0.25">
      <c r="A76" s="8" t="s">
        <v>194</v>
      </c>
      <c r="B76" s="9" t="s">
        <v>195</v>
      </c>
      <c r="C76" s="2" t="s">
        <v>47</v>
      </c>
      <c r="D76" s="2" t="s">
        <v>47</v>
      </c>
      <c r="E76" s="2" t="s">
        <v>47</v>
      </c>
      <c r="F76" s="2">
        <v>0</v>
      </c>
      <c r="K76" s="2" t="s">
        <v>42</v>
      </c>
    </row>
    <row r="77" spans="1:11" x14ac:dyDescent="0.25">
      <c r="A77" s="8" t="s">
        <v>196</v>
      </c>
      <c r="B77" s="9" t="s">
        <v>197</v>
      </c>
      <c r="C77" s="2" t="s">
        <v>47</v>
      </c>
      <c r="D77" s="2" t="s">
        <v>47</v>
      </c>
      <c r="E77" s="2" t="s">
        <v>47</v>
      </c>
      <c r="F77" s="2">
        <v>0</v>
      </c>
      <c r="K77" s="2" t="s">
        <v>42</v>
      </c>
    </row>
    <row r="78" spans="1:11" x14ac:dyDescent="0.25">
      <c r="A78" s="12" t="s">
        <v>198</v>
      </c>
      <c r="B78" s="13" t="s">
        <v>199</v>
      </c>
      <c r="C78" s="2" t="s">
        <v>47</v>
      </c>
      <c r="D78" s="2" t="s">
        <v>47</v>
      </c>
      <c r="E78" s="2" t="s">
        <v>46</v>
      </c>
      <c r="F78" s="2">
        <v>0</v>
      </c>
      <c r="K78" s="2" t="s">
        <v>42</v>
      </c>
    </row>
    <row r="79" spans="1:11" x14ac:dyDescent="0.25">
      <c r="A79" s="12" t="s">
        <v>200</v>
      </c>
      <c r="B79" s="13" t="s">
        <v>201</v>
      </c>
      <c r="C79" s="2" t="s">
        <v>47</v>
      </c>
      <c r="D79" s="2" t="s">
        <v>47</v>
      </c>
      <c r="E79" s="2" t="s">
        <v>46</v>
      </c>
      <c r="F79" s="2">
        <v>0</v>
      </c>
      <c r="K79" s="2" t="s">
        <v>42</v>
      </c>
    </row>
    <row r="80" spans="1:11" x14ac:dyDescent="0.25">
      <c r="A80" s="8" t="s">
        <v>202</v>
      </c>
      <c r="B80" s="9" t="s">
        <v>203</v>
      </c>
      <c r="C80" s="2" t="s">
        <v>47</v>
      </c>
      <c r="D80" s="2" t="s">
        <v>47</v>
      </c>
      <c r="E80" s="2" t="s">
        <v>47</v>
      </c>
      <c r="F80" s="2">
        <v>0</v>
      </c>
      <c r="K80" s="2" t="s">
        <v>42</v>
      </c>
    </row>
    <row r="81" spans="1:11" x14ac:dyDescent="0.25">
      <c r="A81" s="8" t="s">
        <v>204</v>
      </c>
      <c r="B81" s="9" t="s">
        <v>205</v>
      </c>
      <c r="C81" s="2" t="s">
        <v>47</v>
      </c>
      <c r="D81" s="2" t="s">
        <v>47</v>
      </c>
      <c r="E81" s="2" t="s">
        <v>47</v>
      </c>
      <c r="F81" s="2">
        <v>0</v>
      </c>
      <c r="K81" s="2" t="s">
        <v>42</v>
      </c>
    </row>
    <row r="82" spans="1:11" x14ac:dyDescent="0.25">
      <c r="A82" s="8" t="s">
        <v>206</v>
      </c>
      <c r="B82" s="9" t="s">
        <v>207</v>
      </c>
      <c r="C82" s="2" t="s">
        <v>47</v>
      </c>
      <c r="D82" s="2" t="s">
        <v>47</v>
      </c>
      <c r="E82" s="2" t="s">
        <v>47</v>
      </c>
      <c r="F82" s="2">
        <v>0</v>
      </c>
      <c r="K82" s="2" t="s">
        <v>42</v>
      </c>
    </row>
    <row r="83" spans="1:11" x14ac:dyDescent="0.25">
      <c r="A83" s="8" t="s">
        <v>208</v>
      </c>
      <c r="B83" s="9" t="s">
        <v>209</v>
      </c>
      <c r="C83" s="2" t="s">
        <v>47</v>
      </c>
      <c r="D83" s="2" t="s">
        <v>47</v>
      </c>
      <c r="E83" s="2" t="s">
        <v>47</v>
      </c>
      <c r="F83" s="2">
        <v>0</v>
      </c>
      <c r="K83" s="2" t="s">
        <v>42</v>
      </c>
    </row>
    <row r="84" spans="1:11" x14ac:dyDescent="0.25">
      <c r="A84" s="12" t="s">
        <v>210</v>
      </c>
      <c r="B84" s="13" t="s">
        <v>211</v>
      </c>
      <c r="C84" s="2" t="s">
        <v>47</v>
      </c>
      <c r="D84" s="2" t="s">
        <v>47</v>
      </c>
      <c r="E84" s="2" t="s">
        <v>46</v>
      </c>
      <c r="F84" s="2">
        <v>0</v>
      </c>
      <c r="K84" s="2" t="s">
        <v>42</v>
      </c>
    </row>
    <row r="85" spans="1:11" x14ac:dyDescent="0.25">
      <c r="A85" s="8" t="s">
        <v>212</v>
      </c>
      <c r="B85" s="9" t="s">
        <v>213</v>
      </c>
      <c r="C85" s="2" t="s">
        <v>47</v>
      </c>
      <c r="D85" s="2" t="s">
        <v>47</v>
      </c>
      <c r="E85" s="2" t="s">
        <v>47</v>
      </c>
      <c r="F85" s="2">
        <v>0</v>
      </c>
      <c r="K85" s="2" t="s">
        <v>42</v>
      </c>
    </row>
    <row r="86" spans="1:11" x14ac:dyDescent="0.25">
      <c r="A86" s="12" t="s">
        <v>214</v>
      </c>
      <c r="B86" s="13" t="s">
        <v>215</v>
      </c>
      <c r="C86" s="2" t="s">
        <v>47</v>
      </c>
      <c r="D86" s="2" t="s">
        <v>47</v>
      </c>
      <c r="E86" s="2" t="s">
        <v>46</v>
      </c>
      <c r="F86" s="2">
        <v>0</v>
      </c>
      <c r="K86" s="2" t="s">
        <v>42</v>
      </c>
    </row>
    <row r="87" spans="1:11" x14ac:dyDescent="0.25">
      <c r="A87" s="14" t="s">
        <v>216</v>
      </c>
      <c r="B87" s="15" t="s">
        <v>217</v>
      </c>
      <c r="C87" s="2" t="s">
        <v>47</v>
      </c>
      <c r="D87" s="2" t="s">
        <v>47</v>
      </c>
      <c r="E87" s="2" t="s">
        <v>47</v>
      </c>
      <c r="F87" s="2">
        <v>0</v>
      </c>
      <c r="K87" s="2" t="s">
        <v>42</v>
      </c>
    </row>
    <row r="88" spans="1:11" x14ac:dyDescent="0.25">
      <c r="A88" s="8" t="s">
        <v>218</v>
      </c>
      <c r="B88" s="9" t="s">
        <v>219</v>
      </c>
      <c r="C88" s="2" t="s">
        <v>47</v>
      </c>
      <c r="D88" s="2" t="s">
        <v>47</v>
      </c>
      <c r="E88" s="2" t="s">
        <v>47</v>
      </c>
      <c r="F88" s="2">
        <v>0</v>
      </c>
      <c r="K88" s="2" t="s">
        <v>42</v>
      </c>
    </row>
    <row r="89" spans="1:11" x14ac:dyDescent="0.25">
      <c r="A89" s="8" t="s">
        <v>220</v>
      </c>
      <c r="B89" s="9" t="s">
        <v>221</v>
      </c>
      <c r="C89" s="2" t="s">
        <v>47</v>
      </c>
      <c r="D89" s="2" t="s">
        <v>47</v>
      </c>
      <c r="E89" s="2" t="s">
        <v>47</v>
      </c>
      <c r="F89" s="2">
        <v>0</v>
      </c>
      <c r="K89" s="2" t="s">
        <v>42</v>
      </c>
    </row>
    <row r="90" spans="1:11" x14ac:dyDescent="0.25">
      <c r="A90" s="8" t="s">
        <v>222</v>
      </c>
      <c r="B90" s="9" t="s">
        <v>223</v>
      </c>
      <c r="C90" s="2" t="s">
        <v>47</v>
      </c>
      <c r="D90" s="2" t="s">
        <v>47</v>
      </c>
      <c r="E90" s="2" t="s">
        <v>47</v>
      </c>
      <c r="F90" s="2">
        <v>0</v>
      </c>
      <c r="K90" s="2" t="s">
        <v>42</v>
      </c>
    </row>
    <row r="91" spans="1:11" x14ac:dyDescent="0.25">
      <c r="A91" s="12" t="s">
        <v>224</v>
      </c>
      <c r="B91" s="13" t="s">
        <v>225</v>
      </c>
      <c r="C91" s="2" t="s">
        <v>47</v>
      </c>
      <c r="D91" s="2" t="s">
        <v>47</v>
      </c>
      <c r="E91" s="2" t="s">
        <v>46</v>
      </c>
      <c r="F91" s="2">
        <v>0</v>
      </c>
      <c r="K91" s="2" t="s">
        <v>42</v>
      </c>
    </row>
    <row r="92" spans="1:11" x14ac:dyDescent="0.25">
      <c r="A92" s="8" t="s">
        <v>226</v>
      </c>
      <c r="B92" s="9" t="s">
        <v>227</v>
      </c>
      <c r="C92" s="2" t="s">
        <v>47</v>
      </c>
      <c r="D92" s="2" t="s">
        <v>47</v>
      </c>
      <c r="E92" s="2" t="s">
        <v>47</v>
      </c>
      <c r="F92" s="2">
        <v>0</v>
      </c>
      <c r="K92" s="2" t="s">
        <v>42</v>
      </c>
    </row>
    <row r="93" spans="1:11" x14ac:dyDescent="0.25">
      <c r="A93" s="8" t="s">
        <v>228</v>
      </c>
      <c r="B93" s="9" t="s">
        <v>229</v>
      </c>
      <c r="C93" s="2" t="s">
        <v>47</v>
      </c>
      <c r="D93" s="2" t="s">
        <v>47</v>
      </c>
      <c r="E93" s="2" t="s">
        <v>47</v>
      </c>
      <c r="F93" s="2">
        <v>0</v>
      </c>
      <c r="K93" s="2" t="s">
        <v>42</v>
      </c>
    </row>
    <row r="94" spans="1:11" x14ac:dyDescent="0.25">
      <c r="A94" s="12" t="s">
        <v>230</v>
      </c>
      <c r="B94" s="13" t="s">
        <v>231</v>
      </c>
      <c r="C94" s="2" t="s">
        <v>47</v>
      </c>
      <c r="D94" s="2" t="s">
        <v>47</v>
      </c>
      <c r="E94" s="2" t="s">
        <v>46</v>
      </c>
      <c r="F94" s="2">
        <v>0</v>
      </c>
      <c r="K94" s="2" t="s">
        <v>42</v>
      </c>
    </row>
    <row r="95" spans="1:11" x14ac:dyDescent="0.25">
      <c r="A95" s="8" t="s">
        <v>232</v>
      </c>
      <c r="B95" s="9" t="s">
        <v>233</v>
      </c>
      <c r="C95" s="2" t="s">
        <v>47</v>
      </c>
      <c r="D95" s="2" t="s">
        <v>47</v>
      </c>
      <c r="E95" s="2" t="s">
        <v>47</v>
      </c>
      <c r="F95" s="2">
        <v>0</v>
      </c>
      <c r="K95" s="2" t="s">
        <v>42</v>
      </c>
    </row>
    <row r="96" spans="1:11" x14ac:dyDescent="0.25">
      <c r="A96" s="8" t="s">
        <v>234</v>
      </c>
      <c r="B96" s="9" t="s">
        <v>235</v>
      </c>
      <c r="C96" s="2" t="s">
        <v>47</v>
      </c>
      <c r="D96" s="2" t="s">
        <v>47</v>
      </c>
      <c r="E96" s="2" t="s">
        <v>47</v>
      </c>
      <c r="F96" s="2">
        <v>0</v>
      </c>
      <c r="K96" s="2" t="s">
        <v>42</v>
      </c>
    </row>
    <row r="97" spans="1:11" x14ac:dyDescent="0.25">
      <c r="A97" s="12" t="s">
        <v>236</v>
      </c>
      <c r="B97" s="13" t="s">
        <v>237</v>
      </c>
      <c r="C97" s="2" t="s">
        <v>47</v>
      </c>
      <c r="D97" s="2" t="s">
        <v>47</v>
      </c>
      <c r="E97" s="2" t="s">
        <v>46</v>
      </c>
      <c r="F97" s="2">
        <v>0</v>
      </c>
      <c r="K97" s="2" t="s">
        <v>42</v>
      </c>
    </row>
    <row r="98" spans="1:11" x14ac:dyDescent="0.25">
      <c r="A98" s="12" t="s">
        <v>238</v>
      </c>
      <c r="B98" s="13" t="s">
        <v>239</v>
      </c>
      <c r="C98" s="2" t="s">
        <v>47</v>
      </c>
      <c r="D98" s="2" t="s">
        <v>47</v>
      </c>
      <c r="E98" s="2" t="s">
        <v>46</v>
      </c>
      <c r="F98" s="2">
        <v>0</v>
      </c>
      <c r="K98" s="2" t="s">
        <v>42</v>
      </c>
    </row>
    <row r="99" spans="1:11" x14ac:dyDescent="0.25">
      <c r="A99" s="8" t="s">
        <v>240</v>
      </c>
      <c r="B99" s="9" t="s">
        <v>241</v>
      </c>
      <c r="C99" s="2" t="s">
        <v>47</v>
      </c>
      <c r="D99" s="2" t="s">
        <v>47</v>
      </c>
      <c r="E99" s="2" t="s">
        <v>47</v>
      </c>
      <c r="F99" s="2">
        <v>0</v>
      </c>
      <c r="K99" s="2" t="s">
        <v>42</v>
      </c>
    </row>
    <row r="100" spans="1:11" x14ac:dyDescent="0.25">
      <c r="A100" s="8" t="s">
        <v>242</v>
      </c>
      <c r="B100" s="9" t="s">
        <v>243</v>
      </c>
      <c r="C100" s="2" t="s">
        <v>47</v>
      </c>
      <c r="D100" s="2" t="s">
        <v>47</v>
      </c>
      <c r="E100" s="2" t="s">
        <v>47</v>
      </c>
      <c r="F100" s="2">
        <v>0</v>
      </c>
      <c r="K100" s="2" t="s">
        <v>42</v>
      </c>
    </row>
    <row r="101" spans="1:11" x14ac:dyDescent="0.25">
      <c r="A101" s="8" t="s">
        <v>244</v>
      </c>
      <c r="B101" s="9" t="s">
        <v>245</v>
      </c>
      <c r="C101" s="2" t="s">
        <v>47</v>
      </c>
      <c r="D101" s="2" t="s">
        <v>47</v>
      </c>
      <c r="E101" s="2" t="s">
        <v>47</v>
      </c>
      <c r="F101" s="2">
        <v>0</v>
      </c>
      <c r="K101" s="2" t="s">
        <v>42</v>
      </c>
    </row>
    <row r="102" spans="1:11" x14ac:dyDescent="0.25">
      <c r="A102" s="8" t="s">
        <v>246</v>
      </c>
      <c r="B102" s="9" t="s">
        <v>247</v>
      </c>
      <c r="C102" s="2" t="s">
        <v>47</v>
      </c>
      <c r="D102" s="2" t="s">
        <v>47</v>
      </c>
      <c r="E102" s="2" t="s">
        <v>47</v>
      </c>
      <c r="F102" s="2">
        <v>0</v>
      </c>
      <c r="K102" s="2" t="s">
        <v>42</v>
      </c>
    </row>
    <row r="103" spans="1:11" x14ac:dyDescent="0.25">
      <c r="A103" s="12" t="s">
        <v>248</v>
      </c>
      <c r="B103" s="13" t="s">
        <v>249</v>
      </c>
      <c r="C103" s="2" t="s">
        <v>47</v>
      </c>
      <c r="D103" s="2" t="s">
        <v>47</v>
      </c>
      <c r="E103" s="2" t="s">
        <v>46</v>
      </c>
      <c r="F103" s="2">
        <v>0</v>
      </c>
      <c r="K103" s="2" t="s">
        <v>42</v>
      </c>
    </row>
    <row r="104" spans="1:11" x14ac:dyDescent="0.25">
      <c r="A104" s="8" t="s">
        <v>250</v>
      </c>
      <c r="B104" s="9" t="s">
        <v>251</v>
      </c>
      <c r="C104" s="2" t="s">
        <v>47</v>
      </c>
      <c r="D104" s="2" t="s">
        <v>47</v>
      </c>
      <c r="E104" s="2" t="s">
        <v>47</v>
      </c>
      <c r="F104" s="2">
        <v>0</v>
      </c>
      <c r="K104" s="2" t="s">
        <v>42</v>
      </c>
    </row>
    <row r="105" spans="1:11" x14ac:dyDescent="0.25">
      <c r="A105" s="12" t="s">
        <v>252</v>
      </c>
      <c r="B105" s="13" t="s">
        <v>253</v>
      </c>
      <c r="C105" s="2" t="s">
        <v>47</v>
      </c>
      <c r="D105" s="2" t="s">
        <v>47</v>
      </c>
      <c r="E105" s="2" t="s">
        <v>46</v>
      </c>
      <c r="F105" s="2">
        <v>0</v>
      </c>
      <c r="K105" s="2" t="s">
        <v>42</v>
      </c>
    </row>
    <row r="106" spans="1:11" x14ac:dyDescent="0.25">
      <c r="A106" s="14" t="s">
        <v>254</v>
      </c>
      <c r="B106" s="15" t="s">
        <v>255</v>
      </c>
      <c r="C106" s="2" t="s">
        <v>47</v>
      </c>
      <c r="D106" s="2" t="s">
        <v>47</v>
      </c>
      <c r="E106" s="2" t="s">
        <v>47</v>
      </c>
      <c r="F106" s="2">
        <v>0</v>
      </c>
      <c r="K106" s="2" t="s">
        <v>42</v>
      </c>
    </row>
    <row r="107" spans="1:11" x14ac:dyDescent="0.25">
      <c r="A107" s="8" t="s">
        <v>256</v>
      </c>
      <c r="B107" s="9" t="s">
        <v>257</v>
      </c>
      <c r="C107" s="2" t="s">
        <v>47</v>
      </c>
      <c r="D107" s="2" t="s">
        <v>47</v>
      </c>
      <c r="E107" s="2" t="s">
        <v>47</v>
      </c>
      <c r="F107" s="2">
        <v>0</v>
      </c>
      <c r="K107" s="2" t="s">
        <v>42</v>
      </c>
    </row>
    <row r="108" spans="1:11" x14ac:dyDescent="0.25">
      <c r="A108" s="8" t="s">
        <v>258</v>
      </c>
      <c r="B108" s="9" t="s">
        <v>259</v>
      </c>
      <c r="C108" s="2" t="s">
        <v>47</v>
      </c>
      <c r="D108" s="2" t="s">
        <v>47</v>
      </c>
      <c r="E108" s="2" t="s">
        <v>47</v>
      </c>
      <c r="F108" s="2">
        <v>0</v>
      </c>
      <c r="K108" s="2" t="s">
        <v>42</v>
      </c>
    </row>
    <row r="109" spans="1:11" x14ac:dyDescent="0.25">
      <c r="A109" s="8" t="s">
        <v>260</v>
      </c>
      <c r="B109" s="9" t="s">
        <v>261</v>
      </c>
      <c r="C109" s="2" t="s">
        <v>47</v>
      </c>
      <c r="D109" s="2" t="s">
        <v>47</v>
      </c>
      <c r="E109" s="2" t="s">
        <v>47</v>
      </c>
      <c r="F109" s="2">
        <v>0</v>
      </c>
      <c r="K109" s="2" t="s">
        <v>42</v>
      </c>
    </row>
    <row r="110" spans="1:11" x14ac:dyDescent="0.25">
      <c r="A110" s="12" t="s">
        <v>262</v>
      </c>
      <c r="B110" s="13" t="s">
        <v>263</v>
      </c>
      <c r="C110" s="2" t="s">
        <v>47</v>
      </c>
      <c r="D110" s="2" t="s">
        <v>47</v>
      </c>
      <c r="E110" s="2" t="s">
        <v>46</v>
      </c>
      <c r="F110" s="2">
        <v>0</v>
      </c>
      <c r="K110" s="2" t="s">
        <v>42</v>
      </c>
    </row>
    <row r="111" spans="1:11" x14ac:dyDescent="0.25">
      <c r="A111" s="8" t="s">
        <v>264</v>
      </c>
      <c r="B111" s="9" t="s">
        <v>265</v>
      </c>
      <c r="C111" s="2" t="s">
        <v>47</v>
      </c>
      <c r="D111" s="2" t="s">
        <v>47</v>
      </c>
      <c r="E111" s="2" t="s">
        <v>47</v>
      </c>
      <c r="F111" s="2">
        <v>0</v>
      </c>
      <c r="K111" s="2" t="s">
        <v>42</v>
      </c>
    </row>
    <row r="112" spans="1:11" x14ac:dyDescent="0.25">
      <c r="A112" s="8" t="s">
        <v>266</v>
      </c>
      <c r="B112" s="9" t="s">
        <v>267</v>
      </c>
      <c r="C112" s="2" t="s">
        <v>47</v>
      </c>
      <c r="D112" s="2" t="s">
        <v>47</v>
      </c>
      <c r="E112" s="2" t="s">
        <v>47</v>
      </c>
      <c r="F112" s="2">
        <v>0</v>
      </c>
      <c r="K112" s="2" t="s">
        <v>42</v>
      </c>
    </row>
    <row r="113" spans="1:11" x14ac:dyDescent="0.25">
      <c r="A113" s="12" t="s">
        <v>268</v>
      </c>
      <c r="B113" s="13" t="s">
        <v>269</v>
      </c>
      <c r="C113" s="2" t="s">
        <v>47</v>
      </c>
      <c r="D113" s="2" t="s">
        <v>47</v>
      </c>
      <c r="E113" s="2" t="s">
        <v>46</v>
      </c>
      <c r="F113" s="2">
        <v>0</v>
      </c>
      <c r="K113" s="2" t="s">
        <v>42</v>
      </c>
    </row>
    <row r="114" spans="1:11" x14ac:dyDescent="0.25">
      <c r="A114" s="8" t="s">
        <v>270</v>
      </c>
      <c r="B114" s="9" t="s">
        <v>271</v>
      </c>
      <c r="C114" s="2" t="s">
        <v>47</v>
      </c>
      <c r="D114" s="2" t="s">
        <v>47</v>
      </c>
      <c r="E114" s="2" t="s">
        <v>47</v>
      </c>
      <c r="F114" s="2">
        <v>0</v>
      </c>
      <c r="K114" s="2" t="s">
        <v>42</v>
      </c>
    </row>
    <row r="115" spans="1:11" x14ac:dyDescent="0.25">
      <c r="A115" s="8" t="s">
        <v>272</v>
      </c>
      <c r="B115" s="9" t="s">
        <v>273</v>
      </c>
      <c r="C115" s="2" t="s">
        <v>47</v>
      </c>
      <c r="D115" s="2" t="s">
        <v>47</v>
      </c>
      <c r="E115" s="2" t="s">
        <v>47</v>
      </c>
      <c r="F115" s="2">
        <v>0</v>
      </c>
      <c r="K115" s="2" t="s">
        <v>42</v>
      </c>
    </row>
    <row r="116" spans="1:11" x14ac:dyDescent="0.25">
      <c r="A116" s="12" t="s">
        <v>274</v>
      </c>
      <c r="B116" s="13" t="s">
        <v>275</v>
      </c>
      <c r="C116" s="2" t="s">
        <v>47</v>
      </c>
      <c r="D116" s="2" t="s">
        <v>47</v>
      </c>
      <c r="E116" s="2" t="s">
        <v>46</v>
      </c>
      <c r="F116" s="2">
        <v>0</v>
      </c>
      <c r="K116" s="2" t="s">
        <v>42</v>
      </c>
    </row>
    <row r="117" spans="1:11" x14ac:dyDescent="0.25">
      <c r="A117" s="12" t="s">
        <v>276</v>
      </c>
      <c r="B117" s="13" t="s">
        <v>277</v>
      </c>
      <c r="C117" s="2" t="s">
        <v>47</v>
      </c>
      <c r="D117" s="2" t="s">
        <v>47</v>
      </c>
      <c r="E117" s="2" t="s">
        <v>46</v>
      </c>
      <c r="F117" s="2">
        <v>0</v>
      </c>
      <c r="K117" s="2" t="s">
        <v>42</v>
      </c>
    </row>
    <row r="118" spans="1:11" x14ac:dyDescent="0.25">
      <c r="A118" s="8" t="s">
        <v>278</v>
      </c>
      <c r="B118" s="9" t="s">
        <v>279</v>
      </c>
      <c r="C118" s="2" t="s">
        <v>47</v>
      </c>
      <c r="D118" s="2" t="s">
        <v>47</v>
      </c>
      <c r="E118" s="2" t="s">
        <v>47</v>
      </c>
      <c r="F118" s="2">
        <v>0</v>
      </c>
      <c r="K118" s="2" t="s">
        <v>42</v>
      </c>
    </row>
    <row r="119" spans="1:11" x14ac:dyDescent="0.25">
      <c r="A119" s="8" t="s">
        <v>280</v>
      </c>
      <c r="B119" s="9" t="s">
        <v>281</v>
      </c>
      <c r="C119" s="2" t="s">
        <v>47</v>
      </c>
      <c r="D119" s="2" t="s">
        <v>47</v>
      </c>
      <c r="E119" s="2" t="s">
        <v>47</v>
      </c>
      <c r="F119" s="2">
        <v>0</v>
      </c>
      <c r="K119" s="2" t="s">
        <v>42</v>
      </c>
    </row>
    <row r="120" spans="1:11" x14ac:dyDescent="0.25">
      <c r="A120" s="8" t="s">
        <v>282</v>
      </c>
      <c r="B120" s="9" t="s">
        <v>283</v>
      </c>
      <c r="C120" s="2" t="s">
        <v>47</v>
      </c>
      <c r="D120" s="2" t="s">
        <v>47</v>
      </c>
      <c r="E120" s="2" t="s">
        <v>47</v>
      </c>
      <c r="F120" s="2">
        <v>0</v>
      </c>
      <c r="K120" s="2" t="s">
        <v>42</v>
      </c>
    </row>
    <row r="121" spans="1:11" x14ac:dyDescent="0.25">
      <c r="A121" s="8" t="s">
        <v>284</v>
      </c>
      <c r="B121" s="9" t="s">
        <v>285</v>
      </c>
      <c r="C121" s="2" t="s">
        <v>47</v>
      </c>
      <c r="D121" s="2" t="s">
        <v>47</v>
      </c>
      <c r="E121" s="2" t="s">
        <v>47</v>
      </c>
      <c r="F121" s="2">
        <v>0</v>
      </c>
      <c r="K121" s="2" t="s">
        <v>42</v>
      </c>
    </row>
    <row r="122" spans="1:11" x14ac:dyDescent="0.25">
      <c r="A122" s="12" t="s">
        <v>286</v>
      </c>
      <c r="B122" s="13" t="s">
        <v>287</v>
      </c>
      <c r="C122" s="2" t="s">
        <v>47</v>
      </c>
      <c r="D122" s="2" t="s">
        <v>47</v>
      </c>
      <c r="E122" s="2" t="s">
        <v>46</v>
      </c>
      <c r="F122" s="2">
        <v>0</v>
      </c>
      <c r="K122" s="2" t="s">
        <v>42</v>
      </c>
    </row>
    <row r="123" spans="1:11" x14ac:dyDescent="0.25">
      <c r="A123" s="8" t="s">
        <v>288</v>
      </c>
      <c r="B123" s="9" t="s">
        <v>289</v>
      </c>
      <c r="C123" s="2" t="s">
        <v>47</v>
      </c>
      <c r="D123" s="2" t="s">
        <v>47</v>
      </c>
      <c r="E123" s="2" t="s">
        <v>47</v>
      </c>
      <c r="F123" s="2">
        <v>0</v>
      </c>
      <c r="K123" s="2" t="s">
        <v>42</v>
      </c>
    </row>
    <row r="124" spans="1:11" x14ac:dyDescent="0.25">
      <c r="A124" s="12" t="s">
        <v>290</v>
      </c>
      <c r="B124" s="13" t="s">
        <v>291</v>
      </c>
      <c r="C124" s="2" t="s">
        <v>47</v>
      </c>
      <c r="D124" s="2" t="s">
        <v>47</v>
      </c>
      <c r="E124" s="2" t="s">
        <v>46</v>
      </c>
      <c r="F124" s="2">
        <v>0</v>
      </c>
      <c r="K124" s="2" t="s">
        <v>42</v>
      </c>
    </row>
    <row r="125" spans="1:11" x14ac:dyDescent="0.25">
      <c r="A125" s="8" t="s">
        <v>292</v>
      </c>
      <c r="B125" s="9" t="s">
        <v>293</v>
      </c>
      <c r="C125" s="2" t="s">
        <v>47</v>
      </c>
      <c r="D125" s="2" t="s">
        <v>47</v>
      </c>
      <c r="E125" s="2" t="s">
        <v>47</v>
      </c>
      <c r="F125" s="2">
        <v>0</v>
      </c>
      <c r="K125" s="2" t="s">
        <v>42</v>
      </c>
    </row>
    <row r="126" spans="1:11" x14ac:dyDescent="0.25">
      <c r="A126" s="8" t="s">
        <v>294</v>
      </c>
      <c r="B126" s="9" t="s">
        <v>295</v>
      </c>
      <c r="C126" s="2" t="s">
        <v>47</v>
      </c>
      <c r="D126" s="2" t="s">
        <v>47</v>
      </c>
      <c r="E126" s="2" t="s">
        <v>47</v>
      </c>
      <c r="F126" s="2">
        <v>0</v>
      </c>
      <c r="K126" s="2" t="s">
        <v>42</v>
      </c>
    </row>
    <row r="127" spans="1:11" x14ac:dyDescent="0.25">
      <c r="A127" s="14" t="s">
        <v>296</v>
      </c>
      <c r="B127" s="15" t="s">
        <v>297</v>
      </c>
      <c r="C127" s="2" t="s">
        <v>47</v>
      </c>
      <c r="D127" s="2" t="s">
        <v>47</v>
      </c>
      <c r="E127" s="2" t="s">
        <v>47</v>
      </c>
      <c r="F127" s="2">
        <v>0</v>
      </c>
      <c r="K127" s="2" t="s">
        <v>42</v>
      </c>
    </row>
    <row r="128" spans="1:11" x14ac:dyDescent="0.25">
      <c r="A128" s="8" t="s">
        <v>298</v>
      </c>
      <c r="B128" s="9" t="s">
        <v>299</v>
      </c>
      <c r="C128" s="2" t="s">
        <v>47</v>
      </c>
      <c r="D128" s="2" t="s">
        <v>47</v>
      </c>
      <c r="E128" s="2" t="s">
        <v>47</v>
      </c>
      <c r="F128" s="2">
        <v>0</v>
      </c>
      <c r="K128" s="2" t="s">
        <v>42</v>
      </c>
    </row>
    <row r="129" spans="1:11" x14ac:dyDescent="0.25">
      <c r="A129" s="8" t="s">
        <v>300</v>
      </c>
      <c r="B129" s="9" t="s">
        <v>301</v>
      </c>
      <c r="C129" s="2" t="s">
        <v>47</v>
      </c>
      <c r="D129" s="2" t="s">
        <v>47</v>
      </c>
      <c r="E129" s="2" t="s">
        <v>47</v>
      </c>
      <c r="F129" s="2">
        <v>0</v>
      </c>
      <c r="K129" s="2" t="s">
        <v>42</v>
      </c>
    </row>
    <row r="130" spans="1:11" x14ac:dyDescent="0.25">
      <c r="A130" s="8" t="s">
        <v>302</v>
      </c>
      <c r="B130" s="9" t="s">
        <v>303</v>
      </c>
      <c r="C130" s="2" t="s">
        <v>47</v>
      </c>
      <c r="D130" s="2" t="s">
        <v>47</v>
      </c>
      <c r="E130" s="2" t="s">
        <v>47</v>
      </c>
      <c r="F130" s="2">
        <v>0</v>
      </c>
      <c r="K130" s="2" t="s">
        <v>42</v>
      </c>
    </row>
    <row r="131" spans="1:11" x14ac:dyDescent="0.25">
      <c r="A131" s="12" t="s">
        <v>304</v>
      </c>
      <c r="B131" s="13" t="s">
        <v>305</v>
      </c>
      <c r="C131" s="2" t="s">
        <v>47</v>
      </c>
      <c r="D131" s="2" t="s">
        <v>47</v>
      </c>
      <c r="E131" s="2" t="s">
        <v>46</v>
      </c>
      <c r="F131" s="2">
        <v>0</v>
      </c>
      <c r="K131" s="2" t="s">
        <v>42</v>
      </c>
    </row>
    <row r="132" spans="1:11" x14ac:dyDescent="0.25">
      <c r="A132" s="8" t="s">
        <v>306</v>
      </c>
      <c r="B132" s="9" t="s">
        <v>307</v>
      </c>
      <c r="C132" s="2" t="s">
        <v>47</v>
      </c>
      <c r="D132" s="2" t="s">
        <v>47</v>
      </c>
      <c r="E132" s="2" t="s">
        <v>47</v>
      </c>
      <c r="F132" s="2">
        <v>0</v>
      </c>
      <c r="K132" s="2" t="s">
        <v>42</v>
      </c>
    </row>
    <row r="133" spans="1:11" x14ac:dyDescent="0.25">
      <c r="A133" s="8" t="s">
        <v>308</v>
      </c>
      <c r="B133" s="9" t="s">
        <v>309</v>
      </c>
      <c r="C133" s="2" t="s">
        <v>47</v>
      </c>
      <c r="D133" s="2" t="s">
        <v>47</v>
      </c>
      <c r="E133" s="2" t="s">
        <v>47</v>
      </c>
      <c r="F133" s="2">
        <v>0</v>
      </c>
      <c r="K133" s="2" t="s">
        <v>42</v>
      </c>
    </row>
    <row r="134" spans="1:11" x14ac:dyDescent="0.25">
      <c r="A134" s="12" t="s">
        <v>310</v>
      </c>
      <c r="B134" s="13" t="s">
        <v>311</v>
      </c>
      <c r="C134" s="2" t="s">
        <v>47</v>
      </c>
      <c r="D134" s="2" t="s">
        <v>47</v>
      </c>
      <c r="E134" s="2" t="s">
        <v>46</v>
      </c>
      <c r="F134" s="2">
        <v>0</v>
      </c>
      <c r="K134" s="2" t="s">
        <v>42</v>
      </c>
    </row>
    <row r="135" spans="1:11" x14ac:dyDescent="0.25">
      <c r="A135" s="8" t="s">
        <v>312</v>
      </c>
      <c r="B135" s="9" t="s">
        <v>313</v>
      </c>
      <c r="C135" s="2" t="s">
        <v>47</v>
      </c>
      <c r="D135" s="2" t="s">
        <v>47</v>
      </c>
      <c r="E135" s="2" t="s">
        <v>47</v>
      </c>
      <c r="F135" s="2">
        <v>0</v>
      </c>
      <c r="K135" s="2" t="s">
        <v>42</v>
      </c>
    </row>
    <row r="136" spans="1:11" x14ac:dyDescent="0.25">
      <c r="A136" s="8" t="s">
        <v>314</v>
      </c>
      <c r="B136" s="9" t="s">
        <v>315</v>
      </c>
      <c r="C136" s="2" t="s">
        <v>47</v>
      </c>
      <c r="D136" s="2" t="s">
        <v>47</v>
      </c>
      <c r="E136" s="2" t="s">
        <v>47</v>
      </c>
      <c r="F136" s="2">
        <v>0</v>
      </c>
      <c r="K136" s="2" t="s">
        <v>42</v>
      </c>
    </row>
    <row r="137" spans="1:11" x14ac:dyDescent="0.25">
      <c r="A137" s="12" t="s">
        <v>316</v>
      </c>
      <c r="B137" s="13" t="s">
        <v>317</v>
      </c>
      <c r="C137" s="2" t="s">
        <v>47</v>
      </c>
      <c r="D137" s="2" t="s">
        <v>47</v>
      </c>
      <c r="E137" s="2" t="s">
        <v>46</v>
      </c>
      <c r="F137" s="2">
        <v>0</v>
      </c>
      <c r="K137" s="2" t="s">
        <v>42</v>
      </c>
    </row>
    <row r="138" spans="1:11" x14ac:dyDescent="0.25">
      <c r="A138" s="12" t="s">
        <v>318</v>
      </c>
      <c r="B138" s="13" t="s">
        <v>319</v>
      </c>
      <c r="C138" s="2" t="s">
        <v>47</v>
      </c>
      <c r="D138" s="2" t="s">
        <v>47</v>
      </c>
      <c r="E138" s="2" t="s">
        <v>46</v>
      </c>
      <c r="F138" s="2">
        <v>0</v>
      </c>
      <c r="K138" s="2" t="s">
        <v>42</v>
      </c>
    </row>
    <row r="139" spans="1:11" x14ac:dyDescent="0.25">
      <c r="A139" s="8" t="s">
        <v>320</v>
      </c>
      <c r="B139" s="9" t="s">
        <v>321</v>
      </c>
      <c r="C139" s="2" t="s">
        <v>47</v>
      </c>
      <c r="D139" s="2" t="s">
        <v>47</v>
      </c>
      <c r="E139" s="2" t="s">
        <v>47</v>
      </c>
      <c r="F139" s="2">
        <v>0</v>
      </c>
      <c r="K139" s="2" t="s">
        <v>42</v>
      </c>
    </row>
    <row r="140" spans="1:11" x14ac:dyDescent="0.25">
      <c r="A140" s="8" t="s">
        <v>322</v>
      </c>
      <c r="B140" s="9" t="s">
        <v>323</v>
      </c>
      <c r="C140" s="2" t="s">
        <v>47</v>
      </c>
      <c r="D140" s="2" t="s">
        <v>47</v>
      </c>
      <c r="E140" s="2" t="s">
        <v>47</v>
      </c>
      <c r="F140" s="2">
        <v>0</v>
      </c>
      <c r="K140" s="2" t="s">
        <v>42</v>
      </c>
    </row>
    <row r="141" spans="1:11" x14ac:dyDescent="0.25">
      <c r="A141" s="8" t="s">
        <v>324</v>
      </c>
      <c r="B141" s="9" t="s">
        <v>325</v>
      </c>
      <c r="C141" s="2" t="s">
        <v>47</v>
      </c>
      <c r="D141" s="2" t="s">
        <v>47</v>
      </c>
      <c r="E141" s="2" t="s">
        <v>47</v>
      </c>
      <c r="F141" s="2">
        <v>0</v>
      </c>
      <c r="K141" s="2" t="s">
        <v>42</v>
      </c>
    </row>
    <row r="142" spans="1:11" x14ac:dyDescent="0.25">
      <c r="A142" s="8" t="s">
        <v>326</v>
      </c>
      <c r="B142" s="9" t="s">
        <v>327</v>
      </c>
      <c r="C142" s="2" t="s">
        <v>47</v>
      </c>
      <c r="D142" s="2" t="s">
        <v>47</v>
      </c>
      <c r="E142" s="2" t="s">
        <v>47</v>
      </c>
      <c r="F142" s="2">
        <v>0</v>
      </c>
      <c r="K142" s="2" t="s">
        <v>42</v>
      </c>
    </row>
    <row r="143" spans="1:11" x14ac:dyDescent="0.25">
      <c r="A143" s="12" t="s">
        <v>328</v>
      </c>
      <c r="B143" s="13" t="s">
        <v>329</v>
      </c>
      <c r="C143" s="2" t="s">
        <v>47</v>
      </c>
      <c r="D143" s="2" t="s">
        <v>47</v>
      </c>
      <c r="E143" s="2" t="s">
        <v>46</v>
      </c>
      <c r="F143" s="2">
        <v>0</v>
      </c>
      <c r="K143" s="2" t="s">
        <v>42</v>
      </c>
    </row>
    <row r="144" spans="1:11" x14ac:dyDescent="0.25">
      <c r="A144" s="8" t="s">
        <v>330</v>
      </c>
      <c r="B144" s="9" t="s">
        <v>331</v>
      </c>
      <c r="C144" s="2" t="s">
        <v>47</v>
      </c>
      <c r="D144" s="2" t="s">
        <v>47</v>
      </c>
      <c r="E144" s="2" t="s">
        <v>47</v>
      </c>
      <c r="F144" s="2">
        <v>0</v>
      </c>
      <c r="K144" s="2" t="s">
        <v>42</v>
      </c>
    </row>
    <row r="145" spans="1:11" x14ac:dyDescent="0.25">
      <c r="A145" s="12" t="s">
        <v>332</v>
      </c>
      <c r="B145" s="13" t="s">
        <v>333</v>
      </c>
      <c r="C145" s="2" t="s">
        <v>47</v>
      </c>
      <c r="D145" s="2" t="s">
        <v>47</v>
      </c>
      <c r="E145" s="2" t="s">
        <v>46</v>
      </c>
      <c r="F145" s="2">
        <v>0</v>
      </c>
      <c r="K145" s="2" t="s">
        <v>42</v>
      </c>
    </row>
    <row r="146" spans="1:11" x14ac:dyDescent="0.25">
      <c r="A146" s="8" t="s">
        <v>334</v>
      </c>
      <c r="B146" s="9" t="s">
        <v>335</v>
      </c>
      <c r="C146" s="2" t="s">
        <v>47</v>
      </c>
      <c r="D146" s="2" t="s">
        <v>47</v>
      </c>
      <c r="E146" s="2" t="s">
        <v>47</v>
      </c>
      <c r="F146" s="2">
        <v>0</v>
      </c>
      <c r="K146" s="2" t="s">
        <v>42</v>
      </c>
    </row>
    <row r="147" spans="1:11" x14ac:dyDescent="0.25">
      <c r="A147" s="8" t="s">
        <v>336</v>
      </c>
      <c r="B147" s="9" t="s">
        <v>337</v>
      </c>
      <c r="C147" s="2" t="s">
        <v>47</v>
      </c>
      <c r="D147" s="2" t="s">
        <v>47</v>
      </c>
      <c r="E147" s="2" t="s">
        <v>47</v>
      </c>
      <c r="F147" s="2">
        <v>0</v>
      </c>
      <c r="K147" s="2" t="s">
        <v>42</v>
      </c>
    </row>
    <row r="148" spans="1:11" x14ac:dyDescent="0.25">
      <c r="A148" s="14" t="s">
        <v>338</v>
      </c>
      <c r="B148" s="15" t="s">
        <v>339</v>
      </c>
      <c r="C148" s="2" t="s">
        <v>47</v>
      </c>
      <c r="D148" s="2" t="s">
        <v>47</v>
      </c>
      <c r="E148" s="2" t="s">
        <v>47</v>
      </c>
      <c r="F148" s="2">
        <v>0</v>
      </c>
      <c r="K148" s="2" t="s">
        <v>42</v>
      </c>
    </row>
    <row r="149" spans="1:11" x14ac:dyDescent="0.25">
      <c r="A149" s="8" t="str">
        <f>A4&amp;"_vax"</f>
        <v>s0_abneg_vax</v>
      </c>
      <c r="B149" s="9" t="str">
        <f>B4&amp;" (vaccinated)"</f>
        <v>Susceptible: never infected (vaccinated)</v>
      </c>
      <c r="C149" s="2" t="s">
        <v>47</v>
      </c>
      <c r="D149" s="2" t="s">
        <v>47</v>
      </c>
      <c r="E149" s="2" t="s">
        <v>47</v>
      </c>
      <c r="F149" s="2">
        <v>0</v>
      </c>
      <c r="K149" s="2" t="s">
        <v>42</v>
      </c>
    </row>
    <row r="150" spans="1:11" x14ac:dyDescent="0.25">
      <c r="A150" s="10" t="str">
        <f t="shared" ref="A150:A213" si="0">A5&amp;"_vax"</f>
        <v>s0_uw_vax</v>
      </c>
      <c r="B150" s="11" t="str">
        <f t="shared" ref="B150:B213" si="1">B5&amp;" (vaccinated)"</f>
        <v>Liver Fibrosis F0: susceptible with antibodies (unaware) (vaccinated)</v>
      </c>
      <c r="C150" s="2" t="s">
        <v>47</v>
      </c>
      <c r="D150" s="2" t="s">
        <v>47</v>
      </c>
      <c r="E150" s="2" t="s">
        <v>47</v>
      </c>
      <c r="F150" s="2">
        <v>0</v>
      </c>
      <c r="K150" s="2" t="s">
        <v>42</v>
      </c>
    </row>
    <row r="151" spans="1:11" x14ac:dyDescent="0.25">
      <c r="A151" s="8" t="str">
        <f t="shared" si="0"/>
        <v>s0_aw_vax</v>
      </c>
      <c r="B151" s="9" t="str">
        <f t="shared" si="1"/>
        <v>Liver Fibrosis F0: susceptible with antibodies (aware) (vaccinated)</v>
      </c>
      <c r="C151" s="2" t="s">
        <v>47</v>
      </c>
      <c r="D151" s="2" t="s">
        <v>47</v>
      </c>
      <c r="E151" s="2" t="s">
        <v>47</v>
      </c>
      <c r="F151" s="2">
        <v>0</v>
      </c>
      <c r="K151" s="2" t="s">
        <v>42</v>
      </c>
    </row>
    <row r="152" spans="1:11" x14ac:dyDescent="0.25">
      <c r="A152" s="8" t="str">
        <f t="shared" si="0"/>
        <v>f0_acute_uw_vax</v>
      </c>
      <c r="B152" s="9" t="str">
        <f t="shared" si="1"/>
        <v>Liver Fibrosis F0: acute, undiagnosed antibody positive (vaccinated)</v>
      </c>
      <c r="C152" s="2" t="s">
        <v>47</v>
      </c>
      <c r="D152" s="2" t="s">
        <v>47</v>
      </c>
      <c r="E152" s="2" t="s">
        <v>47</v>
      </c>
      <c r="F152" s="2">
        <v>0</v>
      </c>
      <c r="K152" s="2" t="s">
        <v>42</v>
      </c>
    </row>
    <row r="153" spans="1:11" x14ac:dyDescent="0.25">
      <c r="A153" s="8" t="str">
        <f t="shared" si="0"/>
        <v>f0_acute_aw_vax</v>
      </c>
      <c r="B153" s="9" t="str">
        <f t="shared" si="1"/>
        <v>Liver Fibrosis F0: acute, diagnosed antibody positive (first infection, aware) (vaccinated)</v>
      </c>
      <c r="C153" s="2" t="s">
        <v>47</v>
      </c>
      <c r="D153" s="2" t="s">
        <v>47</v>
      </c>
      <c r="E153" s="2" t="s">
        <v>47</v>
      </c>
      <c r="F153" s="2">
        <v>0</v>
      </c>
      <c r="K153" s="2" t="s">
        <v>42</v>
      </c>
    </row>
    <row r="154" spans="1:11" x14ac:dyDescent="0.25">
      <c r="A154" s="12" t="str">
        <f t="shared" si="0"/>
        <v>f0_uw_clear_j_vax</v>
      </c>
      <c r="B154" s="13" t="str">
        <f t="shared" si="1"/>
        <v>Junction: unaware of HCV antibodies and achieving spontaneous viral clearance (vaccinated)</v>
      </c>
      <c r="C154" s="2" t="s">
        <v>47</v>
      </c>
      <c r="D154" s="2" t="s">
        <v>47</v>
      </c>
      <c r="E154" s="2" t="s">
        <v>46</v>
      </c>
      <c r="F154" s="2">
        <v>0</v>
      </c>
      <c r="K154" s="2" t="s">
        <v>42</v>
      </c>
    </row>
    <row r="155" spans="1:11" x14ac:dyDescent="0.25">
      <c r="A155" s="12" t="str">
        <f t="shared" si="0"/>
        <v>f0_clear_j_vax</v>
      </c>
      <c r="B155" s="13" t="str">
        <f t="shared" si="1"/>
        <v>Junction: aware of HCV antibodies and achieving spontaneous viral clearance (vaccinated)</v>
      </c>
      <c r="C155" s="2" t="s">
        <v>47</v>
      </c>
      <c r="D155" s="2" t="s">
        <v>47</v>
      </c>
      <c r="E155" s="2" t="s">
        <v>46</v>
      </c>
      <c r="F155" s="2">
        <v>0</v>
      </c>
      <c r="K155" s="2" t="s">
        <v>42</v>
      </c>
    </row>
    <row r="156" spans="1:11" x14ac:dyDescent="0.25">
      <c r="A156" s="12" t="str">
        <f t="shared" si="0"/>
        <v>f0_clear_reinf_j_vax</v>
      </c>
      <c r="B156" s="13" t="str">
        <f t="shared" si="1"/>
        <v>Junction: aware of HCV antibodies and achieving spontaneous viral clearance after reinfection following ab+ diagnosis (vaccinated)</v>
      </c>
      <c r="C156" s="2" t="s">
        <v>47</v>
      </c>
      <c r="D156" s="2" t="s">
        <v>47</v>
      </c>
      <c r="E156" s="2" t="s">
        <v>46</v>
      </c>
      <c r="F156" s="2">
        <v>0</v>
      </c>
      <c r="K156" s="2" t="s">
        <v>42</v>
      </c>
    </row>
    <row r="157" spans="1:11" x14ac:dyDescent="0.25">
      <c r="A157" s="12" t="str">
        <f t="shared" si="0"/>
        <v>undiag_ltc_j_vax</v>
      </c>
      <c r="B157" s="13" t="str">
        <f t="shared" si="1"/>
        <v>Junction: proportion of undiagnosed that are lost to care (vaccinated)</v>
      </c>
      <c r="C157" s="2" t="s">
        <v>47</v>
      </c>
      <c r="D157" s="2" t="s">
        <v>47</v>
      </c>
      <c r="E157" s="2" t="s">
        <v>46</v>
      </c>
      <c r="F157" s="2">
        <v>0</v>
      </c>
      <c r="J157" t="s">
        <v>66</v>
      </c>
      <c r="K157" s="2" t="s">
        <v>42</v>
      </c>
    </row>
    <row r="158" spans="1:11" x14ac:dyDescent="0.25">
      <c r="A158" s="8" t="str">
        <f t="shared" si="0"/>
        <v>f0_ab_ud_vax</v>
      </c>
      <c r="B158" s="9" t="str">
        <f t="shared" si="1"/>
        <v>Liver Fibrosis F0: chronic, undiagnosed antibodies positive (vaccinated)</v>
      </c>
      <c r="C158" s="2" t="s">
        <v>47</v>
      </c>
      <c r="D158" s="2" t="s">
        <v>47</v>
      </c>
      <c r="E158" s="2" t="s">
        <v>47</v>
      </c>
      <c r="F158" s="2">
        <v>0</v>
      </c>
      <c r="K158" s="2" t="s">
        <v>42</v>
      </c>
    </row>
    <row r="159" spans="1:11" x14ac:dyDescent="0.25">
      <c r="A159" s="8" t="str">
        <f t="shared" si="0"/>
        <v>f0_ud_ltc_vax</v>
      </c>
      <c r="B159" s="9" t="str">
        <f t="shared" si="1"/>
        <v>Liver Fibrosis F0: chronic, undiagnosed, lost to care (vaccinated)</v>
      </c>
      <c r="C159" s="2" t="s">
        <v>47</v>
      </c>
      <c r="D159" s="2" t="s">
        <v>47</v>
      </c>
      <c r="E159" s="2" t="s">
        <v>47</v>
      </c>
      <c r="F159" s="2">
        <v>0</v>
      </c>
      <c r="J159" t="s">
        <v>71</v>
      </c>
      <c r="K159" s="2" t="s">
        <v>42</v>
      </c>
    </row>
    <row r="160" spans="1:11" x14ac:dyDescent="0.25">
      <c r="A160" s="8" t="str">
        <f t="shared" si="0"/>
        <v>f0_ab_d_vax</v>
      </c>
      <c r="B160" s="9" t="str">
        <f t="shared" si="1"/>
        <v>Liver Fibrosis F0: chronic, diagnosed antibodies positive (vaccinated)</v>
      </c>
      <c r="C160" s="2" t="s">
        <v>47</v>
      </c>
      <c r="D160" s="2" t="s">
        <v>47</v>
      </c>
      <c r="E160" s="2" t="s">
        <v>47</v>
      </c>
      <c r="F160" s="2">
        <v>0</v>
      </c>
      <c r="K160" s="2" t="s">
        <v>42</v>
      </c>
    </row>
    <row r="161" spans="1:11" x14ac:dyDescent="0.25">
      <c r="A161" s="12" t="str">
        <f t="shared" si="0"/>
        <v>f0_ab_ltfu_j_vax</v>
      </c>
      <c r="B161" s="13" t="str">
        <f t="shared" si="1"/>
        <v>Junction: lost to follow-up after antibody diagnosis for liver fibrosis F0 (vaccinated)</v>
      </c>
      <c r="C161" s="2" t="s">
        <v>47</v>
      </c>
      <c r="D161" s="2" t="s">
        <v>47</v>
      </c>
      <c r="E161" s="2" t="s">
        <v>46</v>
      </c>
      <c r="F161" s="2">
        <v>0</v>
      </c>
      <c r="K161" s="2" t="s">
        <v>42</v>
      </c>
    </row>
    <row r="162" spans="1:11" x14ac:dyDescent="0.25">
      <c r="A162" s="8" t="str">
        <f t="shared" si="0"/>
        <v>f0_ab_ltfu_vax</v>
      </c>
      <c r="B162" s="9" t="str">
        <f t="shared" si="1"/>
        <v>Liver Fibrosis F0: chronic, diagnosed antibodies positive, lost to follow-up (vaccinated)</v>
      </c>
      <c r="C162" s="2" t="s">
        <v>47</v>
      </c>
      <c r="D162" s="2" t="s">
        <v>47</v>
      </c>
      <c r="E162" s="2" t="s">
        <v>47</v>
      </c>
      <c r="F162" s="2">
        <v>0</v>
      </c>
      <c r="K162" s="2" t="s">
        <v>42</v>
      </c>
    </row>
    <row r="163" spans="1:11" x14ac:dyDescent="0.25">
      <c r="A163" s="8" t="str">
        <f t="shared" si="0"/>
        <v>f0_pcr_d_vax</v>
      </c>
      <c r="B163" s="9" t="str">
        <f t="shared" si="1"/>
        <v>Liver Fibrosis F0: chronic, diagnosed positive-strand RNA (PCR test) (vaccinated)</v>
      </c>
      <c r="C163" s="2" t="s">
        <v>47</v>
      </c>
      <c r="D163" s="2" t="s">
        <v>47</v>
      </c>
      <c r="E163" s="2" t="s">
        <v>47</v>
      </c>
      <c r="F163" s="2">
        <v>0</v>
      </c>
      <c r="K163" s="2" t="s">
        <v>42</v>
      </c>
    </row>
    <row r="164" spans="1:11" x14ac:dyDescent="0.25">
      <c r="A164" s="12" t="str">
        <f t="shared" si="0"/>
        <v>f0_pcr_ltfu_j_vax</v>
      </c>
      <c r="B164" s="13" t="str">
        <f t="shared" si="1"/>
        <v>Junction: lost to follow-up after RNA diagnosis for liver fibrosis F0 (vaccinated)</v>
      </c>
      <c r="C164" s="2" t="s">
        <v>47</v>
      </c>
      <c r="D164" s="2" t="s">
        <v>47</v>
      </c>
      <c r="E164" s="2" t="s">
        <v>46</v>
      </c>
      <c r="F164" s="2">
        <v>0</v>
      </c>
      <c r="K164" s="2" t="s">
        <v>42</v>
      </c>
    </row>
    <row r="165" spans="1:11" x14ac:dyDescent="0.25">
      <c r="A165" s="8" t="str">
        <f t="shared" si="0"/>
        <v>f0_pcr_ltfu_vax</v>
      </c>
      <c r="B165" s="9" t="str">
        <f t="shared" si="1"/>
        <v>Liver Fibrosis F0: chronic, diagnosed positive-strand RNA, lost to follow-up (vaccinated)</v>
      </c>
      <c r="C165" s="2" t="s">
        <v>47</v>
      </c>
      <c r="D165" s="2" t="s">
        <v>47</v>
      </c>
      <c r="E165" s="2" t="s">
        <v>47</v>
      </c>
      <c r="F165" s="2">
        <v>0</v>
      </c>
      <c r="K165" s="2" t="s">
        <v>42</v>
      </c>
    </row>
    <row r="166" spans="1:11" x14ac:dyDescent="0.25">
      <c r="A166" s="8" t="str">
        <f t="shared" si="0"/>
        <v>f0_t1_vax</v>
      </c>
      <c r="B166" s="9" t="str">
        <f t="shared" si="1"/>
        <v>Liver Fibrosis F0: chronic, on treatment 1 (vaccinated)</v>
      </c>
      <c r="C166" s="2" t="s">
        <v>47</v>
      </c>
      <c r="D166" s="2" t="s">
        <v>47</v>
      </c>
      <c r="E166" s="2" t="s">
        <v>47</v>
      </c>
      <c r="F166" s="2">
        <v>0</v>
      </c>
      <c r="K166" s="2" t="s">
        <v>42</v>
      </c>
    </row>
    <row r="167" spans="1:11" x14ac:dyDescent="0.25">
      <c r="A167" s="12" t="str">
        <f t="shared" si="0"/>
        <v>f0_t1_j_vax</v>
      </c>
      <c r="B167" s="13" t="str">
        <f t="shared" si="1"/>
        <v>Junction: treatment 1 outcome for liver fibrosis F0 (vaccinated)</v>
      </c>
      <c r="C167" s="2" t="s">
        <v>47</v>
      </c>
      <c r="D167" s="2" t="s">
        <v>47</v>
      </c>
      <c r="E167" s="2" t="s">
        <v>46</v>
      </c>
      <c r="F167" s="2">
        <v>0</v>
      </c>
      <c r="K167" s="2" t="s">
        <v>42</v>
      </c>
    </row>
    <row r="168" spans="1:11" x14ac:dyDescent="0.25">
      <c r="A168" s="12" t="str">
        <f t="shared" si="0"/>
        <v>f0_t1ltf_j_vax</v>
      </c>
      <c r="B168" s="13" t="str">
        <f t="shared" si="1"/>
        <v>Junction: treatment 1 follow-up for liver fibrosis F0 (vaccinated)</v>
      </c>
      <c r="C168" s="2" t="s">
        <v>47</v>
      </c>
      <c r="D168" s="2" t="s">
        <v>47</v>
      </c>
      <c r="E168" s="2" t="s">
        <v>46</v>
      </c>
      <c r="F168" s="2">
        <v>0</v>
      </c>
      <c r="K168" s="2" t="s">
        <v>42</v>
      </c>
    </row>
    <row r="169" spans="1:11" x14ac:dyDescent="0.25">
      <c r="A169" s="8" t="str">
        <f t="shared" si="0"/>
        <v>f0_ft1_vax</v>
      </c>
      <c r="B169" s="9" t="str">
        <f t="shared" si="1"/>
        <v>Liver Fibrosis F0: chronic, failed treatment 1 (vaccinated)</v>
      </c>
      <c r="C169" s="2" t="s">
        <v>47</v>
      </c>
      <c r="D169" s="2" t="s">
        <v>47</v>
      </c>
      <c r="E169" s="2" t="s">
        <v>47</v>
      </c>
      <c r="F169" s="2">
        <v>0</v>
      </c>
      <c r="K169" s="2" t="s">
        <v>42</v>
      </c>
    </row>
    <row r="170" spans="1:11" x14ac:dyDescent="0.25">
      <c r="A170" s="8" t="str">
        <f t="shared" si="0"/>
        <v>f0_ft1_ltfu_vax</v>
      </c>
      <c r="B170" s="9" t="str">
        <f t="shared" si="1"/>
        <v>Liver Fibrosis F0: chronic, failed treatment 1, lost to follow-up (vaccinated)</v>
      </c>
      <c r="C170" s="2" t="s">
        <v>47</v>
      </c>
      <c r="D170" s="2" t="s">
        <v>47</v>
      </c>
      <c r="E170" s="2" t="s">
        <v>47</v>
      </c>
      <c r="F170" s="2">
        <v>0</v>
      </c>
      <c r="K170" s="2" t="s">
        <v>42</v>
      </c>
    </row>
    <row r="171" spans="1:11" x14ac:dyDescent="0.25">
      <c r="A171" s="8" t="str">
        <f t="shared" si="0"/>
        <v>s0_vax</v>
      </c>
      <c r="B171" s="9" t="str">
        <f t="shared" si="1"/>
        <v>Liver Fibrosis F0: susceptible with antibodies (aware and treated) (vaccinated)</v>
      </c>
      <c r="C171" s="2" t="s">
        <v>47</v>
      </c>
      <c r="D171" s="2" t="s">
        <v>47</v>
      </c>
      <c r="E171" s="2" t="s">
        <v>47</v>
      </c>
      <c r="F171" s="2">
        <v>0</v>
      </c>
      <c r="K171" s="2" t="s">
        <v>42</v>
      </c>
    </row>
    <row r="172" spans="1:11" x14ac:dyDescent="0.25">
      <c r="A172" s="8" t="str">
        <f t="shared" si="0"/>
        <v>f0_acute_vax</v>
      </c>
      <c r="B172" s="9" t="str">
        <f t="shared" si="1"/>
        <v>Liver Fibrosis F0: acute (re-infection) (vaccinated)</v>
      </c>
      <c r="C172" s="2" t="s">
        <v>47</v>
      </c>
      <c r="D172" s="2" t="s">
        <v>47</v>
      </c>
      <c r="E172" s="2" t="s">
        <v>47</v>
      </c>
      <c r="F172" s="2">
        <v>0</v>
      </c>
      <c r="K172" s="2" t="s">
        <v>42</v>
      </c>
    </row>
    <row r="173" spans="1:11" x14ac:dyDescent="0.25">
      <c r="A173" s="8" t="str">
        <f t="shared" si="0"/>
        <v>f0_t2_vax</v>
      </c>
      <c r="B173" s="9" t="str">
        <f t="shared" si="1"/>
        <v>Liver Fibrosis F0: chronic, on treatment 2 (vaccinated)</v>
      </c>
      <c r="C173" s="2" t="s">
        <v>47</v>
      </c>
      <c r="D173" s="2" t="s">
        <v>47</v>
      </c>
      <c r="E173" s="2" t="s">
        <v>47</v>
      </c>
      <c r="F173" s="2">
        <v>0</v>
      </c>
      <c r="K173" s="2" t="s">
        <v>42</v>
      </c>
    </row>
    <row r="174" spans="1:11" x14ac:dyDescent="0.25">
      <c r="A174" s="12" t="str">
        <f t="shared" si="0"/>
        <v>f0_t2_j_vax</v>
      </c>
      <c r="B174" s="13" t="str">
        <f t="shared" si="1"/>
        <v>Junction: treatment 2 outcome for liver fibrosis F0 (vaccinated)</v>
      </c>
      <c r="C174" s="2" t="s">
        <v>47</v>
      </c>
      <c r="D174" s="2" t="s">
        <v>47</v>
      </c>
      <c r="E174" s="2" t="s">
        <v>46</v>
      </c>
      <c r="F174" s="2">
        <v>0</v>
      </c>
      <c r="K174" s="2" t="s">
        <v>42</v>
      </c>
    </row>
    <row r="175" spans="1:11" x14ac:dyDescent="0.25">
      <c r="A175" s="14" t="str">
        <f t="shared" si="0"/>
        <v>f0_ft2_vax</v>
      </c>
      <c r="B175" s="15" t="str">
        <f t="shared" si="1"/>
        <v>Liver Fibrosis F0: chronic, failed treatment 2 (vaccinated)</v>
      </c>
      <c r="C175" s="2" t="s">
        <v>47</v>
      </c>
      <c r="D175" s="2" t="s">
        <v>47</v>
      </c>
      <c r="E175" s="2" t="s">
        <v>47</v>
      </c>
      <c r="F175" s="2">
        <v>0</v>
      </c>
      <c r="K175" s="2" t="s">
        <v>42</v>
      </c>
    </row>
    <row r="176" spans="1:11" x14ac:dyDescent="0.25">
      <c r="A176" s="8" t="str">
        <f t="shared" si="0"/>
        <v>f1_ab_ud_vax</v>
      </c>
      <c r="B176" s="9" t="str">
        <f t="shared" si="1"/>
        <v>Liver Fibrosis F1: chronic, undiagnosed antibodies positive (vaccinated)</v>
      </c>
      <c r="C176" s="2" t="s">
        <v>47</v>
      </c>
      <c r="D176" s="2" t="s">
        <v>47</v>
      </c>
      <c r="E176" s="2" t="s">
        <v>47</v>
      </c>
      <c r="F176" s="2">
        <v>0</v>
      </c>
      <c r="K176" s="2" t="s">
        <v>42</v>
      </c>
    </row>
    <row r="177" spans="1:11" x14ac:dyDescent="0.25">
      <c r="A177" s="8" t="str">
        <f t="shared" si="0"/>
        <v>f1_ud_ltc_vax</v>
      </c>
      <c r="B177" s="9" t="str">
        <f t="shared" si="1"/>
        <v>Liver Fibrosis F1: chronic, undiagnosed, lost to care (vaccinated)</v>
      </c>
      <c r="C177" s="2" t="s">
        <v>47</v>
      </c>
      <c r="D177" s="2" t="s">
        <v>47</v>
      </c>
      <c r="E177" s="2" t="s">
        <v>47</v>
      </c>
      <c r="F177" s="2">
        <v>0</v>
      </c>
      <c r="K177" s="2" t="s">
        <v>42</v>
      </c>
    </row>
    <row r="178" spans="1:11" x14ac:dyDescent="0.25">
      <c r="A178" s="8" t="str">
        <f t="shared" si="0"/>
        <v>f1_ab_d_vax</v>
      </c>
      <c r="B178" s="9" t="str">
        <f t="shared" si="1"/>
        <v>Liver Fibrosis F1: chronic, diagnosed antibodies positive (vaccinated)</v>
      </c>
      <c r="C178" s="2" t="s">
        <v>47</v>
      </c>
      <c r="D178" s="2" t="s">
        <v>47</v>
      </c>
      <c r="E178" s="2" t="s">
        <v>47</v>
      </c>
      <c r="F178" s="2">
        <v>0</v>
      </c>
      <c r="K178" s="2" t="s">
        <v>42</v>
      </c>
    </row>
    <row r="179" spans="1:11" x14ac:dyDescent="0.25">
      <c r="A179" s="12" t="str">
        <f t="shared" si="0"/>
        <v>f1_ab_ltfu_j_vax</v>
      </c>
      <c r="B179" s="13" t="str">
        <f t="shared" si="1"/>
        <v>Junction: lost to follow-up after antibody diagnosis for liver fibrosis F1 (vaccinated)</v>
      </c>
      <c r="C179" s="2" t="s">
        <v>47</v>
      </c>
      <c r="D179" s="2" t="s">
        <v>47</v>
      </c>
      <c r="E179" s="2" t="s">
        <v>46</v>
      </c>
      <c r="F179" s="2">
        <v>0</v>
      </c>
      <c r="K179" s="2" t="s">
        <v>42</v>
      </c>
    </row>
    <row r="180" spans="1:11" x14ac:dyDescent="0.25">
      <c r="A180" s="8" t="str">
        <f t="shared" si="0"/>
        <v>f1_ab_ltfu_vax</v>
      </c>
      <c r="B180" s="9" t="str">
        <f t="shared" si="1"/>
        <v>Liver Fibrosis F1: chronic, diagnosed antibodies positive, lost to follow-up (vaccinated)</v>
      </c>
      <c r="C180" s="2" t="s">
        <v>47</v>
      </c>
      <c r="D180" s="2" t="s">
        <v>47</v>
      </c>
      <c r="E180" s="2" t="s">
        <v>47</v>
      </c>
      <c r="F180" s="2">
        <v>0</v>
      </c>
      <c r="K180" s="2" t="s">
        <v>42</v>
      </c>
    </row>
    <row r="181" spans="1:11" x14ac:dyDescent="0.25">
      <c r="A181" s="8" t="str">
        <f t="shared" si="0"/>
        <v>f1_pcr_d_vax</v>
      </c>
      <c r="B181" s="9" t="str">
        <f t="shared" si="1"/>
        <v>Liver Fibrosis F1: chronic, diagnosed positive-strand RNA (PCR test) (vaccinated)</v>
      </c>
      <c r="C181" s="2" t="s">
        <v>47</v>
      </c>
      <c r="D181" s="2" t="s">
        <v>47</v>
      </c>
      <c r="E181" s="2" t="s">
        <v>47</v>
      </c>
      <c r="F181" s="2">
        <v>0</v>
      </c>
      <c r="K181" s="2" t="s">
        <v>42</v>
      </c>
    </row>
    <row r="182" spans="1:11" x14ac:dyDescent="0.25">
      <c r="A182" s="12" t="str">
        <f t="shared" si="0"/>
        <v>f1_pcr_ltfu_j_vax</v>
      </c>
      <c r="B182" s="13" t="str">
        <f t="shared" si="1"/>
        <v>Junction: lost to follow-up after RNA diagnosis for liver fibrosis F1 (vaccinated)</v>
      </c>
      <c r="C182" s="2" t="s">
        <v>47</v>
      </c>
      <c r="D182" s="2" t="s">
        <v>47</v>
      </c>
      <c r="E182" s="2" t="s">
        <v>46</v>
      </c>
      <c r="F182" s="2">
        <v>0</v>
      </c>
      <c r="K182" s="2" t="s">
        <v>42</v>
      </c>
    </row>
    <row r="183" spans="1:11" x14ac:dyDescent="0.25">
      <c r="A183" s="8" t="str">
        <f t="shared" si="0"/>
        <v>f1_pcr_ltfu_vax</v>
      </c>
      <c r="B183" s="9" t="str">
        <f t="shared" si="1"/>
        <v>Liver Fibrosis F1: chronic, diagnosed positive-strand RNA, lost to follow-up (vaccinated)</v>
      </c>
      <c r="C183" s="2" t="s">
        <v>47</v>
      </c>
      <c r="D183" s="2" t="s">
        <v>47</v>
      </c>
      <c r="E183" s="2" t="s">
        <v>47</v>
      </c>
      <c r="F183" s="2">
        <v>0</v>
      </c>
      <c r="K183" s="2" t="s">
        <v>42</v>
      </c>
    </row>
    <row r="184" spans="1:11" x14ac:dyDescent="0.25">
      <c r="A184" s="8" t="str">
        <f t="shared" si="0"/>
        <v>f1_t1_vax</v>
      </c>
      <c r="B184" s="9" t="str">
        <f t="shared" si="1"/>
        <v>Liver Fibrosis F1: chronic, on treatment 1 (vaccinated)</v>
      </c>
      <c r="C184" s="2" t="s">
        <v>47</v>
      </c>
      <c r="D184" s="2" t="s">
        <v>47</v>
      </c>
      <c r="E184" s="2" t="s">
        <v>47</v>
      </c>
      <c r="F184" s="2">
        <v>0</v>
      </c>
      <c r="K184" s="2" t="s">
        <v>42</v>
      </c>
    </row>
    <row r="185" spans="1:11" x14ac:dyDescent="0.25">
      <c r="A185" s="12" t="str">
        <f t="shared" si="0"/>
        <v>f1_t1_j_vax</v>
      </c>
      <c r="B185" s="13" t="str">
        <f t="shared" si="1"/>
        <v>Junction: treatment 1 outcome for liver fibrosis F1 (vaccinated)</v>
      </c>
      <c r="C185" s="2" t="s">
        <v>47</v>
      </c>
      <c r="D185" s="2" t="s">
        <v>47</v>
      </c>
      <c r="E185" s="2" t="s">
        <v>46</v>
      </c>
      <c r="F185" s="2">
        <v>0</v>
      </c>
      <c r="K185" s="2" t="s">
        <v>42</v>
      </c>
    </row>
    <row r="186" spans="1:11" x14ac:dyDescent="0.25">
      <c r="A186" s="12" t="str">
        <f t="shared" si="0"/>
        <v>f1_t1ltf_j_vax</v>
      </c>
      <c r="B186" s="13" t="str">
        <f t="shared" si="1"/>
        <v>Junction: treatment 1 follow-up for liver fibrosis F1 (vaccinated)</v>
      </c>
      <c r="C186" s="2" t="s">
        <v>47</v>
      </c>
      <c r="D186" s="2" t="s">
        <v>47</v>
      </c>
      <c r="E186" s="2" t="s">
        <v>46</v>
      </c>
      <c r="F186" s="2">
        <v>0</v>
      </c>
      <c r="K186" s="2" t="s">
        <v>42</v>
      </c>
    </row>
    <row r="187" spans="1:11" x14ac:dyDescent="0.25">
      <c r="A187" s="8" t="str">
        <f t="shared" si="0"/>
        <v>f1_ft1_vax</v>
      </c>
      <c r="B187" s="9" t="str">
        <f t="shared" si="1"/>
        <v>Liver Fibrosis F1: chronic, failed treatment 1 (vaccinated)</v>
      </c>
      <c r="C187" s="2" t="s">
        <v>47</v>
      </c>
      <c r="D187" s="2" t="s">
        <v>47</v>
      </c>
      <c r="E187" s="2" t="s">
        <v>47</v>
      </c>
      <c r="F187" s="2">
        <v>0</v>
      </c>
      <c r="K187" s="2" t="s">
        <v>42</v>
      </c>
    </row>
    <row r="188" spans="1:11" x14ac:dyDescent="0.25">
      <c r="A188" s="8" t="str">
        <f t="shared" si="0"/>
        <v>f1_ft1_ltfu_vax</v>
      </c>
      <c r="B188" s="9" t="str">
        <f t="shared" si="1"/>
        <v>Liver Fibrosis F1: chronic, failed treatment 1, lost to follow-up (vaccinated)</v>
      </c>
      <c r="C188" s="2" t="s">
        <v>47</v>
      </c>
      <c r="D188" s="2" t="s">
        <v>47</v>
      </c>
      <c r="E188" s="2" t="s">
        <v>47</v>
      </c>
      <c r="F188" s="2">
        <v>0</v>
      </c>
      <c r="K188" s="2" t="s">
        <v>42</v>
      </c>
    </row>
    <row r="189" spans="1:11" x14ac:dyDescent="0.25">
      <c r="A189" s="8" t="str">
        <f t="shared" si="0"/>
        <v>s1_vax</v>
      </c>
      <c r="B189" s="9" t="str">
        <f t="shared" si="1"/>
        <v>Liver Fibrosis F1: susceptible with antibodies (aware and treated) (vaccinated)</v>
      </c>
      <c r="C189" s="2" t="s">
        <v>47</v>
      </c>
      <c r="D189" s="2" t="s">
        <v>47</v>
      </c>
      <c r="E189" s="2" t="s">
        <v>47</v>
      </c>
      <c r="F189" s="2">
        <v>0</v>
      </c>
      <c r="K189" s="2" t="s">
        <v>42</v>
      </c>
    </row>
    <row r="190" spans="1:11" x14ac:dyDescent="0.25">
      <c r="A190" s="8" t="str">
        <f t="shared" si="0"/>
        <v>f1_acute_vax</v>
      </c>
      <c r="B190" s="9" t="str">
        <f t="shared" si="1"/>
        <v>Liver Fibrosis F1: acute (re-infection) (vaccinated)</v>
      </c>
      <c r="C190" s="2" t="s">
        <v>47</v>
      </c>
      <c r="D190" s="2" t="s">
        <v>47</v>
      </c>
      <c r="E190" s="2" t="s">
        <v>47</v>
      </c>
      <c r="F190" s="2">
        <v>0</v>
      </c>
      <c r="K190" s="2" t="s">
        <v>42</v>
      </c>
    </row>
    <row r="191" spans="1:11" x14ac:dyDescent="0.25">
      <c r="A191" s="12" t="str">
        <f t="shared" si="0"/>
        <v>f1_clear_j_vax</v>
      </c>
      <c r="B191" s="13" t="str">
        <f t="shared" si="1"/>
        <v>Junction: liver fibrosis F1 achieving spontaneous viral clearance (vaccinated)</v>
      </c>
      <c r="C191" s="2" t="s">
        <v>47</v>
      </c>
      <c r="D191" s="2" t="s">
        <v>47</v>
      </c>
      <c r="E191" s="2" t="s">
        <v>46</v>
      </c>
      <c r="F191" s="2">
        <v>0</v>
      </c>
      <c r="K191" s="2" t="s">
        <v>42</v>
      </c>
    </row>
    <row r="192" spans="1:11" x14ac:dyDescent="0.25">
      <c r="A192" s="8" t="str">
        <f t="shared" si="0"/>
        <v>f1_t2_vax</v>
      </c>
      <c r="B192" s="9" t="str">
        <f t="shared" si="1"/>
        <v>Liver Fibrosis F1: chronic, on treatment 2 (vaccinated)</v>
      </c>
      <c r="C192" s="2" t="s">
        <v>47</v>
      </c>
      <c r="D192" s="2" t="s">
        <v>47</v>
      </c>
      <c r="E192" s="2" t="s">
        <v>47</v>
      </c>
      <c r="F192" s="2">
        <v>0</v>
      </c>
      <c r="K192" s="2" t="s">
        <v>42</v>
      </c>
    </row>
    <row r="193" spans="1:11" x14ac:dyDescent="0.25">
      <c r="A193" s="12" t="str">
        <f t="shared" si="0"/>
        <v>f1_t2_j_vax</v>
      </c>
      <c r="B193" s="13" t="str">
        <f t="shared" si="1"/>
        <v>Junction: treatment 2 outcome for liver fibrosis F1 (vaccinated)</v>
      </c>
      <c r="C193" s="2" t="s">
        <v>47</v>
      </c>
      <c r="D193" s="2" t="s">
        <v>47</v>
      </c>
      <c r="E193" s="2" t="s">
        <v>46</v>
      </c>
      <c r="F193" s="2">
        <v>0</v>
      </c>
      <c r="K193" s="2" t="s">
        <v>42</v>
      </c>
    </row>
    <row r="194" spans="1:11" x14ac:dyDescent="0.25">
      <c r="A194" s="14" t="str">
        <f t="shared" si="0"/>
        <v>f1_ft2_vax</v>
      </c>
      <c r="B194" s="15" t="str">
        <f t="shared" si="1"/>
        <v>Liver Fibrosis F1: chronic, failed treatment 2 (vaccinated)</v>
      </c>
      <c r="C194" s="2" t="s">
        <v>47</v>
      </c>
      <c r="D194" s="2" t="s">
        <v>47</v>
      </c>
      <c r="E194" s="2" t="s">
        <v>47</v>
      </c>
      <c r="F194" s="2">
        <v>0</v>
      </c>
      <c r="K194" s="2" t="s">
        <v>42</v>
      </c>
    </row>
    <row r="195" spans="1:11" x14ac:dyDescent="0.25">
      <c r="A195" s="8" t="str">
        <f t="shared" si="0"/>
        <v>f2_ab_ud_vax</v>
      </c>
      <c r="B195" s="9" t="str">
        <f t="shared" si="1"/>
        <v>Liver Fibrosis F2: chronic, undiagnosed antibodies positive (vaccinated)</v>
      </c>
      <c r="C195" s="2" t="s">
        <v>47</v>
      </c>
      <c r="D195" s="2" t="s">
        <v>47</v>
      </c>
      <c r="E195" s="2" t="s">
        <v>47</v>
      </c>
      <c r="F195" s="2">
        <v>0</v>
      </c>
      <c r="K195" s="2" t="s">
        <v>42</v>
      </c>
    </row>
    <row r="196" spans="1:11" x14ac:dyDescent="0.25">
      <c r="A196" s="8" t="str">
        <f t="shared" si="0"/>
        <v>f2_ud_ltc_vax</v>
      </c>
      <c r="B196" s="9" t="str">
        <f t="shared" si="1"/>
        <v>Liver Fibrosis F2: chronic, undiagnosed, lost to care (vaccinated)</v>
      </c>
      <c r="C196" s="2" t="s">
        <v>47</v>
      </c>
      <c r="D196" s="2" t="s">
        <v>47</v>
      </c>
      <c r="E196" s="2" t="s">
        <v>47</v>
      </c>
      <c r="F196" s="2">
        <v>0</v>
      </c>
      <c r="K196" s="2" t="s">
        <v>42</v>
      </c>
    </row>
    <row r="197" spans="1:11" x14ac:dyDescent="0.25">
      <c r="A197" s="8" t="str">
        <f t="shared" si="0"/>
        <v>f2_ab_d_vax</v>
      </c>
      <c r="B197" s="9" t="str">
        <f t="shared" si="1"/>
        <v>Liver Fibrosis F2: chronic, diagnosed antibodies positive (vaccinated)</v>
      </c>
      <c r="C197" s="2" t="s">
        <v>47</v>
      </c>
      <c r="D197" s="2" t="s">
        <v>47</v>
      </c>
      <c r="E197" s="2" t="s">
        <v>47</v>
      </c>
      <c r="F197" s="2">
        <v>0</v>
      </c>
      <c r="K197" s="2" t="s">
        <v>42</v>
      </c>
    </row>
    <row r="198" spans="1:11" x14ac:dyDescent="0.25">
      <c r="A198" s="12" t="str">
        <f t="shared" si="0"/>
        <v>f2_ab_ltfu_j_vax</v>
      </c>
      <c r="B198" s="13" t="str">
        <f t="shared" si="1"/>
        <v>Junction: lost to follow-up after antibody diagnosis for liver fibrosis F2 (vaccinated)</v>
      </c>
      <c r="C198" s="2" t="s">
        <v>47</v>
      </c>
      <c r="D198" s="2" t="s">
        <v>47</v>
      </c>
      <c r="E198" s="2" t="s">
        <v>46</v>
      </c>
      <c r="F198" s="2">
        <v>0</v>
      </c>
      <c r="K198" s="2" t="s">
        <v>42</v>
      </c>
    </row>
    <row r="199" spans="1:11" x14ac:dyDescent="0.25">
      <c r="A199" s="8" t="str">
        <f t="shared" si="0"/>
        <v>f2_ab_ltfu_vax</v>
      </c>
      <c r="B199" s="9" t="str">
        <f t="shared" si="1"/>
        <v>Liver Fibrosis F2: chronic, diagnosed antibodies positive, lost to follow-up (vaccinated)</v>
      </c>
      <c r="C199" s="2" t="s">
        <v>47</v>
      </c>
      <c r="D199" s="2" t="s">
        <v>47</v>
      </c>
      <c r="E199" s="2" t="s">
        <v>47</v>
      </c>
      <c r="F199" s="2">
        <v>0</v>
      </c>
      <c r="K199" s="2" t="s">
        <v>42</v>
      </c>
    </row>
    <row r="200" spans="1:11" x14ac:dyDescent="0.25">
      <c r="A200" s="8" t="str">
        <f t="shared" si="0"/>
        <v>f2_pcr_d_vax</v>
      </c>
      <c r="B200" s="9" t="str">
        <f t="shared" si="1"/>
        <v>Liver Fibrosis F2: chronic, diagnosed positive-strand RNA (PCR test) (vaccinated)</v>
      </c>
      <c r="C200" s="2" t="s">
        <v>47</v>
      </c>
      <c r="D200" s="2" t="s">
        <v>47</v>
      </c>
      <c r="E200" s="2" t="s">
        <v>47</v>
      </c>
      <c r="F200" s="2">
        <v>0</v>
      </c>
      <c r="K200" s="2" t="s">
        <v>42</v>
      </c>
    </row>
    <row r="201" spans="1:11" x14ac:dyDescent="0.25">
      <c r="A201" s="12" t="str">
        <f t="shared" si="0"/>
        <v>f2_pcr_ltfu_j_vax</v>
      </c>
      <c r="B201" s="13" t="str">
        <f t="shared" si="1"/>
        <v>Junction: lost to follow-up after RNA diagnosis for liver fibrosis F2 (vaccinated)</v>
      </c>
      <c r="C201" s="2" t="s">
        <v>47</v>
      </c>
      <c r="D201" s="2" t="s">
        <v>47</v>
      </c>
      <c r="E201" s="2" t="s">
        <v>46</v>
      </c>
      <c r="F201" s="2">
        <v>0</v>
      </c>
      <c r="K201" s="2" t="s">
        <v>42</v>
      </c>
    </row>
    <row r="202" spans="1:11" x14ac:dyDescent="0.25">
      <c r="A202" s="8" t="str">
        <f t="shared" si="0"/>
        <v>f2_pcr_ltfu_vax</v>
      </c>
      <c r="B202" s="9" t="str">
        <f t="shared" si="1"/>
        <v>Liver Fibrosis F2: chronic, diagnosed positive-strand RNA, lost to follow-up (vaccinated)</v>
      </c>
      <c r="C202" s="2" t="s">
        <v>47</v>
      </c>
      <c r="D202" s="2" t="s">
        <v>47</v>
      </c>
      <c r="E202" s="2" t="s">
        <v>47</v>
      </c>
      <c r="F202" s="2">
        <v>0</v>
      </c>
      <c r="K202" s="2" t="s">
        <v>42</v>
      </c>
    </row>
    <row r="203" spans="1:11" x14ac:dyDescent="0.25">
      <c r="A203" s="8" t="str">
        <f t="shared" si="0"/>
        <v>f2_t1_vax</v>
      </c>
      <c r="B203" s="9" t="str">
        <f t="shared" si="1"/>
        <v>Liver Fibrosis F2: chronic, on treatment 1 (vaccinated)</v>
      </c>
      <c r="C203" s="2" t="s">
        <v>47</v>
      </c>
      <c r="D203" s="2" t="s">
        <v>47</v>
      </c>
      <c r="E203" s="2" t="s">
        <v>47</v>
      </c>
      <c r="F203" s="2">
        <v>0</v>
      </c>
      <c r="K203" s="2" t="s">
        <v>42</v>
      </c>
    </row>
    <row r="204" spans="1:11" x14ac:dyDescent="0.25">
      <c r="A204" s="12" t="str">
        <f t="shared" si="0"/>
        <v>f2_t1_j_vax</v>
      </c>
      <c r="B204" s="13" t="str">
        <f t="shared" si="1"/>
        <v>Junction: treatment 1 outcome for liver fibrosis F2 (vaccinated)</v>
      </c>
      <c r="C204" s="2" t="s">
        <v>47</v>
      </c>
      <c r="D204" s="2" t="s">
        <v>47</v>
      </c>
      <c r="E204" s="2" t="s">
        <v>46</v>
      </c>
      <c r="F204" s="2">
        <v>0</v>
      </c>
      <c r="K204" s="2" t="s">
        <v>42</v>
      </c>
    </row>
    <row r="205" spans="1:11" x14ac:dyDescent="0.25">
      <c r="A205" s="12" t="str">
        <f t="shared" si="0"/>
        <v>f2_t1ltf_j_vax</v>
      </c>
      <c r="B205" s="13" t="str">
        <f t="shared" si="1"/>
        <v>Junction: treatment 1 follow-up liver fibrosis F2 (vaccinated)</v>
      </c>
      <c r="C205" s="2" t="s">
        <v>47</v>
      </c>
      <c r="D205" s="2" t="s">
        <v>47</v>
      </c>
      <c r="E205" s="2" t="s">
        <v>46</v>
      </c>
      <c r="F205" s="2">
        <v>0</v>
      </c>
      <c r="K205" s="2" t="s">
        <v>42</v>
      </c>
    </row>
    <row r="206" spans="1:11" x14ac:dyDescent="0.25">
      <c r="A206" s="8" t="str">
        <f t="shared" si="0"/>
        <v>f2_ft1_vax</v>
      </c>
      <c r="B206" s="9" t="str">
        <f t="shared" si="1"/>
        <v>Liver Fibrosis F2: chronic, failed treatment 1 (vaccinated)</v>
      </c>
      <c r="C206" s="2" t="s">
        <v>47</v>
      </c>
      <c r="D206" s="2" t="s">
        <v>47</v>
      </c>
      <c r="E206" s="2" t="s">
        <v>47</v>
      </c>
      <c r="F206" s="2">
        <v>0</v>
      </c>
      <c r="K206" s="2" t="s">
        <v>42</v>
      </c>
    </row>
    <row r="207" spans="1:11" x14ac:dyDescent="0.25">
      <c r="A207" s="8" t="str">
        <f t="shared" si="0"/>
        <v>f2_ft1_ltfu_vax</v>
      </c>
      <c r="B207" s="9" t="str">
        <f t="shared" si="1"/>
        <v>Liver Fibrosis F2: chronic, failed treatment 1, lost to follow-up (vaccinated)</v>
      </c>
      <c r="C207" s="2" t="s">
        <v>47</v>
      </c>
      <c r="D207" s="2" t="s">
        <v>47</v>
      </c>
      <c r="E207" s="2" t="s">
        <v>47</v>
      </c>
      <c r="F207" s="2">
        <v>0</v>
      </c>
      <c r="K207" s="2" t="s">
        <v>42</v>
      </c>
    </row>
    <row r="208" spans="1:11" x14ac:dyDescent="0.25">
      <c r="A208" s="8" t="str">
        <f t="shared" si="0"/>
        <v>s2_vax</v>
      </c>
      <c r="B208" s="9" t="str">
        <f t="shared" si="1"/>
        <v>Liver Fibrosis F2: susceptible with antibodies (aware and treated) (vaccinated)</v>
      </c>
      <c r="C208" s="2" t="s">
        <v>47</v>
      </c>
      <c r="D208" s="2" t="s">
        <v>47</v>
      </c>
      <c r="E208" s="2" t="s">
        <v>47</v>
      </c>
      <c r="F208" s="2">
        <v>0</v>
      </c>
      <c r="K208" s="2" t="s">
        <v>42</v>
      </c>
    </row>
    <row r="209" spans="1:11" x14ac:dyDescent="0.25">
      <c r="A209" s="8" t="str">
        <f t="shared" si="0"/>
        <v>f2_acute_vax</v>
      </c>
      <c r="B209" s="9" t="str">
        <f t="shared" si="1"/>
        <v>Liver Fibrosis F2: acute (re-infection) (vaccinated)</v>
      </c>
      <c r="C209" s="2" t="s">
        <v>47</v>
      </c>
      <c r="D209" s="2" t="s">
        <v>47</v>
      </c>
      <c r="E209" s="2" t="s">
        <v>47</v>
      </c>
      <c r="F209" s="2">
        <v>0</v>
      </c>
      <c r="K209" s="2" t="s">
        <v>42</v>
      </c>
    </row>
    <row r="210" spans="1:11" x14ac:dyDescent="0.25">
      <c r="A210" s="12" t="str">
        <f t="shared" si="0"/>
        <v>f2_clear_j_vax</v>
      </c>
      <c r="B210" s="13" t="str">
        <f t="shared" si="1"/>
        <v>Junction: liver fibrosis F2 achieving spontaneous viral clearance (vaccinated)</v>
      </c>
      <c r="C210" s="2" t="s">
        <v>47</v>
      </c>
      <c r="D210" s="2" t="s">
        <v>47</v>
      </c>
      <c r="E210" s="2" t="s">
        <v>46</v>
      </c>
      <c r="F210" s="2">
        <v>0</v>
      </c>
      <c r="K210" s="2" t="s">
        <v>42</v>
      </c>
    </row>
    <row r="211" spans="1:11" x14ac:dyDescent="0.25">
      <c r="A211" s="8" t="str">
        <f t="shared" si="0"/>
        <v>f2_t2_vax</v>
      </c>
      <c r="B211" s="9" t="str">
        <f t="shared" si="1"/>
        <v>Liver Fibrosis F2: chronic, on treatment 2 (vaccinated)</v>
      </c>
      <c r="C211" s="2" t="s">
        <v>47</v>
      </c>
      <c r="D211" s="2" t="s">
        <v>47</v>
      </c>
      <c r="E211" s="2" t="s">
        <v>47</v>
      </c>
      <c r="F211" s="2">
        <v>0</v>
      </c>
      <c r="K211" s="2" t="s">
        <v>42</v>
      </c>
    </row>
    <row r="212" spans="1:11" x14ac:dyDescent="0.25">
      <c r="A212" s="12" t="str">
        <f t="shared" si="0"/>
        <v>f2_t2_j_vax</v>
      </c>
      <c r="B212" s="13" t="str">
        <f t="shared" si="1"/>
        <v>Junction: treatment 2 outcome for liver fibrosis F2 (vaccinated)</v>
      </c>
      <c r="C212" s="2" t="s">
        <v>47</v>
      </c>
      <c r="D212" s="2" t="s">
        <v>47</v>
      </c>
      <c r="E212" s="2" t="s">
        <v>46</v>
      </c>
      <c r="F212" s="2">
        <v>0</v>
      </c>
      <c r="K212" s="2" t="s">
        <v>42</v>
      </c>
    </row>
    <row r="213" spans="1:11" x14ac:dyDescent="0.25">
      <c r="A213" s="14" t="str">
        <f t="shared" si="0"/>
        <v>f2_ft2_vax</v>
      </c>
      <c r="B213" s="15" t="str">
        <f t="shared" si="1"/>
        <v>Liver Fibrosis F2: chronic, failed treatment 2 (vaccinated)</v>
      </c>
      <c r="C213" s="2" t="s">
        <v>47</v>
      </c>
      <c r="D213" s="2" t="s">
        <v>47</v>
      </c>
      <c r="E213" s="2" t="s">
        <v>47</v>
      </c>
      <c r="F213" s="2">
        <v>0</v>
      </c>
      <c r="K213" s="2" t="s">
        <v>42</v>
      </c>
    </row>
    <row r="214" spans="1:11" x14ac:dyDescent="0.25">
      <c r="A214" s="8" t="str">
        <f t="shared" ref="A214:A277" si="2">A69&amp;"_vax"</f>
        <v>f3_ab_ud_vax</v>
      </c>
      <c r="B214" s="9" t="str">
        <f t="shared" ref="B214:B277" si="3">B69&amp;" (vaccinated)"</f>
        <v>Liver Fibrosis F3: chronic, undiagnosed antibodies positive (vaccinated)</v>
      </c>
      <c r="C214" s="2" t="s">
        <v>47</v>
      </c>
      <c r="D214" s="2" t="s">
        <v>47</v>
      </c>
      <c r="E214" s="2" t="s">
        <v>47</v>
      </c>
      <c r="F214" s="2">
        <v>0</v>
      </c>
      <c r="K214" s="2" t="s">
        <v>42</v>
      </c>
    </row>
    <row r="215" spans="1:11" x14ac:dyDescent="0.25">
      <c r="A215" s="8" t="str">
        <f t="shared" si="2"/>
        <v>f3_ud_ltc_vax</v>
      </c>
      <c r="B215" s="9" t="str">
        <f t="shared" si="3"/>
        <v>Liver Fibrosis F3: chronic, undiagnosed, lost to care (vaccinated)</v>
      </c>
      <c r="C215" s="2" t="s">
        <v>47</v>
      </c>
      <c r="D215" s="2" t="s">
        <v>47</v>
      </c>
      <c r="E215" s="2" t="s">
        <v>47</v>
      </c>
      <c r="F215" s="2">
        <v>0</v>
      </c>
      <c r="K215" s="2" t="s">
        <v>42</v>
      </c>
    </row>
    <row r="216" spans="1:11" x14ac:dyDescent="0.25">
      <c r="A216" s="8" t="str">
        <f t="shared" si="2"/>
        <v>f3_ab_d_vax</v>
      </c>
      <c r="B216" s="9" t="str">
        <f t="shared" si="3"/>
        <v>Liver Fibrosis F3: chronic, diagnosed antibodies positive (vaccinated)</v>
      </c>
      <c r="C216" s="2" t="s">
        <v>47</v>
      </c>
      <c r="D216" s="2" t="s">
        <v>47</v>
      </c>
      <c r="E216" s="2" t="s">
        <v>47</v>
      </c>
      <c r="F216" s="2">
        <v>0</v>
      </c>
      <c r="K216" s="2" t="s">
        <v>42</v>
      </c>
    </row>
    <row r="217" spans="1:11" x14ac:dyDescent="0.25">
      <c r="A217" s="12" t="str">
        <f t="shared" si="2"/>
        <v>f3_ab_ltfu_j_vax</v>
      </c>
      <c r="B217" s="13" t="str">
        <f t="shared" si="3"/>
        <v>Junction: lost to follow-up after antibody diagnosis for liver fibrosis F3 (vaccinated)</v>
      </c>
      <c r="C217" s="2" t="s">
        <v>47</v>
      </c>
      <c r="D217" s="2" t="s">
        <v>47</v>
      </c>
      <c r="E217" s="2" t="s">
        <v>46</v>
      </c>
      <c r="F217" s="2">
        <v>0</v>
      </c>
      <c r="K217" s="2" t="s">
        <v>42</v>
      </c>
    </row>
    <row r="218" spans="1:11" x14ac:dyDescent="0.25">
      <c r="A218" s="8" t="str">
        <f t="shared" si="2"/>
        <v>f3_ab_ltfu_vax</v>
      </c>
      <c r="B218" s="9" t="str">
        <f t="shared" si="3"/>
        <v>Liver Fibrosis F3: chronic, diagnosed antibodies positive, lost to follow-up (vaccinated)</v>
      </c>
      <c r="C218" s="2" t="s">
        <v>47</v>
      </c>
      <c r="D218" s="2" t="s">
        <v>47</v>
      </c>
      <c r="E218" s="2" t="s">
        <v>47</v>
      </c>
      <c r="F218" s="2">
        <v>0</v>
      </c>
      <c r="K218" s="2" t="s">
        <v>42</v>
      </c>
    </row>
    <row r="219" spans="1:11" x14ac:dyDescent="0.25">
      <c r="A219" s="8" t="str">
        <f t="shared" si="2"/>
        <v>f3_pcr_d_vax</v>
      </c>
      <c r="B219" s="9" t="str">
        <f t="shared" si="3"/>
        <v>Liver Fibrosis F3: chronic, diagnosed positive-strand RNA (PCR test) (vaccinated)</v>
      </c>
      <c r="C219" s="2" t="s">
        <v>47</v>
      </c>
      <c r="D219" s="2" t="s">
        <v>47</v>
      </c>
      <c r="E219" s="2" t="s">
        <v>47</v>
      </c>
      <c r="F219" s="2">
        <v>0</v>
      </c>
      <c r="K219" s="2" t="s">
        <v>42</v>
      </c>
    </row>
    <row r="220" spans="1:11" x14ac:dyDescent="0.25">
      <c r="A220" s="12" t="str">
        <f t="shared" si="2"/>
        <v>f3_pcr_ltfu_j_vax</v>
      </c>
      <c r="B220" s="13" t="str">
        <f t="shared" si="3"/>
        <v>Junction: lost to follow-up after RNA diagnosis for liver fibrosis F3 (vaccinated)</v>
      </c>
      <c r="C220" s="2" t="s">
        <v>47</v>
      </c>
      <c r="D220" s="2" t="s">
        <v>47</v>
      </c>
      <c r="E220" s="2" t="s">
        <v>46</v>
      </c>
      <c r="F220" s="2">
        <v>0</v>
      </c>
      <c r="K220" s="2" t="s">
        <v>42</v>
      </c>
    </row>
    <row r="221" spans="1:11" x14ac:dyDescent="0.25">
      <c r="A221" s="8" t="str">
        <f t="shared" si="2"/>
        <v>f3_pcr_ltfu_vax</v>
      </c>
      <c r="B221" s="9" t="str">
        <f t="shared" si="3"/>
        <v>Liver Fibrosis F3: chronic, diagnosed positive-strand RNA, lost to follow-up (vaccinated)</v>
      </c>
      <c r="C221" s="2" t="s">
        <v>47</v>
      </c>
      <c r="D221" s="2" t="s">
        <v>47</v>
      </c>
      <c r="E221" s="2" t="s">
        <v>47</v>
      </c>
      <c r="F221" s="2">
        <v>0</v>
      </c>
      <c r="K221" s="2" t="s">
        <v>42</v>
      </c>
    </row>
    <row r="222" spans="1:11" x14ac:dyDescent="0.25">
      <c r="A222" s="8" t="str">
        <f t="shared" si="2"/>
        <v>f3_t1_vax</v>
      </c>
      <c r="B222" s="9" t="str">
        <f t="shared" si="3"/>
        <v>Liver Fibrosis F3: chronic, on treatment 1 (vaccinated)</v>
      </c>
      <c r="C222" s="2" t="s">
        <v>47</v>
      </c>
      <c r="D222" s="2" t="s">
        <v>47</v>
      </c>
      <c r="E222" s="2" t="s">
        <v>47</v>
      </c>
      <c r="F222" s="2">
        <v>0</v>
      </c>
      <c r="K222" s="2" t="s">
        <v>42</v>
      </c>
    </row>
    <row r="223" spans="1:11" x14ac:dyDescent="0.25">
      <c r="A223" s="12" t="str">
        <f t="shared" si="2"/>
        <v>f3_t1_j_vax</v>
      </c>
      <c r="B223" s="13" t="str">
        <f t="shared" si="3"/>
        <v>Junction: treatment 1 outcome for liver fibrosis F3 (vaccinated)</v>
      </c>
      <c r="C223" s="2" t="s">
        <v>47</v>
      </c>
      <c r="D223" s="2" t="s">
        <v>47</v>
      </c>
      <c r="E223" s="2" t="s">
        <v>46</v>
      </c>
      <c r="F223" s="2">
        <v>0</v>
      </c>
      <c r="K223" s="2" t="s">
        <v>42</v>
      </c>
    </row>
    <row r="224" spans="1:11" x14ac:dyDescent="0.25">
      <c r="A224" s="12" t="str">
        <f t="shared" si="2"/>
        <v>f3_t1ltf_j_vax</v>
      </c>
      <c r="B224" s="13" t="str">
        <f t="shared" si="3"/>
        <v>Junction: treatment 1 follow-up for liver fibrosis F3 (vaccinated)</v>
      </c>
      <c r="C224" s="2" t="s">
        <v>47</v>
      </c>
      <c r="D224" s="2" t="s">
        <v>47</v>
      </c>
      <c r="E224" s="2" t="s">
        <v>46</v>
      </c>
      <c r="F224" s="2">
        <v>0</v>
      </c>
      <c r="K224" s="2" t="s">
        <v>42</v>
      </c>
    </row>
    <row r="225" spans="1:11" x14ac:dyDescent="0.25">
      <c r="A225" s="8" t="str">
        <f t="shared" si="2"/>
        <v>f3_ft1_vax</v>
      </c>
      <c r="B225" s="9" t="str">
        <f t="shared" si="3"/>
        <v>Liver Fibrosis F3: chronic, failed treatment 1 (vaccinated)</v>
      </c>
      <c r="C225" s="2" t="s">
        <v>47</v>
      </c>
      <c r="D225" s="2" t="s">
        <v>47</v>
      </c>
      <c r="E225" s="2" t="s">
        <v>47</v>
      </c>
      <c r="F225" s="2">
        <v>0</v>
      </c>
      <c r="K225" s="2" t="s">
        <v>42</v>
      </c>
    </row>
    <row r="226" spans="1:11" x14ac:dyDescent="0.25">
      <c r="A226" s="8" t="str">
        <f t="shared" si="2"/>
        <v>f3_ft1_ltfu_vax</v>
      </c>
      <c r="B226" s="9" t="str">
        <f t="shared" si="3"/>
        <v>Liver Fibrosis F3: chronic, failed treatment 1, lost to follow-up (vaccinated)</v>
      </c>
      <c r="C226" s="2" t="s">
        <v>47</v>
      </c>
      <c r="D226" s="2" t="s">
        <v>47</v>
      </c>
      <c r="E226" s="2" t="s">
        <v>47</v>
      </c>
      <c r="F226" s="2">
        <v>0</v>
      </c>
      <c r="K226" s="2" t="s">
        <v>42</v>
      </c>
    </row>
    <row r="227" spans="1:11" x14ac:dyDescent="0.25">
      <c r="A227" s="8" t="str">
        <f t="shared" si="2"/>
        <v>s3_vax</v>
      </c>
      <c r="B227" s="9" t="str">
        <f t="shared" si="3"/>
        <v>Liver Fibrosis F3: susceptible with antibodies (aware and treated) (vaccinated)</v>
      </c>
      <c r="C227" s="2" t="s">
        <v>47</v>
      </c>
      <c r="D227" s="2" t="s">
        <v>47</v>
      </c>
      <c r="E227" s="2" t="s">
        <v>47</v>
      </c>
      <c r="F227" s="2">
        <v>0</v>
      </c>
      <c r="K227" s="2" t="s">
        <v>42</v>
      </c>
    </row>
    <row r="228" spans="1:11" x14ac:dyDescent="0.25">
      <c r="A228" s="8" t="str">
        <f t="shared" si="2"/>
        <v>f3_acute_vax</v>
      </c>
      <c r="B228" s="9" t="str">
        <f t="shared" si="3"/>
        <v>Liver Fibrosis F3: acute (re-infection) (vaccinated)</v>
      </c>
      <c r="C228" s="2" t="s">
        <v>47</v>
      </c>
      <c r="D228" s="2" t="s">
        <v>47</v>
      </c>
      <c r="E228" s="2" t="s">
        <v>47</v>
      </c>
      <c r="F228" s="2">
        <v>0</v>
      </c>
      <c r="K228" s="2" t="s">
        <v>42</v>
      </c>
    </row>
    <row r="229" spans="1:11" x14ac:dyDescent="0.25">
      <c r="A229" s="12" t="str">
        <f t="shared" si="2"/>
        <v>f3_clear_j_vax</v>
      </c>
      <c r="B229" s="13" t="str">
        <f t="shared" si="3"/>
        <v>Junction: liver fibrosis F3 achieving spontaneous viral clearance (vaccinated)</v>
      </c>
      <c r="C229" s="2" t="s">
        <v>47</v>
      </c>
      <c r="D229" s="2" t="s">
        <v>47</v>
      </c>
      <c r="E229" s="2" t="s">
        <v>46</v>
      </c>
      <c r="F229" s="2">
        <v>0</v>
      </c>
      <c r="K229" s="2" t="s">
        <v>42</v>
      </c>
    </row>
    <row r="230" spans="1:11" x14ac:dyDescent="0.25">
      <c r="A230" s="8" t="str">
        <f t="shared" si="2"/>
        <v>f3_t2_vax</v>
      </c>
      <c r="B230" s="9" t="str">
        <f t="shared" si="3"/>
        <v>Liver Fibrosis F3: chronic, on treatment 2 (vaccinated)</v>
      </c>
      <c r="C230" s="2" t="s">
        <v>47</v>
      </c>
      <c r="D230" s="2" t="s">
        <v>47</v>
      </c>
      <c r="E230" s="2" t="s">
        <v>47</v>
      </c>
      <c r="F230" s="2">
        <v>0</v>
      </c>
      <c r="K230" s="2" t="s">
        <v>42</v>
      </c>
    </row>
    <row r="231" spans="1:11" x14ac:dyDescent="0.25">
      <c r="A231" s="12" t="str">
        <f t="shared" si="2"/>
        <v>f3_t2_j_vax</v>
      </c>
      <c r="B231" s="13" t="str">
        <f t="shared" si="3"/>
        <v>Junction: treatment 2 outcome for liver fibrosis F3 (vaccinated)</v>
      </c>
      <c r="C231" s="2" t="s">
        <v>47</v>
      </c>
      <c r="D231" s="2" t="s">
        <v>47</v>
      </c>
      <c r="E231" s="2" t="s">
        <v>46</v>
      </c>
      <c r="F231" s="2">
        <v>0</v>
      </c>
      <c r="K231" s="2" t="s">
        <v>42</v>
      </c>
    </row>
    <row r="232" spans="1:11" x14ac:dyDescent="0.25">
      <c r="A232" s="14" t="str">
        <f t="shared" si="2"/>
        <v>f3_ft2_vax</v>
      </c>
      <c r="B232" s="15" t="str">
        <f t="shared" si="3"/>
        <v>Liver Fibrosis F3: chronic, failed treatment 2 (vaccinated)</v>
      </c>
      <c r="C232" s="2" t="s">
        <v>47</v>
      </c>
      <c r="D232" s="2" t="s">
        <v>47</v>
      </c>
      <c r="E232" s="2" t="s">
        <v>47</v>
      </c>
      <c r="F232" s="2">
        <v>0</v>
      </c>
      <c r="K232" s="2" t="s">
        <v>42</v>
      </c>
    </row>
    <row r="233" spans="1:11" x14ac:dyDescent="0.25">
      <c r="A233" s="8" t="str">
        <f t="shared" si="2"/>
        <v>f4_ab_ud_vax</v>
      </c>
      <c r="B233" s="9" t="str">
        <f t="shared" si="3"/>
        <v>Liver Fibrosis F4: chronic, undiagnosed antibodies positive (vaccinated)</v>
      </c>
      <c r="C233" s="2" t="s">
        <v>47</v>
      </c>
      <c r="D233" s="2" t="s">
        <v>47</v>
      </c>
      <c r="E233" s="2" t="s">
        <v>47</v>
      </c>
      <c r="F233" s="2">
        <v>0</v>
      </c>
      <c r="K233" s="2" t="s">
        <v>42</v>
      </c>
    </row>
    <row r="234" spans="1:11" x14ac:dyDescent="0.25">
      <c r="A234" s="8" t="str">
        <f t="shared" si="2"/>
        <v>f4_ud_ltc_vax</v>
      </c>
      <c r="B234" s="9" t="str">
        <f t="shared" si="3"/>
        <v>Liver Fibrosis F4: chronic, undiagnosed, lost to care (vaccinated)</v>
      </c>
      <c r="C234" s="2" t="s">
        <v>47</v>
      </c>
      <c r="D234" s="2" t="s">
        <v>47</v>
      </c>
      <c r="E234" s="2" t="s">
        <v>47</v>
      </c>
      <c r="F234" s="2">
        <v>0</v>
      </c>
      <c r="K234" s="2" t="s">
        <v>42</v>
      </c>
    </row>
    <row r="235" spans="1:11" x14ac:dyDescent="0.25">
      <c r="A235" s="8" t="str">
        <f t="shared" si="2"/>
        <v>f4_ab_d_vax</v>
      </c>
      <c r="B235" s="9" t="str">
        <f t="shared" si="3"/>
        <v>Liver Fibrosis F4: chronic, diagnosed antibodies positive (vaccinated)</v>
      </c>
      <c r="C235" s="2" t="s">
        <v>47</v>
      </c>
      <c r="D235" s="2" t="s">
        <v>47</v>
      </c>
      <c r="E235" s="2" t="s">
        <v>47</v>
      </c>
      <c r="F235" s="2">
        <v>0</v>
      </c>
      <c r="K235" s="2" t="s">
        <v>42</v>
      </c>
    </row>
    <row r="236" spans="1:11" x14ac:dyDescent="0.25">
      <c r="A236" s="12" t="str">
        <f t="shared" si="2"/>
        <v>f4_ab_ltfu_j_vax</v>
      </c>
      <c r="B236" s="13" t="str">
        <f t="shared" si="3"/>
        <v>Junction: lost to follow-up after antibody diagnosis for liver fibrosis F4 (vaccinated)</v>
      </c>
      <c r="C236" s="2" t="s">
        <v>47</v>
      </c>
      <c r="D236" s="2" t="s">
        <v>47</v>
      </c>
      <c r="E236" s="2" t="s">
        <v>46</v>
      </c>
      <c r="F236" s="2">
        <v>0</v>
      </c>
      <c r="K236" s="2" t="s">
        <v>42</v>
      </c>
    </row>
    <row r="237" spans="1:11" x14ac:dyDescent="0.25">
      <c r="A237" s="8" t="str">
        <f t="shared" si="2"/>
        <v>f4_ab_ltfu_vax</v>
      </c>
      <c r="B237" s="9" t="str">
        <f t="shared" si="3"/>
        <v>Liver Fibrosis F4: chronic, diagnosed antibodies positive, lost to follow-up (vaccinated)</v>
      </c>
      <c r="C237" s="2" t="s">
        <v>47</v>
      </c>
      <c r="D237" s="2" t="s">
        <v>47</v>
      </c>
      <c r="E237" s="2" t="s">
        <v>47</v>
      </c>
      <c r="F237" s="2">
        <v>0</v>
      </c>
      <c r="K237" s="2" t="s">
        <v>42</v>
      </c>
    </row>
    <row r="238" spans="1:11" x14ac:dyDescent="0.25">
      <c r="A238" s="8" t="str">
        <f t="shared" si="2"/>
        <v>f4_pcr_d_vax</v>
      </c>
      <c r="B238" s="9" t="str">
        <f t="shared" si="3"/>
        <v>Liver Fibrosis F4: chronic, diagnosed positive-strand RNA (PCR test) (vaccinated)</v>
      </c>
      <c r="C238" s="2" t="s">
        <v>47</v>
      </c>
      <c r="D238" s="2" t="s">
        <v>47</v>
      </c>
      <c r="E238" s="2" t="s">
        <v>47</v>
      </c>
      <c r="F238" s="2">
        <v>0</v>
      </c>
      <c r="K238" s="2" t="s">
        <v>42</v>
      </c>
    </row>
    <row r="239" spans="1:11" x14ac:dyDescent="0.25">
      <c r="A239" s="12" t="str">
        <f t="shared" si="2"/>
        <v>f4_pcr_ltfu_j_vax</v>
      </c>
      <c r="B239" s="13" t="str">
        <f t="shared" si="3"/>
        <v>Junction: lost to follow-up after RNA diagnosis for liver fibrosis F4 (vaccinated)</v>
      </c>
      <c r="C239" s="2" t="s">
        <v>47</v>
      </c>
      <c r="D239" s="2" t="s">
        <v>47</v>
      </c>
      <c r="E239" s="2" t="s">
        <v>46</v>
      </c>
      <c r="F239" s="2">
        <v>0</v>
      </c>
      <c r="K239" s="2" t="s">
        <v>42</v>
      </c>
    </row>
    <row r="240" spans="1:11" x14ac:dyDescent="0.25">
      <c r="A240" s="8" t="str">
        <f t="shared" si="2"/>
        <v>f4_pcr_ltfu_vax</v>
      </c>
      <c r="B240" s="9" t="str">
        <f t="shared" si="3"/>
        <v>Liver Fibrosis F4: chronic, diagnosed positive-strand RNA, lost to follow-up (vaccinated)</v>
      </c>
      <c r="C240" s="2" t="s">
        <v>47</v>
      </c>
      <c r="D240" s="2" t="s">
        <v>47</v>
      </c>
      <c r="E240" s="2" t="s">
        <v>47</v>
      </c>
      <c r="F240" s="2">
        <v>0</v>
      </c>
      <c r="K240" s="2" t="s">
        <v>42</v>
      </c>
    </row>
    <row r="241" spans="1:11" x14ac:dyDescent="0.25">
      <c r="A241" s="8" t="str">
        <f t="shared" si="2"/>
        <v>f4_t1_vax</v>
      </c>
      <c r="B241" s="9" t="str">
        <f t="shared" si="3"/>
        <v>Liver Fibrosis F4: chronic, on treatment 1 (vaccinated)</v>
      </c>
      <c r="C241" s="2" t="s">
        <v>47</v>
      </c>
      <c r="D241" s="2" t="s">
        <v>47</v>
      </c>
      <c r="E241" s="2" t="s">
        <v>47</v>
      </c>
      <c r="F241" s="2">
        <v>0</v>
      </c>
      <c r="K241" s="2" t="s">
        <v>42</v>
      </c>
    </row>
    <row r="242" spans="1:11" x14ac:dyDescent="0.25">
      <c r="A242" s="12" t="str">
        <f t="shared" si="2"/>
        <v>f4_t1_j_vax</v>
      </c>
      <c r="B242" s="13" t="str">
        <f t="shared" si="3"/>
        <v>Junction: treatment 1 outcome for liver fibrosis F4 (vaccinated)</v>
      </c>
      <c r="C242" s="2" t="s">
        <v>47</v>
      </c>
      <c r="D242" s="2" t="s">
        <v>47</v>
      </c>
      <c r="E242" s="2" t="s">
        <v>46</v>
      </c>
      <c r="F242" s="2">
        <v>0</v>
      </c>
      <c r="K242" s="2" t="s">
        <v>42</v>
      </c>
    </row>
    <row r="243" spans="1:11" x14ac:dyDescent="0.25">
      <c r="A243" s="12" t="str">
        <f t="shared" si="2"/>
        <v>f4_t1ltf_j_vax</v>
      </c>
      <c r="B243" s="13" t="str">
        <f t="shared" si="3"/>
        <v>Junction: treatment 1 follow-up for liver fibrosis F4 (vaccinated)</v>
      </c>
      <c r="C243" s="2" t="s">
        <v>47</v>
      </c>
      <c r="D243" s="2" t="s">
        <v>47</v>
      </c>
      <c r="E243" s="2" t="s">
        <v>46</v>
      </c>
      <c r="F243" s="2">
        <v>0</v>
      </c>
      <c r="K243" s="2" t="s">
        <v>42</v>
      </c>
    </row>
    <row r="244" spans="1:11" x14ac:dyDescent="0.25">
      <c r="A244" s="8" t="str">
        <f t="shared" si="2"/>
        <v>f4_ft1_vax</v>
      </c>
      <c r="B244" s="9" t="str">
        <f t="shared" si="3"/>
        <v>Liver Fibrosis F4: chronic, failed treatment 1 (vaccinated)</v>
      </c>
      <c r="C244" s="2" t="s">
        <v>47</v>
      </c>
      <c r="D244" s="2" t="s">
        <v>47</v>
      </c>
      <c r="E244" s="2" t="s">
        <v>47</v>
      </c>
      <c r="F244" s="2">
        <v>0</v>
      </c>
      <c r="K244" s="2" t="s">
        <v>42</v>
      </c>
    </row>
    <row r="245" spans="1:11" x14ac:dyDescent="0.25">
      <c r="A245" s="8" t="str">
        <f t="shared" si="2"/>
        <v>f4_ft1_ltfu_vax</v>
      </c>
      <c r="B245" s="9" t="str">
        <f t="shared" si="3"/>
        <v>Liver Fibrosis F4: chronic, failed treatment 1, lost to follow-up (vaccinated)</v>
      </c>
      <c r="C245" s="2" t="s">
        <v>47</v>
      </c>
      <c r="D245" s="2" t="s">
        <v>47</v>
      </c>
      <c r="E245" s="2" t="s">
        <v>47</v>
      </c>
      <c r="F245" s="2">
        <v>0</v>
      </c>
      <c r="K245" s="2" t="s">
        <v>42</v>
      </c>
    </row>
    <row r="246" spans="1:11" x14ac:dyDescent="0.25">
      <c r="A246" s="8" t="str">
        <f t="shared" si="2"/>
        <v>s4_vax</v>
      </c>
      <c r="B246" s="9" t="str">
        <f t="shared" si="3"/>
        <v>Liver Fibrosis F4: susceptible with antibodies (aware and treated) (vaccinated)</v>
      </c>
      <c r="C246" s="2" t="s">
        <v>47</v>
      </c>
      <c r="D246" s="2" t="s">
        <v>47</v>
      </c>
      <c r="E246" s="2" t="s">
        <v>47</v>
      </c>
      <c r="F246" s="2">
        <v>0</v>
      </c>
      <c r="K246" s="2" t="s">
        <v>42</v>
      </c>
    </row>
    <row r="247" spans="1:11" x14ac:dyDescent="0.25">
      <c r="A247" s="8" t="str">
        <f t="shared" si="2"/>
        <v>f4_acute_vax</v>
      </c>
      <c r="B247" s="9" t="str">
        <f t="shared" si="3"/>
        <v>Liver Fibrosis F4: acute (re-infection) (vaccinated)</v>
      </c>
      <c r="C247" s="2" t="s">
        <v>47</v>
      </c>
      <c r="D247" s="2" t="s">
        <v>47</v>
      </c>
      <c r="E247" s="2" t="s">
        <v>47</v>
      </c>
      <c r="F247" s="2">
        <v>0</v>
      </c>
      <c r="K247" s="2" t="s">
        <v>42</v>
      </c>
    </row>
    <row r="248" spans="1:11" x14ac:dyDescent="0.25">
      <c r="A248" s="12" t="str">
        <f t="shared" si="2"/>
        <v>f4_clear_j_vax</v>
      </c>
      <c r="B248" s="13" t="str">
        <f t="shared" si="3"/>
        <v>Junction: liver fibrosis F4 achieving spontaneous viral clearance (vaccinated)</v>
      </c>
      <c r="C248" s="2" t="s">
        <v>47</v>
      </c>
      <c r="D248" s="2" t="s">
        <v>47</v>
      </c>
      <c r="E248" s="2" t="s">
        <v>46</v>
      </c>
      <c r="F248" s="2">
        <v>0</v>
      </c>
      <c r="K248" s="2" t="s">
        <v>42</v>
      </c>
    </row>
    <row r="249" spans="1:11" x14ac:dyDescent="0.25">
      <c r="A249" s="8" t="str">
        <f t="shared" si="2"/>
        <v>f4_t2_vax</v>
      </c>
      <c r="B249" s="9" t="str">
        <f t="shared" si="3"/>
        <v>Liver Fibrosis F4: chronic, on treatment 2 (vaccinated)</v>
      </c>
      <c r="C249" s="2" t="s">
        <v>47</v>
      </c>
      <c r="D249" s="2" t="s">
        <v>47</v>
      </c>
      <c r="E249" s="2" t="s">
        <v>47</v>
      </c>
      <c r="F249" s="2">
        <v>0</v>
      </c>
      <c r="K249" s="2" t="s">
        <v>42</v>
      </c>
    </row>
    <row r="250" spans="1:11" x14ac:dyDescent="0.25">
      <c r="A250" s="12" t="str">
        <f t="shared" si="2"/>
        <v>f4_t2_j_vax</v>
      </c>
      <c r="B250" s="13" t="str">
        <f t="shared" si="3"/>
        <v>Junction: treatment 2 outcome for liver fibrosis F4 (vaccinated)</v>
      </c>
      <c r="C250" s="2" t="s">
        <v>47</v>
      </c>
      <c r="D250" s="2" t="s">
        <v>47</v>
      </c>
      <c r="E250" s="2" t="s">
        <v>46</v>
      </c>
      <c r="F250" s="2">
        <v>0</v>
      </c>
      <c r="K250" s="2" t="s">
        <v>42</v>
      </c>
    </row>
    <row r="251" spans="1:11" x14ac:dyDescent="0.25">
      <c r="A251" s="14" t="str">
        <f t="shared" si="2"/>
        <v>f4_ft2_vax</v>
      </c>
      <c r="B251" s="15" t="str">
        <f t="shared" si="3"/>
        <v>Liver Fibrosis F4: chronic, failed treatment 2 (vaccinated)</v>
      </c>
      <c r="C251" s="2" t="s">
        <v>47</v>
      </c>
      <c r="D251" s="2" t="s">
        <v>47</v>
      </c>
      <c r="E251" s="2" t="s">
        <v>47</v>
      </c>
      <c r="F251" s="2">
        <v>0</v>
      </c>
      <c r="K251" s="2" t="s">
        <v>42</v>
      </c>
    </row>
    <row r="252" spans="1:11" x14ac:dyDescent="0.25">
      <c r="A252" s="8" t="str">
        <f t="shared" si="2"/>
        <v>dc_ab_ud_vax</v>
      </c>
      <c r="B252" s="9" t="str">
        <f t="shared" si="3"/>
        <v>Decompensated Cirrhosis: chronic, undiagnosed antibodies positive (vaccinated)</v>
      </c>
      <c r="C252" s="2" t="s">
        <v>47</v>
      </c>
      <c r="D252" s="2" t="s">
        <v>47</v>
      </c>
      <c r="E252" s="2" t="s">
        <v>47</v>
      </c>
      <c r="F252" s="2">
        <v>0</v>
      </c>
      <c r="K252" s="2" t="s">
        <v>42</v>
      </c>
    </row>
    <row r="253" spans="1:11" x14ac:dyDescent="0.25">
      <c r="A253" s="8" t="str">
        <f t="shared" si="2"/>
        <v>dc_ud_ltc_vax</v>
      </c>
      <c r="B253" s="9" t="str">
        <f t="shared" si="3"/>
        <v>Decompensated Cirrhosis: chronic, undiagnosed, lost to care (vaccinated)</v>
      </c>
      <c r="C253" s="2" t="s">
        <v>47</v>
      </c>
      <c r="D253" s="2" t="s">
        <v>47</v>
      </c>
      <c r="E253" s="2" t="s">
        <v>47</v>
      </c>
      <c r="F253" s="2">
        <v>0</v>
      </c>
      <c r="K253" s="2" t="s">
        <v>42</v>
      </c>
    </row>
    <row r="254" spans="1:11" x14ac:dyDescent="0.25">
      <c r="A254" s="8" t="str">
        <f t="shared" si="2"/>
        <v>dc_ab_d_vax</v>
      </c>
      <c r="B254" s="9" t="str">
        <f t="shared" si="3"/>
        <v>Decompensated Cirrhosis: chronic, diagnosed antibodies positive (vaccinated)</v>
      </c>
      <c r="C254" s="2" t="s">
        <v>47</v>
      </c>
      <c r="D254" s="2" t="s">
        <v>47</v>
      </c>
      <c r="E254" s="2" t="s">
        <v>47</v>
      </c>
      <c r="F254" s="2">
        <v>0</v>
      </c>
      <c r="K254" s="2" t="s">
        <v>42</v>
      </c>
    </row>
    <row r="255" spans="1:11" x14ac:dyDescent="0.25">
      <c r="A255" s="12" t="str">
        <f t="shared" si="2"/>
        <v>dc_ab_ltfu_j_vax</v>
      </c>
      <c r="B255" s="13" t="str">
        <f t="shared" si="3"/>
        <v>Junction: lost to follow-up after antibody diagnosis for decompensated cirrhosis (vaccinated)</v>
      </c>
      <c r="C255" s="2" t="s">
        <v>47</v>
      </c>
      <c r="D255" s="2" t="s">
        <v>47</v>
      </c>
      <c r="E255" s="2" t="s">
        <v>46</v>
      </c>
      <c r="F255" s="2">
        <v>0</v>
      </c>
      <c r="K255" s="2" t="s">
        <v>42</v>
      </c>
    </row>
    <row r="256" spans="1:11" x14ac:dyDescent="0.25">
      <c r="A256" s="8" t="str">
        <f t="shared" si="2"/>
        <v>dc_ab_ltfu_vax</v>
      </c>
      <c r="B256" s="9" t="str">
        <f t="shared" si="3"/>
        <v>Decompensated Cirrhosis: chronic, diagnosed antibodies positive, lost to follow-up (vaccinated)</v>
      </c>
      <c r="C256" s="2" t="s">
        <v>47</v>
      </c>
      <c r="D256" s="2" t="s">
        <v>47</v>
      </c>
      <c r="E256" s="2" t="s">
        <v>47</v>
      </c>
      <c r="F256" s="2">
        <v>0</v>
      </c>
      <c r="K256" s="2" t="s">
        <v>42</v>
      </c>
    </row>
    <row r="257" spans="1:11" x14ac:dyDescent="0.25">
      <c r="A257" s="8" t="str">
        <f t="shared" si="2"/>
        <v>dc_pcr_d_vax</v>
      </c>
      <c r="B257" s="9" t="str">
        <f t="shared" si="3"/>
        <v>Decompensated Cirrhosis: chronic, diagnosed positive-strand RNA (PCR test) (vaccinated)</v>
      </c>
      <c r="C257" s="2" t="s">
        <v>47</v>
      </c>
      <c r="D257" s="2" t="s">
        <v>47</v>
      </c>
      <c r="E257" s="2" t="s">
        <v>47</v>
      </c>
      <c r="F257" s="2">
        <v>0</v>
      </c>
      <c r="K257" s="2" t="s">
        <v>42</v>
      </c>
    </row>
    <row r="258" spans="1:11" x14ac:dyDescent="0.25">
      <c r="A258" s="12" t="str">
        <f t="shared" si="2"/>
        <v>dc_pcr_ltfu_j_vax</v>
      </c>
      <c r="B258" s="13" t="str">
        <f t="shared" si="3"/>
        <v>Junction: lost to follow-up after RNA diagnosis for decompensated cirrhosis (vaccinated)</v>
      </c>
      <c r="C258" s="2" t="s">
        <v>47</v>
      </c>
      <c r="D258" s="2" t="s">
        <v>47</v>
      </c>
      <c r="E258" s="2" t="s">
        <v>46</v>
      </c>
      <c r="F258" s="2">
        <v>0</v>
      </c>
      <c r="K258" s="2" t="s">
        <v>42</v>
      </c>
    </row>
    <row r="259" spans="1:11" x14ac:dyDescent="0.25">
      <c r="A259" s="8" t="str">
        <f t="shared" si="2"/>
        <v>dc_pcr_ltfu_vax</v>
      </c>
      <c r="B259" s="9" t="str">
        <f t="shared" si="3"/>
        <v>Decompensated Cirrhosis: chronic, diagnosed positive-strand RNA, lost to follow-up (vaccinated)</v>
      </c>
      <c r="C259" s="2" t="s">
        <v>47</v>
      </c>
      <c r="D259" s="2" t="s">
        <v>47</v>
      </c>
      <c r="E259" s="2" t="s">
        <v>47</v>
      </c>
      <c r="F259" s="2">
        <v>0</v>
      </c>
      <c r="K259" s="2" t="s">
        <v>42</v>
      </c>
    </row>
    <row r="260" spans="1:11" x14ac:dyDescent="0.25">
      <c r="A260" s="8" t="str">
        <f t="shared" si="2"/>
        <v>dc_t1_vax</v>
      </c>
      <c r="B260" s="9" t="str">
        <f t="shared" si="3"/>
        <v>Decompensated Cirrhosis: chronic, on treatment 1 (vaccinated)</v>
      </c>
      <c r="C260" s="2" t="s">
        <v>47</v>
      </c>
      <c r="D260" s="2" t="s">
        <v>47</v>
      </c>
      <c r="E260" s="2" t="s">
        <v>47</v>
      </c>
      <c r="F260" s="2">
        <v>0</v>
      </c>
      <c r="K260" s="2" t="s">
        <v>42</v>
      </c>
    </row>
    <row r="261" spans="1:11" x14ac:dyDescent="0.25">
      <c r="A261" s="12" t="str">
        <f t="shared" si="2"/>
        <v>dc_t1_j_vax</v>
      </c>
      <c r="B261" s="13" t="str">
        <f t="shared" si="3"/>
        <v>Junction: treatment 1 outcome for decompensated cirrhosis (vaccinated)</v>
      </c>
      <c r="C261" s="2" t="s">
        <v>47</v>
      </c>
      <c r="D261" s="2" t="s">
        <v>47</v>
      </c>
      <c r="E261" s="2" t="s">
        <v>46</v>
      </c>
      <c r="F261" s="2">
        <v>0</v>
      </c>
      <c r="K261" s="2" t="s">
        <v>42</v>
      </c>
    </row>
    <row r="262" spans="1:11" x14ac:dyDescent="0.25">
      <c r="A262" s="12" t="str">
        <f t="shared" si="2"/>
        <v>dc_t1ltf_j_vax</v>
      </c>
      <c r="B262" s="13" t="str">
        <f t="shared" si="3"/>
        <v>Junction: treatment 1 follow-up for decompensated cirrhosis (vaccinated)</v>
      </c>
      <c r="C262" s="2" t="s">
        <v>47</v>
      </c>
      <c r="D262" s="2" t="s">
        <v>47</v>
      </c>
      <c r="E262" s="2" t="s">
        <v>46</v>
      </c>
      <c r="F262" s="2">
        <v>0</v>
      </c>
      <c r="K262" s="2" t="s">
        <v>42</v>
      </c>
    </row>
    <row r="263" spans="1:11" x14ac:dyDescent="0.25">
      <c r="A263" s="8" t="str">
        <f t="shared" si="2"/>
        <v>dc_ft1_vax</v>
      </c>
      <c r="B263" s="9" t="str">
        <f t="shared" si="3"/>
        <v>Decompensated Cirrhosis: chronic, failed treatment 1 (vaccinated)</v>
      </c>
      <c r="C263" s="2" t="s">
        <v>47</v>
      </c>
      <c r="D263" s="2" t="s">
        <v>47</v>
      </c>
      <c r="E263" s="2" t="s">
        <v>47</v>
      </c>
      <c r="F263" s="2">
        <v>0</v>
      </c>
      <c r="K263" s="2" t="s">
        <v>42</v>
      </c>
    </row>
    <row r="264" spans="1:11" x14ac:dyDescent="0.25">
      <c r="A264" s="8" t="str">
        <f t="shared" si="2"/>
        <v>dc_ft1_ltfu_vax</v>
      </c>
      <c r="B264" s="9" t="str">
        <f t="shared" si="3"/>
        <v>Decompensated Cirrhosis: chronic, failed treatment 1, lost to follow-up (vaccinated)</v>
      </c>
      <c r="C264" s="2" t="s">
        <v>47</v>
      </c>
      <c r="D264" s="2" t="s">
        <v>47</v>
      </c>
      <c r="E264" s="2" t="s">
        <v>47</v>
      </c>
      <c r="F264" s="2">
        <v>0</v>
      </c>
      <c r="K264" s="2" t="s">
        <v>42</v>
      </c>
    </row>
    <row r="265" spans="1:11" x14ac:dyDescent="0.25">
      <c r="A265" s="8" t="str">
        <f t="shared" si="2"/>
        <v>sdc_vax</v>
      </c>
      <c r="B265" s="9" t="str">
        <f t="shared" si="3"/>
        <v>Decompensated Cirrhosis: susceptible with antibodies (aware and treated) (vaccinated)</v>
      </c>
      <c r="C265" s="2" t="s">
        <v>47</v>
      </c>
      <c r="D265" s="2" t="s">
        <v>47</v>
      </c>
      <c r="E265" s="2" t="s">
        <v>47</v>
      </c>
      <c r="F265" s="2">
        <v>0</v>
      </c>
      <c r="K265" s="2" t="s">
        <v>42</v>
      </c>
    </row>
    <row r="266" spans="1:11" x14ac:dyDescent="0.25">
      <c r="A266" s="8" t="str">
        <f t="shared" si="2"/>
        <v>dc_acute_vax</v>
      </c>
      <c r="B266" s="9" t="str">
        <f t="shared" si="3"/>
        <v>Decompensated Cirrhosis: acute (re-infection) (vaccinated)</v>
      </c>
      <c r="C266" s="2" t="s">
        <v>47</v>
      </c>
      <c r="D266" s="2" t="s">
        <v>47</v>
      </c>
      <c r="E266" s="2" t="s">
        <v>47</v>
      </c>
      <c r="F266" s="2">
        <v>0</v>
      </c>
      <c r="K266" s="2" t="s">
        <v>42</v>
      </c>
    </row>
    <row r="267" spans="1:11" x14ac:dyDescent="0.25">
      <c r="A267" s="12" t="str">
        <f t="shared" si="2"/>
        <v>dc_clear_j_vax</v>
      </c>
      <c r="B267" s="13" t="str">
        <f t="shared" si="3"/>
        <v>Junction: decompensated cirrhosis achieving spontaneous viral clearance (vaccinated)</v>
      </c>
      <c r="C267" s="2" t="s">
        <v>47</v>
      </c>
      <c r="D267" s="2" t="s">
        <v>47</v>
      </c>
      <c r="E267" s="2" t="s">
        <v>46</v>
      </c>
      <c r="F267" s="2">
        <v>0</v>
      </c>
      <c r="K267" s="2" t="s">
        <v>42</v>
      </c>
    </row>
    <row r="268" spans="1:11" x14ac:dyDescent="0.25">
      <c r="A268" s="8" t="str">
        <f t="shared" si="2"/>
        <v>dc_t2_vax</v>
      </c>
      <c r="B268" s="9" t="str">
        <f t="shared" si="3"/>
        <v>Decompensated Cirrhosis: chronic, on treatment 2 (vaccinated)</v>
      </c>
      <c r="C268" s="2" t="s">
        <v>47</v>
      </c>
      <c r="D268" s="2" t="s">
        <v>47</v>
      </c>
      <c r="E268" s="2" t="s">
        <v>47</v>
      </c>
      <c r="F268" s="2">
        <v>0</v>
      </c>
      <c r="K268" s="2" t="s">
        <v>42</v>
      </c>
    </row>
    <row r="269" spans="1:11" x14ac:dyDescent="0.25">
      <c r="A269" s="12" t="str">
        <f t="shared" si="2"/>
        <v>dc_t2_j_vax</v>
      </c>
      <c r="B269" s="13" t="str">
        <f t="shared" si="3"/>
        <v>Junction: treatment 2 outcome for decompensated cirrhosis (vaccinated)</v>
      </c>
      <c r="C269" s="2" t="s">
        <v>47</v>
      </c>
      <c r="D269" s="2" t="s">
        <v>47</v>
      </c>
      <c r="E269" s="2" t="s">
        <v>46</v>
      </c>
      <c r="F269" s="2">
        <v>0</v>
      </c>
      <c r="K269" s="2" t="s">
        <v>42</v>
      </c>
    </row>
    <row r="270" spans="1:11" x14ac:dyDescent="0.25">
      <c r="A270" s="8" t="str">
        <f t="shared" si="2"/>
        <v>dc_ft2_vax</v>
      </c>
      <c r="B270" s="9" t="str">
        <f t="shared" si="3"/>
        <v>Decompensated Cirrhosis: chronic, failed treatment 2 (vaccinated)</v>
      </c>
      <c r="C270" s="2" t="s">
        <v>47</v>
      </c>
      <c r="D270" s="2" t="s">
        <v>47</v>
      </c>
      <c r="E270" s="2" t="s">
        <v>47</v>
      </c>
      <c r="F270" s="2">
        <v>0</v>
      </c>
      <c r="K270" s="2" t="s">
        <v>42</v>
      </c>
    </row>
    <row r="271" spans="1:11" x14ac:dyDescent="0.25">
      <c r="A271" s="8" t="str">
        <f t="shared" si="2"/>
        <v>dc_lt1_vax</v>
      </c>
      <c r="B271" s="9" t="str">
        <f t="shared" si="3"/>
        <v>Decompensated Cirrhosis: liver transplant 1 year ago (vaccinated)</v>
      </c>
      <c r="C271" s="2" t="s">
        <v>47</v>
      </c>
      <c r="D271" s="2" t="s">
        <v>47</v>
      </c>
      <c r="E271" s="2" t="s">
        <v>47</v>
      </c>
      <c r="F271" s="2">
        <v>0</v>
      </c>
      <c r="K271" s="2" t="s">
        <v>42</v>
      </c>
    </row>
    <row r="272" spans="1:11" x14ac:dyDescent="0.25">
      <c r="A272" s="14" t="str">
        <f t="shared" si="2"/>
        <v>dc_lt2_vax</v>
      </c>
      <c r="B272" s="15" t="str">
        <f t="shared" si="3"/>
        <v>Decompensated Cirrhosis: liver transplant 2+ years ago (vaccinated)</v>
      </c>
      <c r="C272" s="2" t="s">
        <v>47</v>
      </c>
      <c r="D272" s="2" t="s">
        <v>47</v>
      </c>
      <c r="E272" s="2" t="s">
        <v>47</v>
      </c>
      <c r="F272" s="2">
        <v>0</v>
      </c>
      <c r="K272" s="2" t="s">
        <v>42</v>
      </c>
    </row>
    <row r="273" spans="1:11" x14ac:dyDescent="0.25">
      <c r="A273" s="8" t="str">
        <f t="shared" si="2"/>
        <v>hcc_ab_ud_vax</v>
      </c>
      <c r="B273" s="9" t="str">
        <f t="shared" si="3"/>
        <v>Hepatocellular Carcinoma: chronic, undiagnosed antibodies positive (vaccinated)</v>
      </c>
      <c r="C273" s="2" t="s">
        <v>47</v>
      </c>
      <c r="D273" s="2" t="s">
        <v>47</v>
      </c>
      <c r="E273" s="2" t="s">
        <v>47</v>
      </c>
      <c r="F273" s="2">
        <v>0</v>
      </c>
      <c r="K273" s="2" t="s">
        <v>42</v>
      </c>
    </row>
    <row r="274" spans="1:11" x14ac:dyDescent="0.25">
      <c r="A274" s="8" t="str">
        <f t="shared" si="2"/>
        <v>hcc_ud_ltc_vax</v>
      </c>
      <c r="B274" s="9" t="str">
        <f t="shared" si="3"/>
        <v>Hepatocellular Carcinoma: chronic, undiagnosed, lost to care (vaccinated)</v>
      </c>
      <c r="C274" s="2" t="s">
        <v>47</v>
      </c>
      <c r="D274" s="2" t="s">
        <v>47</v>
      </c>
      <c r="E274" s="2" t="s">
        <v>47</v>
      </c>
      <c r="F274" s="2">
        <v>0</v>
      </c>
      <c r="K274" s="2" t="s">
        <v>42</v>
      </c>
    </row>
    <row r="275" spans="1:11" x14ac:dyDescent="0.25">
      <c r="A275" s="8" t="str">
        <f t="shared" si="2"/>
        <v>hcc_ab_d_vax</v>
      </c>
      <c r="B275" s="9" t="str">
        <f t="shared" si="3"/>
        <v>Hepatocellular Carcinoma: chronic, diagnosed antibodies positive (vaccinated)</v>
      </c>
      <c r="C275" s="2" t="s">
        <v>47</v>
      </c>
      <c r="D275" s="2" t="s">
        <v>47</v>
      </c>
      <c r="E275" s="2" t="s">
        <v>47</v>
      </c>
      <c r="F275" s="2">
        <v>0</v>
      </c>
      <c r="K275" s="2" t="s">
        <v>42</v>
      </c>
    </row>
    <row r="276" spans="1:11" x14ac:dyDescent="0.25">
      <c r="A276" s="12" t="str">
        <f t="shared" si="2"/>
        <v>hcc_ab_ltfu_j_vax</v>
      </c>
      <c r="B276" s="13" t="str">
        <f t="shared" si="3"/>
        <v>Junction: lost to follow-up after antibody diagnosis for hepatocellular carcinoma (vaccinated)</v>
      </c>
      <c r="C276" s="2" t="s">
        <v>47</v>
      </c>
      <c r="D276" s="2" t="s">
        <v>47</v>
      </c>
      <c r="E276" s="2" t="s">
        <v>46</v>
      </c>
      <c r="F276" s="2">
        <v>0</v>
      </c>
      <c r="K276" s="2" t="s">
        <v>42</v>
      </c>
    </row>
    <row r="277" spans="1:11" x14ac:dyDescent="0.25">
      <c r="A277" s="8" t="str">
        <f t="shared" si="2"/>
        <v>hcc_ab_ltfu_vax</v>
      </c>
      <c r="B277" s="9" t="str">
        <f t="shared" si="3"/>
        <v>Hepatocellular Carcinoma: chronic, diagnosed antibodies positive, lost to follow-up (vaccinated)</v>
      </c>
      <c r="C277" s="2" t="s">
        <v>47</v>
      </c>
      <c r="D277" s="2" t="s">
        <v>47</v>
      </c>
      <c r="E277" s="2" t="s">
        <v>47</v>
      </c>
      <c r="F277" s="2">
        <v>0</v>
      </c>
      <c r="K277" s="2" t="s">
        <v>42</v>
      </c>
    </row>
    <row r="278" spans="1:11" x14ac:dyDescent="0.25">
      <c r="A278" s="8" t="str">
        <f t="shared" ref="A278:A293" si="4">A133&amp;"_vax"</f>
        <v>hcc_pcr_d_vax</v>
      </c>
      <c r="B278" s="9" t="str">
        <f t="shared" ref="B278:B293" si="5">B133&amp;" (vaccinated)"</f>
        <v>Hepatocellular Carcinoma: chronic, diagnosed positive-strand RNA (PCR test) (vaccinated)</v>
      </c>
      <c r="C278" s="2" t="s">
        <v>47</v>
      </c>
      <c r="D278" s="2" t="s">
        <v>47</v>
      </c>
      <c r="E278" s="2" t="s">
        <v>47</v>
      </c>
      <c r="F278" s="2">
        <v>0</v>
      </c>
      <c r="K278" s="2" t="s">
        <v>42</v>
      </c>
    </row>
    <row r="279" spans="1:11" x14ac:dyDescent="0.25">
      <c r="A279" s="12" t="str">
        <f t="shared" si="4"/>
        <v>hcc_pcr_ltfu_j_vax</v>
      </c>
      <c r="B279" s="13" t="str">
        <f t="shared" si="5"/>
        <v>Junction: lost to follow-up after RNA diagnosis for hepatocellular carcinoma (vaccinated)</v>
      </c>
      <c r="C279" s="2" t="s">
        <v>47</v>
      </c>
      <c r="D279" s="2" t="s">
        <v>47</v>
      </c>
      <c r="E279" s="2" t="s">
        <v>46</v>
      </c>
      <c r="F279" s="2">
        <v>0</v>
      </c>
      <c r="K279" s="2" t="s">
        <v>42</v>
      </c>
    </row>
    <row r="280" spans="1:11" x14ac:dyDescent="0.25">
      <c r="A280" s="8" t="str">
        <f t="shared" si="4"/>
        <v>hcc_pcr_ltfu_vax</v>
      </c>
      <c r="B280" s="9" t="str">
        <f t="shared" si="5"/>
        <v>Hepatocellular Carcinoma: chronic, diagnosed positive-strand RNA, lost to follow-up (vaccinated)</v>
      </c>
      <c r="C280" s="2" t="s">
        <v>47</v>
      </c>
      <c r="D280" s="2" t="s">
        <v>47</v>
      </c>
      <c r="E280" s="2" t="s">
        <v>47</v>
      </c>
      <c r="F280" s="2">
        <v>0</v>
      </c>
      <c r="K280" s="2" t="s">
        <v>42</v>
      </c>
    </row>
    <row r="281" spans="1:11" x14ac:dyDescent="0.25">
      <c r="A281" s="8" t="str">
        <f t="shared" si="4"/>
        <v>hcc_t1_vax</v>
      </c>
      <c r="B281" s="9" t="str">
        <f t="shared" si="5"/>
        <v>Hepatocellular Carcinoma: chronic, on treatment 1 (vaccinated)</v>
      </c>
      <c r="C281" s="2" t="s">
        <v>47</v>
      </c>
      <c r="D281" s="2" t="s">
        <v>47</v>
      </c>
      <c r="E281" s="2" t="s">
        <v>47</v>
      </c>
      <c r="F281" s="2">
        <v>0</v>
      </c>
      <c r="K281" s="2" t="s">
        <v>42</v>
      </c>
    </row>
    <row r="282" spans="1:11" x14ac:dyDescent="0.25">
      <c r="A282" s="12" t="str">
        <f t="shared" si="4"/>
        <v>hcc_t1_j_vax</v>
      </c>
      <c r="B282" s="13" t="str">
        <f t="shared" si="5"/>
        <v>Junction: treatment 1 outcome for hepatocellular carcinoma (vaccinated)</v>
      </c>
      <c r="C282" s="2" t="s">
        <v>47</v>
      </c>
      <c r="D282" s="2" t="s">
        <v>47</v>
      </c>
      <c r="E282" s="2" t="s">
        <v>46</v>
      </c>
      <c r="F282" s="2">
        <v>0</v>
      </c>
      <c r="K282" s="2" t="s">
        <v>42</v>
      </c>
    </row>
    <row r="283" spans="1:11" x14ac:dyDescent="0.25">
      <c r="A283" s="12" t="str">
        <f t="shared" si="4"/>
        <v>hcc_t1ltf_j_vax</v>
      </c>
      <c r="B283" s="13" t="str">
        <f t="shared" si="5"/>
        <v>Junction: treatment 1 follow-up for hepatocellular carcinoma (vaccinated)</v>
      </c>
      <c r="C283" s="2" t="s">
        <v>47</v>
      </c>
      <c r="D283" s="2" t="s">
        <v>47</v>
      </c>
      <c r="E283" s="2" t="s">
        <v>46</v>
      </c>
      <c r="F283" s="2">
        <v>0</v>
      </c>
      <c r="K283" s="2" t="s">
        <v>42</v>
      </c>
    </row>
    <row r="284" spans="1:11" x14ac:dyDescent="0.25">
      <c r="A284" s="8" t="str">
        <f t="shared" si="4"/>
        <v>hcc_ft1_vax</v>
      </c>
      <c r="B284" s="9" t="str">
        <f t="shared" si="5"/>
        <v>Hepatocellular Carcinoma: chronic, failed treatment 1 (vaccinated)</v>
      </c>
      <c r="C284" s="2" t="s">
        <v>47</v>
      </c>
      <c r="D284" s="2" t="s">
        <v>47</v>
      </c>
      <c r="E284" s="2" t="s">
        <v>47</v>
      </c>
      <c r="F284" s="2">
        <v>0</v>
      </c>
      <c r="K284" s="2" t="s">
        <v>42</v>
      </c>
    </row>
    <row r="285" spans="1:11" x14ac:dyDescent="0.25">
      <c r="A285" s="8" t="str">
        <f t="shared" si="4"/>
        <v>hcc_ft1_ltfu_vax</v>
      </c>
      <c r="B285" s="9" t="str">
        <f t="shared" si="5"/>
        <v>Hepatocellular Carcinoma: chronic, failed treatment 1, lost to follow-up (vaccinated)</v>
      </c>
      <c r="C285" s="2" t="s">
        <v>47</v>
      </c>
      <c r="D285" s="2" t="s">
        <v>47</v>
      </c>
      <c r="E285" s="2" t="s">
        <v>47</v>
      </c>
      <c r="F285" s="2">
        <v>0</v>
      </c>
      <c r="K285" s="2" t="s">
        <v>42</v>
      </c>
    </row>
    <row r="286" spans="1:11" x14ac:dyDescent="0.25">
      <c r="A286" s="8" t="str">
        <f t="shared" si="4"/>
        <v>shcc_vax</v>
      </c>
      <c r="B286" s="9" t="str">
        <f t="shared" si="5"/>
        <v>Hepatocellular Carcinoma: susceptible with antibodies (aware and treated) (vaccinated)</v>
      </c>
      <c r="C286" s="2" t="s">
        <v>47</v>
      </c>
      <c r="D286" s="2" t="s">
        <v>47</v>
      </c>
      <c r="E286" s="2" t="s">
        <v>47</v>
      </c>
      <c r="F286" s="2">
        <v>0</v>
      </c>
      <c r="K286" s="2" t="s">
        <v>42</v>
      </c>
    </row>
    <row r="287" spans="1:11" x14ac:dyDescent="0.25">
      <c r="A287" s="8" t="str">
        <f t="shared" si="4"/>
        <v>hcc_acute_vax</v>
      </c>
      <c r="B287" s="9" t="str">
        <f t="shared" si="5"/>
        <v>Hepatocellular Carcinoma: acute (re-infection) (vaccinated)</v>
      </c>
      <c r="C287" s="2" t="s">
        <v>47</v>
      </c>
      <c r="D287" s="2" t="s">
        <v>47</v>
      </c>
      <c r="E287" s="2" t="s">
        <v>47</v>
      </c>
      <c r="F287" s="2">
        <v>0</v>
      </c>
      <c r="K287" s="2" t="s">
        <v>42</v>
      </c>
    </row>
    <row r="288" spans="1:11" x14ac:dyDescent="0.25">
      <c r="A288" s="12" t="str">
        <f t="shared" si="4"/>
        <v>hcc_clear_j_vax</v>
      </c>
      <c r="B288" s="13" t="str">
        <f t="shared" si="5"/>
        <v>Junction: hepatocellular carcinoma achieving spontaneous viral clearance (vaccinated)</v>
      </c>
      <c r="C288" s="2" t="s">
        <v>47</v>
      </c>
      <c r="D288" s="2" t="s">
        <v>47</v>
      </c>
      <c r="E288" s="2" t="s">
        <v>46</v>
      </c>
      <c r="F288" s="2">
        <v>0</v>
      </c>
      <c r="K288" s="2" t="s">
        <v>42</v>
      </c>
    </row>
    <row r="289" spans="1:11" x14ac:dyDescent="0.25">
      <c r="A289" s="8" t="str">
        <f t="shared" si="4"/>
        <v>hcc_t2_vax</v>
      </c>
      <c r="B289" s="9" t="str">
        <f t="shared" si="5"/>
        <v>Hepatocellular Carcinoma: chronic, on treatment 2 (vaccinated)</v>
      </c>
      <c r="C289" s="2" t="s">
        <v>47</v>
      </c>
      <c r="D289" s="2" t="s">
        <v>47</v>
      </c>
      <c r="E289" s="2" t="s">
        <v>47</v>
      </c>
      <c r="F289" s="2">
        <v>0</v>
      </c>
      <c r="K289" s="2" t="s">
        <v>42</v>
      </c>
    </row>
    <row r="290" spans="1:11" x14ac:dyDescent="0.25">
      <c r="A290" s="12" t="str">
        <f t="shared" si="4"/>
        <v>hcc_t2_j_vax</v>
      </c>
      <c r="B290" s="13" t="str">
        <f t="shared" si="5"/>
        <v>Junction: treatment 2 outcome for hepatocellular carcinoma (vaccinated)</v>
      </c>
      <c r="C290" s="2" t="s">
        <v>47</v>
      </c>
      <c r="D290" s="2" t="s">
        <v>47</v>
      </c>
      <c r="E290" s="2" t="s">
        <v>46</v>
      </c>
      <c r="F290" s="2">
        <v>0</v>
      </c>
      <c r="K290" s="2" t="s">
        <v>42</v>
      </c>
    </row>
    <row r="291" spans="1:11" x14ac:dyDescent="0.25">
      <c r="A291" s="8" t="str">
        <f t="shared" si="4"/>
        <v>hcc_ft2_vax</v>
      </c>
      <c r="B291" s="9" t="str">
        <f t="shared" si="5"/>
        <v>Hepatocellular Carcinoma: chronic, failed treatment 2 (vaccinated)</v>
      </c>
      <c r="C291" s="2" t="s">
        <v>47</v>
      </c>
      <c r="D291" s="2" t="s">
        <v>47</v>
      </c>
      <c r="E291" s="2" t="s">
        <v>47</v>
      </c>
      <c r="F291" s="2">
        <v>0</v>
      </c>
      <c r="K291" s="2" t="s">
        <v>42</v>
      </c>
    </row>
    <row r="292" spans="1:11" x14ac:dyDescent="0.25">
      <c r="A292" s="8" t="str">
        <f t="shared" si="4"/>
        <v>hcc_lt1_vax</v>
      </c>
      <c r="B292" s="9" t="str">
        <f t="shared" si="5"/>
        <v>Hepatocellular Carcinoma: liver transplant 1 year ago (vaccinated)</v>
      </c>
      <c r="C292" s="2" t="s">
        <v>47</v>
      </c>
      <c r="D292" s="2" t="s">
        <v>47</v>
      </c>
      <c r="E292" s="2" t="s">
        <v>47</v>
      </c>
      <c r="F292" s="2">
        <v>0</v>
      </c>
      <c r="K292" s="2" t="s">
        <v>42</v>
      </c>
    </row>
    <row r="293" spans="1:11" x14ac:dyDescent="0.25">
      <c r="A293" s="14" t="str">
        <f t="shared" si="4"/>
        <v>hcc_lt2_vax</v>
      </c>
      <c r="B293" s="15" t="str">
        <f t="shared" si="5"/>
        <v>Hepatocellular Carcinoma: liver transplant 2+ years ago (vaccinated)</v>
      </c>
      <c r="C293" s="2" t="s">
        <v>47</v>
      </c>
      <c r="D293" s="2" t="s">
        <v>47</v>
      </c>
      <c r="E293" s="2" t="s">
        <v>47</v>
      </c>
      <c r="F293" s="2">
        <v>0</v>
      </c>
      <c r="K293" s="2" t="s">
        <v>42</v>
      </c>
    </row>
    <row r="294" spans="1:11" x14ac:dyDescent="0.25">
      <c r="A294" s="88" t="s">
        <v>340</v>
      </c>
      <c r="B294" s="88" t="s">
        <v>341</v>
      </c>
      <c r="C294" s="2" t="s">
        <v>47</v>
      </c>
      <c r="D294" s="2" t="s">
        <v>46</v>
      </c>
      <c r="E294" s="2" t="s">
        <v>47</v>
      </c>
      <c r="F294" s="2">
        <v>0</v>
      </c>
      <c r="K294" s="2" t="s">
        <v>42</v>
      </c>
    </row>
    <row r="295" spans="1:11" x14ac:dyDescent="0.25">
      <c r="A295" s="88" t="s">
        <v>1184</v>
      </c>
      <c r="B295" s="88" t="s">
        <v>1185</v>
      </c>
      <c r="C295" s="2" t="s">
        <v>47</v>
      </c>
      <c r="D295" s="2" t="s">
        <v>46</v>
      </c>
      <c r="E295" s="2" t="s">
        <v>47</v>
      </c>
      <c r="F295" s="2">
        <v>0</v>
      </c>
      <c r="K295" s="2" t="s">
        <v>42</v>
      </c>
    </row>
    <row r="296" spans="1:11" x14ac:dyDescent="0.25">
      <c r="A296" s="88" t="s">
        <v>342</v>
      </c>
      <c r="B296" s="88" t="s">
        <v>343</v>
      </c>
      <c r="C296" s="2" t="s">
        <v>47</v>
      </c>
      <c r="D296" s="2" t="s">
        <v>46</v>
      </c>
      <c r="E296" s="2" t="s">
        <v>47</v>
      </c>
      <c r="F296" s="2">
        <v>0</v>
      </c>
      <c r="K296" s="2" t="s">
        <v>42</v>
      </c>
    </row>
    <row r="297" spans="1:11" x14ac:dyDescent="0.25">
      <c r="A297" s="88" t="s">
        <v>344</v>
      </c>
      <c r="B297" s="88" t="s">
        <v>345</v>
      </c>
      <c r="C297" s="2" t="s">
        <v>47</v>
      </c>
      <c r="D297" s="2" t="s">
        <v>46</v>
      </c>
      <c r="E297" s="2" t="s">
        <v>47</v>
      </c>
      <c r="F297" s="2">
        <v>0</v>
      </c>
      <c r="K297" s="2" t="s">
        <v>42</v>
      </c>
    </row>
    <row r="298" spans="1:11" x14ac:dyDescent="0.25">
      <c r="A298" s="88" t="s">
        <v>346</v>
      </c>
      <c r="B298" s="88" t="s">
        <v>347</v>
      </c>
      <c r="C298" s="2" t="s">
        <v>47</v>
      </c>
      <c r="D298" s="2" t="s">
        <v>46</v>
      </c>
      <c r="E298" s="2" t="s">
        <v>47</v>
      </c>
      <c r="F298" s="2">
        <v>0</v>
      </c>
      <c r="K298" s="2" t="s">
        <v>42</v>
      </c>
    </row>
    <row r="299" spans="1:11" x14ac:dyDescent="0.25">
      <c r="A299" s="88" t="s">
        <v>348</v>
      </c>
      <c r="B299" s="88" t="s">
        <v>349</v>
      </c>
      <c r="C299" s="2" t="s">
        <v>47</v>
      </c>
      <c r="D299" s="2" t="s">
        <v>46</v>
      </c>
      <c r="E299" s="2" t="s">
        <v>47</v>
      </c>
      <c r="F299" s="2">
        <v>0</v>
      </c>
      <c r="K299" s="2" t="s">
        <v>42</v>
      </c>
    </row>
    <row r="300" spans="1:11" x14ac:dyDescent="0.25">
      <c r="A300" s="87" t="s">
        <v>1244</v>
      </c>
      <c r="B300" s="88" t="s">
        <v>1245</v>
      </c>
      <c r="C300" s="2" t="s">
        <v>47</v>
      </c>
      <c r="D300" s="2" t="s">
        <v>46</v>
      </c>
      <c r="E300" s="2" t="s">
        <v>47</v>
      </c>
      <c r="F300" s="2">
        <v>0</v>
      </c>
      <c r="G300" s="2"/>
      <c r="H300" s="2"/>
      <c r="J300" s="2"/>
      <c r="K300" s="2" t="s">
        <v>42</v>
      </c>
    </row>
  </sheetData>
  <sheetProtection formatCells="0" formatColumns="0" formatRows="0" insertColumns="0" insertRows="0" insertHyperlinks="0" deleteColumns="0" deleteRows="0" sort="0" autoFilter="0" pivotTables="0"/>
  <conditionalFormatting sqref="A294:B299">
    <cfRule type="expression" dxfId="17" priority="3">
      <formula>AND(XFD294&lt;&gt;"",NOT(A294&lt;&gt;""))</formula>
    </cfRule>
  </conditionalFormatting>
  <conditionalFormatting sqref="B1 B301:B1048576">
    <cfRule type="expression" dxfId="16" priority="3255">
      <formula>AND(A1&lt;&gt;"",NOT(B1&lt;&gt;""))</formula>
    </cfRule>
  </conditionalFormatting>
  <conditionalFormatting sqref="B2:B293">
    <cfRule type="expression" dxfId="15" priority="5">
      <formula>AND(A2&lt;&gt;"",NOT(B2&lt;&gt;""))</formula>
    </cfRule>
  </conditionalFormatting>
  <conditionalFormatting sqref="B140:B141">
    <cfRule type="expression" dxfId="14" priority="1624">
      <formula>AND(#REF!&lt;&gt;"",NOT(B140&lt;&gt;""))</formula>
    </cfRule>
  </conditionalFormatting>
  <conditionalFormatting sqref="B141:B142">
    <cfRule type="expression" dxfId="13" priority="1625">
      <formula>AND(A143&lt;&gt;"",NOT(B141&lt;&gt;""))</formula>
    </cfRule>
  </conditionalFormatting>
  <conditionalFormatting sqref="B143:B148 B288:B293">
    <cfRule type="expression" dxfId="12" priority="3235">
      <formula>AND(A144&lt;&gt;"",NOT(B143&lt;&gt;""))</formula>
    </cfRule>
  </conditionalFormatting>
  <conditionalFormatting sqref="B285:B286">
    <cfRule type="expression" dxfId="11" priority="1">
      <formula>AND(#REF!&lt;&gt;"",NOT(B285&lt;&gt;""))</formula>
    </cfRule>
  </conditionalFormatting>
  <conditionalFormatting sqref="B286:B287">
    <cfRule type="expression" dxfId="10" priority="2">
      <formula>AND(A288&lt;&gt;"",NOT(B286&lt;&gt;""))</formula>
    </cfRule>
  </conditionalFormatting>
  <conditionalFormatting sqref="B300">
    <cfRule type="expression" dxfId="9" priority="4">
      <formula>AND(A300&lt;&gt;"",NOT(B300&lt;&gt;""))</formula>
    </cfRule>
  </conditionalFormatting>
  <conditionalFormatting sqref="H2 H4:H299 H301:H1048576">
    <cfRule type="expression" dxfId="7" priority="3253">
      <formula>AND(I2&lt;&gt;"",NOT(H2&lt;&gt;""))</formula>
    </cfRule>
  </conditionalFormatting>
  <dataValidations count="1">
    <dataValidation type="list" allowBlank="1" showInputMessage="1" showErrorMessage="1" sqref="C1:E1048576" xr:uid="{EFA3D3D9-56A8-43F0-A737-1EDBC3038312}">
      <formula1>"n,y"</formula1>
    </dataValidation>
  </dataValidations>
  <pageMargins left="0.7" right="0.7" top="0.75" bottom="0.75" header="0.3" footer="0.3"/>
  <pageSetup paperSize="0" orientation="portrait" r:id="rId1"/>
  <legacyDrawing r:id="rId2"/>
  <extLst>
    <ext xmlns:x14="http://schemas.microsoft.com/office/spreadsheetml/2009/9/main" uri="{78C0D931-6437-407d-A8EE-F0AAD7539E65}">
      <x14:conditionalFormattings>
        <x14:conditionalFormatting xmlns:xm="http://schemas.microsoft.com/office/excel/2006/main">
          <x14:cfRule type="expression" priority="3252" id="{0238372B-F012-4B98-A58B-305EDC0BD903}">
            <xm:f>AND(H2&lt;&gt;"",ISERROR(MATCH(H2,'Databook Pages'!$A:$A,0)))</xm:f>
            <x14:dxf>
              <fill>
                <patternFill>
                  <bgColor rgb="FFFF0000"/>
                </patternFill>
              </fill>
            </x14:dxf>
          </x14:cfRule>
          <xm:sqref>H2 H4:H299 H301:H1048576</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CA76BCBF-510E-44FC-AA8B-F65C1FAD9B61}">
          <x14:formula1>
            <xm:f>'Population types'!$A$2:$A$9999</xm:f>
          </x14:formula1>
          <xm:sqref>K1:K2 K301:K1048576 K4:K299</xm:sqref>
        </x14:dataValidation>
        <x14:dataValidation type="list" allowBlank="1" showInputMessage="1" showErrorMessage="1" xr:uid="{C2776057-0350-4E7C-BAC5-318FB06D10B4}">
          <x14:formula1>
            <xm:f>'Databook Pages'!$A$2:$A$9999</xm:f>
          </x14:formula1>
          <xm:sqref>H2 H301:H1048576 H4:H299</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5" tint="0.79998168889431442"/>
  </sheetPr>
  <dimension ref="A1:P206"/>
  <sheetViews>
    <sheetView tabSelected="1" zoomScale="70" zoomScaleNormal="70" workbookViewId="0">
      <pane ySplit="1" topLeftCell="A2" activePane="bottomLeft" state="frozen"/>
      <selection pane="bottomLeft" activeCell="D13" sqref="D13"/>
    </sheetView>
  </sheetViews>
  <sheetFormatPr defaultColWidth="8.85546875" defaultRowHeight="15" x14ac:dyDescent="0.25"/>
  <cols>
    <col min="1" max="1" width="28.42578125" style="4" bestFit="1" customWidth="1"/>
    <col min="2" max="2" width="96.42578125" bestFit="1" customWidth="1"/>
    <col min="3" max="3" width="12" bestFit="1" customWidth="1"/>
    <col min="4" max="4" width="9.85546875" bestFit="1" customWidth="1"/>
    <col min="5" max="7" width="14.7109375" customWidth="1"/>
    <col min="8" max="8" width="90.42578125" style="2" customWidth="1"/>
    <col min="9" max="9" width="10.7109375" style="2" customWidth="1"/>
    <col min="10" max="10" width="14.7109375" style="2" customWidth="1"/>
    <col min="11" max="11" width="14.7109375" customWidth="1"/>
    <col min="12" max="12" width="15.7109375" customWidth="1"/>
    <col min="13" max="13" width="8.85546875" customWidth="1"/>
    <col min="14" max="14" width="14.7109375" customWidth="1"/>
    <col min="15" max="15" width="10.7109375" style="2" customWidth="1"/>
    <col min="16" max="16" width="11.85546875" style="2" bestFit="1" customWidth="1"/>
  </cols>
  <sheetData>
    <row r="1" spans="1:16" s="2" customFormat="1" x14ac:dyDescent="0.25">
      <c r="A1" s="1" t="s">
        <v>2</v>
      </c>
      <c r="B1" s="1" t="s">
        <v>3</v>
      </c>
      <c r="C1" s="1" t="s">
        <v>13</v>
      </c>
      <c r="D1" s="1" t="s">
        <v>23</v>
      </c>
      <c r="E1" s="1" t="s">
        <v>7</v>
      </c>
      <c r="F1" s="1" t="s">
        <v>14</v>
      </c>
      <c r="G1" s="1" t="s">
        <v>15</v>
      </c>
      <c r="H1" s="1" t="s">
        <v>16</v>
      </c>
      <c r="I1" s="1" t="s">
        <v>21</v>
      </c>
      <c r="J1" s="1" t="s">
        <v>20</v>
      </c>
      <c r="K1" s="1" t="s">
        <v>9</v>
      </c>
      <c r="L1" s="1" t="s">
        <v>10</v>
      </c>
      <c r="M1" s="1" t="s">
        <v>22</v>
      </c>
      <c r="N1" s="1" t="s">
        <v>25</v>
      </c>
      <c r="O1" s="1" t="s">
        <v>28</v>
      </c>
      <c r="P1" s="1" t="s">
        <v>29</v>
      </c>
    </row>
    <row r="2" spans="1:16" x14ac:dyDescent="0.25">
      <c r="A2" s="28" t="s">
        <v>1249</v>
      </c>
      <c r="B2" s="29" t="s">
        <v>1250</v>
      </c>
      <c r="C2" s="28" t="s">
        <v>425</v>
      </c>
      <c r="D2" s="31">
        <v>1</v>
      </c>
      <c r="E2" s="30"/>
      <c r="F2" s="30"/>
      <c r="G2" s="30"/>
      <c r="H2" s="30"/>
      <c r="I2" s="30"/>
      <c r="J2" s="30"/>
      <c r="K2" s="28" t="s">
        <v>32</v>
      </c>
      <c r="L2" s="30"/>
      <c r="M2" s="29"/>
      <c r="N2" s="28" t="s">
        <v>42</v>
      </c>
      <c r="O2" s="30"/>
      <c r="P2" s="30"/>
    </row>
    <row r="3" spans="1:16" x14ac:dyDescent="0.25">
      <c r="A3" s="41" t="s">
        <v>1238</v>
      </c>
      <c r="B3" s="42" t="s">
        <v>1239</v>
      </c>
      <c r="C3" s="41" t="s">
        <v>427</v>
      </c>
      <c r="D3" s="86">
        <v>1</v>
      </c>
      <c r="E3" s="43"/>
      <c r="F3" s="43"/>
      <c r="G3" s="43"/>
      <c r="H3" s="43"/>
      <c r="I3" s="43"/>
      <c r="J3" s="43"/>
      <c r="K3" s="41" t="s">
        <v>32</v>
      </c>
      <c r="L3" s="43"/>
      <c r="M3" s="42"/>
      <c r="N3" s="41" t="s">
        <v>42</v>
      </c>
      <c r="O3" s="43"/>
      <c r="P3" s="43"/>
    </row>
    <row r="4" spans="1:16" x14ac:dyDescent="0.25">
      <c r="A4" s="41" t="s">
        <v>1248</v>
      </c>
      <c r="B4" s="42" t="s">
        <v>1235</v>
      </c>
      <c r="C4" s="41" t="s">
        <v>425</v>
      </c>
      <c r="D4" s="86">
        <v>1</v>
      </c>
      <c r="E4" s="43"/>
      <c r="F4" s="43"/>
      <c r="G4" s="43"/>
      <c r="H4" s="43" t="s">
        <v>1240</v>
      </c>
      <c r="I4" s="43"/>
      <c r="J4" s="43"/>
      <c r="K4" s="41"/>
      <c r="L4" s="43"/>
      <c r="M4" s="42"/>
      <c r="N4" s="41" t="s">
        <v>42</v>
      </c>
      <c r="O4" s="43"/>
      <c r="P4" s="43"/>
    </row>
    <row r="5" spans="1:16" x14ac:dyDescent="0.25">
      <c r="A5" s="41" t="s">
        <v>1236</v>
      </c>
      <c r="B5" s="42" t="s">
        <v>1237</v>
      </c>
      <c r="C5" s="41" t="s">
        <v>427</v>
      </c>
      <c r="D5" s="86">
        <v>1</v>
      </c>
      <c r="E5" s="43"/>
      <c r="F5" s="43"/>
      <c r="G5" s="43"/>
      <c r="H5" s="43" t="s">
        <v>1241</v>
      </c>
      <c r="I5" s="43"/>
      <c r="J5" s="43"/>
      <c r="K5" s="41"/>
      <c r="L5" s="43"/>
      <c r="M5" s="42"/>
      <c r="N5" s="41" t="s">
        <v>42</v>
      </c>
      <c r="O5" s="43"/>
      <c r="P5" s="43"/>
    </row>
    <row r="6" spans="1:16" x14ac:dyDescent="0.25">
      <c r="A6" s="41" t="s">
        <v>351</v>
      </c>
      <c r="B6" s="42" t="s">
        <v>426</v>
      </c>
      <c r="C6" s="42" t="s">
        <v>427</v>
      </c>
      <c r="D6" s="42">
        <v>1</v>
      </c>
      <c r="E6" s="42"/>
      <c r="F6" s="42"/>
      <c r="G6" s="42"/>
      <c r="H6" s="43"/>
      <c r="I6" s="43"/>
      <c r="J6" s="43"/>
      <c r="K6" s="41" t="s">
        <v>32</v>
      </c>
      <c r="L6" s="42"/>
      <c r="M6" s="42"/>
      <c r="N6" s="42" t="s">
        <v>42</v>
      </c>
      <c r="O6" s="43"/>
      <c r="P6" s="43"/>
    </row>
    <row r="7" spans="1:16" x14ac:dyDescent="0.25">
      <c r="A7" s="41" t="s">
        <v>358</v>
      </c>
      <c r="B7" s="42" t="s">
        <v>429</v>
      </c>
      <c r="C7" s="42" t="s">
        <v>430</v>
      </c>
      <c r="D7" s="42"/>
      <c r="E7" s="42"/>
      <c r="F7" s="42">
        <v>0</v>
      </c>
      <c r="G7" s="42">
        <v>1</v>
      </c>
      <c r="H7" s="43"/>
      <c r="I7" s="43"/>
      <c r="J7" s="43"/>
      <c r="K7" s="41" t="s">
        <v>1028</v>
      </c>
      <c r="L7" s="42"/>
      <c r="M7" s="42" t="s">
        <v>431</v>
      </c>
      <c r="N7" s="42" t="s">
        <v>42</v>
      </c>
      <c r="O7" s="43"/>
      <c r="P7" s="43"/>
    </row>
    <row r="8" spans="1:16" x14ac:dyDescent="0.25">
      <c r="A8" s="32" t="s">
        <v>357</v>
      </c>
      <c r="B8" s="33" t="s">
        <v>432</v>
      </c>
      <c r="C8" s="33" t="s">
        <v>430</v>
      </c>
      <c r="D8" s="33"/>
      <c r="E8" s="33"/>
      <c r="F8" s="33">
        <v>0</v>
      </c>
      <c r="G8" s="33">
        <v>1</v>
      </c>
      <c r="H8" s="34" t="s">
        <v>433</v>
      </c>
      <c r="I8" s="34"/>
      <c r="J8" s="34"/>
      <c r="K8" s="32"/>
      <c r="L8" s="33"/>
      <c r="M8" s="33"/>
      <c r="N8" s="33" t="s">
        <v>42</v>
      </c>
      <c r="O8" s="34"/>
      <c r="P8" s="34"/>
    </row>
    <row r="10" spans="1:16" x14ac:dyDescent="0.25">
      <c r="A10" s="35" t="s">
        <v>1158</v>
      </c>
      <c r="B10" s="36" t="s">
        <v>1513</v>
      </c>
      <c r="C10" s="36"/>
      <c r="D10" s="36"/>
      <c r="E10" s="36"/>
      <c r="F10" s="36"/>
      <c r="G10" s="36"/>
      <c r="H10" s="37"/>
      <c r="I10" s="37"/>
      <c r="J10" s="37"/>
      <c r="K10" s="36" t="s">
        <v>1066</v>
      </c>
      <c r="L10" s="36"/>
      <c r="M10" s="36"/>
      <c r="N10" s="36" t="s">
        <v>42</v>
      </c>
      <c r="O10" s="37"/>
      <c r="P10" s="37"/>
    </row>
    <row r="11" spans="1:16" x14ac:dyDescent="0.25">
      <c r="A11" s="38" t="s">
        <v>1165</v>
      </c>
      <c r="B11" s="39" t="s">
        <v>1163</v>
      </c>
      <c r="C11" s="39"/>
      <c r="D11" s="39"/>
      <c r="E11" s="39"/>
      <c r="F11" s="39"/>
      <c r="G11" s="39"/>
      <c r="H11" s="40" t="s">
        <v>1170</v>
      </c>
      <c r="I11" s="40"/>
      <c r="J11" s="40"/>
      <c r="K11" s="39"/>
      <c r="L11" s="39"/>
      <c r="M11" s="39"/>
      <c r="N11" s="39" t="s">
        <v>42</v>
      </c>
      <c r="O11" s="40"/>
      <c r="P11" s="40"/>
    </row>
    <row r="12" spans="1:16" x14ac:dyDescent="0.25">
      <c r="A12" s="38" t="s">
        <v>1160</v>
      </c>
      <c r="B12" s="39" t="s">
        <v>1161</v>
      </c>
      <c r="C12" s="39" t="s">
        <v>428</v>
      </c>
      <c r="D12" s="39">
        <v>1</v>
      </c>
      <c r="E12" s="39"/>
      <c r="F12" s="39"/>
      <c r="G12" s="39"/>
      <c r="H12" s="40" t="s">
        <v>1166</v>
      </c>
      <c r="I12" s="40"/>
      <c r="J12" s="40"/>
      <c r="K12" s="39"/>
      <c r="L12" s="39"/>
      <c r="M12" s="39"/>
      <c r="N12" s="39" t="s">
        <v>42</v>
      </c>
      <c r="O12" s="40"/>
      <c r="P12" s="40"/>
    </row>
    <row r="13" spans="1:16" x14ac:dyDescent="0.25">
      <c r="A13" s="38" t="s">
        <v>1647</v>
      </c>
      <c r="B13" s="39" t="s">
        <v>1514</v>
      </c>
      <c r="C13" s="39"/>
      <c r="D13" s="39"/>
      <c r="E13" s="39"/>
      <c r="F13" s="39"/>
      <c r="G13" s="39"/>
      <c r="H13" s="40"/>
      <c r="I13" s="40"/>
      <c r="J13" s="40"/>
      <c r="K13" s="39" t="s">
        <v>1066</v>
      </c>
      <c r="L13" s="39"/>
      <c r="M13" s="39"/>
      <c r="N13" s="39" t="s">
        <v>42</v>
      </c>
      <c r="O13" s="40"/>
      <c r="P13" s="40"/>
    </row>
    <row r="14" spans="1:16" x14ac:dyDescent="0.25">
      <c r="A14" s="38" t="s">
        <v>1648</v>
      </c>
      <c r="B14" s="39" t="s">
        <v>1649</v>
      </c>
      <c r="C14" s="39"/>
      <c r="D14" s="39"/>
      <c r="E14" s="39"/>
      <c r="F14" s="39"/>
      <c r="G14" s="39"/>
      <c r="H14" s="40" t="s">
        <v>1651</v>
      </c>
      <c r="I14" s="40"/>
      <c r="J14" s="40"/>
      <c r="K14" s="39"/>
      <c r="L14" s="39"/>
      <c r="M14" s="39"/>
      <c r="N14" s="39" t="s">
        <v>42</v>
      </c>
      <c r="O14" s="40"/>
      <c r="P14" s="40"/>
    </row>
    <row r="15" spans="1:16" x14ac:dyDescent="0.25">
      <c r="A15" s="38" t="s">
        <v>1496</v>
      </c>
      <c r="B15" s="39" t="s">
        <v>1646</v>
      </c>
      <c r="C15" s="39" t="s">
        <v>428</v>
      </c>
      <c r="D15" s="39">
        <v>1</v>
      </c>
      <c r="E15" s="39"/>
      <c r="F15" s="39"/>
      <c r="G15" s="39"/>
      <c r="H15" s="40" t="s">
        <v>1650</v>
      </c>
      <c r="I15" s="40"/>
      <c r="J15" s="40"/>
      <c r="K15" s="39"/>
      <c r="L15" s="39"/>
      <c r="M15" s="39"/>
      <c r="N15" s="39" t="s">
        <v>42</v>
      </c>
      <c r="O15" s="40"/>
      <c r="P15" s="40"/>
    </row>
    <row r="16" spans="1:16" x14ac:dyDescent="0.25">
      <c r="A16" s="38"/>
      <c r="B16" s="39"/>
      <c r="C16" s="39"/>
      <c r="D16" s="39"/>
      <c r="E16" s="39"/>
      <c r="F16" s="39"/>
      <c r="G16" s="39"/>
      <c r="H16" s="40"/>
      <c r="I16" s="40"/>
      <c r="J16" s="40"/>
      <c r="K16" s="39"/>
      <c r="L16" s="39"/>
      <c r="M16" s="39"/>
      <c r="N16" s="39"/>
      <c r="O16" s="40"/>
      <c r="P16" s="40"/>
    </row>
    <row r="17" spans="1:16" x14ac:dyDescent="0.25">
      <c r="A17" s="38" t="s">
        <v>1167</v>
      </c>
      <c r="B17" s="39" t="s">
        <v>1159</v>
      </c>
      <c r="C17" s="39"/>
      <c r="D17" s="39"/>
      <c r="E17" s="39"/>
      <c r="F17" s="39"/>
      <c r="G17" s="39"/>
      <c r="H17" s="40" t="s">
        <v>1158</v>
      </c>
      <c r="I17" s="40"/>
      <c r="J17" s="40"/>
      <c r="K17" s="39"/>
      <c r="L17" s="39"/>
      <c r="M17" s="39"/>
      <c r="N17" s="39" t="s">
        <v>42</v>
      </c>
      <c r="O17" s="40"/>
      <c r="P17" s="40"/>
    </row>
    <row r="18" spans="1:16" x14ac:dyDescent="0.25">
      <c r="A18" s="38" t="s">
        <v>1168</v>
      </c>
      <c r="B18" s="39" t="s">
        <v>1164</v>
      </c>
      <c r="C18" s="39"/>
      <c r="D18" s="39"/>
      <c r="E18" s="39"/>
      <c r="F18" s="39"/>
      <c r="G18" s="39"/>
      <c r="H18" s="40" t="s">
        <v>1170</v>
      </c>
      <c r="I18" s="40"/>
      <c r="J18" s="40"/>
      <c r="K18" s="39"/>
      <c r="L18" s="39"/>
      <c r="M18" s="39"/>
      <c r="N18" s="39" t="s">
        <v>42</v>
      </c>
      <c r="O18" s="40"/>
      <c r="P18" s="40"/>
    </row>
    <row r="19" spans="1:16" x14ac:dyDescent="0.25">
      <c r="A19" s="25" t="s">
        <v>350</v>
      </c>
      <c r="B19" s="26" t="s">
        <v>1162</v>
      </c>
      <c r="C19" s="26" t="s">
        <v>428</v>
      </c>
      <c r="D19" s="26">
        <v>1</v>
      </c>
      <c r="E19" s="26"/>
      <c r="F19" s="26"/>
      <c r="G19" s="26"/>
      <c r="H19" s="27" t="s">
        <v>1169</v>
      </c>
      <c r="I19" s="27"/>
      <c r="J19" s="27"/>
      <c r="K19" s="26"/>
      <c r="L19" s="26"/>
      <c r="M19" s="26"/>
      <c r="N19" s="26" t="s">
        <v>42</v>
      </c>
      <c r="O19" s="27"/>
      <c r="P19" s="27"/>
    </row>
    <row r="21" spans="1:16" x14ac:dyDescent="0.25">
      <c r="A21" s="44" t="s">
        <v>354</v>
      </c>
      <c r="B21" s="45" t="s">
        <v>434</v>
      </c>
      <c r="C21" s="45" t="s">
        <v>430</v>
      </c>
      <c r="D21" s="45"/>
      <c r="E21" s="45"/>
      <c r="F21" s="45">
        <v>0</v>
      </c>
      <c r="G21" s="45">
        <v>1</v>
      </c>
      <c r="H21" s="46"/>
      <c r="I21" s="46"/>
      <c r="J21" s="46"/>
      <c r="K21" s="45" t="s">
        <v>35</v>
      </c>
      <c r="L21" s="45"/>
      <c r="M21" s="45"/>
      <c r="N21" s="45" t="s">
        <v>42</v>
      </c>
      <c r="O21" s="46"/>
      <c r="P21" s="46"/>
    </row>
    <row r="22" spans="1:16" x14ac:dyDescent="0.25">
      <c r="A22" s="47" t="s">
        <v>355</v>
      </c>
      <c r="B22" s="48" t="s">
        <v>435</v>
      </c>
      <c r="C22" s="48" t="s">
        <v>430</v>
      </c>
      <c r="D22" s="48"/>
      <c r="E22" s="48"/>
      <c r="F22" s="48">
        <v>0</v>
      </c>
      <c r="G22" s="48">
        <v>1</v>
      </c>
      <c r="H22" s="49" t="s">
        <v>436</v>
      </c>
      <c r="I22" s="49"/>
      <c r="J22" s="49"/>
      <c r="K22" s="48"/>
      <c r="L22" s="48"/>
      <c r="M22" s="48"/>
      <c r="N22" s="48" t="s">
        <v>42</v>
      </c>
      <c r="O22" s="49"/>
      <c r="P22" s="49"/>
    </row>
    <row r="23" spans="1:16" x14ac:dyDescent="0.25">
      <c r="A23" s="47" t="s">
        <v>352</v>
      </c>
      <c r="B23" s="48" t="s">
        <v>474</v>
      </c>
      <c r="C23" s="48" t="s">
        <v>475</v>
      </c>
      <c r="D23" s="48">
        <v>1</v>
      </c>
      <c r="E23" s="48">
        <v>1</v>
      </c>
      <c r="F23" s="48"/>
      <c r="G23" s="48"/>
      <c r="H23" s="49"/>
      <c r="I23" s="49"/>
      <c r="J23" s="49"/>
      <c r="K23" s="48" t="s">
        <v>35</v>
      </c>
      <c r="L23" s="48"/>
      <c r="M23" s="48"/>
      <c r="N23" s="48" t="s">
        <v>42</v>
      </c>
      <c r="O23" s="49"/>
      <c r="P23" s="49"/>
    </row>
    <row r="24" spans="1:16" x14ac:dyDescent="0.25">
      <c r="A24" s="47" t="s">
        <v>1271</v>
      </c>
      <c r="B24" s="48" t="s">
        <v>1302</v>
      </c>
      <c r="C24" s="48" t="s">
        <v>427</v>
      </c>
      <c r="D24" s="48">
        <v>1</v>
      </c>
      <c r="E24" s="48"/>
      <c r="F24" s="48"/>
      <c r="G24" s="48"/>
      <c r="H24" s="49"/>
      <c r="I24" s="49"/>
      <c r="J24" s="49"/>
      <c r="K24" s="48" t="s">
        <v>35</v>
      </c>
      <c r="L24" s="48"/>
      <c r="M24" s="48"/>
      <c r="N24" s="48" t="s">
        <v>42</v>
      </c>
      <c r="O24" s="49"/>
      <c r="P24" s="49"/>
    </row>
    <row r="25" spans="1:16" x14ac:dyDescent="0.25">
      <c r="A25" s="47" t="s">
        <v>1272</v>
      </c>
      <c r="B25" s="48" t="s">
        <v>1303</v>
      </c>
      <c r="C25" s="48" t="s">
        <v>427</v>
      </c>
      <c r="D25" s="48">
        <v>1</v>
      </c>
      <c r="E25" s="48"/>
      <c r="F25" s="48"/>
      <c r="G25" s="48"/>
      <c r="H25" s="49"/>
      <c r="I25" s="49"/>
      <c r="J25" s="49"/>
      <c r="K25" s="48" t="s">
        <v>35</v>
      </c>
      <c r="L25" s="48"/>
      <c r="M25" s="48"/>
      <c r="N25" s="48" t="s">
        <v>42</v>
      </c>
      <c r="O25" s="49"/>
      <c r="P25" s="49"/>
    </row>
    <row r="26" spans="1:16" x14ac:dyDescent="0.25">
      <c r="A26" s="47" t="s">
        <v>1273</v>
      </c>
      <c r="B26" s="48" t="s">
        <v>1304</v>
      </c>
      <c r="C26" s="48" t="s">
        <v>427</v>
      </c>
      <c r="D26" s="48">
        <v>1</v>
      </c>
      <c r="E26" s="48"/>
      <c r="F26" s="48"/>
      <c r="G26" s="48"/>
      <c r="H26" s="49"/>
      <c r="I26" s="49"/>
      <c r="J26" s="49"/>
      <c r="K26" s="48" t="s">
        <v>35</v>
      </c>
      <c r="L26" s="48"/>
      <c r="M26" s="48"/>
      <c r="N26" s="48" t="s">
        <v>42</v>
      </c>
      <c r="O26" s="49"/>
      <c r="P26" s="49"/>
    </row>
    <row r="27" spans="1:16" x14ac:dyDescent="0.25">
      <c r="A27" s="47" t="s">
        <v>1274</v>
      </c>
      <c r="B27" s="48" t="s">
        <v>1305</v>
      </c>
      <c r="C27" s="48" t="s">
        <v>427</v>
      </c>
      <c r="D27" s="48">
        <v>1</v>
      </c>
      <c r="E27" s="48"/>
      <c r="F27" s="48"/>
      <c r="G27" s="48"/>
      <c r="H27" s="49"/>
      <c r="I27" s="49"/>
      <c r="J27" s="49"/>
      <c r="K27" s="48" t="s">
        <v>35</v>
      </c>
      <c r="L27" s="48"/>
      <c r="M27" s="48"/>
      <c r="N27" s="48" t="s">
        <v>42</v>
      </c>
      <c r="O27" s="49"/>
      <c r="P27" s="49"/>
    </row>
    <row r="28" spans="1:16" x14ac:dyDescent="0.25">
      <c r="A28" s="47" t="s">
        <v>1275</v>
      </c>
      <c r="B28" s="48" t="s">
        <v>1306</v>
      </c>
      <c r="C28" s="48" t="s">
        <v>427</v>
      </c>
      <c r="D28" s="48">
        <v>1</v>
      </c>
      <c r="E28" s="48"/>
      <c r="F28" s="48"/>
      <c r="G28" s="48"/>
      <c r="H28" s="49"/>
      <c r="I28" s="49"/>
      <c r="J28" s="49"/>
      <c r="K28" s="48" t="s">
        <v>35</v>
      </c>
      <c r="L28" s="48"/>
      <c r="M28" s="48"/>
      <c r="N28" s="48" t="s">
        <v>42</v>
      </c>
      <c r="O28" s="49"/>
      <c r="P28" s="49"/>
    </row>
    <row r="29" spans="1:16" x14ac:dyDescent="0.25">
      <c r="A29" s="47" t="s">
        <v>1276</v>
      </c>
      <c r="B29" s="48" t="s">
        <v>1307</v>
      </c>
      <c r="C29" s="48" t="s">
        <v>427</v>
      </c>
      <c r="D29" s="48">
        <v>1</v>
      </c>
      <c r="E29" s="48"/>
      <c r="F29" s="48"/>
      <c r="G29" s="48"/>
      <c r="H29" s="49"/>
      <c r="I29" s="49"/>
      <c r="J29" s="49"/>
      <c r="K29" s="48" t="s">
        <v>35</v>
      </c>
      <c r="L29" s="48"/>
      <c r="M29" s="48"/>
      <c r="N29" s="48" t="s">
        <v>42</v>
      </c>
      <c r="O29" s="49"/>
      <c r="P29" s="49"/>
    </row>
    <row r="30" spans="1:16" x14ac:dyDescent="0.25">
      <c r="A30" s="47" t="s">
        <v>1277</v>
      </c>
      <c r="B30" s="48" t="s">
        <v>1308</v>
      </c>
      <c r="C30" s="48" t="s">
        <v>427</v>
      </c>
      <c r="D30" s="48">
        <v>1</v>
      </c>
      <c r="E30" s="48"/>
      <c r="F30" s="48"/>
      <c r="G30" s="48"/>
      <c r="H30" s="49"/>
      <c r="I30" s="49"/>
      <c r="J30" s="49"/>
      <c r="K30" s="48" t="s">
        <v>35</v>
      </c>
      <c r="L30" s="48"/>
      <c r="M30" s="48"/>
      <c r="N30" s="48" t="s">
        <v>42</v>
      </c>
      <c r="O30" s="49"/>
      <c r="P30" s="49"/>
    </row>
    <row r="31" spans="1:16" x14ac:dyDescent="0.25">
      <c r="A31" s="47" t="s">
        <v>1278</v>
      </c>
      <c r="B31" s="48" t="s">
        <v>1309</v>
      </c>
      <c r="C31" s="48" t="s">
        <v>427</v>
      </c>
      <c r="D31" s="48">
        <v>1</v>
      </c>
      <c r="E31" s="48"/>
      <c r="F31" s="48"/>
      <c r="G31" s="48"/>
      <c r="H31" s="49"/>
      <c r="I31" s="49"/>
      <c r="J31" s="49"/>
      <c r="K31" s="48" t="s">
        <v>35</v>
      </c>
      <c r="L31" s="48"/>
      <c r="M31" s="48"/>
      <c r="N31" s="48" t="s">
        <v>42</v>
      </c>
      <c r="O31" s="49"/>
      <c r="P31" s="49"/>
    </row>
    <row r="32" spans="1:16" x14ac:dyDescent="0.25">
      <c r="A32" s="47" t="s">
        <v>1279</v>
      </c>
      <c r="B32" s="48" t="s">
        <v>1310</v>
      </c>
      <c r="C32" s="48" t="s">
        <v>427</v>
      </c>
      <c r="D32" s="48">
        <v>1</v>
      </c>
      <c r="E32" s="48"/>
      <c r="F32" s="48"/>
      <c r="G32" s="48"/>
      <c r="H32" s="49"/>
      <c r="I32" s="49"/>
      <c r="J32" s="49"/>
      <c r="K32" s="48" t="s">
        <v>35</v>
      </c>
      <c r="L32" s="48"/>
      <c r="M32" s="48"/>
      <c r="N32" s="48" t="s">
        <v>42</v>
      </c>
      <c r="O32" s="49"/>
      <c r="P32" s="49"/>
    </row>
    <row r="33" spans="1:16" x14ac:dyDescent="0.25">
      <c r="A33" s="47" t="s">
        <v>1270</v>
      </c>
      <c r="B33" s="48" t="s">
        <v>1291</v>
      </c>
      <c r="C33" s="48"/>
      <c r="D33" s="48"/>
      <c r="E33" s="48">
        <v>1</v>
      </c>
      <c r="F33" s="48"/>
      <c r="G33" s="48"/>
      <c r="H33" s="49"/>
      <c r="I33" s="49"/>
      <c r="J33" s="49"/>
      <c r="K33" s="48" t="s">
        <v>1268</v>
      </c>
      <c r="L33" s="48"/>
      <c r="M33" s="48"/>
      <c r="N33" s="48" t="s">
        <v>42</v>
      </c>
      <c r="O33" s="49"/>
      <c r="P33" s="49"/>
    </row>
    <row r="34" spans="1:16" x14ac:dyDescent="0.25">
      <c r="A34" s="47" t="s">
        <v>361</v>
      </c>
      <c r="B34" s="48" t="s">
        <v>437</v>
      </c>
      <c r="C34" s="48" t="s">
        <v>427</v>
      </c>
      <c r="D34" s="48">
        <v>1</v>
      </c>
      <c r="E34" s="48"/>
      <c r="F34" s="48"/>
      <c r="G34" s="48"/>
      <c r="H34" s="49" t="s">
        <v>1280</v>
      </c>
      <c r="I34" s="49"/>
      <c r="J34" s="49"/>
      <c r="K34" s="48"/>
      <c r="L34" s="48"/>
      <c r="M34" s="48"/>
      <c r="N34" s="48" t="s">
        <v>42</v>
      </c>
      <c r="O34" s="49"/>
      <c r="P34" s="49"/>
    </row>
    <row r="35" spans="1:16" x14ac:dyDescent="0.25">
      <c r="A35" s="47" t="s">
        <v>373</v>
      </c>
      <c r="B35" s="48" t="s">
        <v>438</v>
      </c>
      <c r="C35" s="48" t="s">
        <v>427</v>
      </c>
      <c r="D35" s="48">
        <v>1</v>
      </c>
      <c r="E35" s="48"/>
      <c r="F35" s="48"/>
      <c r="G35" s="48"/>
      <c r="H35" s="49" t="s">
        <v>1281</v>
      </c>
      <c r="I35" s="49"/>
      <c r="J35" s="49"/>
      <c r="K35" s="48"/>
      <c r="L35" s="48"/>
      <c r="M35" s="48"/>
      <c r="N35" s="48" t="s">
        <v>42</v>
      </c>
      <c r="O35" s="49"/>
      <c r="P35" s="49"/>
    </row>
    <row r="36" spans="1:16" x14ac:dyDescent="0.25">
      <c r="A36" s="47" t="s">
        <v>376</v>
      </c>
      <c r="B36" s="48" t="s">
        <v>439</v>
      </c>
      <c r="C36" s="48" t="s">
        <v>427</v>
      </c>
      <c r="D36" s="48">
        <v>1</v>
      </c>
      <c r="E36" s="48"/>
      <c r="F36" s="48"/>
      <c r="G36" s="48"/>
      <c r="H36" s="49" t="s">
        <v>1282</v>
      </c>
      <c r="I36" s="49"/>
      <c r="J36" s="49"/>
      <c r="K36" s="48"/>
      <c r="L36" s="48"/>
      <c r="M36" s="48"/>
      <c r="N36" s="48" t="s">
        <v>42</v>
      </c>
      <c r="O36" s="49"/>
      <c r="P36" s="49"/>
    </row>
    <row r="37" spans="1:16" x14ac:dyDescent="0.25">
      <c r="A37" s="47" t="s">
        <v>381</v>
      </c>
      <c r="B37" s="48" t="s">
        <v>440</v>
      </c>
      <c r="C37" s="48" t="s">
        <v>427</v>
      </c>
      <c r="D37" s="48">
        <v>1</v>
      </c>
      <c r="E37" s="48"/>
      <c r="F37" s="48"/>
      <c r="G37" s="48"/>
      <c r="H37" s="49" t="s">
        <v>1283</v>
      </c>
      <c r="I37" s="49"/>
      <c r="J37" s="49"/>
      <c r="K37" s="48"/>
      <c r="L37" s="48"/>
      <c r="M37" s="48"/>
      <c r="N37" s="48" t="s">
        <v>42</v>
      </c>
      <c r="O37" s="49"/>
      <c r="P37" s="49"/>
    </row>
    <row r="38" spans="1:16" x14ac:dyDescent="0.25">
      <c r="A38" s="47" t="s">
        <v>390</v>
      </c>
      <c r="B38" s="48" t="s">
        <v>441</v>
      </c>
      <c r="C38" s="48" t="s">
        <v>427</v>
      </c>
      <c r="D38" s="48">
        <v>1</v>
      </c>
      <c r="E38" s="48"/>
      <c r="F38" s="48"/>
      <c r="G38" s="48"/>
      <c r="H38" s="49" t="s">
        <v>1284</v>
      </c>
      <c r="I38" s="49"/>
      <c r="J38" s="49"/>
      <c r="K38" s="48"/>
      <c r="L38" s="48"/>
      <c r="M38" s="48"/>
      <c r="N38" s="48" t="s">
        <v>42</v>
      </c>
      <c r="O38" s="49"/>
      <c r="P38" s="49"/>
    </row>
    <row r="39" spans="1:16" x14ac:dyDescent="0.25">
      <c r="A39" s="47" t="s">
        <v>391</v>
      </c>
      <c r="B39" s="48" t="s">
        <v>442</v>
      </c>
      <c r="C39" s="48" t="s">
        <v>427</v>
      </c>
      <c r="D39" s="48">
        <v>1</v>
      </c>
      <c r="E39" s="48"/>
      <c r="F39" s="48"/>
      <c r="G39" s="48"/>
      <c r="H39" s="49" t="s">
        <v>1285</v>
      </c>
      <c r="I39" s="49"/>
      <c r="J39" s="49"/>
      <c r="K39" s="48"/>
      <c r="L39" s="48"/>
      <c r="M39" s="48"/>
      <c r="N39" s="48" t="s">
        <v>42</v>
      </c>
      <c r="O39" s="49"/>
      <c r="P39" s="49"/>
    </row>
    <row r="40" spans="1:16" x14ac:dyDescent="0.25">
      <c r="A40" s="47" t="s">
        <v>1188</v>
      </c>
      <c r="B40" s="48" t="s">
        <v>1190</v>
      </c>
      <c r="C40" s="48" t="s">
        <v>427</v>
      </c>
      <c r="D40" s="48">
        <v>1</v>
      </c>
      <c r="E40" s="48"/>
      <c r="F40" s="48"/>
      <c r="G40" s="48"/>
      <c r="H40" s="49" t="s">
        <v>1286</v>
      </c>
      <c r="I40" s="49"/>
      <c r="J40" s="49"/>
      <c r="K40" s="48"/>
      <c r="L40" s="48"/>
      <c r="M40" s="48"/>
      <c r="N40" s="48" t="s">
        <v>42</v>
      </c>
      <c r="O40" s="49"/>
      <c r="P40" s="49"/>
    </row>
    <row r="41" spans="1:16" x14ac:dyDescent="0.25">
      <c r="A41" s="47" t="s">
        <v>1189</v>
      </c>
      <c r="B41" s="48" t="s">
        <v>1191</v>
      </c>
      <c r="C41" s="48" t="s">
        <v>427</v>
      </c>
      <c r="D41" s="48">
        <v>1</v>
      </c>
      <c r="E41" s="48"/>
      <c r="F41" s="48"/>
      <c r="G41" s="48"/>
      <c r="H41" s="49" t="s">
        <v>1287</v>
      </c>
      <c r="I41" s="49"/>
      <c r="J41" s="49"/>
      <c r="K41" s="48"/>
      <c r="L41" s="48"/>
      <c r="M41" s="48"/>
      <c r="N41" s="48" t="s">
        <v>42</v>
      </c>
      <c r="O41" s="49"/>
      <c r="P41" s="49"/>
    </row>
    <row r="42" spans="1:16" x14ac:dyDescent="0.25">
      <c r="A42" s="47" t="s">
        <v>395</v>
      </c>
      <c r="B42" s="48" t="s">
        <v>445</v>
      </c>
      <c r="C42" s="48" t="s">
        <v>427</v>
      </c>
      <c r="D42" s="48">
        <v>1</v>
      </c>
      <c r="E42" s="48"/>
      <c r="F42" s="48"/>
      <c r="G42" s="48"/>
      <c r="H42" s="49" t="s">
        <v>1288</v>
      </c>
      <c r="I42" s="49"/>
      <c r="J42" s="49"/>
      <c r="K42" s="48"/>
      <c r="L42" s="48"/>
      <c r="M42" s="48"/>
      <c r="N42" s="48" t="s">
        <v>42</v>
      </c>
      <c r="O42" s="49"/>
      <c r="P42" s="49"/>
    </row>
    <row r="43" spans="1:16" x14ac:dyDescent="0.25">
      <c r="A43" s="47" t="s">
        <v>394</v>
      </c>
      <c r="B43" s="48" t="s">
        <v>443</v>
      </c>
      <c r="C43" s="48" t="s">
        <v>427</v>
      </c>
      <c r="D43" s="48">
        <v>1</v>
      </c>
      <c r="E43" s="48"/>
      <c r="F43" s="48"/>
      <c r="G43" s="48"/>
      <c r="H43" s="49" t="s">
        <v>1262</v>
      </c>
      <c r="I43" s="49"/>
      <c r="J43" s="49"/>
      <c r="K43" s="48"/>
      <c r="L43" s="48"/>
      <c r="M43" s="48"/>
      <c r="N43" s="48" t="s">
        <v>42</v>
      </c>
      <c r="O43" s="49"/>
      <c r="P43" s="49"/>
    </row>
    <row r="44" spans="1:16" x14ac:dyDescent="0.25">
      <c r="A44" s="47" t="s">
        <v>400</v>
      </c>
      <c r="B44" s="48" t="s">
        <v>444</v>
      </c>
      <c r="C44" s="48" t="s">
        <v>427</v>
      </c>
      <c r="D44" s="48">
        <v>1</v>
      </c>
      <c r="E44" s="48"/>
      <c r="F44" s="48"/>
      <c r="G44" s="48"/>
      <c r="H44" s="49" t="s">
        <v>1263</v>
      </c>
      <c r="I44" s="49"/>
      <c r="J44" s="49"/>
      <c r="K44" s="48"/>
      <c r="L44" s="48"/>
      <c r="M44" s="48"/>
      <c r="N44" s="48" t="s">
        <v>42</v>
      </c>
      <c r="O44" s="49"/>
      <c r="P44" s="49"/>
    </row>
    <row r="45" spans="1:16" x14ac:dyDescent="0.25">
      <c r="A45" s="47" t="s">
        <v>1292</v>
      </c>
      <c r="B45" s="48" t="s">
        <v>1311</v>
      </c>
      <c r="C45" s="48" t="s">
        <v>427</v>
      </c>
      <c r="D45" s="48">
        <v>1</v>
      </c>
      <c r="E45" s="48"/>
      <c r="F45" s="48"/>
      <c r="G45" s="48"/>
      <c r="H45" s="49"/>
      <c r="I45" s="49"/>
      <c r="J45" s="49"/>
      <c r="K45" s="48" t="s">
        <v>35</v>
      </c>
      <c r="L45" s="48"/>
      <c r="M45" s="48"/>
      <c r="N45" s="48" t="s">
        <v>42</v>
      </c>
      <c r="O45" s="49"/>
      <c r="P45" s="49"/>
    </row>
    <row r="46" spans="1:16" x14ac:dyDescent="0.25">
      <c r="A46" s="47" t="s">
        <v>1293</v>
      </c>
      <c r="B46" s="48" t="s">
        <v>1312</v>
      </c>
      <c r="C46" s="48" t="s">
        <v>427</v>
      </c>
      <c r="D46" s="48">
        <v>1</v>
      </c>
      <c r="E46" s="48"/>
      <c r="F46" s="48"/>
      <c r="G46" s="48"/>
      <c r="H46" s="49"/>
      <c r="I46" s="49"/>
      <c r="J46" s="49"/>
      <c r="K46" s="48" t="s">
        <v>35</v>
      </c>
      <c r="L46" s="48"/>
      <c r="M46" s="48"/>
      <c r="N46" s="48" t="s">
        <v>42</v>
      </c>
      <c r="O46" s="49"/>
      <c r="P46" s="49"/>
    </row>
    <row r="47" spans="1:16" x14ac:dyDescent="0.25">
      <c r="A47" s="47" t="s">
        <v>1294</v>
      </c>
      <c r="B47" s="48" t="s">
        <v>1313</v>
      </c>
      <c r="C47" s="48" t="s">
        <v>427</v>
      </c>
      <c r="D47" s="48">
        <v>1</v>
      </c>
      <c r="E47" s="48"/>
      <c r="F47" s="48"/>
      <c r="G47" s="48"/>
      <c r="H47" s="49"/>
      <c r="I47" s="49"/>
      <c r="J47" s="49"/>
      <c r="K47" s="48" t="s">
        <v>35</v>
      </c>
      <c r="L47" s="48"/>
      <c r="M47" s="48"/>
      <c r="N47" s="48" t="s">
        <v>42</v>
      </c>
      <c r="O47" s="49"/>
      <c r="P47" s="49"/>
    </row>
    <row r="48" spans="1:16" x14ac:dyDescent="0.25">
      <c r="A48" s="47" t="s">
        <v>1295</v>
      </c>
      <c r="B48" s="48" t="s">
        <v>1314</v>
      </c>
      <c r="C48" s="48" t="s">
        <v>427</v>
      </c>
      <c r="D48" s="48">
        <v>1</v>
      </c>
      <c r="E48" s="48"/>
      <c r="F48" s="48"/>
      <c r="G48" s="48"/>
      <c r="H48" s="49"/>
      <c r="I48" s="49"/>
      <c r="J48" s="49"/>
      <c r="K48" s="48" t="s">
        <v>35</v>
      </c>
      <c r="L48" s="48"/>
      <c r="M48" s="48"/>
      <c r="N48" s="48" t="s">
        <v>42</v>
      </c>
      <c r="O48" s="49"/>
      <c r="P48" s="49"/>
    </row>
    <row r="49" spans="1:16" x14ac:dyDescent="0.25">
      <c r="A49" s="47" t="s">
        <v>1296</v>
      </c>
      <c r="B49" s="48" t="s">
        <v>1315</v>
      </c>
      <c r="C49" s="48" t="s">
        <v>427</v>
      </c>
      <c r="D49" s="48">
        <v>1</v>
      </c>
      <c r="E49" s="48"/>
      <c r="F49" s="48"/>
      <c r="G49" s="48"/>
      <c r="H49" s="49"/>
      <c r="I49" s="49"/>
      <c r="J49" s="49"/>
      <c r="K49" s="48" t="s">
        <v>35</v>
      </c>
      <c r="L49" s="48"/>
      <c r="M49" s="48"/>
      <c r="N49" s="48" t="s">
        <v>42</v>
      </c>
      <c r="O49" s="49"/>
      <c r="P49" s="49"/>
    </row>
    <row r="50" spans="1:16" x14ac:dyDescent="0.25">
      <c r="A50" s="47" t="s">
        <v>1289</v>
      </c>
      <c r="B50" s="48" t="s">
        <v>1290</v>
      </c>
      <c r="C50" s="48"/>
      <c r="D50" s="48"/>
      <c r="E50" s="48">
        <v>1</v>
      </c>
      <c r="F50" s="48"/>
      <c r="G50" s="48"/>
      <c r="H50" s="49"/>
      <c r="I50" s="49"/>
      <c r="J50" s="49"/>
      <c r="K50" s="48" t="s">
        <v>1268</v>
      </c>
      <c r="L50" s="48"/>
      <c r="M50" s="48"/>
      <c r="N50" s="48" t="s">
        <v>42</v>
      </c>
      <c r="O50" s="49"/>
      <c r="P50" s="49"/>
    </row>
    <row r="51" spans="1:16" x14ac:dyDescent="0.25">
      <c r="A51" s="47" t="s">
        <v>1186</v>
      </c>
      <c r="B51" s="48" t="s">
        <v>1187</v>
      </c>
      <c r="C51" s="48" t="s">
        <v>427</v>
      </c>
      <c r="D51" s="48">
        <v>1</v>
      </c>
      <c r="E51" s="48"/>
      <c r="F51" s="48"/>
      <c r="G51" s="48"/>
      <c r="H51" s="49" t="s">
        <v>1297</v>
      </c>
      <c r="I51" s="49"/>
      <c r="J51" s="49"/>
      <c r="K51" s="48"/>
      <c r="L51" s="48"/>
      <c r="M51" s="48"/>
      <c r="N51" s="48" t="s">
        <v>42</v>
      </c>
      <c r="O51" s="49"/>
      <c r="P51" s="49"/>
    </row>
    <row r="52" spans="1:16" x14ac:dyDescent="0.25">
      <c r="A52" s="47" t="s">
        <v>396</v>
      </c>
      <c r="B52" s="48" t="s">
        <v>448</v>
      </c>
      <c r="C52" s="48" t="s">
        <v>427</v>
      </c>
      <c r="D52" s="48">
        <v>1</v>
      </c>
      <c r="E52" s="48"/>
      <c r="F52" s="48"/>
      <c r="G52" s="48"/>
      <c r="H52" s="49" t="s">
        <v>1298</v>
      </c>
      <c r="I52" s="49"/>
      <c r="J52" s="49"/>
      <c r="K52" s="48"/>
      <c r="L52" s="48"/>
      <c r="M52" s="48"/>
      <c r="N52" s="48" t="s">
        <v>42</v>
      </c>
      <c r="O52" s="49"/>
      <c r="P52" s="49"/>
    </row>
    <row r="53" spans="1:16" x14ac:dyDescent="0.25">
      <c r="A53" s="47" t="s">
        <v>405</v>
      </c>
      <c r="B53" s="48" t="s">
        <v>449</v>
      </c>
      <c r="C53" s="48" t="s">
        <v>427</v>
      </c>
      <c r="D53" s="48">
        <v>1</v>
      </c>
      <c r="E53" s="48"/>
      <c r="F53" s="48"/>
      <c r="G53" s="48"/>
      <c r="H53" s="49" t="s">
        <v>1299</v>
      </c>
      <c r="I53" s="49"/>
      <c r="J53" s="49"/>
      <c r="K53" s="48"/>
      <c r="L53" s="48"/>
      <c r="M53" s="48"/>
      <c r="N53" s="48" t="s">
        <v>42</v>
      </c>
      <c r="O53" s="49"/>
      <c r="P53" s="49"/>
    </row>
    <row r="54" spans="1:16" x14ac:dyDescent="0.25">
      <c r="A54" s="47" t="s">
        <v>403</v>
      </c>
      <c r="B54" s="48" t="s">
        <v>454</v>
      </c>
      <c r="C54" s="48" t="s">
        <v>427</v>
      </c>
      <c r="D54" s="48">
        <v>1</v>
      </c>
      <c r="E54" s="48"/>
      <c r="F54" s="48"/>
      <c r="G54" s="48"/>
      <c r="H54" s="49" t="s">
        <v>1300</v>
      </c>
      <c r="I54" s="49"/>
      <c r="J54" s="49"/>
      <c r="K54" s="48"/>
      <c r="L54" s="48"/>
      <c r="M54" s="48"/>
      <c r="N54" s="48" t="s">
        <v>42</v>
      </c>
      <c r="O54" s="49"/>
      <c r="P54" s="49"/>
    </row>
    <row r="55" spans="1:16" x14ac:dyDescent="0.25">
      <c r="A55" s="47" t="s">
        <v>404</v>
      </c>
      <c r="B55" s="48" t="s">
        <v>455</v>
      </c>
      <c r="C55" s="48" t="s">
        <v>427</v>
      </c>
      <c r="D55" s="48">
        <v>1</v>
      </c>
      <c r="E55" s="48"/>
      <c r="F55" s="48"/>
      <c r="G55" s="48"/>
      <c r="H55" s="49" t="s">
        <v>1301</v>
      </c>
      <c r="I55" s="49"/>
      <c r="J55" s="49"/>
      <c r="K55" s="48"/>
      <c r="L55" s="48"/>
      <c r="M55" s="48"/>
      <c r="N55" s="48" t="s">
        <v>42</v>
      </c>
      <c r="O55" s="49"/>
      <c r="P55" s="49"/>
    </row>
    <row r="56" spans="1:16" x14ac:dyDescent="0.25">
      <c r="A56" s="47" t="s">
        <v>450</v>
      </c>
      <c r="B56" s="48" t="s">
        <v>451</v>
      </c>
      <c r="C56" s="48"/>
      <c r="D56" s="48"/>
      <c r="E56" s="48"/>
      <c r="F56" s="48">
        <v>0</v>
      </c>
      <c r="G56" s="48">
        <v>1</v>
      </c>
      <c r="H56" s="49"/>
      <c r="I56" s="49"/>
      <c r="J56" s="49"/>
      <c r="K56" s="48" t="s">
        <v>35</v>
      </c>
      <c r="L56" s="48"/>
      <c r="M56" s="48"/>
      <c r="N56" s="48" t="s">
        <v>42</v>
      </c>
      <c r="O56" s="49"/>
      <c r="P56" s="49"/>
    </row>
    <row r="57" spans="1:16" x14ac:dyDescent="0.25">
      <c r="A57" s="50" t="s">
        <v>452</v>
      </c>
      <c r="B57" s="51" t="s">
        <v>453</v>
      </c>
      <c r="C57" s="51"/>
      <c r="D57" s="51"/>
      <c r="E57" s="51"/>
      <c r="F57" s="51">
        <v>0</v>
      </c>
      <c r="G57" s="51">
        <v>1</v>
      </c>
      <c r="H57" s="52"/>
      <c r="I57" s="52"/>
      <c r="J57" s="52"/>
      <c r="K57" s="51" t="s">
        <v>35</v>
      </c>
      <c r="L57" s="51"/>
      <c r="M57" s="51"/>
      <c r="N57" s="51" t="s">
        <v>42</v>
      </c>
      <c r="O57" s="52"/>
      <c r="P57" s="52"/>
    </row>
    <row r="59" spans="1:16" x14ac:dyDescent="0.25">
      <c r="A59" s="53" t="s">
        <v>1551</v>
      </c>
      <c r="B59" s="54" t="s">
        <v>1550</v>
      </c>
      <c r="C59" s="54"/>
      <c r="D59" s="54"/>
      <c r="E59" s="54"/>
      <c r="F59" s="54"/>
      <c r="G59" s="54"/>
      <c r="H59" s="55"/>
      <c r="I59" s="55"/>
      <c r="J59" s="55"/>
      <c r="K59" s="54" t="s">
        <v>1268</v>
      </c>
      <c r="L59" s="54"/>
      <c r="M59" s="54"/>
      <c r="N59" s="54" t="s">
        <v>42</v>
      </c>
      <c r="O59" s="55"/>
      <c r="P59" s="55"/>
    </row>
    <row r="60" spans="1:16" x14ac:dyDescent="0.25">
      <c r="A60" s="56" t="s">
        <v>1549</v>
      </c>
      <c r="B60" s="57" t="s">
        <v>1548</v>
      </c>
      <c r="C60" s="57"/>
      <c r="D60" s="57"/>
      <c r="E60" s="57"/>
      <c r="F60" s="57"/>
      <c r="G60" s="57"/>
      <c r="H60" s="58"/>
      <c r="I60" s="58"/>
      <c r="J60" s="58"/>
      <c r="K60" s="57" t="s">
        <v>1268</v>
      </c>
      <c r="L60" s="57"/>
      <c r="M60" s="57"/>
      <c r="N60" s="57"/>
      <c r="O60" s="58"/>
      <c r="P60" s="58"/>
    </row>
    <row r="61" spans="1:16" x14ac:dyDescent="0.25">
      <c r="A61" s="56" t="s">
        <v>1316</v>
      </c>
      <c r="B61" s="57" t="s">
        <v>1320</v>
      </c>
      <c r="C61" s="57" t="s">
        <v>427</v>
      </c>
      <c r="D61" s="57">
        <v>1</v>
      </c>
      <c r="E61" s="57"/>
      <c r="F61" s="57"/>
      <c r="G61" s="57"/>
      <c r="H61" s="58"/>
      <c r="I61" s="58"/>
      <c r="J61" s="58"/>
      <c r="K61" s="57" t="s">
        <v>1068</v>
      </c>
      <c r="L61" s="57"/>
      <c r="M61" s="57"/>
      <c r="N61" s="57" t="s">
        <v>42</v>
      </c>
      <c r="O61" s="58"/>
      <c r="P61" s="58"/>
    </row>
    <row r="62" spans="1:16" x14ac:dyDescent="0.25">
      <c r="A62" s="56" t="s">
        <v>1317</v>
      </c>
      <c r="B62" s="57" t="s">
        <v>1321</v>
      </c>
      <c r="C62" s="57" t="s">
        <v>427</v>
      </c>
      <c r="D62" s="57">
        <v>1</v>
      </c>
      <c r="E62" s="57"/>
      <c r="F62" s="57"/>
      <c r="G62" s="57"/>
      <c r="H62" s="58"/>
      <c r="I62" s="58"/>
      <c r="J62" s="58"/>
      <c r="K62" s="57" t="s">
        <v>1068</v>
      </c>
      <c r="L62" s="57"/>
      <c r="M62" s="57"/>
      <c r="N62" s="57" t="s">
        <v>42</v>
      </c>
      <c r="O62" s="58"/>
      <c r="P62" s="58"/>
    </row>
    <row r="63" spans="1:16" x14ac:dyDescent="0.25">
      <c r="A63" s="56" t="s">
        <v>359</v>
      </c>
      <c r="B63" s="57" t="s">
        <v>458</v>
      </c>
      <c r="C63" s="57" t="s">
        <v>427</v>
      </c>
      <c r="D63" s="57">
        <v>1</v>
      </c>
      <c r="E63" s="57"/>
      <c r="F63" s="57"/>
      <c r="G63" s="57"/>
      <c r="H63" s="58" t="s">
        <v>1552</v>
      </c>
      <c r="I63" s="58" t="s">
        <v>46</v>
      </c>
      <c r="J63" s="58"/>
      <c r="K63" s="57"/>
      <c r="L63" s="57"/>
      <c r="M63" s="57"/>
      <c r="N63" s="57" t="s">
        <v>42</v>
      </c>
      <c r="O63" s="58"/>
      <c r="P63" s="58"/>
    </row>
    <row r="64" spans="1:16" x14ac:dyDescent="0.25">
      <c r="A64" s="56" t="s">
        <v>379</v>
      </c>
      <c r="B64" s="57" t="s">
        <v>460</v>
      </c>
      <c r="C64" s="57" t="s">
        <v>427</v>
      </c>
      <c r="D64" s="57">
        <v>1</v>
      </c>
      <c r="E64" s="57"/>
      <c r="F64" s="57"/>
      <c r="G64" s="57"/>
      <c r="H64" s="58" t="s">
        <v>1553</v>
      </c>
      <c r="I64" s="58" t="s">
        <v>46</v>
      </c>
      <c r="J64" s="58"/>
      <c r="K64" s="57"/>
      <c r="L64" s="57"/>
      <c r="M64" s="57"/>
      <c r="N64" s="57" t="s">
        <v>42</v>
      </c>
      <c r="O64" s="58"/>
      <c r="P64" s="58"/>
    </row>
    <row r="65" spans="1:16" x14ac:dyDescent="0.25">
      <c r="A65" s="56" t="s">
        <v>353</v>
      </c>
      <c r="B65" s="57" t="s">
        <v>456</v>
      </c>
      <c r="C65" s="57" t="s">
        <v>427</v>
      </c>
      <c r="D65" s="57">
        <v>1</v>
      </c>
      <c r="E65" s="57"/>
      <c r="F65" s="57"/>
      <c r="G65" s="57"/>
      <c r="H65" s="58" t="s">
        <v>359</v>
      </c>
      <c r="I65" s="58"/>
      <c r="J65" s="58"/>
      <c r="K65" s="57"/>
      <c r="L65" s="57"/>
      <c r="M65" s="57"/>
      <c r="N65" s="57" t="s">
        <v>42</v>
      </c>
      <c r="O65" s="58"/>
      <c r="P65" s="58"/>
    </row>
    <row r="66" spans="1:16" x14ac:dyDescent="0.25">
      <c r="A66" s="56" t="s">
        <v>356</v>
      </c>
      <c r="B66" s="57" t="s">
        <v>457</v>
      </c>
      <c r="C66" s="57" t="s">
        <v>427</v>
      </c>
      <c r="D66" s="57">
        <v>1</v>
      </c>
      <c r="E66" s="57"/>
      <c r="F66" s="57"/>
      <c r="G66" s="57"/>
      <c r="H66" s="58" t="s">
        <v>359</v>
      </c>
      <c r="I66" s="58"/>
      <c r="J66" s="58"/>
      <c r="K66" s="57"/>
      <c r="L66" s="57"/>
      <c r="M66" s="57"/>
      <c r="N66" s="57" t="s">
        <v>42</v>
      </c>
      <c r="O66" s="58"/>
      <c r="P66" s="58"/>
    </row>
    <row r="67" spans="1:16" x14ac:dyDescent="0.25">
      <c r="A67" s="56" t="s">
        <v>1318</v>
      </c>
      <c r="B67" s="57" t="s">
        <v>1322</v>
      </c>
      <c r="C67" s="57" t="s">
        <v>427</v>
      </c>
      <c r="D67" s="57">
        <v>1</v>
      </c>
      <c r="E67" s="57"/>
      <c r="F67" s="57"/>
      <c r="G67" s="57"/>
      <c r="H67" s="58"/>
      <c r="I67" s="58"/>
      <c r="J67" s="58"/>
      <c r="K67" s="57" t="s">
        <v>1068</v>
      </c>
      <c r="L67" s="57"/>
      <c r="M67" s="57"/>
      <c r="N67" s="57" t="s">
        <v>42</v>
      </c>
      <c r="O67" s="58"/>
      <c r="P67" s="58"/>
    </row>
    <row r="68" spans="1:16" x14ac:dyDescent="0.25">
      <c r="A68" s="56" t="s">
        <v>1319</v>
      </c>
      <c r="B68" s="57" t="s">
        <v>1323</v>
      </c>
      <c r="C68" s="57" t="s">
        <v>427</v>
      </c>
      <c r="D68" s="57">
        <v>1</v>
      </c>
      <c r="E68" s="57"/>
      <c r="F68" s="57"/>
      <c r="G68" s="57"/>
      <c r="H68" s="58"/>
      <c r="I68" s="58"/>
      <c r="J68" s="58"/>
      <c r="K68" s="57" t="s">
        <v>1068</v>
      </c>
      <c r="L68" s="57"/>
      <c r="M68" s="57"/>
      <c r="N68" s="57" t="s">
        <v>42</v>
      </c>
      <c r="O68" s="58"/>
      <c r="P68" s="58"/>
    </row>
    <row r="69" spans="1:16" x14ac:dyDescent="0.25">
      <c r="A69" s="56" t="s">
        <v>365</v>
      </c>
      <c r="B69" s="57" t="s">
        <v>462</v>
      </c>
      <c r="C69" s="57" t="s">
        <v>427</v>
      </c>
      <c r="D69" s="57">
        <v>1</v>
      </c>
      <c r="E69" s="57"/>
      <c r="F69" s="57"/>
      <c r="G69" s="57"/>
      <c r="H69" s="58" t="s">
        <v>1558</v>
      </c>
      <c r="I69" s="58" t="s">
        <v>46</v>
      </c>
      <c r="J69" s="58"/>
      <c r="K69" s="57"/>
      <c r="L69" s="57"/>
      <c r="M69" s="57"/>
      <c r="N69" s="57" t="s">
        <v>42</v>
      </c>
      <c r="O69" s="58"/>
      <c r="P69" s="58"/>
    </row>
    <row r="70" spans="1:16" x14ac:dyDescent="0.25">
      <c r="A70" s="56" t="s">
        <v>385</v>
      </c>
      <c r="B70" s="57" t="s">
        <v>463</v>
      </c>
      <c r="C70" s="57" t="s">
        <v>427</v>
      </c>
      <c r="D70" s="57">
        <v>1</v>
      </c>
      <c r="E70" s="57"/>
      <c r="F70" s="57"/>
      <c r="G70" s="57"/>
      <c r="H70" s="58" t="s">
        <v>1559</v>
      </c>
      <c r="I70" s="58" t="s">
        <v>46</v>
      </c>
      <c r="J70" s="58"/>
      <c r="K70" s="57"/>
      <c r="L70" s="57"/>
      <c r="M70" s="57"/>
      <c r="N70" s="57" t="s">
        <v>42</v>
      </c>
      <c r="O70" s="58"/>
      <c r="P70" s="58"/>
    </row>
    <row r="71" spans="1:16" x14ac:dyDescent="0.25">
      <c r="A71" s="56"/>
      <c r="B71" s="57"/>
      <c r="C71" s="57"/>
      <c r="D71" s="57"/>
      <c r="E71" s="57"/>
      <c r="F71" s="57"/>
      <c r="G71" s="57"/>
      <c r="H71" s="57"/>
      <c r="I71" s="58"/>
      <c r="J71" s="58"/>
      <c r="K71" s="57"/>
      <c r="L71" s="57"/>
      <c r="M71" s="57"/>
      <c r="N71" s="57"/>
      <c r="O71" s="58"/>
      <c r="P71" s="58"/>
    </row>
    <row r="72" spans="1:16" x14ac:dyDescent="0.25">
      <c r="A72" s="56" t="s">
        <v>362</v>
      </c>
      <c r="B72" s="57" t="s">
        <v>459</v>
      </c>
      <c r="C72" s="57" t="s">
        <v>427</v>
      </c>
      <c r="D72" s="57">
        <v>1</v>
      </c>
      <c r="E72" s="57"/>
      <c r="F72" s="57"/>
      <c r="G72" s="57"/>
      <c r="H72" s="58" t="str">
        <f>A61&amp;"*0.1"</f>
        <v>test_ab_f0f2_und_ic_1*0.1</v>
      </c>
      <c r="I72" s="58" t="s">
        <v>46</v>
      </c>
      <c r="J72" s="58"/>
      <c r="K72" s="57"/>
      <c r="L72" s="57"/>
      <c r="M72" s="57"/>
      <c r="N72" s="57" t="s">
        <v>42</v>
      </c>
      <c r="O72" s="58"/>
      <c r="P72" s="58"/>
    </row>
    <row r="73" spans="1:16" x14ac:dyDescent="0.25">
      <c r="A73" s="56" t="s">
        <v>382</v>
      </c>
      <c r="B73" s="57" t="s">
        <v>461</v>
      </c>
      <c r="C73" s="57" t="s">
        <v>427</v>
      </c>
      <c r="D73" s="57">
        <v>1</v>
      </c>
      <c r="E73" s="57"/>
      <c r="F73" s="57"/>
      <c r="G73" s="57"/>
      <c r="H73" s="58" t="str">
        <f>A62&amp;"*0.1"</f>
        <v>test_ab_f3f4_und_ic_1*0.1</v>
      </c>
      <c r="I73" s="58" t="s">
        <v>46</v>
      </c>
      <c r="J73" s="58"/>
      <c r="K73" s="57"/>
      <c r="L73" s="57"/>
      <c r="M73" s="57"/>
      <c r="N73" s="57" t="s">
        <v>42</v>
      </c>
      <c r="O73" s="58"/>
      <c r="P73" s="58"/>
    </row>
    <row r="74" spans="1:16" x14ac:dyDescent="0.25">
      <c r="A74" s="56" t="s">
        <v>360</v>
      </c>
      <c r="B74" s="57" t="s">
        <v>464</v>
      </c>
      <c r="C74" s="57" t="s">
        <v>427</v>
      </c>
      <c r="D74" s="57">
        <v>1</v>
      </c>
      <c r="E74" s="57"/>
      <c r="F74" s="57"/>
      <c r="G74" s="57"/>
      <c r="H74" s="58" t="str">
        <f>A67&amp;"*0.01"</f>
        <v>test_pcr_f0f2_ab_ic_1*0.01</v>
      </c>
      <c r="I74" s="58" t="s">
        <v>46</v>
      </c>
      <c r="J74" s="58"/>
      <c r="K74" s="57"/>
      <c r="L74" s="57"/>
      <c r="M74" s="57"/>
      <c r="N74" s="57" t="s">
        <v>42</v>
      </c>
      <c r="O74" s="58"/>
      <c r="P74" s="58"/>
    </row>
    <row r="75" spans="1:16" x14ac:dyDescent="0.25">
      <c r="A75" s="56" t="s">
        <v>363</v>
      </c>
      <c r="B75" s="57" t="s">
        <v>465</v>
      </c>
      <c r="C75" s="57" t="s">
        <v>427</v>
      </c>
      <c r="D75" s="57">
        <v>1</v>
      </c>
      <c r="E75" s="57"/>
      <c r="F75" s="57"/>
      <c r="G75" s="57"/>
      <c r="H75" s="58" t="str">
        <f>A73</f>
        <v>test_ab_f3f4_und_nic</v>
      </c>
      <c r="I75" s="58" t="s">
        <v>46</v>
      </c>
      <c r="J75" s="58"/>
      <c r="K75" s="57"/>
      <c r="L75" s="57"/>
      <c r="M75" s="57"/>
      <c r="N75" s="57" t="s">
        <v>42</v>
      </c>
      <c r="O75" s="58"/>
      <c r="P75" s="58"/>
    </row>
    <row r="76" spans="1:16" x14ac:dyDescent="0.25">
      <c r="A76" s="56" t="s">
        <v>380</v>
      </c>
      <c r="B76" s="57" t="s">
        <v>466</v>
      </c>
      <c r="C76" s="57" t="s">
        <v>427</v>
      </c>
      <c r="D76" s="57">
        <v>1</v>
      </c>
      <c r="E76" s="57"/>
      <c r="F76" s="57"/>
      <c r="G76" s="57"/>
      <c r="H76" s="58" t="str">
        <f>A68&amp;"*0.01"</f>
        <v>test_pcr_f3f4_ab_ic_1*0.01</v>
      </c>
      <c r="I76" s="58" t="s">
        <v>46</v>
      </c>
      <c r="J76" s="58"/>
      <c r="K76" s="57"/>
      <c r="L76" s="57"/>
      <c r="M76" s="57"/>
      <c r="N76" s="57" t="s">
        <v>42</v>
      </c>
      <c r="O76" s="58"/>
      <c r="P76" s="58"/>
    </row>
    <row r="77" spans="1:16" x14ac:dyDescent="0.25">
      <c r="A77" s="56" t="s">
        <v>383</v>
      </c>
      <c r="B77" s="57" t="s">
        <v>467</v>
      </c>
      <c r="C77" s="57" t="s">
        <v>427</v>
      </c>
      <c r="D77" s="57">
        <v>1</v>
      </c>
      <c r="E77" s="57"/>
      <c r="F77" s="57"/>
      <c r="G77" s="57"/>
      <c r="H77" s="58" t="str">
        <f>A73</f>
        <v>test_ab_f3f4_und_nic</v>
      </c>
      <c r="I77" s="58" t="s">
        <v>46</v>
      </c>
      <c r="J77" s="58"/>
      <c r="K77" s="57"/>
      <c r="L77" s="57"/>
      <c r="M77" s="57"/>
      <c r="N77" s="57" t="s">
        <v>42</v>
      </c>
      <c r="O77" s="58"/>
      <c r="P77" s="58"/>
    </row>
    <row r="78" spans="1:16" x14ac:dyDescent="0.25">
      <c r="A78" s="56"/>
      <c r="B78" s="57"/>
      <c r="C78" s="57"/>
      <c r="D78" s="57"/>
      <c r="E78" s="57"/>
      <c r="F78" s="57"/>
      <c r="G78" s="57"/>
      <c r="H78" s="58"/>
      <c r="I78" s="58"/>
      <c r="J78" s="58"/>
      <c r="K78" s="57"/>
      <c r="L78" s="57"/>
      <c r="M78" s="57"/>
      <c r="N78" s="57"/>
      <c r="O78" s="58"/>
      <c r="P78" s="58"/>
    </row>
    <row r="79" spans="1:16" x14ac:dyDescent="0.25">
      <c r="A79" s="56" t="s">
        <v>1037</v>
      </c>
      <c r="B79" s="57" t="s">
        <v>1058</v>
      </c>
      <c r="C79" s="57" t="s">
        <v>427</v>
      </c>
      <c r="D79" s="57">
        <v>1</v>
      </c>
      <c r="E79" s="57">
        <v>0</v>
      </c>
      <c r="F79" s="57"/>
      <c r="G79" s="57"/>
      <c r="H79" s="58"/>
      <c r="I79" s="58"/>
      <c r="J79" s="58"/>
      <c r="K79" s="57" t="s">
        <v>41</v>
      </c>
      <c r="L79" s="57"/>
      <c r="M79" s="57"/>
      <c r="N79" s="57" t="s">
        <v>42</v>
      </c>
      <c r="O79" s="58"/>
      <c r="P79" s="58"/>
    </row>
    <row r="80" spans="1:16" x14ac:dyDescent="0.25">
      <c r="A80" s="56" t="s">
        <v>1038</v>
      </c>
      <c r="B80" s="57" t="s">
        <v>1059</v>
      </c>
      <c r="C80" s="57" t="s">
        <v>427</v>
      </c>
      <c r="D80" s="57">
        <v>1</v>
      </c>
      <c r="E80" s="57">
        <v>0</v>
      </c>
      <c r="F80" s="57"/>
      <c r="G80" s="57"/>
      <c r="H80" s="58"/>
      <c r="I80" s="58"/>
      <c r="J80" s="58"/>
      <c r="K80" s="57" t="s">
        <v>41</v>
      </c>
      <c r="L80" s="57"/>
      <c r="M80" s="57"/>
      <c r="N80" s="57" t="s">
        <v>42</v>
      </c>
      <c r="O80" s="58"/>
      <c r="P80" s="58"/>
    </row>
    <row r="81" spans="1:16" x14ac:dyDescent="0.25">
      <c r="A81" s="56" t="s">
        <v>1039</v>
      </c>
      <c r="B81" s="57" t="s">
        <v>1060</v>
      </c>
      <c r="C81" s="57" t="s">
        <v>427</v>
      </c>
      <c r="D81" s="57">
        <v>1</v>
      </c>
      <c r="E81" s="57">
        <v>0</v>
      </c>
      <c r="F81" s="57"/>
      <c r="G81" s="57"/>
      <c r="H81" s="58"/>
      <c r="I81" s="58"/>
      <c r="J81" s="58"/>
      <c r="K81" s="57" t="s">
        <v>41</v>
      </c>
      <c r="L81" s="57"/>
      <c r="M81" s="57"/>
      <c r="N81" s="57" t="s">
        <v>42</v>
      </c>
      <c r="O81" s="58"/>
      <c r="P81" s="58"/>
    </row>
    <row r="82" spans="1:16" x14ac:dyDescent="0.25">
      <c r="A82" s="56" t="s">
        <v>1040</v>
      </c>
      <c r="B82" s="57" t="s">
        <v>1061</v>
      </c>
      <c r="C82" s="57" t="s">
        <v>427</v>
      </c>
      <c r="D82" s="57">
        <v>1</v>
      </c>
      <c r="E82" s="57">
        <v>0</v>
      </c>
      <c r="F82" s="57"/>
      <c r="G82" s="57"/>
      <c r="H82" s="58"/>
      <c r="I82" s="58"/>
      <c r="J82" s="58"/>
      <c r="K82" s="57" t="s">
        <v>41</v>
      </c>
      <c r="L82" s="57"/>
      <c r="M82" s="57"/>
      <c r="N82" s="57" t="s">
        <v>42</v>
      </c>
      <c r="O82" s="58"/>
      <c r="P82" s="58"/>
    </row>
    <row r="83" spans="1:16" x14ac:dyDescent="0.25">
      <c r="A83" s="56" t="s">
        <v>1041</v>
      </c>
      <c r="B83" s="57" t="s">
        <v>1062</v>
      </c>
      <c r="C83" s="57" t="s">
        <v>427</v>
      </c>
      <c r="D83" s="57">
        <v>1</v>
      </c>
      <c r="E83" s="57">
        <v>0</v>
      </c>
      <c r="F83" s="57"/>
      <c r="G83" s="57"/>
      <c r="H83" s="58"/>
      <c r="I83" s="58"/>
      <c r="J83" s="58"/>
      <c r="K83" s="57" t="s">
        <v>41</v>
      </c>
      <c r="L83" s="57"/>
      <c r="M83" s="57"/>
      <c r="N83" s="57" t="s">
        <v>42</v>
      </c>
      <c r="O83" s="58"/>
      <c r="P83" s="58"/>
    </row>
    <row r="84" spans="1:16" x14ac:dyDescent="0.25">
      <c r="A84" s="56" t="s">
        <v>1042</v>
      </c>
      <c r="B84" s="57" t="s">
        <v>1063</v>
      </c>
      <c r="C84" s="57" t="s">
        <v>427</v>
      </c>
      <c r="D84" s="57">
        <v>1</v>
      </c>
      <c r="E84" s="57">
        <v>0</v>
      </c>
      <c r="F84" s="57"/>
      <c r="G84" s="57"/>
      <c r="H84" s="58"/>
      <c r="I84" s="58"/>
      <c r="J84" s="58"/>
      <c r="K84" s="57" t="s">
        <v>41</v>
      </c>
      <c r="L84" s="57"/>
      <c r="M84" s="57"/>
      <c r="N84" s="57" t="s">
        <v>42</v>
      </c>
      <c r="O84" s="58"/>
      <c r="P84" s="58"/>
    </row>
    <row r="85" spans="1:16" x14ac:dyDescent="0.25">
      <c r="A85" s="56" t="s">
        <v>1043</v>
      </c>
      <c r="B85" s="57" t="s">
        <v>1064</v>
      </c>
      <c r="C85" s="57" t="s">
        <v>427</v>
      </c>
      <c r="D85" s="57">
        <v>1</v>
      </c>
      <c r="E85" s="57">
        <v>0</v>
      </c>
      <c r="F85" s="57"/>
      <c r="G85" s="57"/>
      <c r="H85" s="58"/>
      <c r="I85" s="58"/>
      <c r="J85" s="58"/>
      <c r="K85" s="57" t="s">
        <v>41</v>
      </c>
      <c r="L85" s="57"/>
      <c r="M85" s="57"/>
      <c r="N85" s="57" t="s">
        <v>42</v>
      </c>
      <c r="O85" s="58"/>
      <c r="P85" s="58"/>
    </row>
    <row r="86" spans="1:16" x14ac:dyDescent="0.25">
      <c r="A86" s="56" t="s">
        <v>1044</v>
      </c>
      <c r="B86" s="57" t="s">
        <v>1065</v>
      </c>
      <c r="C86" s="57" t="s">
        <v>427</v>
      </c>
      <c r="D86" s="57">
        <v>1</v>
      </c>
      <c r="E86" s="57">
        <v>0</v>
      </c>
      <c r="F86" s="57"/>
      <c r="G86" s="57"/>
      <c r="H86" s="58"/>
      <c r="I86" s="58"/>
      <c r="J86" s="58"/>
      <c r="K86" s="57" t="s">
        <v>41</v>
      </c>
      <c r="L86" s="57"/>
      <c r="M86" s="57"/>
      <c r="N86" s="57" t="s">
        <v>42</v>
      </c>
      <c r="O86" s="58"/>
      <c r="P86" s="58"/>
    </row>
    <row r="87" spans="1:16" x14ac:dyDescent="0.25">
      <c r="A87" s="56"/>
      <c r="B87" s="57"/>
      <c r="C87" s="57"/>
      <c r="D87" s="57"/>
      <c r="E87" s="57"/>
      <c r="F87" s="57"/>
      <c r="G87" s="57"/>
      <c r="H87" s="58"/>
      <c r="I87" s="58"/>
      <c r="J87" s="58"/>
      <c r="K87" s="57"/>
      <c r="L87" s="57"/>
      <c r="M87" s="57"/>
      <c r="N87" s="57"/>
      <c r="O87" s="58"/>
      <c r="P87" s="58"/>
    </row>
    <row r="88" spans="1:16" x14ac:dyDescent="0.25">
      <c r="A88" s="56" t="s">
        <v>1045</v>
      </c>
      <c r="B88" s="57" t="s">
        <v>1021</v>
      </c>
      <c r="C88" s="57" t="s">
        <v>430</v>
      </c>
      <c r="D88" s="57"/>
      <c r="E88" s="57">
        <v>0</v>
      </c>
      <c r="F88" s="57">
        <v>0</v>
      </c>
      <c r="G88" s="57"/>
      <c r="H88" s="58"/>
      <c r="I88" s="58"/>
      <c r="J88" s="58"/>
      <c r="K88" s="57" t="s">
        <v>39</v>
      </c>
      <c r="L88" s="57"/>
      <c r="M88" s="57"/>
      <c r="N88" s="57" t="s">
        <v>42</v>
      </c>
      <c r="O88" s="58"/>
      <c r="P88" s="58"/>
    </row>
    <row r="89" spans="1:16" x14ac:dyDescent="0.25">
      <c r="A89" s="56" t="s">
        <v>364</v>
      </c>
      <c r="B89" s="57" t="s">
        <v>468</v>
      </c>
      <c r="C89" s="57" t="s">
        <v>430</v>
      </c>
      <c r="D89" s="57"/>
      <c r="E89" s="57"/>
      <c r="F89" s="57">
        <v>0</v>
      </c>
      <c r="G89" s="57"/>
      <c r="H89" s="58" t="s">
        <v>1046</v>
      </c>
      <c r="I89" s="58"/>
      <c r="J89" s="58"/>
      <c r="K89" s="57"/>
      <c r="L89" s="57"/>
      <c r="M89" s="57"/>
      <c r="N89" s="57" t="s">
        <v>42</v>
      </c>
      <c r="O89" s="58"/>
      <c r="P89" s="58"/>
    </row>
    <row r="90" spans="1:16" x14ac:dyDescent="0.25">
      <c r="A90" s="56" t="s">
        <v>1047</v>
      </c>
      <c r="B90" s="57" t="s">
        <v>1024</v>
      </c>
      <c r="C90" s="57" t="s">
        <v>430</v>
      </c>
      <c r="D90" s="57"/>
      <c r="E90" s="57">
        <v>0</v>
      </c>
      <c r="F90" s="57">
        <v>0</v>
      </c>
      <c r="G90" s="57"/>
      <c r="H90" s="58"/>
      <c r="I90" s="58"/>
      <c r="J90" s="58"/>
      <c r="K90" s="57" t="s">
        <v>39</v>
      </c>
      <c r="L90" s="57"/>
      <c r="M90" s="57"/>
      <c r="N90" s="57" t="s">
        <v>42</v>
      </c>
      <c r="O90" s="58"/>
      <c r="P90" s="58"/>
    </row>
    <row r="91" spans="1:16" x14ac:dyDescent="0.25">
      <c r="A91" s="56" t="s">
        <v>384</v>
      </c>
      <c r="B91" s="57" t="s">
        <v>471</v>
      </c>
      <c r="C91" s="57" t="s">
        <v>430</v>
      </c>
      <c r="D91" s="57"/>
      <c r="E91" s="57"/>
      <c r="F91" s="57">
        <v>0</v>
      </c>
      <c r="G91" s="57"/>
      <c r="H91" s="58" t="s">
        <v>1048</v>
      </c>
      <c r="I91" s="58"/>
      <c r="J91" s="58"/>
      <c r="K91" s="57"/>
      <c r="L91" s="57"/>
      <c r="M91" s="57"/>
      <c r="N91" s="57" t="s">
        <v>42</v>
      </c>
      <c r="O91" s="58"/>
      <c r="P91" s="58"/>
    </row>
    <row r="92" spans="1:16" x14ac:dyDescent="0.25">
      <c r="A92" s="56" t="s">
        <v>1051</v>
      </c>
      <c r="B92" s="57" t="s">
        <v>1022</v>
      </c>
      <c r="C92" s="57" t="s">
        <v>430</v>
      </c>
      <c r="D92" s="57"/>
      <c r="E92" s="57">
        <v>0</v>
      </c>
      <c r="F92" s="57">
        <v>0</v>
      </c>
      <c r="G92" s="57"/>
      <c r="H92" s="58"/>
      <c r="I92" s="58"/>
      <c r="J92" s="58"/>
      <c r="K92" s="57" t="s">
        <v>39</v>
      </c>
      <c r="L92" s="57"/>
      <c r="M92" s="57"/>
      <c r="N92" s="57" t="s">
        <v>42</v>
      </c>
      <c r="O92" s="58"/>
      <c r="P92" s="58"/>
    </row>
    <row r="93" spans="1:16" x14ac:dyDescent="0.25">
      <c r="A93" s="56" t="s">
        <v>366</v>
      </c>
      <c r="B93" s="57" t="s">
        <v>469</v>
      </c>
      <c r="C93" s="57" t="s">
        <v>430</v>
      </c>
      <c r="D93" s="57"/>
      <c r="E93" s="57"/>
      <c r="F93" s="57">
        <v>0</v>
      </c>
      <c r="G93" s="57"/>
      <c r="H93" s="58" t="s">
        <v>1052</v>
      </c>
      <c r="I93" s="58"/>
      <c r="J93" s="58"/>
      <c r="K93" s="57"/>
      <c r="L93" s="57"/>
      <c r="M93" s="57"/>
      <c r="N93" s="57" t="s">
        <v>42</v>
      </c>
      <c r="O93" s="58"/>
      <c r="P93" s="58"/>
    </row>
    <row r="94" spans="1:16" x14ac:dyDescent="0.25">
      <c r="A94" s="56" t="s">
        <v>1049</v>
      </c>
      <c r="B94" s="57" t="s">
        <v>1025</v>
      </c>
      <c r="C94" s="57" t="s">
        <v>430</v>
      </c>
      <c r="D94" s="57"/>
      <c r="E94" s="57">
        <v>0</v>
      </c>
      <c r="F94" s="57">
        <v>0</v>
      </c>
      <c r="G94" s="57"/>
      <c r="H94" s="58"/>
      <c r="I94" s="58"/>
      <c r="J94" s="58"/>
      <c r="K94" s="57" t="s">
        <v>39</v>
      </c>
      <c r="L94" s="57"/>
      <c r="M94" s="57"/>
      <c r="N94" s="57" t="s">
        <v>42</v>
      </c>
      <c r="O94" s="58"/>
      <c r="P94" s="58"/>
    </row>
    <row r="95" spans="1:16" x14ac:dyDescent="0.25">
      <c r="A95" s="56" t="s">
        <v>386</v>
      </c>
      <c r="B95" s="57" t="s">
        <v>472</v>
      </c>
      <c r="C95" s="57" t="s">
        <v>430</v>
      </c>
      <c r="D95" s="57"/>
      <c r="E95" s="57"/>
      <c r="F95" s="57">
        <v>0</v>
      </c>
      <c r="G95" s="57"/>
      <c r="H95" s="58" t="s">
        <v>1050</v>
      </c>
      <c r="I95" s="58"/>
      <c r="J95" s="58"/>
      <c r="K95" s="57"/>
      <c r="L95" s="57"/>
      <c r="M95" s="57"/>
      <c r="N95" s="57" t="s">
        <v>42</v>
      </c>
      <c r="O95" s="58"/>
      <c r="P95" s="58"/>
    </row>
    <row r="96" spans="1:16" x14ac:dyDescent="0.25">
      <c r="A96" s="56" t="s">
        <v>1053</v>
      </c>
      <c r="B96" s="57" t="s">
        <v>1023</v>
      </c>
      <c r="C96" s="57" t="s">
        <v>430</v>
      </c>
      <c r="D96" s="57"/>
      <c r="E96" s="57">
        <v>0</v>
      </c>
      <c r="F96" s="57">
        <v>0</v>
      </c>
      <c r="G96" s="57"/>
      <c r="H96" s="58"/>
      <c r="I96" s="58"/>
      <c r="J96" s="58"/>
      <c r="K96" s="57" t="s">
        <v>39</v>
      </c>
      <c r="L96" s="57"/>
      <c r="M96" s="57"/>
      <c r="N96" s="57" t="s">
        <v>42</v>
      </c>
      <c r="O96" s="58"/>
      <c r="P96" s="58"/>
    </row>
    <row r="97" spans="1:16" x14ac:dyDescent="0.25">
      <c r="A97" s="56" t="s">
        <v>371</v>
      </c>
      <c r="B97" s="57" t="s">
        <v>470</v>
      </c>
      <c r="C97" s="57" t="s">
        <v>430</v>
      </c>
      <c r="D97" s="57"/>
      <c r="E97" s="57"/>
      <c r="F97" s="57">
        <v>0</v>
      </c>
      <c r="G97" s="57"/>
      <c r="H97" s="58" t="s">
        <v>1054</v>
      </c>
      <c r="I97" s="58"/>
      <c r="J97" s="58"/>
      <c r="K97" s="57"/>
      <c r="L97" s="57"/>
      <c r="M97" s="57"/>
      <c r="N97" s="57" t="s">
        <v>42</v>
      </c>
      <c r="O97" s="58"/>
      <c r="P97" s="58"/>
    </row>
    <row r="98" spans="1:16" x14ac:dyDescent="0.25">
      <c r="A98" s="56" t="s">
        <v>1055</v>
      </c>
      <c r="B98" s="57" t="s">
        <v>1026</v>
      </c>
      <c r="C98" s="57" t="s">
        <v>430</v>
      </c>
      <c r="D98" s="57"/>
      <c r="E98" s="57">
        <v>0</v>
      </c>
      <c r="F98" s="57">
        <v>0</v>
      </c>
      <c r="G98" s="57"/>
      <c r="H98" s="58"/>
      <c r="I98" s="58"/>
      <c r="J98" s="58"/>
      <c r="K98" s="57" t="s">
        <v>39</v>
      </c>
      <c r="L98" s="57"/>
      <c r="M98" s="57"/>
      <c r="N98" s="57" t="s">
        <v>42</v>
      </c>
      <c r="O98" s="58"/>
      <c r="P98" s="58"/>
    </row>
    <row r="99" spans="1:16" x14ac:dyDescent="0.25">
      <c r="A99" s="56" t="s">
        <v>388</v>
      </c>
      <c r="B99" s="57" t="s">
        <v>473</v>
      </c>
      <c r="C99" s="57" t="s">
        <v>430</v>
      </c>
      <c r="D99" s="57"/>
      <c r="E99" s="57"/>
      <c r="F99" s="57">
        <v>0</v>
      </c>
      <c r="G99" s="57"/>
      <c r="H99" s="58" t="s">
        <v>1056</v>
      </c>
      <c r="I99" s="58"/>
      <c r="J99" s="58"/>
      <c r="K99" s="57"/>
      <c r="L99" s="57"/>
      <c r="M99" s="57"/>
      <c r="N99" s="57" t="s">
        <v>42</v>
      </c>
      <c r="O99" s="58"/>
      <c r="P99" s="58"/>
    </row>
    <row r="100" spans="1:16" x14ac:dyDescent="0.25">
      <c r="A100" s="56"/>
      <c r="B100" s="57"/>
      <c r="C100" s="57"/>
      <c r="D100" s="57"/>
      <c r="E100" s="57"/>
      <c r="F100" s="57"/>
      <c r="G100" s="57"/>
      <c r="H100" s="58"/>
      <c r="I100" s="58"/>
      <c r="J100" s="58"/>
      <c r="K100" s="57"/>
      <c r="L100" s="57"/>
      <c r="M100" s="57"/>
      <c r="N100" s="57"/>
      <c r="O100" s="58"/>
      <c r="P100" s="58"/>
    </row>
    <row r="101" spans="1:16" x14ac:dyDescent="0.25">
      <c r="A101" s="56" t="s">
        <v>1257</v>
      </c>
      <c r="B101" s="57" t="s">
        <v>1258</v>
      </c>
      <c r="C101" s="57"/>
      <c r="D101" s="57"/>
      <c r="E101" s="57"/>
      <c r="F101" s="57">
        <v>0</v>
      </c>
      <c r="G101" s="57">
        <v>1</v>
      </c>
      <c r="H101" s="58"/>
      <c r="I101" s="58"/>
      <c r="J101" s="58"/>
      <c r="K101" s="57" t="s">
        <v>37</v>
      </c>
      <c r="L101" s="57"/>
      <c r="M101" s="57"/>
      <c r="N101" s="57"/>
      <c r="O101" s="58"/>
      <c r="P101" s="58"/>
    </row>
    <row r="102" spans="1:16" x14ac:dyDescent="0.25">
      <c r="A102" s="56" t="s">
        <v>1259</v>
      </c>
      <c r="B102" s="57" t="s">
        <v>1260</v>
      </c>
      <c r="C102" s="57"/>
      <c r="D102" s="57"/>
      <c r="E102" s="57"/>
      <c r="F102" s="57">
        <v>0</v>
      </c>
      <c r="G102" s="57">
        <v>1</v>
      </c>
      <c r="H102" s="58"/>
      <c r="I102" s="58"/>
      <c r="J102" s="58"/>
      <c r="K102" s="57" t="s">
        <v>37</v>
      </c>
      <c r="L102" s="57"/>
      <c r="M102" s="57"/>
      <c r="N102" s="57"/>
      <c r="O102" s="58"/>
      <c r="P102" s="58"/>
    </row>
    <row r="103" spans="1:16" x14ac:dyDescent="0.25">
      <c r="A103" s="56" t="s">
        <v>1554</v>
      </c>
      <c r="B103" s="57" t="s">
        <v>1556</v>
      </c>
      <c r="C103" s="57"/>
      <c r="D103" s="57"/>
      <c r="E103" s="57"/>
      <c r="F103" s="57">
        <v>0</v>
      </c>
      <c r="G103" s="57">
        <v>1</v>
      </c>
      <c r="H103" s="58"/>
      <c r="I103" s="58"/>
      <c r="J103" s="58"/>
      <c r="K103" s="57" t="s">
        <v>37</v>
      </c>
      <c r="L103" s="57"/>
      <c r="M103" s="57"/>
      <c r="N103" s="57"/>
      <c r="O103" s="58"/>
      <c r="P103" s="58"/>
    </row>
    <row r="104" spans="1:16" x14ac:dyDescent="0.25">
      <c r="A104" s="56" t="s">
        <v>1555</v>
      </c>
      <c r="B104" s="57" t="s">
        <v>1557</v>
      </c>
      <c r="C104" s="57"/>
      <c r="D104" s="57"/>
      <c r="E104" s="57"/>
      <c r="F104" s="57">
        <v>0</v>
      </c>
      <c r="G104" s="57">
        <v>1</v>
      </c>
      <c r="H104" s="58"/>
      <c r="I104" s="58"/>
      <c r="J104" s="58"/>
      <c r="K104" s="57" t="s">
        <v>37</v>
      </c>
      <c r="L104" s="57"/>
      <c r="M104" s="57"/>
      <c r="N104" s="57"/>
      <c r="O104" s="58"/>
      <c r="P104" s="58"/>
    </row>
    <row r="105" spans="1:16" x14ac:dyDescent="0.25">
      <c r="A105" s="56" t="s">
        <v>1172</v>
      </c>
      <c r="B105" s="57" t="s">
        <v>482</v>
      </c>
      <c r="C105" s="57" t="s">
        <v>425</v>
      </c>
      <c r="D105" s="57">
        <v>1</v>
      </c>
      <c r="E105" s="57"/>
      <c r="F105" s="57"/>
      <c r="G105" s="57"/>
      <c r="H105" s="58" t="s">
        <v>1562</v>
      </c>
      <c r="I105" s="58"/>
      <c r="J105" s="58"/>
      <c r="K105" s="57"/>
      <c r="L105" s="57"/>
      <c r="M105" s="57"/>
      <c r="N105" s="57" t="s">
        <v>42</v>
      </c>
      <c r="O105" s="58"/>
      <c r="P105" s="58"/>
    </row>
    <row r="106" spans="1:16" x14ac:dyDescent="0.25">
      <c r="A106" s="56" t="s">
        <v>368</v>
      </c>
      <c r="B106" s="57" t="s">
        <v>476</v>
      </c>
      <c r="C106" s="57" t="s">
        <v>475</v>
      </c>
      <c r="D106" s="57">
        <v>1</v>
      </c>
      <c r="E106" s="57"/>
      <c r="F106" s="57"/>
      <c r="G106" s="57"/>
      <c r="H106" s="58"/>
      <c r="I106" s="58"/>
      <c r="J106" s="58"/>
      <c r="K106" s="57" t="s">
        <v>37</v>
      </c>
      <c r="L106" s="57"/>
      <c r="M106" s="57"/>
      <c r="N106" s="57" t="s">
        <v>42</v>
      </c>
      <c r="O106" s="58"/>
      <c r="P106" s="58"/>
    </row>
    <row r="107" spans="1:16" x14ac:dyDescent="0.25">
      <c r="A107" s="56" t="s">
        <v>370</v>
      </c>
      <c r="B107" s="57" t="s">
        <v>477</v>
      </c>
      <c r="C107" s="57" t="s">
        <v>430</v>
      </c>
      <c r="D107" s="57"/>
      <c r="E107" s="57"/>
      <c r="F107" s="57"/>
      <c r="G107" s="57"/>
      <c r="H107" s="58"/>
      <c r="I107" s="58"/>
      <c r="J107" s="58"/>
      <c r="K107" s="57" t="s">
        <v>37</v>
      </c>
      <c r="L107" s="57"/>
      <c r="M107" s="57"/>
      <c r="N107" s="57" t="s">
        <v>42</v>
      </c>
      <c r="O107" s="58"/>
      <c r="P107" s="58"/>
    </row>
    <row r="108" spans="1:16" x14ac:dyDescent="0.25">
      <c r="A108" s="56" t="s">
        <v>369</v>
      </c>
      <c r="B108" s="57" t="s">
        <v>480</v>
      </c>
      <c r="C108" s="57" t="s">
        <v>430</v>
      </c>
      <c r="D108" s="57"/>
      <c r="E108" s="57"/>
      <c r="F108" s="57">
        <v>0</v>
      </c>
      <c r="G108" s="57">
        <v>1</v>
      </c>
      <c r="H108" s="58" t="s">
        <v>478</v>
      </c>
      <c r="I108" s="58"/>
      <c r="J108" s="58"/>
      <c r="K108" s="57"/>
      <c r="L108" s="57"/>
      <c r="M108" s="57"/>
      <c r="N108" s="57" t="s">
        <v>42</v>
      </c>
      <c r="O108" s="58"/>
      <c r="P108" s="58"/>
    </row>
    <row r="109" spans="1:16" x14ac:dyDescent="0.25">
      <c r="A109" s="56" t="s">
        <v>1180</v>
      </c>
      <c r="B109" s="57" t="s">
        <v>1183</v>
      </c>
      <c r="C109" s="57" t="s">
        <v>430</v>
      </c>
      <c r="D109" s="57"/>
      <c r="E109" s="57">
        <v>0</v>
      </c>
      <c r="F109" s="57">
        <v>0</v>
      </c>
      <c r="G109" s="57">
        <v>1</v>
      </c>
      <c r="H109" s="58"/>
      <c r="I109" s="58"/>
      <c r="J109" s="58"/>
      <c r="K109" s="57" t="s">
        <v>37</v>
      </c>
      <c r="L109" s="57"/>
      <c r="M109" s="57"/>
      <c r="N109" s="57" t="s">
        <v>42</v>
      </c>
      <c r="O109" s="58"/>
      <c r="P109" s="58"/>
    </row>
    <row r="110" spans="1:16" x14ac:dyDescent="0.25">
      <c r="A110" s="56"/>
      <c r="B110" s="57"/>
      <c r="C110" s="57"/>
      <c r="D110" s="57"/>
      <c r="E110" s="57"/>
      <c r="F110" s="57"/>
      <c r="G110" s="57"/>
      <c r="H110" s="58"/>
      <c r="I110" s="58"/>
      <c r="J110" s="58"/>
      <c r="K110" s="57"/>
      <c r="L110" s="57"/>
      <c r="M110" s="57"/>
      <c r="N110" s="57"/>
      <c r="O110" s="58"/>
      <c r="P110" s="58"/>
    </row>
    <row r="111" spans="1:16" x14ac:dyDescent="0.25">
      <c r="A111" s="56" t="s">
        <v>398</v>
      </c>
      <c r="B111" s="57" t="s">
        <v>483</v>
      </c>
      <c r="C111" s="57" t="s">
        <v>427</v>
      </c>
      <c r="D111" s="57">
        <v>1</v>
      </c>
      <c r="E111" s="57"/>
      <c r="F111" s="57"/>
      <c r="G111" s="57"/>
      <c r="H111" s="58"/>
      <c r="I111" s="58"/>
      <c r="J111" s="58"/>
      <c r="K111" s="57" t="s">
        <v>446</v>
      </c>
      <c r="L111" s="57"/>
      <c r="M111" s="57"/>
      <c r="N111" s="57" t="s">
        <v>42</v>
      </c>
      <c r="O111" s="58"/>
      <c r="P111" s="58"/>
    </row>
    <row r="112" spans="1:16" x14ac:dyDescent="0.25">
      <c r="A112" s="56" t="s">
        <v>407</v>
      </c>
      <c r="B112" s="57" t="s">
        <v>485</v>
      </c>
      <c r="C112" s="57" t="s">
        <v>427</v>
      </c>
      <c r="D112" s="57">
        <v>1</v>
      </c>
      <c r="E112" s="57"/>
      <c r="F112" s="57"/>
      <c r="G112" s="57"/>
      <c r="H112" s="58"/>
      <c r="I112" s="58"/>
      <c r="J112" s="58"/>
      <c r="K112" s="57" t="s">
        <v>446</v>
      </c>
      <c r="L112" s="57"/>
      <c r="M112" s="57"/>
      <c r="N112" s="57" t="s">
        <v>42</v>
      </c>
      <c r="O112" s="58"/>
      <c r="P112" s="58"/>
    </row>
    <row r="113" spans="1:16" x14ac:dyDescent="0.25">
      <c r="A113" s="56" t="s">
        <v>402</v>
      </c>
      <c r="B113" s="57" t="s">
        <v>484</v>
      </c>
      <c r="C113" s="57" t="s">
        <v>475</v>
      </c>
      <c r="D113" s="57">
        <v>1</v>
      </c>
      <c r="E113" s="57">
        <v>1</v>
      </c>
      <c r="F113" s="57"/>
      <c r="G113" s="57"/>
      <c r="H113" s="58"/>
      <c r="I113" s="58"/>
      <c r="J113" s="58"/>
      <c r="K113" s="57" t="s">
        <v>446</v>
      </c>
      <c r="L113" s="57"/>
      <c r="M113" s="57"/>
      <c r="N113" s="57" t="s">
        <v>42</v>
      </c>
      <c r="O113" s="58"/>
      <c r="P113" s="58"/>
    </row>
    <row r="114" spans="1:16" x14ac:dyDescent="0.25">
      <c r="A114" s="59" t="s">
        <v>410</v>
      </c>
      <c r="B114" s="60" t="s">
        <v>486</v>
      </c>
      <c r="C114" s="60" t="s">
        <v>475</v>
      </c>
      <c r="D114" s="60">
        <v>1</v>
      </c>
      <c r="E114" s="60">
        <v>1</v>
      </c>
      <c r="F114" s="60"/>
      <c r="G114" s="60"/>
      <c r="H114" s="61"/>
      <c r="I114" s="61"/>
      <c r="J114" s="61"/>
      <c r="K114" s="60" t="s">
        <v>446</v>
      </c>
      <c r="L114" s="60"/>
      <c r="M114" s="60"/>
      <c r="N114" s="60" t="s">
        <v>42</v>
      </c>
      <c r="O114" s="61"/>
      <c r="P114" s="61"/>
    </row>
    <row r="116" spans="1:16" x14ac:dyDescent="0.25">
      <c r="A116" s="62" t="s">
        <v>1222</v>
      </c>
      <c r="B116" s="63" t="s">
        <v>1029</v>
      </c>
      <c r="C116" s="63" t="s">
        <v>425</v>
      </c>
      <c r="D116" s="63">
        <v>1</v>
      </c>
      <c r="E116" s="63"/>
      <c r="F116" s="63"/>
      <c r="G116" s="63"/>
      <c r="H116" s="64" t="s">
        <v>509</v>
      </c>
      <c r="I116" s="64"/>
      <c r="J116" s="64"/>
      <c r="K116" s="63" t="s">
        <v>481</v>
      </c>
      <c r="L116" s="63"/>
      <c r="M116" s="63"/>
      <c r="N116" s="62" t="s">
        <v>42</v>
      </c>
      <c r="O116" s="64"/>
      <c r="P116" s="64"/>
    </row>
    <row r="117" spans="1:16" x14ac:dyDescent="0.25">
      <c r="A117" s="65" t="s">
        <v>1254</v>
      </c>
      <c r="B117" s="66" t="s">
        <v>1261</v>
      </c>
      <c r="C117" s="66" t="s">
        <v>425</v>
      </c>
      <c r="D117" s="66">
        <v>1</v>
      </c>
      <c r="E117" s="66"/>
      <c r="F117" s="66"/>
      <c r="G117" s="66"/>
      <c r="H117" s="67"/>
      <c r="I117" s="67"/>
      <c r="J117" s="67"/>
      <c r="K117" s="66" t="s">
        <v>1268</v>
      </c>
      <c r="L117" s="66"/>
      <c r="M117" s="66"/>
      <c r="N117" s="65" t="s">
        <v>42</v>
      </c>
      <c r="O117" s="67"/>
      <c r="P117" s="67"/>
    </row>
    <row r="118" spans="1:16" x14ac:dyDescent="0.25">
      <c r="A118" s="65" t="s">
        <v>487</v>
      </c>
      <c r="B118" s="66" t="s">
        <v>1031</v>
      </c>
      <c r="C118" s="66" t="s">
        <v>425</v>
      </c>
      <c r="D118" s="66">
        <v>1</v>
      </c>
      <c r="E118" s="66"/>
      <c r="F118" s="66"/>
      <c r="G118" s="66"/>
      <c r="H118" s="67" t="s">
        <v>421</v>
      </c>
      <c r="I118" s="67"/>
      <c r="J118" s="67"/>
      <c r="K118" s="66" t="s">
        <v>481</v>
      </c>
      <c r="L118" s="66"/>
      <c r="M118" s="66"/>
      <c r="N118" s="66" t="s">
        <v>42</v>
      </c>
      <c r="O118" s="67"/>
      <c r="P118" s="67"/>
    </row>
    <row r="119" spans="1:16" x14ac:dyDescent="0.25">
      <c r="A119" s="65" t="s">
        <v>1230</v>
      </c>
      <c r="B119" s="66" t="s">
        <v>1231</v>
      </c>
      <c r="C119" s="66" t="s">
        <v>425</v>
      </c>
      <c r="D119" s="66">
        <v>1</v>
      </c>
      <c r="E119" s="66"/>
      <c r="F119" s="66"/>
      <c r="G119" s="66"/>
      <c r="H119" s="67" t="s">
        <v>580</v>
      </c>
      <c r="I119" s="67"/>
      <c r="J119" s="67"/>
      <c r="K119" s="66" t="s">
        <v>481</v>
      </c>
      <c r="L119" s="66"/>
      <c r="M119" s="66"/>
      <c r="N119" s="66" t="s">
        <v>42</v>
      </c>
      <c r="O119" s="67"/>
      <c r="P119" s="67"/>
    </row>
    <row r="120" spans="1:16" x14ac:dyDescent="0.25">
      <c r="A120" s="65" t="s">
        <v>1221</v>
      </c>
      <c r="B120" s="66" t="s">
        <v>1229</v>
      </c>
      <c r="C120" s="66" t="s">
        <v>425</v>
      </c>
      <c r="D120" s="66">
        <v>1</v>
      </c>
      <c r="E120" s="66"/>
      <c r="F120" s="66"/>
      <c r="G120" s="66"/>
      <c r="H120" s="67" t="s">
        <v>543</v>
      </c>
      <c r="I120" s="67"/>
      <c r="J120" s="67"/>
      <c r="K120" s="66" t="s">
        <v>481</v>
      </c>
      <c r="L120" s="66"/>
      <c r="M120" s="66"/>
      <c r="N120" s="66" t="s">
        <v>42</v>
      </c>
      <c r="O120" s="67"/>
      <c r="P120" s="67"/>
    </row>
    <row r="121" spans="1:16" x14ac:dyDescent="0.25">
      <c r="A121" s="65" t="s">
        <v>1264</v>
      </c>
      <c r="B121" s="66" t="s">
        <v>1265</v>
      </c>
      <c r="C121" s="66" t="s">
        <v>425</v>
      </c>
      <c r="D121" s="66">
        <v>1</v>
      </c>
      <c r="E121" s="66"/>
      <c r="F121" s="66"/>
      <c r="G121" s="66"/>
      <c r="H121" s="67" t="s">
        <v>1214</v>
      </c>
      <c r="I121" s="67"/>
      <c r="J121" s="67"/>
      <c r="K121" s="66" t="s">
        <v>481</v>
      </c>
      <c r="L121" s="66"/>
      <c r="M121" s="66"/>
      <c r="N121" s="66" t="s">
        <v>42</v>
      </c>
      <c r="O121" s="67"/>
      <c r="P121" s="67"/>
    </row>
    <row r="122" spans="1:16" x14ac:dyDescent="0.25">
      <c r="A122" s="65" t="s">
        <v>613</v>
      </c>
      <c r="B122" s="66" t="s">
        <v>1518</v>
      </c>
      <c r="C122" s="66" t="s">
        <v>425</v>
      </c>
      <c r="D122" s="66">
        <v>1</v>
      </c>
      <c r="E122" s="66"/>
      <c r="F122" s="66"/>
      <c r="G122" s="66"/>
      <c r="H122" s="67" t="s">
        <v>1171</v>
      </c>
      <c r="I122" s="67"/>
      <c r="J122" s="67"/>
      <c r="K122" s="66" t="s">
        <v>1268</v>
      </c>
      <c r="L122" s="66"/>
      <c r="M122" s="66"/>
      <c r="N122" s="66"/>
      <c r="O122" s="67"/>
      <c r="P122" s="67"/>
    </row>
    <row r="123" spans="1:16" x14ac:dyDescent="0.25">
      <c r="A123" s="65"/>
      <c r="B123" s="66"/>
      <c r="C123" s="66"/>
      <c r="D123" s="66"/>
      <c r="E123" s="66"/>
      <c r="F123" s="66"/>
      <c r="G123" s="66"/>
      <c r="H123" s="67"/>
      <c r="I123" s="67"/>
      <c r="J123" s="67"/>
      <c r="K123" s="66"/>
      <c r="L123" s="66"/>
      <c r="M123" s="66"/>
      <c r="N123" s="66"/>
      <c r="O123" s="67"/>
      <c r="P123" s="67"/>
    </row>
    <row r="124" spans="1:16" x14ac:dyDescent="0.25">
      <c r="A124" s="65" t="s">
        <v>488</v>
      </c>
      <c r="B124" s="66" t="s">
        <v>1032</v>
      </c>
      <c r="C124" s="66" t="s">
        <v>425</v>
      </c>
      <c r="D124" s="66"/>
      <c r="E124" s="66"/>
      <c r="F124" s="66"/>
      <c r="G124" s="66"/>
      <c r="H124" s="67" t="s">
        <v>1504</v>
      </c>
      <c r="I124" s="67"/>
      <c r="J124" s="67"/>
      <c r="K124" s="66" t="s">
        <v>481</v>
      </c>
      <c r="L124" s="66"/>
      <c r="M124" s="66"/>
      <c r="N124" s="66" t="s">
        <v>42</v>
      </c>
      <c r="O124" s="67"/>
      <c r="P124" s="67"/>
    </row>
    <row r="125" spans="1:16" x14ac:dyDescent="0.25">
      <c r="A125" s="65" t="s">
        <v>489</v>
      </c>
      <c r="B125" s="66" t="s">
        <v>1033</v>
      </c>
      <c r="C125" s="66" t="s">
        <v>425</v>
      </c>
      <c r="D125" s="66"/>
      <c r="E125" s="66"/>
      <c r="F125" s="66"/>
      <c r="G125" s="66"/>
      <c r="H125" s="67" t="s">
        <v>1505</v>
      </c>
      <c r="I125" s="67"/>
      <c r="J125" s="67"/>
      <c r="K125" s="66" t="s">
        <v>481</v>
      </c>
      <c r="L125" s="66"/>
      <c r="M125" s="66"/>
      <c r="N125" s="66" t="s">
        <v>42</v>
      </c>
      <c r="O125" s="67"/>
      <c r="P125" s="67"/>
    </row>
    <row r="126" spans="1:16" x14ac:dyDescent="0.25">
      <c r="A126" s="65" t="s">
        <v>490</v>
      </c>
      <c r="B126" s="66" t="s">
        <v>1498</v>
      </c>
      <c r="C126" s="66" t="s">
        <v>425</v>
      </c>
      <c r="D126" s="66"/>
      <c r="E126" s="66"/>
      <c r="F126" s="66"/>
      <c r="G126" s="66"/>
      <c r="H126" s="67" t="s">
        <v>1500</v>
      </c>
      <c r="I126" s="67"/>
      <c r="J126" s="67"/>
      <c r="K126" s="66" t="s">
        <v>481</v>
      </c>
      <c r="L126" s="66"/>
      <c r="M126" s="66"/>
      <c r="N126" s="66" t="s">
        <v>42</v>
      </c>
      <c r="O126" s="67"/>
      <c r="P126" s="67"/>
    </row>
    <row r="127" spans="1:16" x14ac:dyDescent="0.25">
      <c r="A127" s="65" t="s">
        <v>1217</v>
      </c>
      <c r="B127" s="66" t="s">
        <v>1499</v>
      </c>
      <c r="C127" s="66" t="s">
        <v>425</v>
      </c>
      <c r="D127" s="66"/>
      <c r="E127" s="66"/>
      <c r="F127" s="66"/>
      <c r="G127" s="66"/>
      <c r="H127" s="67" t="s">
        <v>1501</v>
      </c>
      <c r="I127" s="67"/>
      <c r="J127" s="67"/>
      <c r="K127" s="66" t="s">
        <v>481</v>
      </c>
      <c r="L127" s="66"/>
      <c r="M127" s="66"/>
      <c r="N127" s="66" t="s">
        <v>42</v>
      </c>
      <c r="O127" s="67"/>
      <c r="P127" s="67"/>
    </row>
    <row r="128" spans="1:16" x14ac:dyDescent="0.25">
      <c r="A128" s="65" t="s">
        <v>1227</v>
      </c>
      <c r="B128" s="66" t="s">
        <v>1228</v>
      </c>
      <c r="C128" s="66" t="s">
        <v>425</v>
      </c>
      <c r="D128" s="66"/>
      <c r="E128" s="66"/>
      <c r="F128" s="66"/>
      <c r="G128" s="66"/>
      <c r="H128" s="67" t="s">
        <v>1508</v>
      </c>
      <c r="I128" s="67"/>
      <c r="J128" s="67"/>
      <c r="K128" s="66" t="s">
        <v>481</v>
      </c>
      <c r="L128" s="66"/>
      <c r="M128" s="66"/>
      <c r="N128" s="66" t="s">
        <v>42</v>
      </c>
      <c r="O128" s="67"/>
      <c r="P128" s="67"/>
    </row>
    <row r="129" spans="1:16" x14ac:dyDescent="0.25">
      <c r="A129" s="65"/>
      <c r="B129" s="66"/>
      <c r="C129" s="66"/>
      <c r="D129" s="66"/>
      <c r="E129" s="66"/>
      <c r="F129" s="66"/>
      <c r="G129" s="66"/>
      <c r="H129" s="67"/>
      <c r="I129" s="67"/>
      <c r="J129" s="67"/>
      <c r="K129" s="66"/>
      <c r="L129" s="66"/>
      <c r="M129" s="66"/>
      <c r="N129" s="66"/>
      <c r="O129" s="67"/>
      <c r="P129" s="67"/>
    </row>
    <row r="130" spans="1:16" x14ac:dyDescent="0.25">
      <c r="A130" s="65" t="s">
        <v>1132</v>
      </c>
      <c r="B130" s="66" t="s">
        <v>1133</v>
      </c>
      <c r="C130" s="66" t="s">
        <v>425</v>
      </c>
      <c r="D130" s="66">
        <v>1</v>
      </c>
      <c r="E130" s="66"/>
      <c r="F130" s="66"/>
      <c r="G130" s="66"/>
      <c r="H130" s="67" t="s">
        <v>1177</v>
      </c>
      <c r="I130" s="67"/>
      <c r="J130" s="67"/>
      <c r="K130" s="66" t="s">
        <v>481</v>
      </c>
      <c r="L130" s="66"/>
      <c r="M130" s="66"/>
      <c r="N130" s="66" t="s">
        <v>42</v>
      </c>
      <c r="O130" s="67"/>
      <c r="P130" s="67"/>
    </row>
    <row r="131" spans="1:16" x14ac:dyDescent="0.25">
      <c r="A131" s="65" t="s">
        <v>491</v>
      </c>
      <c r="B131" s="66" t="s">
        <v>1034</v>
      </c>
      <c r="C131" s="66" t="s">
        <v>425</v>
      </c>
      <c r="D131" s="66">
        <v>1</v>
      </c>
      <c r="E131" s="66"/>
      <c r="F131" s="66"/>
      <c r="G131" s="66"/>
      <c r="H131" s="67" t="s">
        <v>1232</v>
      </c>
      <c r="I131" s="67"/>
      <c r="J131" s="67"/>
      <c r="K131" s="66" t="s">
        <v>481</v>
      </c>
      <c r="L131" s="66"/>
      <c r="M131" s="66"/>
      <c r="N131" s="66" t="s">
        <v>42</v>
      </c>
      <c r="O131" s="67"/>
      <c r="P131" s="67"/>
    </row>
    <row r="132" spans="1:16" x14ac:dyDescent="0.25">
      <c r="A132" s="65" t="s">
        <v>492</v>
      </c>
      <c r="B132" s="66" t="s">
        <v>1035</v>
      </c>
      <c r="C132" s="66" t="s">
        <v>425</v>
      </c>
      <c r="D132" s="66">
        <v>1</v>
      </c>
      <c r="E132" s="66"/>
      <c r="F132" s="66"/>
      <c r="G132" s="66"/>
      <c r="H132" s="67" t="s">
        <v>1233</v>
      </c>
      <c r="I132" s="67"/>
      <c r="J132" s="67"/>
      <c r="K132" s="66" t="s">
        <v>481</v>
      </c>
      <c r="L132" s="66"/>
      <c r="M132" s="66"/>
      <c r="N132" s="66" t="s">
        <v>42</v>
      </c>
      <c r="O132" s="67"/>
      <c r="P132" s="67"/>
    </row>
    <row r="133" spans="1:16" x14ac:dyDescent="0.25">
      <c r="A133" s="65" t="s">
        <v>1069</v>
      </c>
      <c r="B133" s="66" t="s">
        <v>1073</v>
      </c>
      <c r="C133" s="66" t="s">
        <v>425</v>
      </c>
      <c r="D133" s="66">
        <v>1</v>
      </c>
      <c r="E133" s="66"/>
      <c r="F133" s="66"/>
      <c r="G133" s="66"/>
      <c r="H133" s="67" t="s">
        <v>1070</v>
      </c>
      <c r="I133" s="67"/>
      <c r="J133" s="67"/>
      <c r="K133" s="66" t="s">
        <v>481</v>
      </c>
      <c r="L133" s="66"/>
      <c r="M133" s="66"/>
      <c r="N133" s="66" t="s">
        <v>42</v>
      </c>
      <c r="O133" s="67"/>
      <c r="P133" s="67"/>
    </row>
    <row r="134" spans="1:16" x14ac:dyDescent="0.25">
      <c r="A134" s="65" t="s">
        <v>493</v>
      </c>
      <c r="B134" s="66" t="s">
        <v>1030</v>
      </c>
      <c r="C134" s="66" t="s">
        <v>425</v>
      </c>
      <c r="D134" s="66">
        <v>1</v>
      </c>
      <c r="E134" s="66"/>
      <c r="F134" s="66"/>
      <c r="G134" s="66"/>
      <c r="H134" s="67" t="s">
        <v>538</v>
      </c>
      <c r="I134" s="67"/>
      <c r="J134" s="67"/>
      <c r="K134" s="66" t="s">
        <v>481</v>
      </c>
      <c r="L134" s="66"/>
      <c r="M134" s="66"/>
      <c r="N134" s="66" t="s">
        <v>42</v>
      </c>
      <c r="O134" s="67"/>
      <c r="P134" s="67"/>
    </row>
    <row r="135" spans="1:16" x14ac:dyDescent="0.25">
      <c r="A135" s="68" t="s">
        <v>1219</v>
      </c>
      <c r="B135" s="69" t="s">
        <v>1220</v>
      </c>
      <c r="C135" s="69" t="s">
        <v>425</v>
      </c>
      <c r="D135" s="69">
        <v>1</v>
      </c>
      <c r="E135" s="69"/>
      <c r="F135" s="69"/>
      <c r="G135" s="69"/>
      <c r="H135" s="70" t="s">
        <v>1223</v>
      </c>
      <c r="I135" s="70"/>
      <c r="J135" s="70"/>
      <c r="K135" s="69" t="s">
        <v>481</v>
      </c>
      <c r="L135" s="69"/>
      <c r="M135" s="69"/>
      <c r="N135" s="69" t="s">
        <v>42</v>
      </c>
      <c r="O135" s="70"/>
      <c r="P135" s="70"/>
    </row>
    <row r="137" spans="1:16" x14ac:dyDescent="0.25">
      <c r="A137" s="71" t="s">
        <v>479</v>
      </c>
      <c r="B137" s="72" t="s">
        <v>1173</v>
      </c>
      <c r="C137" s="72" t="s">
        <v>425</v>
      </c>
      <c r="D137" s="72">
        <v>1</v>
      </c>
      <c r="E137" s="72"/>
      <c r="F137" s="72"/>
      <c r="G137" s="72"/>
      <c r="H137" s="73" t="s">
        <v>1182</v>
      </c>
      <c r="I137" s="73"/>
      <c r="J137" s="73"/>
      <c r="K137" s="72"/>
      <c r="L137" s="72"/>
      <c r="M137" s="72"/>
      <c r="N137" s="72" t="s">
        <v>42</v>
      </c>
      <c r="O137" s="73"/>
      <c r="P137" s="73"/>
    </row>
    <row r="138" spans="1:16" x14ac:dyDescent="0.25">
      <c r="A138" s="74" t="s">
        <v>501</v>
      </c>
      <c r="B138" s="75" t="s">
        <v>1174</v>
      </c>
      <c r="C138" s="75" t="s">
        <v>425</v>
      </c>
      <c r="D138" s="75">
        <v>1</v>
      </c>
      <c r="E138" s="75"/>
      <c r="F138" s="75"/>
      <c r="G138" s="75"/>
      <c r="H138" s="76" t="s">
        <v>1181</v>
      </c>
      <c r="I138" s="76"/>
      <c r="J138" s="76"/>
      <c r="K138" s="75"/>
      <c r="L138" s="75"/>
      <c r="M138" s="75"/>
      <c r="N138" s="75" t="s">
        <v>42</v>
      </c>
      <c r="O138" s="76"/>
      <c r="P138" s="76"/>
    </row>
    <row r="139" spans="1:16" x14ac:dyDescent="0.25">
      <c r="A139" s="74" t="s">
        <v>367</v>
      </c>
      <c r="B139" s="75" t="s">
        <v>494</v>
      </c>
      <c r="C139" s="75" t="s">
        <v>425</v>
      </c>
      <c r="D139" s="75">
        <v>1</v>
      </c>
      <c r="E139" s="75"/>
      <c r="F139" s="75"/>
      <c r="G139" s="75"/>
      <c r="H139" s="76" t="s">
        <v>1192</v>
      </c>
      <c r="I139" s="76" t="s">
        <v>46</v>
      </c>
      <c r="J139" s="76"/>
      <c r="K139" s="75"/>
      <c r="L139" s="75"/>
      <c r="M139" s="75"/>
      <c r="N139" s="75" t="s">
        <v>42</v>
      </c>
      <c r="O139" s="76"/>
      <c r="P139" s="76"/>
    </row>
    <row r="140" spans="1:16" x14ac:dyDescent="0.25">
      <c r="A140" s="74" t="s">
        <v>374</v>
      </c>
      <c r="B140" s="75" t="s">
        <v>495</v>
      </c>
      <c r="C140" s="75" t="s">
        <v>425</v>
      </c>
      <c r="D140" s="75">
        <v>1</v>
      </c>
      <c r="E140" s="75"/>
      <c r="F140" s="75"/>
      <c r="G140" s="75"/>
      <c r="H140" s="76" t="s">
        <v>1193</v>
      </c>
      <c r="I140" s="76" t="s">
        <v>46</v>
      </c>
      <c r="J140" s="76"/>
      <c r="K140" s="75"/>
      <c r="L140" s="75"/>
      <c r="M140" s="75"/>
      <c r="N140" s="75" t="s">
        <v>42</v>
      </c>
      <c r="O140" s="76"/>
      <c r="P140" s="76"/>
    </row>
    <row r="141" spans="1:16" x14ac:dyDescent="0.25">
      <c r="A141" s="74" t="s">
        <v>377</v>
      </c>
      <c r="B141" s="75" t="s">
        <v>496</v>
      </c>
      <c r="C141" s="75" t="s">
        <v>425</v>
      </c>
      <c r="D141" s="75">
        <v>1</v>
      </c>
      <c r="E141" s="75"/>
      <c r="F141" s="75"/>
      <c r="G141" s="75"/>
      <c r="H141" s="76" t="s">
        <v>1194</v>
      </c>
      <c r="I141" s="76" t="s">
        <v>46</v>
      </c>
      <c r="J141" s="76"/>
      <c r="K141" s="75"/>
      <c r="L141" s="75"/>
      <c r="M141" s="75"/>
      <c r="N141" s="75" t="s">
        <v>42</v>
      </c>
      <c r="O141" s="76"/>
      <c r="P141" s="76"/>
    </row>
    <row r="142" spans="1:16" x14ac:dyDescent="0.25">
      <c r="A142" s="74" t="s">
        <v>387</v>
      </c>
      <c r="B142" s="75" t="s">
        <v>497</v>
      </c>
      <c r="C142" s="75" t="s">
        <v>425</v>
      </c>
      <c r="D142" s="75">
        <v>1</v>
      </c>
      <c r="E142" s="75"/>
      <c r="F142" s="75"/>
      <c r="G142" s="75"/>
      <c r="H142" s="76" t="s">
        <v>1195</v>
      </c>
      <c r="I142" s="76" t="s">
        <v>46</v>
      </c>
      <c r="J142" s="76"/>
      <c r="K142" s="75"/>
      <c r="L142" s="75"/>
      <c r="M142" s="75"/>
      <c r="N142" s="75" t="s">
        <v>42</v>
      </c>
      <c r="O142" s="76"/>
      <c r="P142" s="76"/>
    </row>
    <row r="143" spans="1:16" x14ac:dyDescent="0.25">
      <c r="A143" s="74" t="s">
        <v>392</v>
      </c>
      <c r="B143" s="75" t="s">
        <v>498</v>
      </c>
      <c r="C143" s="75" t="s">
        <v>425</v>
      </c>
      <c r="D143" s="75">
        <v>1</v>
      </c>
      <c r="E143" s="75"/>
      <c r="F143" s="75"/>
      <c r="G143" s="75"/>
      <c r="H143" s="76" t="s">
        <v>1196</v>
      </c>
      <c r="I143" s="76" t="s">
        <v>46</v>
      </c>
      <c r="J143" s="76"/>
      <c r="K143" s="75"/>
      <c r="L143" s="75"/>
      <c r="M143" s="75"/>
      <c r="N143" s="75" t="s">
        <v>42</v>
      </c>
      <c r="O143" s="76"/>
      <c r="P143" s="76"/>
    </row>
    <row r="144" spans="1:16" x14ac:dyDescent="0.25">
      <c r="A144" s="74" t="s">
        <v>397</v>
      </c>
      <c r="B144" s="75" t="s">
        <v>499</v>
      </c>
      <c r="C144" s="75" t="s">
        <v>425</v>
      </c>
      <c r="D144" s="75">
        <v>1</v>
      </c>
      <c r="E144" s="75"/>
      <c r="F144" s="75"/>
      <c r="G144" s="75"/>
      <c r="H144" s="76" t="s">
        <v>1197</v>
      </c>
      <c r="I144" s="76" t="s">
        <v>46</v>
      </c>
      <c r="J144" s="76"/>
      <c r="K144" s="75"/>
      <c r="L144" s="75"/>
      <c r="M144" s="75"/>
      <c r="N144" s="75" t="s">
        <v>42</v>
      </c>
      <c r="O144" s="76"/>
      <c r="P144" s="76"/>
    </row>
    <row r="145" spans="1:16" x14ac:dyDescent="0.25">
      <c r="A145" s="74" t="s">
        <v>406</v>
      </c>
      <c r="B145" s="75" t="s">
        <v>500</v>
      </c>
      <c r="C145" s="75" t="s">
        <v>425</v>
      </c>
      <c r="D145" s="75">
        <v>1</v>
      </c>
      <c r="E145" s="75"/>
      <c r="F145" s="75"/>
      <c r="G145" s="75"/>
      <c r="H145" s="76" t="s">
        <v>1198</v>
      </c>
      <c r="I145" s="76" t="s">
        <v>46</v>
      </c>
      <c r="J145" s="76"/>
      <c r="K145" s="75"/>
      <c r="L145" s="75"/>
      <c r="M145" s="75"/>
      <c r="N145" s="75" t="s">
        <v>42</v>
      </c>
      <c r="O145" s="76"/>
      <c r="P145" s="76"/>
    </row>
    <row r="146" spans="1:16" x14ac:dyDescent="0.25">
      <c r="A146" s="74" t="s">
        <v>372</v>
      </c>
      <c r="B146" s="75" t="s">
        <v>502</v>
      </c>
      <c r="C146" s="75" t="s">
        <v>425</v>
      </c>
      <c r="D146" s="75">
        <v>1</v>
      </c>
      <c r="E146" s="75"/>
      <c r="F146" s="75"/>
      <c r="G146" s="75"/>
      <c r="H146" s="76" t="s">
        <v>1199</v>
      </c>
      <c r="I146" s="76"/>
      <c r="J146" s="76"/>
      <c r="K146" s="75"/>
      <c r="L146" s="75"/>
      <c r="M146" s="75"/>
      <c r="N146" s="75" t="s">
        <v>42</v>
      </c>
      <c r="O146" s="76"/>
      <c r="P146" s="76"/>
    </row>
    <row r="147" spans="1:16" x14ac:dyDescent="0.25">
      <c r="A147" s="74" t="s">
        <v>375</v>
      </c>
      <c r="B147" s="75" t="s">
        <v>503</v>
      </c>
      <c r="C147" s="75" t="s">
        <v>425</v>
      </c>
      <c r="D147" s="75">
        <v>1</v>
      </c>
      <c r="E147" s="75"/>
      <c r="F147" s="75"/>
      <c r="G147" s="75"/>
      <c r="H147" s="76" t="s">
        <v>1200</v>
      </c>
      <c r="I147" s="76"/>
      <c r="J147" s="76"/>
      <c r="K147" s="75"/>
      <c r="L147" s="75"/>
      <c r="M147" s="75"/>
      <c r="N147" s="75" t="s">
        <v>42</v>
      </c>
      <c r="O147" s="76"/>
      <c r="P147" s="76"/>
    </row>
    <row r="148" spans="1:16" x14ac:dyDescent="0.25">
      <c r="A148" s="74" t="s">
        <v>378</v>
      </c>
      <c r="B148" s="75" t="s">
        <v>504</v>
      </c>
      <c r="C148" s="75" t="s">
        <v>425</v>
      </c>
      <c r="D148" s="75">
        <v>1</v>
      </c>
      <c r="E148" s="75"/>
      <c r="F148" s="75"/>
      <c r="G148" s="75"/>
      <c r="H148" s="76" t="s">
        <v>1201</v>
      </c>
      <c r="I148" s="76"/>
      <c r="J148" s="76"/>
      <c r="K148" s="75"/>
      <c r="L148" s="75"/>
      <c r="M148" s="75"/>
      <c r="N148" s="75" t="s">
        <v>42</v>
      </c>
      <c r="O148" s="76"/>
      <c r="P148" s="76"/>
    </row>
    <row r="149" spans="1:16" x14ac:dyDescent="0.25">
      <c r="A149" s="74" t="s">
        <v>389</v>
      </c>
      <c r="B149" s="75" t="s">
        <v>505</v>
      </c>
      <c r="C149" s="75" t="s">
        <v>425</v>
      </c>
      <c r="D149" s="75">
        <v>1</v>
      </c>
      <c r="E149" s="75"/>
      <c r="F149" s="75"/>
      <c r="G149" s="75"/>
      <c r="H149" s="76" t="s">
        <v>1202</v>
      </c>
      <c r="I149" s="76"/>
      <c r="J149" s="76"/>
      <c r="K149" s="75"/>
      <c r="L149" s="75"/>
      <c r="M149" s="75"/>
      <c r="N149" s="75" t="s">
        <v>42</v>
      </c>
      <c r="O149" s="76"/>
      <c r="P149" s="76"/>
    </row>
    <row r="150" spans="1:16" x14ac:dyDescent="0.25">
      <c r="A150" s="74" t="s">
        <v>393</v>
      </c>
      <c r="B150" s="75" t="s">
        <v>506</v>
      </c>
      <c r="C150" s="75" t="s">
        <v>425</v>
      </c>
      <c r="D150" s="75">
        <v>1</v>
      </c>
      <c r="E150" s="75"/>
      <c r="F150" s="75"/>
      <c r="G150" s="75"/>
      <c r="H150" s="76" t="s">
        <v>1203</v>
      </c>
      <c r="I150" s="76"/>
      <c r="J150" s="76"/>
      <c r="K150" s="75"/>
      <c r="L150" s="75"/>
      <c r="M150" s="75"/>
      <c r="N150" s="75" t="s">
        <v>42</v>
      </c>
      <c r="O150" s="76"/>
      <c r="P150" s="76"/>
    </row>
    <row r="151" spans="1:16" x14ac:dyDescent="0.25">
      <c r="A151" s="74" t="s">
        <v>399</v>
      </c>
      <c r="B151" s="75" t="s">
        <v>507</v>
      </c>
      <c r="C151" s="75" t="s">
        <v>425</v>
      </c>
      <c r="D151" s="75">
        <v>1</v>
      </c>
      <c r="E151" s="75"/>
      <c r="F151" s="75"/>
      <c r="G151" s="75"/>
      <c r="H151" s="76" t="s">
        <v>1204</v>
      </c>
      <c r="I151" s="76"/>
      <c r="J151" s="76"/>
      <c r="K151" s="75"/>
      <c r="L151" s="75"/>
      <c r="M151" s="75"/>
      <c r="N151" s="75" t="s">
        <v>42</v>
      </c>
      <c r="O151" s="76"/>
      <c r="P151" s="76"/>
    </row>
    <row r="152" spans="1:16" x14ac:dyDescent="0.25">
      <c r="A152" s="74" t="s">
        <v>408</v>
      </c>
      <c r="B152" s="75" t="s">
        <v>508</v>
      </c>
      <c r="C152" s="75" t="s">
        <v>425</v>
      </c>
      <c r="D152" s="75">
        <v>1</v>
      </c>
      <c r="E152" s="75"/>
      <c r="F152" s="75"/>
      <c r="G152" s="75"/>
      <c r="H152" s="76" t="s">
        <v>1205</v>
      </c>
      <c r="I152" s="76"/>
      <c r="J152" s="76"/>
      <c r="K152" s="75"/>
      <c r="L152" s="75"/>
      <c r="M152" s="75"/>
      <c r="N152" s="75" t="s">
        <v>42</v>
      </c>
      <c r="O152" s="76"/>
      <c r="P152" s="76"/>
    </row>
    <row r="153" spans="1:16" x14ac:dyDescent="0.25">
      <c r="A153" s="74" t="s">
        <v>509</v>
      </c>
      <c r="B153" s="75" t="s">
        <v>510</v>
      </c>
      <c r="C153" s="75" t="s">
        <v>425</v>
      </c>
      <c r="D153" s="75">
        <v>1</v>
      </c>
      <c r="E153" s="75"/>
      <c r="F153" s="75"/>
      <c r="G153" s="75"/>
      <c r="H153" s="76" t="s">
        <v>1460</v>
      </c>
      <c r="I153" s="76"/>
      <c r="J153" s="76"/>
      <c r="K153" s="75"/>
      <c r="L153" s="75"/>
      <c r="M153" s="75"/>
      <c r="N153" s="75" t="s">
        <v>42</v>
      </c>
      <c r="O153" s="76"/>
      <c r="P153" s="76"/>
    </row>
    <row r="154" spans="1:16" x14ac:dyDescent="0.25">
      <c r="A154" s="74" t="s">
        <v>511</v>
      </c>
      <c r="B154" s="75" t="s">
        <v>1178</v>
      </c>
      <c r="C154" s="75" t="s">
        <v>425</v>
      </c>
      <c r="D154" s="75">
        <v>1</v>
      </c>
      <c r="E154" s="75"/>
      <c r="F154" s="75"/>
      <c r="G154" s="75"/>
      <c r="H154" s="76" t="s">
        <v>512</v>
      </c>
      <c r="I154" s="76"/>
      <c r="J154" s="76"/>
      <c r="K154" s="75"/>
      <c r="L154" s="75"/>
      <c r="M154" s="75"/>
      <c r="N154" s="75" t="s">
        <v>42</v>
      </c>
      <c r="O154" s="76"/>
      <c r="P154" s="76"/>
    </row>
    <row r="155" spans="1:16" x14ac:dyDescent="0.25">
      <c r="A155" s="74" t="s">
        <v>1177</v>
      </c>
      <c r="B155" s="75" t="s">
        <v>1179</v>
      </c>
      <c r="C155" s="75" t="s">
        <v>425</v>
      </c>
      <c r="D155" s="75">
        <v>1</v>
      </c>
      <c r="E155" s="75"/>
      <c r="F155" s="75"/>
      <c r="G155" s="75"/>
      <c r="H155" s="76" t="s">
        <v>1516</v>
      </c>
      <c r="I155" s="76"/>
      <c r="J155" s="76"/>
      <c r="K155" s="75"/>
      <c r="L155" s="75"/>
      <c r="M155" s="75"/>
      <c r="N155" s="75" t="s">
        <v>42</v>
      </c>
      <c r="O155" s="76"/>
      <c r="P155" s="76"/>
    </row>
    <row r="156" spans="1:16" x14ac:dyDescent="0.25">
      <c r="A156" s="74" t="s">
        <v>1631</v>
      </c>
      <c r="B156" s="75" t="s">
        <v>1176</v>
      </c>
      <c r="C156" s="75" t="s">
        <v>425</v>
      </c>
      <c r="D156" s="75">
        <v>1</v>
      </c>
      <c r="E156" s="75"/>
      <c r="F156" s="75"/>
      <c r="G156" s="75"/>
      <c r="H156" s="76" t="s">
        <v>1175</v>
      </c>
      <c r="I156" s="76"/>
      <c r="J156" s="76"/>
      <c r="K156" s="75"/>
      <c r="L156" s="75"/>
      <c r="M156" s="75"/>
      <c r="N156" s="75" t="s">
        <v>42</v>
      </c>
      <c r="O156" s="76"/>
      <c r="P156" s="76"/>
    </row>
    <row r="157" spans="1:16" x14ac:dyDescent="0.25">
      <c r="A157" s="74" t="s">
        <v>1211</v>
      </c>
      <c r="B157" s="75" t="s">
        <v>1206</v>
      </c>
      <c r="C157" s="75" t="s">
        <v>425</v>
      </c>
      <c r="D157" s="75">
        <v>1</v>
      </c>
      <c r="E157" s="75"/>
      <c r="F157" s="75"/>
      <c r="G157" s="75"/>
      <c r="H157" s="76" t="s">
        <v>1210</v>
      </c>
      <c r="I157" s="76"/>
      <c r="J157" s="76"/>
      <c r="K157" s="75"/>
      <c r="L157" s="75"/>
      <c r="M157" s="75"/>
      <c r="N157" s="75"/>
      <c r="O157" s="76"/>
      <c r="P157" s="76"/>
    </row>
    <row r="158" spans="1:16" x14ac:dyDescent="0.25">
      <c r="A158" s="74"/>
      <c r="B158" s="75"/>
      <c r="C158" s="75"/>
      <c r="D158" s="75"/>
      <c r="E158" s="75"/>
      <c r="F158" s="75"/>
      <c r="G158" s="75"/>
      <c r="H158" s="76"/>
      <c r="I158" s="76"/>
      <c r="J158" s="76"/>
      <c r="K158" s="75"/>
      <c r="L158" s="75"/>
      <c r="M158" s="75"/>
      <c r="N158" s="75"/>
      <c r="O158" s="76"/>
      <c r="P158" s="76"/>
    </row>
    <row r="159" spans="1:16" x14ac:dyDescent="0.25">
      <c r="A159" s="74" t="s">
        <v>513</v>
      </c>
      <c r="B159" s="75" t="s">
        <v>514</v>
      </c>
      <c r="C159" s="75" t="s">
        <v>425</v>
      </c>
      <c r="D159" s="75">
        <v>1</v>
      </c>
      <c r="E159" s="75"/>
      <c r="F159" s="75"/>
      <c r="G159" s="75"/>
      <c r="H159" s="76" t="s">
        <v>515</v>
      </c>
      <c r="I159" s="76"/>
      <c r="J159" s="76"/>
      <c r="K159" s="75"/>
      <c r="L159" s="75"/>
      <c r="M159" s="75"/>
      <c r="N159" s="75" t="s">
        <v>42</v>
      </c>
      <c r="O159" s="76"/>
      <c r="P159" s="76"/>
    </row>
    <row r="160" spans="1:16" x14ac:dyDescent="0.25">
      <c r="A160" s="74" t="s">
        <v>516</v>
      </c>
      <c r="B160" s="75" t="s">
        <v>517</v>
      </c>
      <c r="C160" s="75" t="s">
        <v>425</v>
      </c>
      <c r="D160" s="75">
        <v>1</v>
      </c>
      <c r="E160" s="75"/>
      <c r="F160" s="75"/>
      <c r="G160" s="75"/>
      <c r="H160" s="76" t="s">
        <v>518</v>
      </c>
      <c r="I160" s="76"/>
      <c r="J160" s="76"/>
      <c r="K160" s="75"/>
      <c r="L160" s="75"/>
      <c r="M160" s="75"/>
      <c r="N160" s="75" t="s">
        <v>42</v>
      </c>
      <c r="O160" s="76"/>
      <c r="P160" s="76"/>
    </row>
    <row r="161" spans="1:16" x14ac:dyDescent="0.25">
      <c r="A161" s="74" t="s">
        <v>519</v>
      </c>
      <c r="B161" s="75" t="s">
        <v>520</v>
      </c>
      <c r="C161" s="75" t="s">
        <v>425</v>
      </c>
      <c r="D161" s="75">
        <v>1</v>
      </c>
      <c r="E161" s="75"/>
      <c r="F161" s="75"/>
      <c r="G161" s="75"/>
      <c r="H161" s="76" t="s">
        <v>521</v>
      </c>
      <c r="I161" s="76"/>
      <c r="J161" s="76"/>
      <c r="K161" s="75"/>
      <c r="L161" s="75"/>
      <c r="M161" s="75"/>
      <c r="N161" s="75" t="s">
        <v>42</v>
      </c>
      <c r="O161" s="76"/>
      <c r="P161" s="76"/>
    </row>
    <row r="162" spans="1:16" x14ac:dyDescent="0.25">
      <c r="A162" s="74" t="s">
        <v>522</v>
      </c>
      <c r="B162" s="75" t="s">
        <v>523</v>
      </c>
      <c r="C162" s="75" t="s">
        <v>425</v>
      </c>
      <c r="D162" s="75">
        <v>1</v>
      </c>
      <c r="E162" s="75"/>
      <c r="F162" s="75"/>
      <c r="G162" s="75"/>
      <c r="H162" s="76" t="s">
        <v>524</v>
      </c>
      <c r="I162" s="76"/>
      <c r="J162" s="76"/>
      <c r="K162" s="75"/>
      <c r="L162" s="75"/>
      <c r="M162" s="75"/>
      <c r="N162" s="75" t="s">
        <v>42</v>
      </c>
      <c r="O162" s="76"/>
      <c r="P162" s="76"/>
    </row>
    <row r="163" spans="1:16" x14ac:dyDescent="0.25">
      <c r="A163" s="74" t="s">
        <v>525</v>
      </c>
      <c r="B163" s="75" t="s">
        <v>526</v>
      </c>
      <c r="C163" s="75" t="s">
        <v>425</v>
      </c>
      <c r="D163" s="75">
        <v>1</v>
      </c>
      <c r="E163" s="75"/>
      <c r="F163" s="75"/>
      <c r="G163" s="75"/>
      <c r="H163" s="76" t="s">
        <v>527</v>
      </c>
      <c r="I163" s="76"/>
      <c r="J163" s="76"/>
      <c r="K163" s="75"/>
      <c r="L163" s="75"/>
      <c r="M163" s="75"/>
      <c r="N163" s="75" t="s">
        <v>42</v>
      </c>
      <c r="O163" s="76"/>
      <c r="P163" s="76"/>
    </row>
    <row r="164" spans="1:16" x14ac:dyDescent="0.25">
      <c r="A164" s="74"/>
      <c r="B164" s="75"/>
      <c r="C164" s="75"/>
      <c r="D164" s="75"/>
      <c r="E164" s="75"/>
      <c r="F164" s="75"/>
      <c r="G164" s="75"/>
      <c r="H164" s="76"/>
      <c r="I164" s="76"/>
      <c r="J164" s="76"/>
      <c r="K164" s="75"/>
      <c r="L164" s="75"/>
      <c r="M164" s="75"/>
      <c r="N164" s="75"/>
      <c r="O164" s="76"/>
      <c r="P164" s="76"/>
    </row>
    <row r="165" spans="1:16" x14ac:dyDescent="0.25">
      <c r="A165" s="74" t="s">
        <v>1070</v>
      </c>
      <c r="B165" s="75" t="s">
        <v>1071</v>
      </c>
      <c r="C165" s="75" t="s">
        <v>425</v>
      </c>
      <c r="D165" s="75">
        <v>1</v>
      </c>
      <c r="E165" s="75"/>
      <c r="F165" s="75"/>
      <c r="G165" s="75"/>
      <c r="H165" s="76" t="s">
        <v>1072</v>
      </c>
      <c r="I165" s="76"/>
      <c r="J165" s="76"/>
      <c r="K165" s="75"/>
      <c r="L165" s="75"/>
      <c r="M165" s="75"/>
      <c r="N165" s="75" t="s">
        <v>42</v>
      </c>
      <c r="O165" s="76"/>
      <c r="P165" s="76"/>
    </row>
    <row r="166" spans="1:16" x14ac:dyDescent="0.25">
      <c r="A166" s="74" t="s">
        <v>1074</v>
      </c>
      <c r="B166" s="75" t="s">
        <v>1076</v>
      </c>
      <c r="C166" s="75" t="s">
        <v>425</v>
      </c>
      <c r="D166" s="75">
        <v>1</v>
      </c>
      <c r="E166" s="75"/>
      <c r="F166" s="75"/>
      <c r="G166" s="75"/>
      <c r="H166" s="76" t="s">
        <v>1078</v>
      </c>
      <c r="I166" s="76"/>
      <c r="J166" s="76"/>
      <c r="K166" s="75"/>
      <c r="L166" s="75"/>
      <c r="M166" s="75"/>
      <c r="N166" s="75" t="s">
        <v>42</v>
      </c>
      <c r="O166" s="76"/>
      <c r="P166" s="76"/>
    </row>
    <row r="167" spans="1:16" x14ac:dyDescent="0.25">
      <c r="A167" s="74" t="s">
        <v>1075</v>
      </c>
      <c r="B167" s="75" t="s">
        <v>1077</v>
      </c>
      <c r="C167" s="75" t="s">
        <v>425</v>
      </c>
      <c r="D167" s="75">
        <v>1</v>
      </c>
      <c r="E167" s="75"/>
      <c r="F167" s="75"/>
      <c r="G167" s="75"/>
      <c r="H167" s="76" t="s">
        <v>1079</v>
      </c>
      <c r="I167" s="76"/>
      <c r="J167" s="76"/>
      <c r="K167" s="75"/>
      <c r="L167" s="75"/>
      <c r="M167" s="75"/>
      <c r="N167" s="75" t="s">
        <v>42</v>
      </c>
      <c r="O167" s="76"/>
      <c r="P167" s="76"/>
    </row>
    <row r="168" spans="1:16" x14ac:dyDescent="0.25">
      <c r="A168" s="74" t="s">
        <v>401</v>
      </c>
      <c r="B168" s="75" t="s">
        <v>528</v>
      </c>
      <c r="C168" s="75" t="s">
        <v>427</v>
      </c>
      <c r="D168" s="75">
        <v>1</v>
      </c>
      <c r="E168" s="75"/>
      <c r="F168" s="75"/>
      <c r="G168" s="75"/>
      <c r="H168" s="76" t="s">
        <v>529</v>
      </c>
      <c r="I168" s="76"/>
      <c r="J168" s="76"/>
      <c r="K168" s="75"/>
      <c r="L168" s="75"/>
      <c r="M168" s="75"/>
      <c r="N168" s="75" t="s">
        <v>42</v>
      </c>
      <c r="O168" s="76"/>
      <c r="P168" s="76"/>
    </row>
    <row r="169" spans="1:16" x14ac:dyDescent="0.25">
      <c r="A169" s="74" t="s">
        <v>409</v>
      </c>
      <c r="B169" s="75" t="s">
        <v>530</v>
      </c>
      <c r="C169" s="75" t="s">
        <v>427</v>
      </c>
      <c r="D169" s="75">
        <v>1</v>
      </c>
      <c r="E169" s="75"/>
      <c r="F169" s="75"/>
      <c r="G169" s="75"/>
      <c r="H169" s="76" t="s">
        <v>531</v>
      </c>
      <c r="I169" s="76"/>
      <c r="J169" s="76"/>
      <c r="K169" s="75"/>
      <c r="L169" s="75"/>
      <c r="M169" s="75"/>
      <c r="N169" s="75" t="s">
        <v>42</v>
      </c>
      <c r="O169" s="76"/>
      <c r="P169" s="76"/>
    </row>
    <row r="170" spans="1:16" x14ac:dyDescent="0.25">
      <c r="A170" s="74" t="s">
        <v>532</v>
      </c>
      <c r="B170" s="75" t="s">
        <v>533</v>
      </c>
      <c r="C170" s="75" t="s">
        <v>425</v>
      </c>
      <c r="D170" s="75">
        <v>1</v>
      </c>
      <c r="E170" s="75"/>
      <c r="F170" s="75"/>
      <c r="G170" s="75"/>
      <c r="H170" s="76" t="s">
        <v>534</v>
      </c>
      <c r="I170" s="76"/>
      <c r="J170" s="76"/>
      <c r="K170" s="75"/>
      <c r="L170" s="75"/>
      <c r="M170" s="75"/>
      <c r="N170" s="75" t="s">
        <v>42</v>
      </c>
      <c r="O170" s="76"/>
      <c r="P170" s="76"/>
    </row>
    <row r="171" spans="1:16" x14ac:dyDescent="0.25">
      <c r="A171" s="74" t="s">
        <v>535</v>
      </c>
      <c r="B171" s="75" t="s">
        <v>536</v>
      </c>
      <c r="C171" s="75" t="s">
        <v>425</v>
      </c>
      <c r="D171" s="75">
        <v>1</v>
      </c>
      <c r="E171" s="75"/>
      <c r="F171" s="75"/>
      <c r="G171" s="75"/>
      <c r="H171" s="76" t="s">
        <v>537</v>
      </c>
      <c r="I171" s="76"/>
      <c r="J171" s="76"/>
      <c r="K171" s="75"/>
      <c r="L171" s="75"/>
      <c r="M171" s="75"/>
      <c r="N171" s="75" t="s">
        <v>42</v>
      </c>
      <c r="O171" s="76"/>
      <c r="P171" s="76"/>
    </row>
    <row r="172" spans="1:16" x14ac:dyDescent="0.25">
      <c r="A172" s="74" t="s">
        <v>538</v>
      </c>
      <c r="B172" s="75" t="s">
        <v>539</v>
      </c>
      <c r="C172" s="75" t="s">
        <v>425</v>
      </c>
      <c r="D172" s="75">
        <v>1</v>
      </c>
      <c r="E172" s="75"/>
      <c r="F172" s="75"/>
      <c r="G172" s="75"/>
      <c r="H172" s="76" t="s">
        <v>1234</v>
      </c>
      <c r="I172" s="76"/>
      <c r="J172" s="76"/>
      <c r="K172" s="75"/>
      <c r="L172" s="75"/>
      <c r="M172" s="75"/>
      <c r="N172" s="75" t="s">
        <v>42</v>
      </c>
      <c r="O172" s="76"/>
      <c r="P172" s="76"/>
    </row>
    <row r="173" spans="1:16" x14ac:dyDescent="0.25">
      <c r="A173" s="74" t="s">
        <v>540</v>
      </c>
      <c r="B173" s="75" t="s">
        <v>541</v>
      </c>
      <c r="C173" s="75" t="s">
        <v>425</v>
      </c>
      <c r="D173" s="75">
        <v>1</v>
      </c>
      <c r="E173" s="75"/>
      <c r="F173" s="75"/>
      <c r="G173" s="75"/>
      <c r="H173" s="76" t="s">
        <v>542</v>
      </c>
      <c r="I173" s="76"/>
      <c r="J173" s="76"/>
      <c r="K173" s="75"/>
      <c r="L173" s="75"/>
      <c r="M173" s="75"/>
      <c r="N173" s="75" t="s">
        <v>42</v>
      </c>
      <c r="O173" s="76"/>
      <c r="P173" s="76"/>
    </row>
    <row r="174" spans="1:16" x14ac:dyDescent="0.25">
      <c r="A174" s="74"/>
      <c r="B174" s="75"/>
      <c r="C174" s="75"/>
      <c r="D174" s="75"/>
      <c r="E174" s="75"/>
      <c r="F174" s="75"/>
      <c r="G174" s="75"/>
      <c r="H174" s="76"/>
      <c r="I174" s="76"/>
      <c r="J174" s="76"/>
      <c r="K174" s="75"/>
      <c r="L174" s="75"/>
      <c r="M174" s="75"/>
      <c r="N174" s="75"/>
      <c r="O174" s="76"/>
      <c r="P174" s="76"/>
    </row>
    <row r="175" spans="1:16" x14ac:dyDescent="0.25">
      <c r="A175" s="74" t="s">
        <v>1625</v>
      </c>
      <c r="B175" s="75" t="s">
        <v>1627</v>
      </c>
      <c r="C175" s="75" t="s">
        <v>425</v>
      </c>
      <c r="D175" s="75">
        <v>1</v>
      </c>
      <c r="E175" s="75"/>
      <c r="F175" s="75"/>
      <c r="G175" s="75"/>
      <c r="H175" s="76" t="s">
        <v>1629</v>
      </c>
      <c r="I175" s="76"/>
      <c r="J175" s="76"/>
      <c r="K175" s="75"/>
      <c r="L175" s="75"/>
      <c r="M175" s="75"/>
      <c r="N175" s="75" t="s">
        <v>42</v>
      </c>
      <c r="O175" s="76"/>
      <c r="P175" s="76"/>
    </row>
    <row r="176" spans="1:16" x14ac:dyDescent="0.25">
      <c r="A176" s="74" t="s">
        <v>1626</v>
      </c>
      <c r="B176" s="75" t="s">
        <v>1628</v>
      </c>
      <c r="C176" s="75" t="s">
        <v>425</v>
      </c>
      <c r="D176" s="75">
        <v>1</v>
      </c>
      <c r="E176" s="75"/>
      <c r="F176" s="75"/>
      <c r="G176" s="75"/>
      <c r="H176" s="76" t="s">
        <v>1630</v>
      </c>
      <c r="I176" s="76"/>
      <c r="J176" s="76"/>
      <c r="K176" s="75"/>
      <c r="L176" s="75"/>
      <c r="M176" s="75"/>
      <c r="N176" s="75" t="s">
        <v>42</v>
      </c>
      <c r="O176" s="76"/>
      <c r="P176" s="76"/>
    </row>
    <row r="177" spans="1:16" x14ac:dyDescent="0.25">
      <c r="A177" s="74" t="s">
        <v>543</v>
      </c>
      <c r="B177" s="75" t="s">
        <v>1212</v>
      </c>
      <c r="C177" s="75" t="s">
        <v>425</v>
      </c>
      <c r="D177" s="75">
        <v>1</v>
      </c>
      <c r="E177" s="75"/>
      <c r="F177" s="75"/>
      <c r="G177" s="75"/>
      <c r="H177" s="76" t="s">
        <v>1524</v>
      </c>
      <c r="I177" s="76"/>
      <c r="J177" s="76"/>
      <c r="K177" s="75"/>
      <c r="L177" s="75"/>
      <c r="M177" s="75"/>
      <c r="N177" s="75" t="s">
        <v>42</v>
      </c>
      <c r="O177" s="76"/>
      <c r="P177" s="76"/>
    </row>
    <row r="178" spans="1:16" x14ac:dyDescent="0.25">
      <c r="A178" s="74" t="s">
        <v>1522</v>
      </c>
      <c r="B178" s="75" t="s">
        <v>1521</v>
      </c>
      <c r="C178" s="75" t="s">
        <v>425</v>
      </c>
      <c r="D178" s="75">
        <v>1</v>
      </c>
      <c r="E178" s="75"/>
      <c r="F178" s="75"/>
      <c r="G178" s="75"/>
      <c r="H178" s="76" t="s">
        <v>1523</v>
      </c>
      <c r="I178" s="76"/>
      <c r="J178" s="76"/>
      <c r="K178" s="75"/>
      <c r="L178" s="75"/>
      <c r="M178" s="75"/>
      <c r="N178" s="75" t="s">
        <v>42</v>
      </c>
      <c r="O178" s="76"/>
      <c r="P178" s="76"/>
    </row>
    <row r="179" spans="1:16" x14ac:dyDescent="0.25">
      <c r="A179" s="74" t="s">
        <v>1213</v>
      </c>
      <c r="B179" s="75" t="s">
        <v>544</v>
      </c>
      <c r="C179" s="75" t="s">
        <v>425</v>
      </c>
      <c r="D179" s="75">
        <v>1</v>
      </c>
      <c r="E179" s="75"/>
      <c r="F179" s="75"/>
      <c r="G179" s="75"/>
      <c r="H179" s="76" t="s">
        <v>1216</v>
      </c>
      <c r="I179" s="76"/>
      <c r="J179" s="76"/>
      <c r="K179" s="75"/>
      <c r="L179" s="75"/>
      <c r="M179" s="75"/>
      <c r="N179" s="75" t="s">
        <v>42</v>
      </c>
      <c r="O179" s="76"/>
      <c r="P179" s="76"/>
    </row>
    <row r="180" spans="1:16" x14ac:dyDescent="0.25">
      <c r="A180" s="74" t="s">
        <v>1461</v>
      </c>
      <c r="B180" s="75" t="s">
        <v>1462</v>
      </c>
      <c r="C180" s="75" t="s">
        <v>425</v>
      </c>
      <c r="D180" s="75">
        <v>1</v>
      </c>
      <c r="E180" s="75"/>
      <c r="F180" s="75"/>
      <c r="G180" s="75"/>
      <c r="H180" s="76" t="s">
        <v>1469</v>
      </c>
      <c r="I180" s="76"/>
      <c r="J180" s="76"/>
      <c r="K180" s="75"/>
      <c r="L180" s="75"/>
      <c r="M180" s="75"/>
      <c r="N180" s="75" t="s">
        <v>42</v>
      </c>
      <c r="O180" s="76"/>
      <c r="P180" s="76"/>
    </row>
    <row r="181" spans="1:16" x14ac:dyDescent="0.25">
      <c r="A181" s="74" t="s">
        <v>1214</v>
      </c>
      <c r="B181" s="75" t="s">
        <v>1215</v>
      </c>
      <c r="C181" s="75" t="s">
        <v>425</v>
      </c>
      <c r="D181" s="75">
        <v>1</v>
      </c>
      <c r="E181" s="75"/>
      <c r="F181" s="75"/>
      <c r="G181" s="75"/>
      <c r="H181" s="76" t="s">
        <v>1463</v>
      </c>
      <c r="I181" s="76"/>
      <c r="J181" s="76"/>
      <c r="K181" s="75"/>
      <c r="L181" s="75"/>
      <c r="M181" s="75"/>
      <c r="N181" s="75"/>
      <c r="O181" s="76"/>
      <c r="P181" s="76"/>
    </row>
    <row r="182" spans="1:16" x14ac:dyDescent="0.25">
      <c r="A182" s="74"/>
      <c r="B182" s="75"/>
      <c r="C182" s="75"/>
      <c r="D182" s="75"/>
      <c r="E182" s="75"/>
      <c r="F182" s="75"/>
      <c r="G182" s="75"/>
      <c r="H182" s="76"/>
      <c r="I182" s="76"/>
      <c r="J182" s="76"/>
      <c r="K182" s="75"/>
      <c r="L182" s="75"/>
      <c r="M182" s="75"/>
      <c r="N182" s="75"/>
      <c r="O182" s="76"/>
      <c r="P182" s="76"/>
    </row>
    <row r="183" spans="1:16" x14ac:dyDescent="0.25">
      <c r="A183" s="74" t="s">
        <v>1137</v>
      </c>
      <c r="B183" s="75" t="s">
        <v>1138</v>
      </c>
      <c r="C183" s="75" t="s">
        <v>425</v>
      </c>
      <c r="D183" s="75">
        <v>1</v>
      </c>
      <c r="E183" s="75"/>
      <c r="F183" s="75"/>
      <c r="G183" s="75"/>
      <c r="H183" s="76" t="s">
        <v>1139</v>
      </c>
      <c r="I183" s="76"/>
      <c r="J183" s="76"/>
      <c r="K183" s="75"/>
      <c r="L183" s="75"/>
      <c r="M183" s="75"/>
      <c r="N183" s="75" t="s">
        <v>42</v>
      </c>
      <c r="O183" s="76"/>
      <c r="P183" s="76"/>
    </row>
    <row r="184" spans="1:16" x14ac:dyDescent="0.25">
      <c r="A184" s="74" t="s">
        <v>1142</v>
      </c>
      <c r="B184" s="75" t="s">
        <v>1143</v>
      </c>
      <c r="C184" s="75" t="s">
        <v>425</v>
      </c>
      <c r="D184" s="75">
        <v>1</v>
      </c>
      <c r="E184" s="75"/>
      <c r="F184" s="75"/>
      <c r="G184" s="75"/>
      <c r="H184" s="76" t="s">
        <v>1147</v>
      </c>
      <c r="I184" s="76"/>
      <c r="J184" s="76"/>
      <c r="K184" s="75"/>
      <c r="L184" s="75"/>
      <c r="M184" s="75"/>
      <c r="N184" s="75" t="s">
        <v>42</v>
      </c>
      <c r="O184" s="76"/>
      <c r="P184" s="76"/>
    </row>
    <row r="185" spans="1:16" x14ac:dyDescent="0.25">
      <c r="A185" s="74" t="s">
        <v>1144</v>
      </c>
      <c r="B185" s="75" t="s">
        <v>1145</v>
      </c>
      <c r="C185" s="75" t="s">
        <v>425</v>
      </c>
      <c r="D185" s="75">
        <v>1</v>
      </c>
      <c r="E185" s="75"/>
      <c r="F185" s="75"/>
      <c r="G185" s="75"/>
      <c r="H185" s="76" t="s">
        <v>1146</v>
      </c>
      <c r="I185" s="76"/>
      <c r="J185" s="76"/>
      <c r="K185" s="75"/>
      <c r="L185" s="75"/>
      <c r="M185" s="75"/>
      <c r="N185" s="75" t="s">
        <v>42</v>
      </c>
      <c r="O185" s="76"/>
      <c r="P185" s="76"/>
    </row>
    <row r="186" spans="1:16" x14ac:dyDescent="0.25">
      <c r="A186" s="74" t="s">
        <v>1486</v>
      </c>
      <c r="B186" s="75" t="s">
        <v>1483</v>
      </c>
      <c r="C186" s="75" t="s">
        <v>425</v>
      </c>
      <c r="D186" s="75">
        <v>1</v>
      </c>
      <c r="E186" s="75"/>
      <c r="F186" s="75"/>
      <c r="G186" s="75"/>
      <c r="H186" s="76" t="s">
        <v>1489</v>
      </c>
      <c r="I186" s="76"/>
      <c r="J186" s="76"/>
      <c r="K186" s="75"/>
      <c r="L186" s="75"/>
      <c r="M186" s="75"/>
      <c r="N186" s="75" t="s">
        <v>42</v>
      </c>
      <c r="O186" s="76"/>
      <c r="P186" s="76"/>
    </row>
    <row r="187" spans="1:16" x14ac:dyDescent="0.25">
      <c r="A187" s="74" t="s">
        <v>1487</v>
      </c>
      <c r="B187" s="75" t="s">
        <v>1484</v>
      </c>
      <c r="C187" s="75" t="s">
        <v>425</v>
      </c>
      <c r="D187" s="75">
        <v>1</v>
      </c>
      <c r="E187" s="75"/>
      <c r="F187" s="75"/>
      <c r="G187" s="75"/>
      <c r="H187" s="76" t="s">
        <v>1490</v>
      </c>
      <c r="I187" s="76"/>
      <c r="J187" s="76"/>
      <c r="K187" s="75"/>
      <c r="L187" s="75"/>
      <c r="M187" s="75"/>
      <c r="N187" s="75" t="s">
        <v>42</v>
      </c>
      <c r="O187" s="76"/>
      <c r="P187" s="76"/>
    </row>
    <row r="188" spans="1:16" x14ac:dyDescent="0.25">
      <c r="A188" s="74" t="s">
        <v>1488</v>
      </c>
      <c r="B188" s="75" t="s">
        <v>1485</v>
      </c>
      <c r="C188" s="75" t="s">
        <v>425</v>
      </c>
      <c r="D188" s="75">
        <v>1</v>
      </c>
      <c r="E188" s="75"/>
      <c r="F188" s="75"/>
      <c r="G188" s="75"/>
      <c r="H188" s="76" t="s">
        <v>1491</v>
      </c>
      <c r="I188" s="76"/>
      <c r="J188" s="76"/>
      <c r="K188" s="75"/>
      <c r="L188" s="75"/>
      <c r="M188" s="75"/>
      <c r="N188" s="75" t="s">
        <v>42</v>
      </c>
      <c r="O188" s="76"/>
      <c r="P188" s="76"/>
    </row>
    <row r="189" spans="1:16" x14ac:dyDescent="0.25">
      <c r="A189" s="74" t="s">
        <v>1140</v>
      </c>
      <c r="B189" s="75" t="s">
        <v>1141</v>
      </c>
      <c r="C189" s="75" t="s">
        <v>425</v>
      </c>
      <c r="D189" s="75">
        <v>1</v>
      </c>
      <c r="E189" s="75"/>
      <c r="F189" s="75"/>
      <c r="G189" s="75"/>
      <c r="H189" s="76" t="s">
        <v>1218</v>
      </c>
      <c r="I189" s="76"/>
      <c r="J189" s="76"/>
      <c r="K189" s="75"/>
      <c r="L189" s="75"/>
      <c r="M189" s="75"/>
      <c r="N189" s="75" t="s">
        <v>42</v>
      </c>
      <c r="O189" s="76"/>
      <c r="P189" s="76"/>
    </row>
    <row r="190" spans="1:16" x14ac:dyDescent="0.25">
      <c r="A190" s="77" t="s">
        <v>1148</v>
      </c>
      <c r="B190" s="78" t="s">
        <v>1149</v>
      </c>
      <c r="C190" s="78" t="s">
        <v>425</v>
      </c>
      <c r="D190" s="78">
        <v>1</v>
      </c>
      <c r="E190" s="78"/>
      <c r="F190" s="78"/>
      <c r="G190" s="78"/>
      <c r="H190" s="79" t="s">
        <v>1492</v>
      </c>
      <c r="I190" s="79"/>
      <c r="J190" s="79"/>
      <c r="K190" s="78"/>
      <c r="L190" s="78"/>
      <c r="M190" s="78"/>
      <c r="N190" s="78" t="s">
        <v>42</v>
      </c>
      <c r="O190" s="79"/>
      <c r="P190" s="79"/>
    </row>
    <row r="192" spans="1:16" x14ac:dyDescent="0.25">
      <c r="A192" s="80" t="s">
        <v>1154</v>
      </c>
      <c r="B192" s="81" t="s">
        <v>1155</v>
      </c>
      <c r="C192" s="81" t="s">
        <v>425</v>
      </c>
      <c r="D192" s="81">
        <v>1</v>
      </c>
      <c r="E192" s="81"/>
      <c r="F192" s="81"/>
      <c r="G192" s="81"/>
      <c r="H192" s="82" t="s">
        <v>509</v>
      </c>
      <c r="I192" s="82"/>
      <c r="J192" s="82"/>
      <c r="K192" s="80"/>
      <c r="L192" s="81"/>
      <c r="M192" s="81"/>
      <c r="N192" s="81" t="s">
        <v>42</v>
      </c>
      <c r="O192" s="82"/>
      <c r="P192" s="82"/>
    </row>
    <row r="193" spans="1:16" x14ac:dyDescent="0.25">
      <c r="A193" s="83" t="s">
        <v>1156</v>
      </c>
      <c r="B193" s="84" t="s">
        <v>419</v>
      </c>
      <c r="C193" s="84" t="s">
        <v>430</v>
      </c>
      <c r="D193" s="84"/>
      <c r="E193" s="84">
        <v>0.95</v>
      </c>
      <c r="F193" s="84"/>
      <c r="G193" s="84"/>
      <c r="H193" s="85" t="s">
        <v>1544</v>
      </c>
      <c r="I193" s="85"/>
      <c r="J193" s="85"/>
      <c r="K193" s="84"/>
      <c r="L193" s="84"/>
      <c r="M193" s="84"/>
      <c r="N193" s="84" t="s">
        <v>42</v>
      </c>
      <c r="O193" s="85"/>
      <c r="P193" s="85"/>
    </row>
    <row r="195" spans="1:16" x14ac:dyDescent="0.25">
      <c r="A195" s="96" t="s">
        <v>1329</v>
      </c>
      <c r="B195" s="97" t="s">
        <v>1439</v>
      </c>
      <c r="C195" s="97" t="s">
        <v>428</v>
      </c>
      <c r="D195" s="97"/>
      <c r="E195" s="97">
        <v>0</v>
      </c>
      <c r="F195" s="97"/>
      <c r="G195" s="97"/>
      <c r="H195" s="98"/>
      <c r="I195" s="98" t="s">
        <v>46</v>
      </c>
      <c r="J195" s="98"/>
      <c r="K195" s="97" t="s">
        <v>1327</v>
      </c>
      <c r="L195" s="97"/>
      <c r="M195" s="97"/>
      <c r="N195" s="97" t="s">
        <v>42</v>
      </c>
      <c r="O195" s="98"/>
      <c r="P195" s="98"/>
    </row>
    <row r="196" spans="1:16" x14ac:dyDescent="0.25">
      <c r="A196" s="90" t="s">
        <v>1560</v>
      </c>
      <c r="B196" s="91" t="s">
        <v>1434</v>
      </c>
      <c r="C196" s="91" t="s">
        <v>475</v>
      </c>
      <c r="D196" s="91">
        <v>1</v>
      </c>
      <c r="E196" s="91">
        <v>5</v>
      </c>
      <c r="F196" s="91"/>
      <c r="G196" s="91"/>
      <c r="H196" s="92"/>
      <c r="I196" s="92" t="s">
        <v>46</v>
      </c>
      <c r="J196" s="92"/>
      <c r="K196" s="91" t="s">
        <v>1327</v>
      </c>
      <c r="L196" s="91"/>
      <c r="M196" s="91"/>
      <c r="N196" s="91" t="s">
        <v>42</v>
      </c>
      <c r="O196" s="92"/>
      <c r="P196" s="92"/>
    </row>
    <row r="197" spans="1:16" x14ac:dyDescent="0.25">
      <c r="A197" s="90" t="s">
        <v>1633</v>
      </c>
      <c r="B197" s="91" t="s">
        <v>1636</v>
      </c>
      <c r="C197" s="91" t="s">
        <v>430</v>
      </c>
      <c r="D197" s="91"/>
      <c r="E197" s="91">
        <v>0.8</v>
      </c>
      <c r="F197" s="91">
        <v>0</v>
      </c>
      <c r="G197" s="91">
        <v>1</v>
      </c>
      <c r="H197" s="92"/>
      <c r="I197" s="92" t="s">
        <v>46</v>
      </c>
      <c r="J197" s="92"/>
      <c r="K197" s="91" t="s">
        <v>1327</v>
      </c>
      <c r="L197" s="91"/>
      <c r="M197" s="91"/>
      <c r="N197" s="91" t="s">
        <v>42</v>
      </c>
      <c r="O197" s="92"/>
      <c r="P197" s="92"/>
    </row>
    <row r="198" spans="1:16" x14ac:dyDescent="0.25">
      <c r="A198" s="90" t="s">
        <v>1634</v>
      </c>
      <c r="B198" s="91" t="s">
        <v>1635</v>
      </c>
      <c r="C198" s="91" t="s">
        <v>430</v>
      </c>
      <c r="D198" s="91"/>
      <c r="E198" s="91"/>
      <c r="F198" s="91">
        <v>0</v>
      </c>
      <c r="G198" s="91">
        <v>1</v>
      </c>
      <c r="H198" s="92" t="s">
        <v>1637</v>
      </c>
      <c r="I198" s="92"/>
      <c r="J198" s="92"/>
      <c r="K198" s="91"/>
      <c r="L198" s="91"/>
      <c r="M198" s="91"/>
      <c r="N198" s="91" t="s">
        <v>42</v>
      </c>
      <c r="O198" s="92"/>
      <c r="P198" s="92"/>
    </row>
    <row r="199" spans="1:16" x14ac:dyDescent="0.25">
      <c r="A199" s="90" t="s">
        <v>1432</v>
      </c>
      <c r="B199" s="91" t="s">
        <v>1435</v>
      </c>
      <c r="C199" s="91" t="s">
        <v>430</v>
      </c>
      <c r="D199" s="91"/>
      <c r="E199" s="91">
        <v>0.8</v>
      </c>
      <c r="F199" s="91">
        <v>0</v>
      </c>
      <c r="G199" s="91">
        <v>1</v>
      </c>
      <c r="H199" s="92"/>
      <c r="I199" s="92" t="s">
        <v>46</v>
      </c>
      <c r="J199" s="92"/>
      <c r="K199" s="91" t="s">
        <v>1327</v>
      </c>
      <c r="L199" s="91"/>
      <c r="M199" s="91"/>
      <c r="N199" s="91" t="s">
        <v>42</v>
      </c>
      <c r="O199" s="92"/>
      <c r="P199" s="92"/>
    </row>
    <row r="200" spans="1:16" x14ac:dyDescent="0.25">
      <c r="A200" s="90" t="s">
        <v>1433</v>
      </c>
      <c r="B200" s="91" t="s">
        <v>1440</v>
      </c>
      <c r="C200" s="91" t="s">
        <v>430</v>
      </c>
      <c r="D200" s="91"/>
      <c r="E200" s="91"/>
      <c r="F200" s="91">
        <v>0</v>
      </c>
      <c r="G200" s="91">
        <v>1</v>
      </c>
      <c r="H200" s="92" t="s">
        <v>1436</v>
      </c>
      <c r="I200" s="92"/>
      <c r="J200" s="92"/>
      <c r="K200" s="91"/>
      <c r="L200" s="91"/>
      <c r="M200" s="91"/>
      <c r="N200" s="91" t="s">
        <v>42</v>
      </c>
      <c r="O200" s="92"/>
      <c r="P200" s="92"/>
    </row>
    <row r="201" spans="1:16" x14ac:dyDescent="0.25">
      <c r="A201" s="90" t="s">
        <v>1330</v>
      </c>
      <c r="B201" s="91" t="s">
        <v>1561</v>
      </c>
      <c r="C201" s="91" t="s">
        <v>427</v>
      </c>
      <c r="D201" s="91"/>
      <c r="E201" s="91"/>
      <c r="F201" s="91"/>
      <c r="G201" s="91"/>
      <c r="H201" s="106" t="s">
        <v>1632</v>
      </c>
      <c r="I201" s="92"/>
      <c r="J201" s="92"/>
      <c r="K201" s="91"/>
      <c r="L201" s="91"/>
      <c r="M201" s="91"/>
      <c r="N201" s="91" t="s">
        <v>42</v>
      </c>
      <c r="O201" s="92"/>
      <c r="P201" s="92"/>
    </row>
    <row r="202" spans="1:16" x14ac:dyDescent="0.25">
      <c r="A202" s="90" t="s">
        <v>1437</v>
      </c>
      <c r="B202" s="91" t="s">
        <v>1438</v>
      </c>
      <c r="C202" s="91" t="s">
        <v>475</v>
      </c>
      <c r="D202" s="91">
        <v>1</v>
      </c>
      <c r="E202" s="91">
        <v>1</v>
      </c>
      <c r="F202" s="91"/>
      <c r="G202" s="91"/>
      <c r="H202" s="92"/>
      <c r="I202" s="92"/>
      <c r="J202" s="92"/>
      <c r="K202" s="91" t="s">
        <v>1327</v>
      </c>
      <c r="L202" s="91"/>
      <c r="M202" s="91"/>
      <c r="N202" s="91" t="s">
        <v>42</v>
      </c>
      <c r="O202" s="92"/>
      <c r="P202" s="92"/>
    </row>
    <row r="203" spans="1:16" x14ac:dyDescent="0.25">
      <c r="A203" s="90" t="s">
        <v>1563</v>
      </c>
      <c r="B203" s="91" t="s">
        <v>1565</v>
      </c>
      <c r="C203" s="91"/>
      <c r="D203" s="91"/>
      <c r="E203" s="91">
        <v>1</v>
      </c>
      <c r="F203" s="91"/>
      <c r="G203" s="91"/>
      <c r="H203" s="92"/>
      <c r="I203" s="92" t="s">
        <v>46</v>
      </c>
      <c r="J203" s="92"/>
      <c r="K203" s="91" t="s">
        <v>1327</v>
      </c>
      <c r="L203" s="91"/>
      <c r="M203" s="91"/>
      <c r="N203" s="91" t="s">
        <v>42</v>
      </c>
      <c r="O203" s="92"/>
      <c r="P203" s="92"/>
    </row>
    <row r="204" spans="1:16" x14ac:dyDescent="0.25">
      <c r="A204" s="90" t="s">
        <v>1564</v>
      </c>
      <c r="B204" s="91" t="s">
        <v>1566</v>
      </c>
      <c r="C204" s="91"/>
      <c r="D204" s="91"/>
      <c r="E204" s="91">
        <v>1</v>
      </c>
      <c r="F204" s="91"/>
      <c r="G204" s="91"/>
      <c r="H204" s="92"/>
      <c r="I204" s="92" t="s">
        <v>46</v>
      </c>
      <c r="J204" s="92"/>
      <c r="K204" s="91" t="s">
        <v>1327</v>
      </c>
      <c r="L204" s="91"/>
      <c r="M204" s="91"/>
      <c r="N204" s="91" t="s">
        <v>42</v>
      </c>
      <c r="O204" s="92"/>
      <c r="P204" s="92"/>
    </row>
    <row r="205" spans="1:16" x14ac:dyDescent="0.25">
      <c r="A205" s="90" t="s">
        <v>1571</v>
      </c>
      <c r="B205" s="91" t="s">
        <v>1567</v>
      </c>
      <c r="C205" s="91" t="s">
        <v>428</v>
      </c>
      <c r="D205" s="91"/>
      <c r="E205" s="91"/>
      <c r="F205" s="91"/>
      <c r="G205" s="91"/>
      <c r="H205" s="92" t="s">
        <v>1569</v>
      </c>
      <c r="I205" s="92"/>
      <c r="J205" s="92"/>
      <c r="K205" s="91"/>
      <c r="L205" s="91"/>
      <c r="M205" s="91"/>
      <c r="N205" s="91" t="s">
        <v>42</v>
      </c>
      <c r="O205" s="92"/>
      <c r="P205" s="92"/>
    </row>
    <row r="206" spans="1:16" x14ac:dyDescent="0.25">
      <c r="A206" s="93" t="s">
        <v>1572</v>
      </c>
      <c r="B206" s="94" t="s">
        <v>1568</v>
      </c>
      <c r="C206" s="94" t="s">
        <v>428</v>
      </c>
      <c r="D206" s="94"/>
      <c r="E206" s="94"/>
      <c r="F206" s="94"/>
      <c r="G206" s="94"/>
      <c r="H206" s="95" t="s">
        <v>1570</v>
      </c>
      <c r="I206" s="95"/>
      <c r="J206" s="95"/>
      <c r="K206" s="94"/>
      <c r="L206" s="94"/>
      <c r="M206" s="94"/>
      <c r="N206" s="94" t="s">
        <v>42</v>
      </c>
      <c r="O206" s="95"/>
      <c r="P206" s="95"/>
    </row>
  </sheetData>
  <phoneticPr fontId="17" type="noConversion"/>
  <conditionalFormatting sqref="B1:B1048576">
    <cfRule type="expression" dxfId="6" priority="1">
      <formula>AND(A1&lt;&gt;"",NOT(B1&lt;&gt;""))</formula>
    </cfRule>
  </conditionalFormatting>
  <conditionalFormatting sqref="K2 K6:K120 K122:K191 K194:K1048576">
    <cfRule type="expression" dxfId="4" priority="5">
      <formula>AND(L2&lt;&gt;"",NOT(K2&lt;&gt;""))</formula>
    </cfRule>
  </conditionalFormatting>
  <dataValidations count="5">
    <dataValidation operator="greaterThanOrEqual" allowBlank="1" showInputMessage="1" showErrorMessage="1" sqref="D1" xr:uid="{3C5E5528-F961-4CFC-83ED-CB90A50DF965}"/>
    <dataValidation type="list" allowBlank="1" showInputMessage="1" showErrorMessage="1" sqref="O2:P1048576 I2:I1048576" xr:uid="{7CB7BECB-8CCA-402C-8209-B57AEC65D6EC}">
      <formula1>"n,y"</formula1>
    </dataValidation>
    <dataValidation type="decimal" operator="greaterThanOrEqual" allowBlank="1" showInputMessage="1" showErrorMessage="1" sqref="D2:D1048576" xr:uid="{7B357739-ECEB-45D0-9FF6-C94815526279}">
      <formula1>0</formula1>
    </dataValidation>
    <dataValidation type="list" allowBlank="1" showInputMessage="1" showErrorMessage="1" sqref="C2:C1048576" xr:uid="{23A69AD6-56EA-4510-BE84-B964156BC5E6}">
      <formula1>"rate, probability, number, proportion, duration"</formula1>
    </dataValidation>
    <dataValidation type="custom" allowBlank="1" showInputMessage="1" showErrorMessage="1" errorTitle="Code names must be unique" error="Parameter code names must be unique" sqref="H21 A1:A1048576 H18:H19 H11:H16" xr:uid="{E6E68E87-C2E4-4D80-BD6F-D69CE5F2A8E2}">
      <formula1>COUNTIF(A:A,A1)&lt;2</formula1>
    </dataValidation>
  </dataValidations>
  <pageMargins left="0.7" right="0.7" top="0.75" bottom="0.75" header="0.3" footer="0.3"/>
  <pageSetup paperSize="9" orientation="portrait" verticalDpi="0" r:id="rId1"/>
  <legacyDrawing r:id="rId2"/>
  <extLst>
    <ext xmlns:x14="http://schemas.microsoft.com/office/spreadsheetml/2009/9/main" uri="{78C0D931-6437-407d-A8EE-F0AAD7539E65}">
      <x14:conditionalFormattings>
        <x14:conditionalFormatting xmlns:xm="http://schemas.microsoft.com/office/excel/2006/main">
          <x14:cfRule type="expression" priority="4" id="{BE3DBFB1-F6C9-4726-B787-A3DD602656FE}">
            <xm:f>AND(K2&lt;&gt;"",ISERROR(MATCH(K2,'Databook Pages'!$A:$A,0)))</xm:f>
            <x14:dxf>
              <fill>
                <patternFill>
                  <bgColor rgb="FFFF0000"/>
                </patternFill>
              </fill>
            </x14:dxf>
          </x14:cfRule>
          <xm:sqref>K2 K6:K120 K122:K191 K194:K1048576</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A5BACFCF-5A80-4E38-B286-225138198031}">
          <x14:formula1>
            <xm:f>'Population types'!$A$2:$A$9999</xm:f>
          </x14:formula1>
          <xm:sqref>N1:N2 N194:N1048576 N6:N192</xm:sqref>
        </x14:dataValidation>
        <x14:dataValidation type="list" allowBlank="1" showInputMessage="1" showErrorMessage="1" xr:uid="{B0E7D17F-9C98-4BBD-89E8-B63866BAA65B}">
          <x14:formula1>
            <xm:f>'Databook Pages'!$A$2:$A$9999</xm:f>
          </x14:formula1>
          <xm:sqref>K6:K120 K1:K2 K122:K191 K194:K1048576</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tint="0.79998168889431442"/>
  </sheetPr>
  <dimension ref="A1:K291"/>
  <sheetViews>
    <sheetView zoomScale="80" zoomScaleNormal="80" workbookViewId="0">
      <pane ySplit="1" topLeftCell="A2" activePane="bottomLeft" state="frozen"/>
      <selection pane="bottomLeft" activeCell="A40" sqref="A40"/>
    </sheetView>
  </sheetViews>
  <sheetFormatPr defaultColWidth="8.85546875" defaultRowHeight="15" x14ac:dyDescent="0.25"/>
  <cols>
    <col min="1" max="1" width="26.5703125" bestFit="1" customWidth="1"/>
    <col min="2" max="2" width="67.85546875" bestFit="1" customWidth="1"/>
    <col min="3" max="3" width="134.7109375" style="2" customWidth="1"/>
    <col min="4" max="4" width="12.85546875" bestFit="1" customWidth="1"/>
    <col min="5" max="5" width="13.42578125" bestFit="1" customWidth="1"/>
    <col min="6" max="6" width="13.28515625" style="2" bestFit="1" customWidth="1"/>
    <col min="7" max="7" width="9.140625" style="2" bestFit="1" customWidth="1"/>
    <col min="8" max="8" width="14.85546875" bestFit="1" customWidth="1"/>
    <col min="9" max="9" width="15.5703125" bestFit="1" customWidth="1"/>
    <col min="10" max="10" width="9.42578125" bestFit="1" customWidth="1"/>
    <col min="11" max="11" width="15.28515625" bestFit="1" customWidth="1"/>
  </cols>
  <sheetData>
    <row r="1" spans="1:11" s="2" customFormat="1" x14ac:dyDescent="0.25">
      <c r="A1" s="1" t="s">
        <v>2</v>
      </c>
      <c r="B1" s="1" t="s">
        <v>3</v>
      </c>
      <c r="C1" s="1" t="s">
        <v>11</v>
      </c>
      <c r="D1" s="1" t="s">
        <v>12</v>
      </c>
      <c r="E1" s="1" t="s">
        <v>7</v>
      </c>
      <c r="F1" s="1" t="s">
        <v>8</v>
      </c>
      <c r="G1" s="1" t="s">
        <v>20</v>
      </c>
      <c r="H1" s="1" t="s">
        <v>9</v>
      </c>
      <c r="I1" s="1" t="s">
        <v>10</v>
      </c>
      <c r="J1" s="1" t="s">
        <v>22</v>
      </c>
      <c r="K1" s="1" t="s">
        <v>25</v>
      </c>
    </row>
    <row r="2" spans="1:11" x14ac:dyDescent="0.25">
      <c r="A2" s="4" t="s">
        <v>545</v>
      </c>
      <c r="B2" t="s">
        <v>546</v>
      </c>
      <c r="C2" s="2" t="s">
        <v>547</v>
      </c>
      <c r="D2" s="2"/>
      <c r="E2" s="2"/>
      <c r="F2" s="2">
        <v>0</v>
      </c>
      <c r="H2" s="2"/>
      <c r="I2" s="2"/>
      <c r="J2" s="2"/>
      <c r="K2" s="4" t="s">
        <v>42</v>
      </c>
    </row>
    <row r="3" spans="1:11" x14ac:dyDescent="0.25">
      <c r="A3" t="s">
        <v>548</v>
      </c>
      <c r="B3" t="s">
        <v>549</v>
      </c>
      <c r="C3" s="2" t="s">
        <v>550</v>
      </c>
      <c r="F3" s="2">
        <v>0</v>
      </c>
      <c r="H3" s="2"/>
      <c r="K3" t="s">
        <v>42</v>
      </c>
    </row>
    <row r="4" spans="1:11" x14ac:dyDescent="0.25">
      <c r="A4" t="s">
        <v>551</v>
      </c>
      <c r="B4" t="s">
        <v>552</v>
      </c>
      <c r="C4" s="2" t="s">
        <v>553</v>
      </c>
      <c r="F4" s="2">
        <v>0</v>
      </c>
      <c r="H4" s="2"/>
      <c r="K4" t="s">
        <v>42</v>
      </c>
    </row>
    <row r="5" spans="1:11" x14ac:dyDescent="0.25">
      <c r="A5" t="s">
        <v>554</v>
      </c>
      <c r="B5" t="s">
        <v>555</v>
      </c>
      <c r="C5" s="2" t="s">
        <v>556</v>
      </c>
      <c r="F5" s="2">
        <v>0</v>
      </c>
      <c r="K5" t="s">
        <v>42</v>
      </c>
    </row>
    <row r="6" spans="1:11" x14ac:dyDescent="0.25">
      <c r="A6" t="s">
        <v>557</v>
      </c>
      <c r="B6" t="s">
        <v>558</v>
      </c>
      <c r="C6" s="2" t="s">
        <v>559</v>
      </c>
      <c r="F6" s="2">
        <v>0</v>
      </c>
      <c r="K6" t="s">
        <v>42</v>
      </c>
    </row>
    <row r="7" spans="1:11" x14ac:dyDescent="0.25">
      <c r="A7" t="s">
        <v>560</v>
      </c>
      <c r="B7" t="s">
        <v>561</v>
      </c>
      <c r="C7" s="2" t="s">
        <v>562</v>
      </c>
      <c r="F7" s="2">
        <v>0</v>
      </c>
      <c r="K7" t="s">
        <v>42</v>
      </c>
    </row>
    <row r="8" spans="1:11" x14ac:dyDescent="0.25">
      <c r="A8" t="s">
        <v>563</v>
      </c>
      <c r="B8" t="s">
        <v>564</v>
      </c>
      <c r="C8" s="2" t="s">
        <v>565</v>
      </c>
      <c r="F8" s="2">
        <v>0</v>
      </c>
      <c r="K8" t="s">
        <v>42</v>
      </c>
    </row>
    <row r="9" spans="1:11" x14ac:dyDescent="0.25">
      <c r="A9" t="s">
        <v>566</v>
      </c>
      <c r="B9" t="s">
        <v>567</v>
      </c>
      <c r="C9" s="2" t="s">
        <v>568</v>
      </c>
      <c r="F9" s="2">
        <v>0</v>
      </c>
      <c r="K9" t="s">
        <v>42</v>
      </c>
    </row>
    <row r="10" spans="1:11" x14ac:dyDescent="0.25">
      <c r="A10" t="s">
        <v>1226</v>
      </c>
      <c r="B10" t="s">
        <v>569</v>
      </c>
      <c r="C10" s="2" t="s">
        <v>570</v>
      </c>
      <c r="F10" s="2">
        <v>0</v>
      </c>
      <c r="K10" t="s">
        <v>42</v>
      </c>
    </row>
    <row r="11" spans="1:11" x14ac:dyDescent="0.25">
      <c r="A11" t="s">
        <v>571</v>
      </c>
      <c r="B11" t="s">
        <v>572</v>
      </c>
      <c r="C11" s="2" t="s">
        <v>573</v>
      </c>
      <c r="F11" s="2">
        <v>0</v>
      </c>
      <c r="K11" t="s">
        <v>42</v>
      </c>
    </row>
    <row r="12" spans="1:11" x14ac:dyDescent="0.25">
      <c r="A12" t="s">
        <v>574</v>
      </c>
      <c r="B12" t="s">
        <v>575</v>
      </c>
      <c r="C12" s="2" t="s">
        <v>1251</v>
      </c>
      <c r="F12" s="2">
        <v>0</v>
      </c>
      <c r="K12" t="s">
        <v>42</v>
      </c>
    </row>
    <row r="13" spans="1:11" x14ac:dyDescent="0.25">
      <c r="A13" t="s">
        <v>576</v>
      </c>
      <c r="B13" t="s">
        <v>577</v>
      </c>
      <c r="C13" s="2" t="s">
        <v>578</v>
      </c>
      <c r="F13" s="2">
        <v>1</v>
      </c>
      <c r="H13" t="s">
        <v>30</v>
      </c>
      <c r="K13" t="s">
        <v>42</v>
      </c>
    </row>
    <row r="14" spans="1:11" x14ac:dyDescent="0.25">
      <c r="A14" t="s">
        <v>421</v>
      </c>
      <c r="B14" t="s">
        <v>579</v>
      </c>
      <c r="C14" s="2" t="s">
        <v>1252</v>
      </c>
      <c r="F14" s="2">
        <v>1</v>
      </c>
      <c r="H14" t="s">
        <v>1028</v>
      </c>
      <c r="K14" t="s">
        <v>42</v>
      </c>
    </row>
    <row r="15" spans="1:11" x14ac:dyDescent="0.25">
      <c r="A15" t="s">
        <v>602</v>
      </c>
      <c r="B15" t="s">
        <v>603</v>
      </c>
      <c r="C15" s="2" t="s">
        <v>604</v>
      </c>
      <c r="F15" s="2">
        <v>1</v>
      </c>
      <c r="H15" t="s">
        <v>30</v>
      </c>
      <c r="K15" t="s">
        <v>42</v>
      </c>
    </row>
    <row r="16" spans="1:11" x14ac:dyDescent="0.25">
      <c r="A16" t="s">
        <v>605</v>
      </c>
      <c r="B16" t="s">
        <v>606</v>
      </c>
      <c r="C16" s="2" t="s">
        <v>48</v>
      </c>
      <c r="F16" s="2">
        <v>0</v>
      </c>
      <c r="K16" t="s">
        <v>42</v>
      </c>
    </row>
    <row r="17" spans="1:11" x14ac:dyDescent="0.25">
      <c r="A17" t="s">
        <v>607</v>
      </c>
      <c r="B17" t="s">
        <v>608</v>
      </c>
      <c r="C17" s="2" t="s">
        <v>609</v>
      </c>
      <c r="F17" s="2">
        <v>0</v>
      </c>
      <c r="K17" t="s">
        <v>42</v>
      </c>
    </row>
    <row r="18" spans="1:11" x14ac:dyDescent="0.25">
      <c r="A18" t="s">
        <v>1207</v>
      </c>
      <c r="B18" t="s">
        <v>1208</v>
      </c>
      <c r="C18" s="2" t="s">
        <v>1209</v>
      </c>
      <c r="F18" s="2">
        <v>1</v>
      </c>
      <c r="H18" t="s">
        <v>30</v>
      </c>
      <c r="K18" t="s">
        <v>42</v>
      </c>
    </row>
    <row r="19" spans="1:11" x14ac:dyDescent="0.25">
      <c r="A19" s="4" t="str">
        <f t="shared" ref="A19:A24" si="0">A2&amp;"_vax"</f>
        <v>f0_vax</v>
      </c>
      <c r="B19" t="str">
        <f>B2&amp;" (vaccinated)"</f>
        <v>Liver Fibrosis F0 (Chronic) (vaccinated)</v>
      </c>
      <c r="C19" s="2" t="s">
        <v>1442</v>
      </c>
      <c r="D19" s="2"/>
      <c r="E19">
        <v>0</v>
      </c>
      <c r="F19" s="2">
        <v>1</v>
      </c>
      <c r="H19" t="s">
        <v>30</v>
      </c>
      <c r="I19" s="2"/>
      <c r="J19" s="2"/>
      <c r="K19" s="4" t="s">
        <v>42</v>
      </c>
    </row>
    <row r="20" spans="1:11" x14ac:dyDescent="0.25">
      <c r="A20" s="4" t="str">
        <f t="shared" si="0"/>
        <v>f1_vax</v>
      </c>
      <c r="B20" t="str">
        <f t="shared" ref="B20:B24" si="1">B3&amp;" (vaccinated)"</f>
        <v>Liver Fibrosis F1 (Chronic) (vaccinated)</v>
      </c>
      <c r="C20" s="2" t="s">
        <v>1443</v>
      </c>
      <c r="E20">
        <v>0</v>
      </c>
      <c r="F20" s="2">
        <v>1</v>
      </c>
      <c r="H20" t="s">
        <v>30</v>
      </c>
      <c r="K20" t="s">
        <v>42</v>
      </c>
    </row>
    <row r="21" spans="1:11" x14ac:dyDescent="0.25">
      <c r="A21" s="4" t="str">
        <f t="shared" si="0"/>
        <v>f2_vax</v>
      </c>
      <c r="B21" t="str">
        <f t="shared" si="1"/>
        <v>Liver Fibrosis F2 (Chronic) (vaccinated)</v>
      </c>
      <c r="C21" s="2" t="s">
        <v>1444</v>
      </c>
      <c r="E21">
        <v>0</v>
      </c>
      <c r="F21" s="2">
        <v>1</v>
      </c>
      <c r="H21" t="s">
        <v>30</v>
      </c>
      <c r="K21" t="s">
        <v>42</v>
      </c>
    </row>
    <row r="22" spans="1:11" x14ac:dyDescent="0.25">
      <c r="A22" s="4" t="str">
        <f t="shared" si="0"/>
        <v>f0f2_vax</v>
      </c>
      <c r="B22" t="str">
        <f>B5&amp;" (vaccinated)"</f>
        <v>Liver Fibrosis F0-2 (Chronic) (vaccinated)</v>
      </c>
      <c r="C22" s="2" t="s">
        <v>1445</v>
      </c>
      <c r="E22">
        <v>0</v>
      </c>
      <c r="F22" s="2">
        <v>1</v>
      </c>
      <c r="H22" t="s">
        <v>30</v>
      </c>
      <c r="K22" t="s">
        <v>42</v>
      </c>
    </row>
    <row r="23" spans="1:11" x14ac:dyDescent="0.25">
      <c r="A23" s="4" t="str">
        <f t="shared" si="0"/>
        <v>f3_vax</v>
      </c>
      <c r="B23" t="str">
        <f t="shared" si="1"/>
        <v>Liver Fibrosis F3 (Chronic) (vaccinated)</v>
      </c>
      <c r="C23" s="2" t="s">
        <v>1446</v>
      </c>
      <c r="E23">
        <v>0</v>
      </c>
      <c r="F23" s="2">
        <v>1</v>
      </c>
      <c r="H23" t="s">
        <v>30</v>
      </c>
      <c r="K23" t="s">
        <v>42</v>
      </c>
    </row>
    <row r="24" spans="1:11" x14ac:dyDescent="0.25">
      <c r="A24" s="4" t="str">
        <f t="shared" si="0"/>
        <v>f4_vax</v>
      </c>
      <c r="B24" t="str">
        <f t="shared" si="1"/>
        <v>Liver Fibrosis F4 (Chronic) (vaccinated)</v>
      </c>
      <c r="C24" s="2" t="s">
        <v>1447</v>
      </c>
      <c r="E24">
        <v>0</v>
      </c>
      <c r="F24" s="2">
        <v>1</v>
      </c>
      <c r="H24" t="s">
        <v>30</v>
      </c>
      <c r="K24" t="s">
        <v>42</v>
      </c>
    </row>
    <row r="25" spans="1:11" x14ac:dyDescent="0.25">
      <c r="A25" s="4" t="str">
        <f>A8&amp;"_vax"</f>
        <v>f3f4_vax</v>
      </c>
      <c r="B25" t="str">
        <f>B8&amp;" (vaccinated)"</f>
        <v>Liver Fibrosis F3-4 (Chronic) (vaccinated)</v>
      </c>
      <c r="C25" s="2" t="s">
        <v>1448</v>
      </c>
      <c r="E25">
        <v>0</v>
      </c>
      <c r="F25" s="2">
        <v>1</v>
      </c>
      <c r="H25" t="s">
        <v>30</v>
      </c>
      <c r="K25" t="s">
        <v>42</v>
      </c>
    </row>
    <row r="26" spans="1:11" x14ac:dyDescent="0.25">
      <c r="A26" s="4" t="str">
        <f>A9&amp;"_vax"</f>
        <v>fibrosis_vax</v>
      </c>
      <c r="B26" t="str">
        <f>B9&amp;" (vaccinated)"</f>
        <v>Liver Fibrosis All Stages (Chronic) (vaccinated)</v>
      </c>
      <c r="C26" s="2" t="s">
        <v>1449</v>
      </c>
      <c r="E26">
        <v>0</v>
      </c>
      <c r="F26" s="2">
        <v>1</v>
      </c>
      <c r="H26" t="s">
        <v>30</v>
      </c>
      <c r="K26" t="s">
        <v>42</v>
      </c>
    </row>
    <row r="27" spans="1:11" x14ac:dyDescent="0.25">
      <c r="A27" s="4" t="str">
        <f>A10&amp;"_vax"</f>
        <v>d_cirrhosis_vax</v>
      </c>
      <c r="B27" t="str">
        <f>B10&amp;" (vaccinated)"</f>
        <v>Decompensated Cirrhosis (Chronic) (vaccinated)</v>
      </c>
      <c r="C27" s="2" t="s">
        <v>1450</v>
      </c>
      <c r="E27">
        <v>0</v>
      </c>
      <c r="F27" s="2">
        <v>1</v>
      </c>
      <c r="H27" t="s">
        <v>30</v>
      </c>
      <c r="K27" t="s">
        <v>42</v>
      </c>
    </row>
    <row r="28" spans="1:11" x14ac:dyDescent="0.25">
      <c r="A28" s="4" t="str">
        <f>A11&amp;"_vax"</f>
        <v>cancer_vax</v>
      </c>
      <c r="B28" t="str">
        <f>B11&amp;" (vaccinated)"</f>
        <v>Hepatocellular Carcinoma (Chronic) (vaccinated)</v>
      </c>
      <c r="C28" s="2" t="s">
        <v>1451</v>
      </c>
      <c r="E28">
        <v>0</v>
      </c>
      <c r="F28" s="2">
        <v>1</v>
      </c>
      <c r="H28" t="s">
        <v>30</v>
      </c>
      <c r="K28" t="s">
        <v>42</v>
      </c>
    </row>
    <row r="29" spans="1:11" x14ac:dyDescent="0.25">
      <c r="A29" s="4" t="s">
        <v>1574</v>
      </c>
      <c r="B29" t="s">
        <v>1575</v>
      </c>
      <c r="C29" s="107" t="s">
        <v>1466</v>
      </c>
      <c r="F29" s="2">
        <v>0</v>
      </c>
      <c r="K29" t="s">
        <v>42</v>
      </c>
    </row>
    <row r="30" spans="1:11" x14ac:dyDescent="0.25">
      <c r="A30" s="4" t="s">
        <v>1619</v>
      </c>
      <c r="B30" t="s">
        <v>1620</v>
      </c>
      <c r="C30" s="2" t="s">
        <v>1468</v>
      </c>
      <c r="F30" s="2">
        <v>0</v>
      </c>
      <c r="K30" t="s">
        <v>42</v>
      </c>
    </row>
    <row r="31" spans="1:11" x14ac:dyDescent="0.25">
      <c r="A31" s="4" t="s">
        <v>1576</v>
      </c>
      <c r="B31" t="s">
        <v>1621</v>
      </c>
      <c r="C31" s="2" t="s">
        <v>1467</v>
      </c>
      <c r="F31" s="2">
        <v>0</v>
      </c>
      <c r="K31" t="s">
        <v>42</v>
      </c>
    </row>
    <row r="32" spans="1:11" x14ac:dyDescent="0.25">
      <c r="A32" s="4" t="s">
        <v>1504</v>
      </c>
      <c r="B32" t="s">
        <v>1507</v>
      </c>
      <c r="C32" s="2" t="s">
        <v>1464</v>
      </c>
      <c r="F32" s="2">
        <v>0</v>
      </c>
      <c r="K32" t="s">
        <v>42</v>
      </c>
    </row>
    <row r="33" spans="1:11" x14ac:dyDescent="0.25">
      <c r="A33" s="4" t="s">
        <v>1505</v>
      </c>
      <c r="B33" t="s">
        <v>1506</v>
      </c>
      <c r="C33" s="2" t="s">
        <v>1465</v>
      </c>
      <c r="F33" s="2">
        <v>0</v>
      </c>
      <c r="K33" t="s">
        <v>42</v>
      </c>
    </row>
    <row r="34" spans="1:11" x14ac:dyDescent="0.25">
      <c r="A34" s="4" t="s">
        <v>1500</v>
      </c>
      <c r="B34" t="s">
        <v>1511</v>
      </c>
      <c r="C34" s="2" t="s">
        <v>1502</v>
      </c>
      <c r="F34" s="2">
        <v>0</v>
      </c>
      <c r="K34" t="s">
        <v>42</v>
      </c>
    </row>
    <row r="35" spans="1:11" x14ac:dyDescent="0.25">
      <c r="A35" s="4" t="s">
        <v>1501</v>
      </c>
      <c r="B35" t="s">
        <v>1510</v>
      </c>
      <c r="C35" s="2" t="s">
        <v>1503</v>
      </c>
      <c r="F35" s="2">
        <v>0</v>
      </c>
      <c r="K35" t="s">
        <v>42</v>
      </c>
    </row>
    <row r="36" spans="1:11" x14ac:dyDescent="0.25">
      <c r="A36" s="4" t="s">
        <v>1508</v>
      </c>
      <c r="B36" t="s">
        <v>1509</v>
      </c>
      <c r="C36" s="2" t="s">
        <v>1512</v>
      </c>
      <c r="F36" s="2">
        <v>0</v>
      </c>
      <c r="K36" t="s">
        <v>42</v>
      </c>
    </row>
    <row r="37" spans="1:11" x14ac:dyDescent="0.25">
      <c r="A37" s="4" t="str">
        <f>A12&amp;"_vax"</f>
        <v>dc_hcc_vax</v>
      </c>
      <c r="B37" t="str">
        <f>B12&amp;" (vaccinated)"</f>
        <v>Decompensated Cirrhosis and Hepatocellular Carcinoma (Chronic) (vaccinated)</v>
      </c>
      <c r="C37" s="2" t="s">
        <v>1452</v>
      </c>
      <c r="E37">
        <v>0</v>
      </c>
      <c r="F37" s="2">
        <v>1</v>
      </c>
      <c r="H37" t="s">
        <v>30</v>
      </c>
      <c r="K37" t="s">
        <v>42</v>
      </c>
    </row>
    <row r="38" spans="1:11" x14ac:dyDescent="0.25">
      <c r="A38" s="4" t="s">
        <v>1638</v>
      </c>
      <c r="B38" t="s">
        <v>1639</v>
      </c>
      <c r="C38" s="2" t="s">
        <v>1640</v>
      </c>
      <c r="E38">
        <v>0</v>
      </c>
      <c r="F38" s="2">
        <v>0</v>
      </c>
      <c r="K38" t="s">
        <v>42</v>
      </c>
    </row>
    <row r="39" spans="1:11" x14ac:dyDescent="0.25">
      <c r="A39" s="4" t="s">
        <v>1643</v>
      </c>
      <c r="B39" t="s">
        <v>1642</v>
      </c>
      <c r="C39" s="2" t="s">
        <v>1641</v>
      </c>
      <c r="E39">
        <v>0</v>
      </c>
      <c r="F39" s="2">
        <v>0</v>
      </c>
      <c r="K39" t="s">
        <v>42</v>
      </c>
    </row>
    <row r="40" spans="1:11" x14ac:dyDescent="0.25">
      <c r="A40" s="4" t="str">
        <f>A13&amp;"_vax"</f>
        <v>acute_vax</v>
      </c>
      <c r="B40" t="str">
        <f>B13&amp;" (vaccinated)"</f>
        <v>Population living with acute HCV (vaccinated)</v>
      </c>
      <c r="C40" s="2" t="s">
        <v>1453</v>
      </c>
      <c r="E40">
        <v>0</v>
      </c>
      <c r="F40" s="2">
        <v>1</v>
      </c>
      <c r="H40" t="s">
        <v>30</v>
      </c>
      <c r="K40" t="s">
        <v>42</v>
      </c>
    </row>
    <row r="41" spans="1:11" x14ac:dyDescent="0.25">
      <c r="A41" s="4" t="s">
        <v>1577</v>
      </c>
      <c r="B41" t="s">
        <v>1578</v>
      </c>
      <c r="C41" s="2" t="s">
        <v>1579</v>
      </c>
      <c r="F41" s="2">
        <v>0</v>
      </c>
      <c r="K41" t="s">
        <v>42</v>
      </c>
    </row>
    <row r="42" spans="1:11" x14ac:dyDescent="0.25">
      <c r="A42" s="4" t="str">
        <f>A14&amp;"_vax"</f>
        <v>chronic_vax</v>
      </c>
      <c r="B42" t="str">
        <f>B14&amp;" (vaccinated)"</f>
        <v>Population living with chronic HCV (vaccinated)</v>
      </c>
      <c r="C42" s="2" t="s">
        <v>1454</v>
      </c>
      <c r="E42">
        <v>0</v>
      </c>
      <c r="F42" s="2">
        <v>1</v>
      </c>
      <c r="H42" t="s">
        <v>30</v>
      </c>
      <c r="K42" t="s">
        <v>42</v>
      </c>
    </row>
    <row r="43" spans="1:11" x14ac:dyDescent="0.25">
      <c r="A43" s="4" t="s">
        <v>1480</v>
      </c>
      <c r="B43" t="s">
        <v>1481</v>
      </c>
      <c r="C43" s="2" t="s">
        <v>1482</v>
      </c>
      <c r="F43" s="2">
        <v>0</v>
      </c>
      <c r="K43" t="s">
        <v>42</v>
      </c>
    </row>
    <row r="44" spans="1:11" x14ac:dyDescent="0.25">
      <c r="A44" s="4" t="str">
        <f>A15&amp;"_vax"</f>
        <v>sus_vax</v>
      </c>
      <c r="B44" t="str">
        <f>B15&amp;" (vaccinated)"</f>
        <v>Susceptible, antibody positive (aware, unaware, treated) (vaccinated)</v>
      </c>
      <c r="C44" s="2" t="s">
        <v>1455</v>
      </c>
      <c r="E44">
        <v>0</v>
      </c>
      <c r="F44" s="2">
        <v>1</v>
      </c>
      <c r="H44" t="s">
        <v>30</v>
      </c>
      <c r="K44" t="s">
        <v>42</v>
      </c>
    </row>
    <row r="45" spans="1:11" x14ac:dyDescent="0.25">
      <c r="A45" s="4" t="str">
        <f>A16&amp;"_vax"</f>
        <v>sus_abneg_vax</v>
      </c>
      <c r="B45" t="str">
        <f>B16&amp;" (vaccinated)"</f>
        <v>Susceptible, antibody negative (never infected) (vaccinated)</v>
      </c>
      <c r="C45" s="2" t="s">
        <v>1339</v>
      </c>
      <c r="E45">
        <v>0</v>
      </c>
      <c r="F45" s="2">
        <v>1</v>
      </c>
      <c r="K45" t="s">
        <v>42</v>
      </c>
    </row>
    <row r="46" spans="1:11" x14ac:dyDescent="0.25">
      <c r="A46" s="4" t="str">
        <f>A17&amp;"_vax"</f>
        <v>sus_treated_vax</v>
      </c>
      <c r="B46" t="str">
        <f>B17&amp;" (vaccinated)"</f>
        <v>Susceptible, antibody positive (aware and treated) (vaccinated)</v>
      </c>
      <c r="C46" s="2" t="s">
        <v>1456</v>
      </c>
      <c r="E46">
        <v>0</v>
      </c>
      <c r="F46" s="2">
        <v>1</v>
      </c>
      <c r="K46" t="s">
        <v>42</v>
      </c>
    </row>
    <row r="47" spans="1:11" x14ac:dyDescent="0.25">
      <c r="A47" s="4" t="str">
        <f>A18&amp;"_vax"</f>
        <v>sus_all_vax</v>
      </c>
      <c r="B47" t="str">
        <f>B18&amp;" (vaccinated)"</f>
        <v>Susceptible (all) (vaccinated)</v>
      </c>
      <c r="C47" s="2" t="s">
        <v>1457</v>
      </c>
      <c r="E47">
        <v>0</v>
      </c>
      <c r="F47" s="2">
        <v>1</v>
      </c>
      <c r="H47" t="s">
        <v>30</v>
      </c>
      <c r="K47" t="s">
        <v>42</v>
      </c>
    </row>
    <row r="48" spans="1:11" x14ac:dyDescent="0.25">
      <c r="A48" s="4" t="s">
        <v>1534</v>
      </c>
      <c r="B48" t="s">
        <v>1531</v>
      </c>
      <c r="C48" s="2" t="s">
        <v>1532</v>
      </c>
      <c r="F48" s="2">
        <v>0</v>
      </c>
      <c r="K48" t="s">
        <v>42</v>
      </c>
    </row>
    <row r="49" spans="1:11" x14ac:dyDescent="0.25">
      <c r="A49" t="s">
        <v>580</v>
      </c>
      <c r="B49" t="s">
        <v>581</v>
      </c>
      <c r="C49" s="2" t="s">
        <v>1441</v>
      </c>
      <c r="F49" s="2">
        <v>0</v>
      </c>
      <c r="H49" t="s">
        <v>30</v>
      </c>
      <c r="K49" t="s">
        <v>42</v>
      </c>
    </row>
    <row r="50" spans="1:11" x14ac:dyDescent="0.25">
      <c r="A50" t="s">
        <v>610</v>
      </c>
      <c r="B50" t="s">
        <v>611</v>
      </c>
      <c r="C50" s="2" t="s">
        <v>1458</v>
      </c>
      <c r="F50" s="2">
        <v>1</v>
      </c>
      <c r="H50" t="s">
        <v>32</v>
      </c>
      <c r="K50" t="s">
        <v>42</v>
      </c>
    </row>
    <row r="51" spans="1:11" x14ac:dyDescent="0.25">
      <c r="A51" t="s">
        <v>1493</v>
      </c>
      <c r="B51" t="s">
        <v>1494</v>
      </c>
      <c r="C51" s="2" t="s">
        <v>1495</v>
      </c>
      <c r="F51" s="2">
        <v>0</v>
      </c>
      <c r="K51" t="s">
        <v>42</v>
      </c>
    </row>
    <row r="52" spans="1:11" x14ac:dyDescent="0.25">
      <c r="A52" t="s">
        <v>1171</v>
      </c>
      <c r="B52" t="s">
        <v>612</v>
      </c>
      <c r="C52" s="2" t="s">
        <v>1459</v>
      </c>
      <c r="D52" t="s">
        <v>610</v>
      </c>
      <c r="F52" s="2">
        <v>1</v>
      </c>
      <c r="H52" t="s">
        <v>1028</v>
      </c>
      <c r="K52" t="s">
        <v>42</v>
      </c>
    </row>
    <row r="53" spans="1:11" x14ac:dyDescent="0.25">
      <c r="A53" t="s">
        <v>1517</v>
      </c>
      <c r="B53" t="s">
        <v>614</v>
      </c>
      <c r="C53" s="2" t="s">
        <v>615</v>
      </c>
      <c r="D53" t="s">
        <v>610</v>
      </c>
      <c r="F53" s="2">
        <v>0</v>
      </c>
      <c r="K53" t="s">
        <v>42</v>
      </c>
    </row>
    <row r="54" spans="1:11" x14ac:dyDescent="0.25">
      <c r="A54" t="s">
        <v>582</v>
      </c>
      <c r="B54" t="s">
        <v>583</v>
      </c>
      <c r="C54" s="2" t="s">
        <v>1464</v>
      </c>
      <c r="D54" t="s">
        <v>421</v>
      </c>
      <c r="F54" s="2">
        <v>1</v>
      </c>
      <c r="H54" t="s">
        <v>1028</v>
      </c>
      <c r="K54" t="s">
        <v>42</v>
      </c>
    </row>
    <row r="55" spans="1:11" x14ac:dyDescent="0.25">
      <c r="A55" t="s">
        <v>584</v>
      </c>
      <c r="B55" t="s">
        <v>585</v>
      </c>
      <c r="C55" s="2" t="s">
        <v>1465</v>
      </c>
      <c r="D55" t="s">
        <v>421</v>
      </c>
      <c r="F55" s="2">
        <v>1</v>
      </c>
      <c r="H55" t="s">
        <v>1028</v>
      </c>
      <c r="K55" t="s">
        <v>42</v>
      </c>
    </row>
    <row r="56" spans="1:11" x14ac:dyDescent="0.25">
      <c r="A56" t="s">
        <v>586</v>
      </c>
      <c r="B56" t="s">
        <v>587</v>
      </c>
      <c r="C56" s="2" t="s">
        <v>1466</v>
      </c>
      <c r="D56" t="s">
        <v>421</v>
      </c>
      <c r="F56" s="2">
        <v>1</v>
      </c>
      <c r="H56" t="s">
        <v>1028</v>
      </c>
      <c r="K56" t="s">
        <v>42</v>
      </c>
    </row>
    <row r="57" spans="1:11" x14ac:dyDescent="0.25">
      <c r="A57" t="s">
        <v>588</v>
      </c>
      <c r="B57" t="s">
        <v>589</v>
      </c>
      <c r="C57" s="2" t="s">
        <v>1467</v>
      </c>
      <c r="D57" t="s">
        <v>421</v>
      </c>
      <c r="F57" s="2">
        <v>1</v>
      </c>
      <c r="H57" t="s">
        <v>1028</v>
      </c>
      <c r="K57" t="s">
        <v>42</v>
      </c>
    </row>
    <row r="58" spans="1:11" x14ac:dyDescent="0.25">
      <c r="A58" t="s">
        <v>590</v>
      </c>
      <c r="B58" t="s">
        <v>591</v>
      </c>
      <c r="C58" s="2" t="s">
        <v>1468</v>
      </c>
      <c r="D58" t="s">
        <v>421</v>
      </c>
      <c r="F58" s="2">
        <v>1</v>
      </c>
      <c r="H58" t="s">
        <v>1028</v>
      </c>
      <c r="K58" t="s">
        <v>42</v>
      </c>
    </row>
    <row r="59" spans="1:11" x14ac:dyDescent="0.25">
      <c r="A59" t="s">
        <v>592</v>
      </c>
      <c r="B59" t="s">
        <v>593</v>
      </c>
      <c r="C59" s="2" t="s">
        <v>582</v>
      </c>
      <c r="F59" s="2">
        <v>0</v>
      </c>
      <c r="K59" t="s">
        <v>42</v>
      </c>
    </row>
    <row r="60" spans="1:11" x14ac:dyDescent="0.25">
      <c r="A60" t="s">
        <v>594</v>
      </c>
      <c r="B60" t="s">
        <v>595</v>
      </c>
      <c r="C60" s="2" t="s">
        <v>584</v>
      </c>
      <c r="F60" s="2">
        <v>0</v>
      </c>
      <c r="K60" t="s">
        <v>42</v>
      </c>
    </row>
    <row r="61" spans="1:11" x14ac:dyDescent="0.25">
      <c r="A61" t="s">
        <v>596</v>
      </c>
      <c r="B61" t="s">
        <v>597</v>
      </c>
      <c r="C61" s="2" t="s">
        <v>586</v>
      </c>
      <c r="F61" s="2">
        <v>0</v>
      </c>
      <c r="K61" t="s">
        <v>42</v>
      </c>
    </row>
    <row r="62" spans="1:11" x14ac:dyDescent="0.25">
      <c r="A62" t="s">
        <v>598</v>
      </c>
      <c r="B62" t="s">
        <v>599</v>
      </c>
      <c r="C62" s="2" t="s">
        <v>588</v>
      </c>
      <c r="F62" s="2">
        <v>0</v>
      </c>
      <c r="K62" t="s">
        <v>42</v>
      </c>
    </row>
    <row r="63" spans="1:11" x14ac:dyDescent="0.25">
      <c r="A63" t="s">
        <v>600</v>
      </c>
      <c r="B63" t="s">
        <v>601</v>
      </c>
      <c r="C63" s="2" t="s">
        <v>590</v>
      </c>
      <c r="F63" s="2">
        <v>0</v>
      </c>
      <c r="K63" t="s">
        <v>42</v>
      </c>
    </row>
    <row r="64" spans="1:11" x14ac:dyDescent="0.25">
      <c r="A64" t="s">
        <v>616</v>
      </c>
      <c r="B64" t="s">
        <v>617</v>
      </c>
      <c r="C64" s="2" t="s">
        <v>618</v>
      </c>
      <c r="F64" s="2">
        <v>0</v>
      </c>
      <c r="K64" t="s">
        <v>42</v>
      </c>
    </row>
    <row r="65" spans="1:11" x14ac:dyDescent="0.25">
      <c r="A65" t="s">
        <v>619</v>
      </c>
      <c r="B65" t="s">
        <v>620</v>
      </c>
      <c r="C65" s="2" t="s">
        <v>616</v>
      </c>
      <c r="D65" t="s">
        <v>421</v>
      </c>
      <c r="F65" s="2">
        <v>0</v>
      </c>
      <c r="K65" t="s">
        <v>42</v>
      </c>
    </row>
    <row r="66" spans="1:11" x14ac:dyDescent="0.25">
      <c r="A66" t="s">
        <v>621</v>
      </c>
      <c r="B66" t="s">
        <v>622</v>
      </c>
      <c r="C66" s="2" t="s">
        <v>623</v>
      </c>
      <c r="D66" t="s">
        <v>580</v>
      </c>
      <c r="F66" s="2">
        <v>0</v>
      </c>
      <c r="K66" t="s">
        <v>42</v>
      </c>
    </row>
    <row r="67" spans="1:11" x14ac:dyDescent="0.25">
      <c r="A67" t="s">
        <v>624</v>
      </c>
      <c r="B67" t="s">
        <v>625</v>
      </c>
      <c r="C67" s="2" t="s">
        <v>1478</v>
      </c>
      <c r="F67" s="2">
        <v>0</v>
      </c>
      <c r="K67" t="s">
        <v>42</v>
      </c>
    </row>
    <row r="68" spans="1:11" x14ac:dyDescent="0.25">
      <c r="A68" t="s">
        <v>626</v>
      </c>
      <c r="B68" t="s">
        <v>627</v>
      </c>
      <c r="C68" s="2" t="s">
        <v>624</v>
      </c>
      <c r="D68" t="s">
        <v>580</v>
      </c>
      <c r="F68" s="2">
        <v>0</v>
      </c>
      <c r="K68" t="s">
        <v>42</v>
      </c>
    </row>
    <row r="69" spans="1:11" x14ac:dyDescent="0.25">
      <c r="A69" t="s">
        <v>628</v>
      </c>
      <c r="B69" t="s">
        <v>629</v>
      </c>
      <c r="C69" s="2" t="s">
        <v>630</v>
      </c>
      <c r="D69" t="s">
        <v>580</v>
      </c>
      <c r="F69" s="2">
        <v>0</v>
      </c>
      <c r="K69" t="s">
        <v>42</v>
      </c>
    </row>
    <row r="70" spans="1:11" x14ac:dyDescent="0.25">
      <c r="A70" t="s">
        <v>631</v>
      </c>
      <c r="B70" t="s">
        <v>632</v>
      </c>
      <c r="C70" s="2" t="s">
        <v>1479</v>
      </c>
      <c r="F70" s="2">
        <v>0</v>
      </c>
      <c r="K70" t="s">
        <v>42</v>
      </c>
    </row>
    <row r="71" spans="1:11" x14ac:dyDescent="0.25">
      <c r="A71" t="s">
        <v>633</v>
      </c>
      <c r="B71" t="s">
        <v>634</v>
      </c>
      <c r="C71" s="2" t="s">
        <v>631</v>
      </c>
      <c r="D71" t="s">
        <v>580</v>
      </c>
      <c r="F71" s="2">
        <v>0</v>
      </c>
      <c r="K71" t="s">
        <v>42</v>
      </c>
    </row>
    <row r="72" spans="1:11" x14ac:dyDescent="0.25">
      <c r="A72" t="s">
        <v>635</v>
      </c>
      <c r="B72" t="s">
        <v>636</v>
      </c>
      <c r="C72" s="2" t="s">
        <v>637</v>
      </c>
      <c r="F72" s="2">
        <v>0</v>
      </c>
      <c r="K72" t="s">
        <v>42</v>
      </c>
    </row>
    <row r="73" spans="1:11" x14ac:dyDescent="0.25">
      <c r="A73" t="s">
        <v>638</v>
      </c>
      <c r="B73" t="s">
        <v>639</v>
      </c>
      <c r="C73" s="2" t="s">
        <v>635</v>
      </c>
      <c r="D73" t="s">
        <v>421</v>
      </c>
      <c r="F73" s="2">
        <v>0</v>
      </c>
      <c r="K73" t="s">
        <v>42</v>
      </c>
    </row>
    <row r="74" spans="1:11" x14ac:dyDescent="0.25">
      <c r="A74" t="s">
        <v>640</v>
      </c>
      <c r="B74" t="s">
        <v>641</v>
      </c>
      <c r="C74" s="2" t="s">
        <v>642</v>
      </c>
      <c r="F74" s="2">
        <v>0</v>
      </c>
      <c r="K74" t="s">
        <v>42</v>
      </c>
    </row>
    <row r="75" spans="1:11" x14ac:dyDescent="0.25">
      <c r="A75" t="s">
        <v>643</v>
      </c>
      <c r="B75" t="s">
        <v>644</v>
      </c>
      <c r="C75" s="2" t="s">
        <v>640</v>
      </c>
      <c r="D75" t="s">
        <v>421</v>
      </c>
      <c r="F75" s="2">
        <v>0</v>
      </c>
      <c r="K75" t="s">
        <v>42</v>
      </c>
    </row>
    <row r="76" spans="1:11" x14ac:dyDescent="0.25">
      <c r="A76" t="s">
        <v>420</v>
      </c>
      <c r="B76" t="s">
        <v>645</v>
      </c>
      <c r="C76" s="2" t="s">
        <v>1477</v>
      </c>
      <c r="F76" s="2">
        <v>0</v>
      </c>
      <c r="K76" t="s">
        <v>42</v>
      </c>
    </row>
    <row r="77" spans="1:11" x14ac:dyDescent="0.25">
      <c r="A77" t="s">
        <v>646</v>
      </c>
      <c r="B77" t="s">
        <v>647</v>
      </c>
      <c r="C77" s="2" t="s">
        <v>420</v>
      </c>
      <c r="D77" t="s">
        <v>580</v>
      </c>
      <c r="F77" s="2">
        <v>0</v>
      </c>
      <c r="K77" t="s">
        <v>42</v>
      </c>
    </row>
    <row r="78" spans="1:11" x14ac:dyDescent="0.25">
      <c r="A78" t="s">
        <v>1540</v>
      </c>
      <c r="B78" t="s">
        <v>1541</v>
      </c>
      <c r="C78" s="2" t="s">
        <v>1542</v>
      </c>
      <c r="F78" s="2">
        <v>0</v>
      </c>
      <c r="K78" t="s">
        <v>42</v>
      </c>
    </row>
    <row r="79" spans="1:11" x14ac:dyDescent="0.25">
      <c r="A79" t="s">
        <v>648</v>
      </c>
      <c r="B79" t="s">
        <v>649</v>
      </c>
      <c r="C79" s="2" t="s">
        <v>1520</v>
      </c>
      <c r="F79" s="2">
        <v>0</v>
      </c>
      <c r="K79" t="s">
        <v>42</v>
      </c>
    </row>
    <row r="80" spans="1:11" x14ac:dyDescent="0.25">
      <c r="A80" t="s">
        <v>651</v>
      </c>
      <c r="B80" t="s">
        <v>652</v>
      </c>
      <c r="C80" s="2" t="s">
        <v>1470</v>
      </c>
      <c r="F80" s="2">
        <v>0</v>
      </c>
      <c r="K80" t="s">
        <v>42</v>
      </c>
    </row>
    <row r="81" spans="1:11" x14ac:dyDescent="0.25">
      <c r="A81" t="s">
        <v>1526</v>
      </c>
      <c r="B81" t="s">
        <v>1527</v>
      </c>
      <c r="C81" s="2" t="s">
        <v>1528</v>
      </c>
      <c r="F81" s="2">
        <v>0</v>
      </c>
      <c r="K81" t="s">
        <v>42</v>
      </c>
    </row>
    <row r="82" spans="1:11" x14ac:dyDescent="0.25">
      <c r="A82" t="s">
        <v>653</v>
      </c>
      <c r="B82" t="s">
        <v>654</v>
      </c>
      <c r="C82" s="2" t="s">
        <v>648</v>
      </c>
      <c r="D82" t="s">
        <v>610</v>
      </c>
      <c r="F82" s="2">
        <v>0</v>
      </c>
      <c r="K82" t="s">
        <v>42</v>
      </c>
    </row>
    <row r="83" spans="1:11" x14ac:dyDescent="0.25">
      <c r="A83" t="s">
        <v>655</v>
      </c>
      <c r="B83" t="s">
        <v>656</v>
      </c>
      <c r="C83" s="2" t="s">
        <v>651</v>
      </c>
      <c r="D83" t="s">
        <v>421</v>
      </c>
      <c r="F83" s="2">
        <v>0</v>
      </c>
      <c r="H83" t="s">
        <v>1028</v>
      </c>
      <c r="K83" t="s">
        <v>42</v>
      </c>
    </row>
    <row r="84" spans="1:11" x14ac:dyDescent="0.25">
      <c r="A84" t="s">
        <v>657</v>
      </c>
      <c r="B84" t="s">
        <v>658</v>
      </c>
      <c r="C84" s="2" t="s">
        <v>635</v>
      </c>
      <c r="D84" t="s">
        <v>580</v>
      </c>
      <c r="F84" s="2">
        <v>0</v>
      </c>
      <c r="H84" t="s">
        <v>1028</v>
      </c>
      <c r="K84" t="s">
        <v>42</v>
      </c>
    </row>
    <row r="85" spans="1:11" x14ac:dyDescent="0.25">
      <c r="A85" t="s">
        <v>623</v>
      </c>
      <c r="B85" t="s">
        <v>659</v>
      </c>
      <c r="C85" s="2" t="s">
        <v>1474</v>
      </c>
      <c r="F85" s="2">
        <v>0</v>
      </c>
      <c r="K85" t="s">
        <v>42</v>
      </c>
    </row>
    <row r="86" spans="1:11" x14ac:dyDescent="0.25">
      <c r="A86" t="s">
        <v>630</v>
      </c>
      <c r="B86" t="s">
        <v>660</v>
      </c>
      <c r="C86" s="2" t="s">
        <v>1475</v>
      </c>
      <c r="F86" s="2">
        <v>0</v>
      </c>
      <c r="K86" t="s">
        <v>42</v>
      </c>
    </row>
    <row r="87" spans="1:11" x14ac:dyDescent="0.25">
      <c r="A87" t="s">
        <v>661</v>
      </c>
      <c r="B87" t="s">
        <v>662</v>
      </c>
      <c r="C87" s="2" t="s">
        <v>663</v>
      </c>
      <c r="F87" s="2">
        <v>0</v>
      </c>
      <c r="K87" t="s">
        <v>42</v>
      </c>
    </row>
    <row r="88" spans="1:11" x14ac:dyDescent="0.25">
      <c r="A88" t="s">
        <v>664</v>
      </c>
      <c r="B88" t="s">
        <v>665</v>
      </c>
      <c r="C88" s="2" t="s">
        <v>661</v>
      </c>
      <c r="D88" t="s">
        <v>421</v>
      </c>
      <c r="F88" s="2">
        <v>0</v>
      </c>
      <c r="K88" t="s">
        <v>42</v>
      </c>
    </row>
    <row r="89" spans="1:11" x14ac:dyDescent="0.25">
      <c r="A89" t="s">
        <v>666</v>
      </c>
      <c r="B89" t="s">
        <v>667</v>
      </c>
      <c r="C89" s="2" t="s">
        <v>1519</v>
      </c>
      <c r="F89" s="2">
        <v>0</v>
      </c>
      <c r="K89" t="s">
        <v>42</v>
      </c>
    </row>
    <row r="90" spans="1:11" x14ac:dyDescent="0.25">
      <c r="A90" t="s">
        <v>668</v>
      </c>
      <c r="B90" t="s">
        <v>1266</v>
      </c>
      <c r="C90" s="2" t="s">
        <v>1472</v>
      </c>
      <c r="F90" s="2">
        <v>0</v>
      </c>
      <c r="K90" t="s">
        <v>42</v>
      </c>
    </row>
    <row r="91" spans="1:11" x14ac:dyDescent="0.25">
      <c r="A91" t="s">
        <v>670</v>
      </c>
      <c r="B91" t="s">
        <v>1267</v>
      </c>
      <c r="C91" s="2" t="s">
        <v>1473</v>
      </c>
      <c r="F91" s="2">
        <v>0</v>
      </c>
      <c r="K91" t="s">
        <v>42</v>
      </c>
    </row>
    <row r="92" spans="1:11" x14ac:dyDescent="0.25">
      <c r="A92" t="s">
        <v>671</v>
      </c>
      <c r="B92" t="s">
        <v>672</v>
      </c>
      <c r="C92" s="2" t="s">
        <v>666</v>
      </c>
      <c r="D92" t="s">
        <v>421</v>
      </c>
      <c r="F92" s="2">
        <v>0</v>
      </c>
      <c r="K92" t="s">
        <v>42</v>
      </c>
    </row>
    <row r="93" spans="1:11" x14ac:dyDescent="0.25">
      <c r="A93" t="s">
        <v>673</v>
      </c>
      <c r="B93" t="s">
        <v>674</v>
      </c>
      <c r="C93" s="2" t="s">
        <v>670</v>
      </c>
      <c r="D93" t="s">
        <v>421</v>
      </c>
      <c r="F93" s="2">
        <v>0</v>
      </c>
      <c r="K93" t="s">
        <v>42</v>
      </c>
    </row>
    <row r="94" spans="1:11" x14ac:dyDescent="0.25">
      <c r="A94" t="s">
        <v>675</v>
      </c>
      <c r="B94" t="s">
        <v>676</v>
      </c>
      <c r="C94" s="2" t="s">
        <v>668</v>
      </c>
      <c r="D94" t="s">
        <v>421</v>
      </c>
      <c r="F94" s="2">
        <v>0</v>
      </c>
      <c r="K94" t="s">
        <v>42</v>
      </c>
    </row>
    <row r="95" spans="1:11" x14ac:dyDescent="0.25">
      <c r="A95" t="s">
        <v>677</v>
      </c>
      <c r="B95" t="s">
        <v>678</v>
      </c>
      <c r="C95" s="2" t="s">
        <v>679</v>
      </c>
      <c r="D95" t="s">
        <v>648</v>
      </c>
      <c r="F95" s="2">
        <v>0</v>
      </c>
      <c r="K95" t="s">
        <v>42</v>
      </c>
    </row>
    <row r="96" spans="1:11" x14ac:dyDescent="0.25">
      <c r="A96" t="s">
        <v>680</v>
      </c>
      <c r="B96" t="s">
        <v>681</v>
      </c>
      <c r="C96" s="2" t="s">
        <v>67</v>
      </c>
      <c r="D96" t="s">
        <v>648</v>
      </c>
      <c r="F96" s="2">
        <v>0</v>
      </c>
      <c r="K96" t="s">
        <v>42</v>
      </c>
    </row>
    <row r="97" spans="1:11" x14ac:dyDescent="0.25">
      <c r="A97" t="s">
        <v>682</v>
      </c>
      <c r="B97" t="s">
        <v>683</v>
      </c>
      <c r="C97" s="2" t="s">
        <v>54</v>
      </c>
      <c r="D97" t="s">
        <v>648</v>
      </c>
      <c r="F97" s="2">
        <v>0</v>
      </c>
      <c r="K97" t="s">
        <v>42</v>
      </c>
    </row>
    <row r="98" spans="1:11" x14ac:dyDescent="0.25">
      <c r="A98" t="s">
        <v>684</v>
      </c>
      <c r="B98" t="s">
        <v>685</v>
      </c>
      <c r="C98" s="2" t="s">
        <v>50</v>
      </c>
      <c r="D98" t="s">
        <v>648</v>
      </c>
      <c r="F98" s="2">
        <v>0</v>
      </c>
      <c r="K98" t="s">
        <v>42</v>
      </c>
    </row>
    <row r="99" spans="1:11" x14ac:dyDescent="0.25">
      <c r="A99" t="s">
        <v>686</v>
      </c>
      <c r="B99" t="s">
        <v>687</v>
      </c>
      <c r="C99" s="2" t="s">
        <v>104</v>
      </c>
      <c r="D99" t="s">
        <v>648</v>
      </c>
      <c r="F99" s="2">
        <v>0</v>
      </c>
      <c r="K99" t="s">
        <v>42</v>
      </c>
    </row>
    <row r="100" spans="1:11" x14ac:dyDescent="0.25">
      <c r="A100" t="s">
        <v>688</v>
      </c>
      <c r="B100" t="s">
        <v>689</v>
      </c>
      <c r="C100" s="2" t="s">
        <v>142</v>
      </c>
      <c r="D100" t="s">
        <v>648</v>
      </c>
      <c r="F100" s="2">
        <v>0</v>
      </c>
      <c r="K100" t="s">
        <v>42</v>
      </c>
    </row>
    <row r="101" spans="1:11" x14ac:dyDescent="0.25">
      <c r="A101" t="s">
        <v>690</v>
      </c>
      <c r="B101" t="s">
        <v>691</v>
      </c>
      <c r="C101" s="2" t="s">
        <v>692</v>
      </c>
      <c r="D101" t="s">
        <v>648</v>
      </c>
      <c r="F101" s="2">
        <v>0</v>
      </c>
      <c r="K101" t="s">
        <v>42</v>
      </c>
    </row>
    <row r="102" spans="1:11" x14ac:dyDescent="0.25">
      <c r="A102" t="s">
        <v>693</v>
      </c>
      <c r="B102" t="s">
        <v>694</v>
      </c>
      <c r="C102" s="2" t="s">
        <v>180</v>
      </c>
      <c r="D102" t="s">
        <v>648</v>
      </c>
      <c r="F102" s="2">
        <v>0</v>
      </c>
      <c r="K102" t="s">
        <v>42</v>
      </c>
    </row>
    <row r="103" spans="1:11" x14ac:dyDescent="0.25">
      <c r="A103" t="s">
        <v>695</v>
      </c>
      <c r="B103" t="s">
        <v>696</v>
      </c>
      <c r="C103" s="2" t="s">
        <v>218</v>
      </c>
      <c r="D103" t="s">
        <v>648</v>
      </c>
      <c r="F103" s="2">
        <v>0</v>
      </c>
      <c r="K103" t="s">
        <v>42</v>
      </c>
    </row>
    <row r="104" spans="1:11" x14ac:dyDescent="0.25">
      <c r="A104" t="s">
        <v>697</v>
      </c>
      <c r="B104" t="s">
        <v>698</v>
      </c>
      <c r="C104" s="2" t="s">
        <v>256</v>
      </c>
      <c r="D104" t="s">
        <v>648</v>
      </c>
      <c r="F104" s="2">
        <v>0</v>
      </c>
      <c r="K104" t="s">
        <v>42</v>
      </c>
    </row>
    <row r="105" spans="1:11" x14ac:dyDescent="0.25">
      <c r="A105" t="s">
        <v>699</v>
      </c>
      <c r="B105" t="s">
        <v>700</v>
      </c>
      <c r="C105" s="2" t="s">
        <v>298</v>
      </c>
      <c r="D105" t="s">
        <v>648</v>
      </c>
      <c r="F105" s="2">
        <v>0</v>
      </c>
      <c r="K105" t="s">
        <v>42</v>
      </c>
    </row>
    <row r="106" spans="1:11" x14ac:dyDescent="0.25">
      <c r="A106" t="s">
        <v>701</v>
      </c>
      <c r="B106" t="s">
        <v>702</v>
      </c>
      <c r="C106" s="2" t="s">
        <v>650</v>
      </c>
      <c r="D106" t="s">
        <v>648</v>
      </c>
      <c r="F106" s="2">
        <v>0</v>
      </c>
      <c r="K106" t="s">
        <v>42</v>
      </c>
    </row>
    <row r="107" spans="1:11" x14ac:dyDescent="0.25">
      <c r="A107" t="s">
        <v>703</v>
      </c>
      <c r="B107" t="s">
        <v>704</v>
      </c>
      <c r="C107" s="2" t="s">
        <v>669</v>
      </c>
      <c r="F107" s="2">
        <v>0</v>
      </c>
      <c r="K107" t="s">
        <v>42</v>
      </c>
    </row>
    <row r="108" spans="1:11" x14ac:dyDescent="0.25">
      <c r="A108" t="s">
        <v>705</v>
      </c>
      <c r="B108" t="s">
        <v>706</v>
      </c>
      <c r="C108" s="2" t="s">
        <v>707</v>
      </c>
      <c r="F108" s="2">
        <v>0</v>
      </c>
      <c r="K108" t="s">
        <v>42</v>
      </c>
    </row>
    <row r="109" spans="1:11" x14ac:dyDescent="0.25">
      <c r="A109" t="s">
        <v>708</v>
      </c>
      <c r="B109" t="s">
        <v>709</v>
      </c>
      <c r="C109" s="2" t="s">
        <v>710</v>
      </c>
      <c r="D109" t="s">
        <v>703</v>
      </c>
      <c r="F109" s="2">
        <v>0</v>
      </c>
      <c r="K109" t="s">
        <v>42</v>
      </c>
    </row>
    <row r="110" spans="1:11" x14ac:dyDescent="0.25">
      <c r="A110" t="s">
        <v>711</v>
      </c>
      <c r="B110" t="s">
        <v>712</v>
      </c>
      <c r="C110" s="2" t="s">
        <v>72</v>
      </c>
      <c r="D110" t="s">
        <v>703</v>
      </c>
      <c r="F110" s="2">
        <v>0</v>
      </c>
      <c r="K110" t="s">
        <v>42</v>
      </c>
    </row>
    <row r="111" spans="1:11" x14ac:dyDescent="0.25">
      <c r="A111" t="s">
        <v>713</v>
      </c>
      <c r="B111" t="s">
        <v>714</v>
      </c>
      <c r="C111" s="2" t="s">
        <v>108</v>
      </c>
      <c r="D111" t="s">
        <v>703</v>
      </c>
      <c r="F111" s="2">
        <v>0</v>
      </c>
      <c r="K111" t="s">
        <v>42</v>
      </c>
    </row>
    <row r="112" spans="1:11" x14ac:dyDescent="0.25">
      <c r="A112" t="s">
        <v>715</v>
      </c>
      <c r="B112" t="s">
        <v>716</v>
      </c>
      <c r="C112" s="2" t="s">
        <v>146</v>
      </c>
      <c r="D112" t="s">
        <v>703</v>
      </c>
      <c r="F112" s="2">
        <v>0</v>
      </c>
      <c r="K112" t="s">
        <v>42</v>
      </c>
    </row>
    <row r="113" spans="1:11" x14ac:dyDescent="0.25">
      <c r="A113" t="s">
        <v>717</v>
      </c>
      <c r="B113" t="s">
        <v>718</v>
      </c>
      <c r="C113" s="2" t="s">
        <v>719</v>
      </c>
      <c r="D113" t="s">
        <v>703</v>
      </c>
      <c r="F113" s="2">
        <v>0</v>
      </c>
      <c r="K113" t="s">
        <v>42</v>
      </c>
    </row>
    <row r="114" spans="1:11" x14ac:dyDescent="0.25">
      <c r="A114" t="s">
        <v>720</v>
      </c>
      <c r="B114" t="s">
        <v>721</v>
      </c>
      <c r="C114" s="2" t="s">
        <v>184</v>
      </c>
      <c r="D114" t="s">
        <v>703</v>
      </c>
      <c r="F114" s="2">
        <v>0</v>
      </c>
      <c r="K114" t="s">
        <v>42</v>
      </c>
    </row>
    <row r="115" spans="1:11" x14ac:dyDescent="0.25">
      <c r="A115" t="s">
        <v>722</v>
      </c>
      <c r="B115" t="s">
        <v>723</v>
      </c>
      <c r="C115" s="2" t="s">
        <v>222</v>
      </c>
      <c r="D115" t="s">
        <v>703</v>
      </c>
      <c r="F115" s="2">
        <v>0</v>
      </c>
      <c r="K115" t="s">
        <v>42</v>
      </c>
    </row>
    <row r="116" spans="1:11" x14ac:dyDescent="0.25">
      <c r="A116" t="s">
        <v>724</v>
      </c>
      <c r="B116" t="s">
        <v>725</v>
      </c>
      <c r="C116" s="2" t="s">
        <v>260</v>
      </c>
      <c r="D116" t="s">
        <v>703</v>
      </c>
      <c r="F116" s="2">
        <v>0</v>
      </c>
      <c r="K116" t="s">
        <v>42</v>
      </c>
    </row>
    <row r="117" spans="1:11" x14ac:dyDescent="0.25">
      <c r="A117" t="s">
        <v>726</v>
      </c>
      <c r="B117" t="s">
        <v>727</v>
      </c>
      <c r="C117" s="2" t="s">
        <v>302</v>
      </c>
      <c r="D117" t="s">
        <v>703</v>
      </c>
      <c r="F117" s="2">
        <v>0</v>
      </c>
      <c r="K117" t="s">
        <v>42</v>
      </c>
    </row>
    <row r="118" spans="1:11" x14ac:dyDescent="0.25">
      <c r="A118" t="s">
        <v>728</v>
      </c>
      <c r="B118" t="s">
        <v>729</v>
      </c>
      <c r="C118" s="2" t="s">
        <v>730</v>
      </c>
      <c r="F118" s="2">
        <v>0</v>
      </c>
      <c r="K118" t="s">
        <v>42</v>
      </c>
    </row>
    <row r="119" spans="1:11" x14ac:dyDescent="0.25">
      <c r="A119" t="s">
        <v>731</v>
      </c>
      <c r="B119" t="s">
        <v>732</v>
      </c>
      <c r="C119" s="2" t="s">
        <v>669</v>
      </c>
      <c r="D119" t="s">
        <v>703</v>
      </c>
      <c r="F119" s="2">
        <v>0</v>
      </c>
      <c r="K119" t="s">
        <v>42</v>
      </c>
    </row>
    <row r="120" spans="1:11" x14ac:dyDescent="0.25">
      <c r="A120" t="s">
        <v>733</v>
      </c>
      <c r="B120" t="s">
        <v>734</v>
      </c>
      <c r="C120" s="2" t="s">
        <v>735</v>
      </c>
      <c r="F120" s="2">
        <v>0</v>
      </c>
      <c r="K120" t="s">
        <v>42</v>
      </c>
    </row>
    <row r="121" spans="1:11" x14ac:dyDescent="0.25">
      <c r="A121" t="s">
        <v>736</v>
      </c>
      <c r="B121" t="s">
        <v>737</v>
      </c>
      <c r="C121" s="2" t="s">
        <v>738</v>
      </c>
      <c r="F121" s="2">
        <v>0</v>
      </c>
      <c r="K121" t="s">
        <v>42</v>
      </c>
    </row>
    <row r="122" spans="1:11" x14ac:dyDescent="0.25">
      <c r="A122" t="s">
        <v>739</v>
      </c>
      <c r="B122" t="s">
        <v>740</v>
      </c>
      <c r="C122" s="2" t="s">
        <v>741</v>
      </c>
      <c r="F122" s="2">
        <v>0</v>
      </c>
      <c r="K122" t="s">
        <v>42</v>
      </c>
    </row>
    <row r="123" spans="1:11" x14ac:dyDescent="0.25">
      <c r="A123" t="s">
        <v>742</v>
      </c>
      <c r="B123" t="s">
        <v>743</v>
      </c>
      <c r="C123" s="2" t="s">
        <v>744</v>
      </c>
      <c r="F123" s="2">
        <v>0</v>
      </c>
      <c r="K123" t="s">
        <v>42</v>
      </c>
    </row>
    <row r="124" spans="1:11" x14ac:dyDescent="0.25">
      <c r="A124" t="s">
        <v>745</v>
      </c>
      <c r="B124" t="s">
        <v>746</v>
      </c>
      <c r="C124" s="2" t="s">
        <v>747</v>
      </c>
      <c r="F124" s="2">
        <v>0</v>
      </c>
      <c r="K124" t="s">
        <v>42</v>
      </c>
    </row>
    <row r="125" spans="1:11" x14ac:dyDescent="0.25">
      <c r="A125" t="s">
        <v>748</v>
      </c>
      <c r="B125" t="s">
        <v>749</v>
      </c>
      <c r="C125" s="2" t="s">
        <v>750</v>
      </c>
      <c r="F125" s="2">
        <v>0</v>
      </c>
      <c r="K125" t="s">
        <v>42</v>
      </c>
    </row>
    <row r="126" spans="1:11" x14ac:dyDescent="0.25">
      <c r="A126" t="s">
        <v>751</v>
      </c>
      <c r="B126" t="s">
        <v>752</v>
      </c>
      <c r="C126" s="2" t="s">
        <v>753</v>
      </c>
      <c r="F126" s="2">
        <v>0</v>
      </c>
      <c r="K126" t="s">
        <v>42</v>
      </c>
    </row>
    <row r="127" spans="1:11" x14ac:dyDescent="0.25">
      <c r="A127" t="s">
        <v>754</v>
      </c>
      <c r="B127" t="s">
        <v>755</v>
      </c>
      <c r="C127" s="2" t="s">
        <v>756</v>
      </c>
      <c r="F127" s="2">
        <v>0</v>
      </c>
      <c r="K127" t="s">
        <v>42</v>
      </c>
    </row>
    <row r="128" spans="1:11" x14ac:dyDescent="0.25">
      <c r="A128" t="s">
        <v>757</v>
      </c>
      <c r="B128" t="s">
        <v>758</v>
      </c>
      <c r="C128" s="2" t="s">
        <v>759</v>
      </c>
      <c r="F128" s="2">
        <v>0</v>
      </c>
      <c r="K128" t="s">
        <v>42</v>
      </c>
    </row>
    <row r="129" spans="1:11" x14ac:dyDescent="0.25">
      <c r="A129" t="s">
        <v>760</v>
      </c>
      <c r="B129" t="s">
        <v>761</v>
      </c>
      <c r="C129" s="2" t="s">
        <v>78</v>
      </c>
      <c r="D129" t="s">
        <v>754</v>
      </c>
      <c r="F129" s="2">
        <v>0</v>
      </c>
      <c r="K129" t="s">
        <v>42</v>
      </c>
    </row>
    <row r="130" spans="1:11" x14ac:dyDescent="0.25">
      <c r="A130" t="s">
        <v>762</v>
      </c>
      <c r="B130" t="s">
        <v>763</v>
      </c>
      <c r="C130" s="2" t="s">
        <v>90</v>
      </c>
      <c r="D130" t="s">
        <v>754</v>
      </c>
      <c r="F130" s="2">
        <v>0</v>
      </c>
      <c r="K130" t="s">
        <v>42</v>
      </c>
    </row>
    <row r="131" spans="1:11" x14ac:dyDescent="0.25">
      <c r="A131" t="s">
        <v>764</v>
      </c>
      <c r="B131" t="s">
        <v>765</v>
      </c>
      <c r="C131" s="2" t="s">
        <v>114</v>
      </c>
      <c r="D131" t="s">
        <v>754</v>
      </c>
      <c r="F131" s="2">
        <v>0</v>
      </c>
      <c r="K131" t="s">
        <v>42</v>
      </c>
    </row>
    <row r="132" spans="1:11" x14ac:dyDescent="0.25">
      <c r="A132" t="s">
        <v>766</v>
      </c>
      <c r="B132" t="s">
        <v>767</v>
      </c>
      <c r="C132" s="2" t="s">
        <v>126</v>
      </c>
      <c r="D132" t="s">
        <v>754</v>
      </c>
      <c r="F132" s="2">
        <v>0</v>
      </c>
      <c r="K132" t="s">
        <v>42</v>
      </c>
    </row>
    <row r="133" spans="1:11" x14ac:dyDescent="0.25">
      <c r="A133" t="s">
        <v>768</v>
      </c>
      <c r="B133" t="s">
        <v>769</v>
      </c>
      <c r="C133" s="2" t="s">
        <v>152</v>
      </c>
      <c r="D133" t="s">
        <v>754</v>
      </c>
      <c r="F133" s="2">
        <v>0</v>
      </c>
      <c r="K133" t="s">
        <v>42</v>
      </c>
    </row>
    <row r="134" spans="1:11" x14ac:dyDescent="0.25">
      <c r="A134" t="s">
        <v>770</v>
      </c>
      <c r="B134" t="s">
        <v>771</v>
      </c>
      <c r="C134" s="2" t="s">
        <v>164</v>
      </c>
      <c r="D134" t="s">
        <v>754</v>
      </c>
      <c r="F134" s="2">
        <v>0</v>
      </c>
      <c r="K134" t="s">
        <v>42</v>
      </c>
    </row>
    <row r="135" spans="1:11" x14ac:dyDescent="0.25">
      <c r="A135" t="s">
        <v>772</v>
      </c>
      <c r="B135" t="s">
        <v>773</v>
      </c>
      <c r="C135" s="2" t="s">
        <v>190</v>
      </c>
      <c r="D135" t="s">
        <v>754</v>
      </c>
      <c r="F135" s="2">
        <v>0</v>
      </c>
      <c r="K135" t="s">
        <v>42</v>
      </c>
    </row>
    <row r="136" spans="1:11" x14ac:dyDescent="0.25">
      <c r="A136" t="s">
        <v>774</v>
      </c>
      <c r="B136" t="s">
        <v>775</v>
      </c>
      <c r="C136" s="2" t="s">
        <v>202</v>
      </c>
      <c r="D136" t="s">
        <v>754</v>
      </c>
      <c r="F136" s="2">
        <v>0</v>
      </c>
      <c r="K136" t="s">
        <v>42</v>
      </c>
    </row>
    <row r="137" spans="1:11" x14ac:dyDescent="0.25">
      <c r="A137" t="s">
        <v>776</v>
      </c>
      <c r="B137" t="s">
        <v>777</v>
      </c>
      <c r="C137" s="2" t="s">
        <v>228</v>
      </c>
      <c r="D137" t="s">
        <v>754</v>
      </c>
      <c r="F137" s="2">
        <v>0</v>
      </c>
      <c r="K137" t="s">
        <v>42</v>
      </c>
    </row>
    <row r="138" spans="1:11" x14ac:dyDescent="0.25">
      <c r="A138" t="s">
        <v>778</v>
      </c>
      <c r="B138" t="s">
        <v>779</v>
      </c>
      <c r="C138" s="2" t="s">
        <v>240</v>
      </c>
      <c r="D138" t="s">
        <v>754</v>
      </c>
      <c r="F138" s="2">
        <v>0</v>
      </c>
      <c r="K138" t="s">
        <v>42</v>
      </c>
    </row>
    <row r="139" spans="1:11" x14ac:dyDescent="0.25">
      <c r="A139" t="s">
        <v>780</v>
      </c>
      <c r="B139" t="s">
        <v>781</v>
      </c>
      <c r="C139" s="2" t="s">
        <v>266</v>
      </c>
      <c r="D139" t="s">
        <v>754</v>
      </c>
      <c r="F139" s="2">
        <v>0</v>
      </c>
      <c r="K139" t="s">
        <v>42</v>
      </c>
    </row>
    <row r="140" spans="1:11" x14ac:dyDescent="0.25">
      <c r="A140" t="s">
        <v>782</v>
      </c>
      <c r="B140" t="s">
        <v>783</v>
      </c>
      <c r="C140" s="2" t="s">
        <v>278</v>
      </c>
      <c r="D140" t="s">
        <v>754</v>
      </c>
      <c r="F140" s="2">
        <v>0</v>
      </c>
      <c r="K140" t="s">
        <v>42</v>
      </c>
    </row>
    <row r="141" spans="1:11" x14ac:dyDescent="0.25">
      <c r="A141" t="s">
        <v>784</v>
      </c>
      <c r="B141" t="s">
        <v>785</v>
      </c>
      <c r="C141" s="2" t="s">
        <v>308</v>
      </c>
      <c r="D141" t="s">
        <v>754</v>
      </c>
      <c r="F141" s="2">
        <v>0</v>
      </c>
      <c r="K141" t="s">
        <v>42</v>
      </c>
    </row>
    <row r="142" spans="1:11" x14ac:dyDescent="0.25">
      <c r="A142" t="s">
        <v>786</v>
      </c>
      <c r="B142" t="s">
        <v>787</v>
      </c>
      <c r="C142" s="2" t="s">
        <v>320</v>
      </c>
      <c r="D142" t="s">
        <v>754</v>
      </c>
      <c r="F142" s="2">
        <v>0</v>
      </c>
      <c r="K142" t="s">
        <v>42</v>
      </c>
    </row>
    <row r="143" spans="1:11" x14ac:dyDescent="0.25">
      <c r="A143" t="s">
        <v>788</v>
      </c>
      <c r="B143" t="s">
        <v>789</v>
      </c>
      <c r="C143" s="2" t="s">
        <v>790</v>
      </c>
      <c r="D143" t="s">
        <v>754</v>
      </c>
      <c r="F143" s="2">
        <v>0</v>
      </c>
      <c r="K143" t="s">
        <v>42</v>
      </c>
    </row>
    <row r="144" spans="1:11" x14ac:dyDescent="0.25">
      <c r="A144" t="s">
        <v>791</v>
      </c>
      <c r="B144" t="s">
        <v>792</v>
      </c>
      <c r="C144" s="2" t="s">
        <v>793</v>
      </c>
      <c r="D144" t="s">
        <v>754</v>
      </c>
      <c r="F144" s="2">
        <v>0</v>
      </c>
      <c r="K144" t="s">
        <v>42</v>
      </c>
    </row>
    <row r="145" spans="1:11" x14ac:dyDescent="0.25">
      <c r="A145" t="s">
        <v>794</v>
      </c>
      <c r="B145" t="s">
        <v>795</v>
      </c>
      <c r="C145" s="2" t="s">
        <v>796</v>
      </c>
      <c r="D145" t="s">
        <v>754</v>
      </c>
      <c r="F145" s="2">
        <v>0</v>
      </c>
      <c r="K145" t="s">
        <v>42</v>
      </c>
    </row>
    <row r="146" spans="1:11" x14ac:dyDescent="0.25">
      <c r="A146" t="s">
        <v>797</v>
      </c>
      <c r="B146" t="s">
        <v>798</v>
      </c>
      <c r="C146" s="2" t="s">
        <v>799</v>
      </c>
      <c r="D146" t="s">
        <v>754</v>
      </c>
      <c r="F146" s="2">
        <v>0</v>
      </c>
      <c r="K146" t="s">
        <v>42</v>
      </c>
    </row>
    <row r="147" spans="1:11" x14ac:dyDescent="0.25">
      <c r="A147" t="s">
        <v>800</v>
      </c>
      <c r="B147" t="s">
        <v>801</v>
      </c>
      <c r="C147" s="2" t="s">
        <v>802</v>
      </c>
      <c r="D147" t="s">
        <v>754</v>
      </c>
      <c r="F147" s="2">
        <v>0</v>
      </c>
      <c r="K147" t="s">
        <v>42</v>
      </c>
    </row>
    <row r="148" spans="1:11" x14ac:dyDescent="0.25">
      <c r="A148" t="s">
        <v>803</v>
      </c>
      <c r="B148" t="s">
        <v>804</v>
      </c>
      <c r="C148" s="2" t="s">
        <v>805</v>
      </c>
      <c r="D148" t="s">
        <v>754</v>
      </c>
      <c r="F148" s="2">
        <v>0</v>
      </c>
      <c r="K148" t="s">
        <v>42</v>
      </c>
    </row>
    <row r="149" spans="1:11" x14ac:dyDescent="0.25">
      <c r="A149" t="s">
        <v>806</v>
      </c>
      <c r="B149" t="s">
        <v>807</v>
      </c>
      <c r="C149" s="2" t="s">
        <v>808</v>
      </c>
      <c r="D149" t="s">
        <v>754</v>
      </c>
      <c r="F149" s="2">
        <v>0</v>
      </c>
      <c r="K149" t="s">
        <v>42</v>
      </c>
    </row>
    <row r="150" spans="1:11" x14ac:dyDescent="0.25">
      <c r="A150" t="s">
        <v>809</v>
      </c>
      <c r="B150" t="s">
        <v>810</v>
      </c>
      <c r="C150" s="2" t="s">
        <v>811</v>
      </c>
      <c r="D150" t="s">
        <v>754</v>
      </c>
      <c r="F150" s="2">
        <v>0</v>
      </c>
      <c r="K150" t="s">
        <v>42</v>
      </c>
    </row>
    <row r="151" spans="1:11" x14ac:dyDescent="0.25">
      <c r="A151" t="s">
        <v>812</v>
      </c>
      <c r="B151" t="s">
        <v>813</v>
      </c>
      <c r="C151" s="2" t="s">
        <v>814</v>
      </c>
      <c r="D151" t="s">
        <v>754</v>
      </c>
      <c r="F151" s="2">
        <v>0</v>
      </c>
      <c r="K151" t="s">
        <v>42</v>
      </c>
    </row>
    <row r="152" spans="1:11" x14ac:dyDescent="0.25">
      <c r="A152" t="s">
        <v>815</v>
      </c>
      <c r="B152" t="s">
        <v>816</v>
      </c>
      <c r="C152" s="2" t="s">
        <v>817</v>
      </c>
      <c r="F152" s="2">
        <v>0</v>
      </c>
      <c r="K152" t="s">
        <v>42</v>
      </c>
    </row>
    <row r="153" spans="1:11" x14ac:dyDescent="0.25">
      <c r="A153" t="s">
        <v>818</v>
      </c>
      <c r="B153" t="s">
        <v>819</v>
      </c>
      <c r="C153" s="2" t="s">
        <v>820</v>
      </c>
      <c r="F153" s="2">
        <v>0</v>
      </c>
      <c r="K153" t="s">
        <v>42</v>
      </c>
    </row>
    <row r="154" spans="1:11" x14ac:dyDescent="0.25">
      <c r="A154" t="s">
        <v>821</v>
      </c>
      <c r="B154" t="s">
        <v>822</v>
      </c>
      <c r="C154" s="2" t="s">
        <v>823</v>
      </c>
      <c r="F154" s="2">
        <v>0</v>
      </c>
      <c r="K154" t="s">
        <v>42</v>
      </c>
    </row>
    <row r="155" spans="1:11" x14ac:dyDescent="0.25">
      <c r="A155" t="s">
        <v>824</v>
      </c>
      <c r="B155" t="s">
        <v>825</v>
      </c>
      <c r="C155" s="2" t="s">
        <v>826</v>
      </c>
      <c r="F155" s="2">
        <v>0</v>
      </c>
      <c r="K155" t="s">
        <v>42</v>
      </c>
    </row>
    <row r="156" spans="1:11" x14ac:dyDescent="0.25">
      <c r="A156" t="s">
        <v>827</v>
      </c>
      <c r="B156" t="s">
        <v>828</v>
      </c>
      <c r="C156" s="2" t="s">
        <v>829</v>
      </c>
      <c r="F156" s="2">
        <v>0</v>
      </c>
      <c r="K156" t="s">
        <v>42</v>
      </c>
    </row>
    <row r="157" spans="1:11" x14ac:dyDescent="0.25">
      <c r="A157" t="s">
        <v>830</v>
      </c>
      <c r="B157" t="s">
        <v>831</v>
      </c>
      <c r="C157" s="2" t="s">
        <v>832</v>
      </c>
      <c r="F157" s="2">
        <v>0</v>
      </c>
      <c r="K157" t="s">
        <v>42</v>
      </c>
    </row>
    <row r="158" spans="1:11" x14ac:dyDescent="0.25">
      <c r="A158" t="s">
        <v>833</v>
      </c>
      <c r="B158" t="s">
        <v>834</v>
      </c>
      <c r="C158" s="2" t="s">
        <v>835</v>
      </c>
      <c r="F158" s="2">
        <v>0</v>
      </c>
      <c r="K158" t="s">
        <v>42</v>
      </c>
    </row>
    <row r="159" spans="1:11" x14ac:dyDescent="0.25">
      <c r="A159" t="s">
        <v>836</v>
      </c>
      <c r="B159" t="s">
        <v>837</v>
      </c>
      <c r="C159" s="2" t="s">
        <v>829</v>
      </c>
      <c r="D159" t="s">
        <v>580</v>
      </c>
      <c r="F159" s="2">
        <v>0</v>
      </c>
      <c r="H159" t="s">
        <v>1028</v>
      </c>
      <c r="K159" t="s">
        <v>42</v>
      </c>
    </row>
    <row r="160" spans="1:11" x14ac:dyDescent="0.25">
      <c r="A160" t="s">
        <v>838</v>
      </c>
      <c r="B160" t="s">
        <v>839</v>
      </c>
      <c r="C160" s="2" t="s">
        <v>832</v>
      </c>
      <c r="D160" t="s">
        <v>580</v>
      </c>
      <c r="F160" s="2">
        <v>0</v>
      </c>
      <c r="H160" t="s">
        <v>1028</v>
      </c>
      <c r="K160" t="s">
        <v>42</v>
      </c>
    </row>
    <row r="161" spans="1:11" x14ac:dyDescent="0.25">
      <c r="A161" t="s">
        <v>840</v>
      </c>
      <c r="B161" t="s">
        <v>841</v>
      </c>
      <c r="C161" s="2" t="s">
        <v>835</v>
      </c>
      <c r="D161" t="s">
        <v>580</v>
      </c>
      <c r="F161" s="2">
        <v>0</v>
      </c>
      <c r="H161" t="s">
        <v>1028</v>
      </c>
      <c r="K161" t="s">
        <v>42</v>
      </c>
    </row>
    <row r="162" spans="1:11" x14ac:dyDescent="0.25">
      <c r="A162" t="s">
        <v>842</v>
      </c>
      <c r="B162" t="s">
        <v>843</v>
      </c>
      <c r="C162" s="2" t="s">
        <v>90</v>
      </c>
      <c r="F162" s="2">
        <v>1</v>
      </c>
      <c r="H162" t="s">
        <v>30</v>
      </c>
      <c r="K162" t="s">
        <v>42</v>
      </c>
    </row>
    <row r="163" spans="1:11" x14ac:dyDescent="0.25">
      <c r="A163" t="s">
        <v>844</v>
      </c>
      <c r="B163" t="s">
        <v>845</v>
      </c>
      <c r="C163" s="2" t="s">
        <v>126</v>
      </c>
      <c r="F163" s="2">
        <v>1</v>
      </c>
      <c r="H163" t="s">
        <v>30</v>
      </c>
      <c r="K163" t="s">
        <v>42</v>
      </c>
    </row>
    <row r="164" spans="1:11" x14ac:dyDescent="0.25">
      <c r="A164" t="s">
        <v>846</v>
      </c>
      <c r="B164" t="s">
        <v>847</v>
      </c>
      <c r="C164" s="2" t="s">
        <v>164</v>
      </c>
      <c r="F164" s="2">
        <v>1</v>
      </c>
      <c r="H164" t="s">
        <v>30</v>
      </c>
      <c r="K164" t="s">
        <v>42</v>
      </c>
    </row>
    <row r="165" spans="1:11" x14ac:dyDescent="0.25">
      <c r="A165" t="s">
        <v>848</v>
      </c>
      <c r="B165" t="s">
        <v>849</v>
      </c>
      <c r="C165" s="2" t="s">
        <v>202</v>
      </c>
      <c r="F165" s="2">
        <v>1</v>
      </c>
      <c r="H165" t="s">
        <v>30</v>
      </c>
      <c r="K165" t="s">
        <v>42</v>
      </c>
    </row>
    <row r="166" spans="1:11" x14ac:dyDescent="0.25">
      <c r="A166" t="s">
        <v>850</v>
      </c>
      <c r="B166" t="s">
        <v>851</v>
      </c>
      <c r="C166" s="2" t="s">
        <v>240</v>
      </c>
      <c r="F166" s="2">
        <v>1</v>
      </c>
      <c r="H166" t="s">
        <v>30</v>
      </c>
      <c r="K166" t="s">
        <v>42</v>
      </c>
    </row>
    <row r="167" spans="1:11" x14ac:dyDescent="0.25">
      <c r="A167" t="s">
        <v>852</v>
      </c>
      <c r="B167" t="s">
        <v>853</v>
      </c>
      <c r="C167" s="2" t="s">
        <v>278</v>
      </c>
      <c r="F167" s="2">
        <v>1</v>
      </c>
      <c r="H167" t="s">
        <v>30</v>
      </c>
      <c r="K167" t="s">
        <v>42</v>
      </c>
    </row>
    <row r="168" spans="1:11" x14ac:dyDescent="0.25">
      <c r="A168" t="s">
        <v>854</v>
      </c>
      <c r="B168" t="s">
        <v>855</v>
      </c>
      <c r="C168" s="2" t="s">
        <v>320</v>
      </c>
      <c r="F168" s="2">
        <v>1</v>
      </c>
      <c r="H168" t="s">
        <v>30</v>
      </c>
      <c r="K168" t="s">
        <v>42</v>
      </c>
    </row>
    <row r="169" spans="1:11" x14ac:dyDescent="0.25">
      <c r="A169" t="s">
        <v>856</v>
      </c>
      <c r="B169" t="s">
        <v>857</v>
      </c>
      <c r="C169" s="2" t="s">
        <v>102</v>
      </c>
      <c r="F169" s="2">
        <v>1</v>
      </c>
      <c r="H169" t="s">
        <v>30</v>
      </c>
      <c r="K169" t="s">
        <v>42</v>
      </c>
    </row>
    <row r="170" spans="1:11" x14ac:dyDescent="0.25">
      <c r="A170" t="s">
        <v>858</v>
      </c>
      <c r="B170" t="s">
        <v>859</v>
      </c>
      <c r="C170" s="2" t="s">
        <v>140</v>
      </c>
      <c r="F170" s="2">
        <v>1</v>
      </c>
      <c r="H170" t="s">
        <v>30</v>
      </c>
      <c r="K170" t="s">
        <v>42</v>
      </c>
    </row>
    <row r="171" spans="1:11" x14ac:dyDescent="0.25">
      <c r="A171" t="s">
        <v>860</v>
      </c>
      <c r="B171" t="s">
        <v>861</v>
      </c>
      <c r="C171" s="2" t="s">
        <v>178</v>
      </c>
      <c r="F171" s="2">
        <v>1</v>
      </c>
      <c r="H171" t="s">
        <v>30</v>
      </c>
      <c r="K171" t="s">
        <v>42</v>
      </c>
    </row>
    <row r="172" spans="1:11" x14ac:dyDescent="0.25">
      <c r="A172" t="s">
        <v>862</v>
      </c>
      <c r="B172" t="s">
        <v>863</v>
      </c>
      <c r="C172" s="2" t="s">
        <v>216</v>
      </c>
      <c r="F172" s="2">
        <v>1</v>
      </c>
      <c r="H172" t="s">
        <v>30</v>
      </c>
      <c r="K172" t="s">
        <v>42</v>
      </c>
    </row>
    <row r="173" spans="1:11" x14ac:dyDescent="0.25">
      <c r="A173" t="s">
        <v>864</v>
      </c>
      <c r="B173" t="s">
        <v>865</v>
      </c>
      <c r="C173" s="2" t="s">
        <v>254</v>
      </c>
      <c r="F173" s="2">
        <v>1</v>
      </c>
      <c r="H173" t="s">
        <v>30</v>
      </c>
      <c r="K173" t="s">
        <v>42</v>
      </c>
    </row>
    <row r="174" spans="1:11" x14ac:dyDescent="0.25">
      <c r="A174" t="s">
        <v>866</v>
      </c>
      <c r="B174" t="s">
        <v>867</v>
      </c>
      <c r="C174" s="2" t="s">
        <v>292</v>
      </c>
      <c r="F174" s="2">
        <v>1</v>
      </c>
      <c r="H174" t="s">
        <v>30</v>
      </c>
      <c r="K174" t="s">
        <v>42</v>
      </c>
    </row>
    <row r="175" spans="1:11" x14ac:dyDescent="0.25">
      <c r="A175" t="s">
        <v>868</v>
      </c>
      <c r="B175" t="s">
        <v>869</v>
      </c>
      <c r="C175" s="2" t="s">
        <v>334</v>
      </c>
      <c r="F175" s="2">
        <v>1</v>
      </c>
      <c r="H175" t="s">
        <v>30</v>
      </c>
      <c r="K175" t="s">
        <v>42</v>
      </c>
    </row>
    <row r="176" spans="1:11" x14ac:dyDescent="0.25">
      <c r="A176" t="s">
        <v>870</v>
      </c>
      <c r="B176" t="s">
        <v>871</v>
      </c>
      <c r="C176" s="2" t="s">
        <v>67</v>
      </c>
      <c r="F176" s="2">
        <v>1</v>
      </c>
      <c r="H176" t="s">
        <v>30</v>
      </c>
      <c r="K176" t="s">
        <v>42</v>
      </c>
    </row>
    <row r="177" spans="1:11" x14ac:dyDescent="0.25">
      <c r="A177" t="s">
        <v>872</v>
      </c>
      <c r="B177" t="s">
        <v>873</v>
      </c>
      <c r="C177" s="2" t="s">
        <v>104</v>
      </c>
      <c r="F177" s="2">
        <v>1</v>
      </c>
      <c r="H177" t="s">
        <v>30</v>
      </c>
      <c r="K177" t="s">
        <v>42</v>
      </c>
    </row>
    <row r="178" spans="1:11" x14ac:dyDescent="0.25">
      <c r="A178" t="s">
        <v>874</v>
      </c>
      <c r="B178" t="s">
        <v>875</v>
      </c>
      <c r="C178" s="2" t="s">
        <v>142</v>
      </c>
      <c r="F178" s="2">
        <v>1</v>
      </c>
      <c r="H178" t="s">
        <v>30</v>
      </c>
      <c r="K178" t="s">
        <v>42</v>
      </c>
    </row>
    <row r="179" spans="1:11" x14ac:dyDescent="0.25">
      <c r="A179" t="s">
        <v>876</v>
      </c>
      <c r="B179" t="s">
        <v>877</v>
      </c>
      <c r="C179" s="2" t="s">
        <v>180</v>
      </c>
      <c r="F179" s="2">
        <v>1</v>
      </c>
      <c r="H179" t="s">
        <v>30</v>
      </c>
      <c r="K179" t="s">
        <v>42</v>
      </c>
    </row>
    <row r="180" spans="1:11" x14ac:dyDescent="0.25">
      <c r="A180" t="s">
        <v>878</v>
      </c>
      <c r="B180" t="s">
        <v>879</v>
      </c>
      <c r="C180" s="2" t="s">
        <v>218</v>
      </c>
      <c r="F180" s="2">
        <v>1</v>
      </c>
      <c r="H180" t="s">
        <v>30</v>
      </c>
      <c r="K180" t="s">
        <v>42</v>
      </c>
    </row>
    <row r="181" spans="1:11" x14ac:dyDescent="0.25">
      <c r="A181" t="s">
        <v>880</v>
      </c>
      <c r="B181" t="s">
        <v>881</v>
      </c>
      <c r="C181" s="2" t="s">
        <v>256</v>
      </c>
      <c r="F181" s="2">
        <v>1</v>
      </c>
      <c r="H181" t="s">
        <v>30</v>
      </c>
      <c r="K181" t="s">
        <v>42</v>
      </c>
    </row>
    <row r="182" spans="1:11" x14ac:dyDescent="0.25">
      <c r="A182" t="s">
        <v>882</v>
      </c>
      <c r="B182" t="s">
        <v>883</v>
      </c>
      <c r="C182" s="2" t="s">
        <v>298</v>
      </c>
      <c r="F182" s="2">
        <v>1</v>
      </c>
      <c r="H182" t="s">
        <v>30</v>
      </c>
      <c r="K182" t="s">
        <v>42</v>
      </c>
    </row>
    <row r="183" spans="1:11" x14ac:dyDescent="0.25">
      <c r="A183" t="s">
        <v>884</v>
      </c>
      <c r="B183" t="s">
        <v>885</v>
      </c>
      <c r="C183" s="2" t="s">
        <v>54</v>
      </c>
      <c r="F183" s="2">
        <v>1</v>
      </c>
      <c r="H183" t="s">
        <v>30</v>
      </c>
      <c r="K183" t="s">
        <v>42</v>
      </c>
    </row>
    <row r="184" spans="1:11" x14ac:dyDescent="0.25">
      <c r="A184" t="s">
        <v>886</v>
      </c>
      <c r="B184" t="s">
        <v>887</v>
      </c>
      <c r="C184" s="2" t="s">
        <v>92</v>
      </c>
      <c r="F184" s="2">
        <v>1</v>
      </c>
      <c r="H184" t="s">
        <v>30</v>
      </c>
      <c r="K184" t="s">
        <v>42</v>
      </c>
    </row>
    <row r="185" spans="1:11" x14ac:dyDescent="0.25">
      <c r="A185" t="s">
        <v>888</v>
      </c>
      <c r="B185" t="s">
        <v>889</v>
      </c>
      <c r="C185" s="2" t="s">
        <v>128</v>
      </c>
      <c r="F185" s="2">
        <v>1</v>
      </c>
      <c r="H185" t="s">
        <v>30</v>
      </c>
      <c r="K185" t="s">
        <v>42</v>
      </c>
    </row>
    <row r="186" spans="1:11" x14ac:dyDescent="0.25">
      <c r="A186" t="s">
        <v>890</v>
      </c>
      <c r="B186" t="s">
        <v>891</v>
      </c>
      <c r="C186" s="2" t="s">
        <v>166</v>
      </c>
      <c r="F186" s="2">
        <v>1</v>
      </c>
      <c r="H186" t="s">
        <v>30</v>
      </c>
      <c r="K186" t="s">
        <v>42</v>
      </c>
    </row>
    <row r="187" spans="1:11" x14ac:dyDescent="0.25">
      <c r="A187" t="s">
        <v>892</v>
      </c>
      <c r="B187" t="s">
        <v>893</v>
      </c>
      <c r="C187" s="2" t="s">
        <v>204</v>
      </c>
      <c r="F187" s="2">
        <v>1</v>
      </c>
      <c r="H187" t="s">
        <v>30</v>
      </c>
      <c r="K187" t="s">
        <v>42</v>
      </c>
    </row>
    <row r="188" spans="1:11" x14ac:dyDescent="0.25">
      <c r="A188" t="s">
        <v>894</v>
      </c>
      <c r="B188" t="s">
        <v>895</v>
      </c>
      <c r="C188" s="2" t="s">
        <v>242</v>
      </c>
      <c r="F188" s="2">
        <v>1</v>
      </c>
      <c r="H188" t="s">
        <v>30</v>
      </c>
      <c r="K188" t="s">
        <v>42</v>
      </c>
    </row>
    <row r="189" spans="1:11" x14ac:dyDescent="0.25">
      <c r="A189" t="s">
        <v>896</v>
      </c>
      <c r="B189" t="s">
        <v>897</v>
      </c>
      <c r="C189" s="2" t="s">
        <v>280</v>
      </c>
      <c r="F189" s="2">
        <v>1</v>
      </c>
      <c r="H189" t="s">
        <v>30</v>
      </c>
      <c r="K189" t="s">
        <v>42</v>
      </c>
    </row>
    <row r="190" spans="1:11" x14ac:dyDescent="0.25">
      <c r="A190" t="s">
        <v>898</v>
      </c>
      <c r="B190" t="s">
        <v>899</v>
      </c>
      <c r="C190" s="2" t="s">
        <v>322</v>
      </c>
      <c r="F190" s="2">
        <v>1</v>
      </c>
      <c r="H190" t="s">
        <v>30</v>
      </c>
      <c r="K190" t="s">
        <v>42</v>
      </c>
    </row>
    <row r="191" spans="1:11" x14ac:dyDescent="0.25">
      <c r="A191" t="s">
        <v>900</v>
      </c>
      <c r="B191" t="s">
        <v>901</v>
      </c>
      <c r="C191" s="2" t="s">
        <v>76</v>
      </c>
      <c r="F191" s="2">
        <v>1</v>
      </c>
      <c r="H191" t="s">
        <v>30</v>
      </c>
      <c r="K191" t="s">
        <v>42</v>
      </c>
    </row>
    <row r="192" spans="1:11" x14ac:dyDescent="0.25">
      <c r="A192" t="s">
        <v>902</v>
      </c>
      <c r="B192" t="s">
        <v>903</v>
      </c>
      <c r="C192" s="2" t="s">
        <v>112</v>
      </c>
      <c r="F192" s="2">
        <v>1</v>
      </c>
      <c r="H192" t="s">
        <v>30</v>
      </c>
      <c r="K192" t="s">
        <v>42</v>
      </c>
    </row>
    <row r="193" spans="1:11" x14ac:dyDescent="0.25">
      <c r="A193" t="s">
        <v>904</v>
      </c>
      <c r="B193" t="s">
        <v>905</v>
      </c>
      <c r="C193" s="2" t="s">
        <v>150</v>
      </c>
      <c r="F193" s="2">
        <v>1</v>
      </c>
      <c r="H193" t="s">
        <v>30</v>
      </c>
      <c r="K193" t="s">
        <v>42</v>
      </c>
    </row>
    <row r="194" spans="1:11" x14ac:dyDescent="0.25">
      <c r="A194" t="s">
        <v>906</v>
      </c>
      <c r="B194" t="s">
        <v>907</v>
      </c>
      <c r="C194" s="2" t="s">
        <v>188</v>
      </c>
      <c r="F194" s="2">
        <v>1</v>
      </c>
      <c r="H194" t="s">
        <v>30</v>
      </c>
      <c r="K194" t="s">
        <v>42</v>
      </c>
    </row>
    <row r="195" spans="1:11" x14ac:dyDescent="0.25">
      <c r="A195" t="s">
        <v>908</v>
      </c>
      <c r="B195" t="s">
        <v>909</v>
      </c>
      <c r="C195" s="2" t="s">
        <v>226</v>
      </c>
      <c r="F195" s="2">
        <v>1</v>
      </c>
      <c r="H195" t="s">
        <v>30</v>
      </c>
      <c r="K195" t="s">
        <v>42</v>
      </c>
    </row>
    <row r="196" spans="1:11" x14ac:dyDescent="0.25">
      <c r="A196" t="s">
        <v>910</v>
      </c>
      <c r="B196" t="s">
        <v>911</v>
      </c>
      <c r="C196" s="2" t="s">
        <v>264</v>
      </c>
      <c r="F196" s="2">
        <v>1</v>
      </c>
      <c r="H196" t="s">
        <v>30</v>
      </c>
      <c r="K196" t="s">
        <v>42</v>
      </c>
    </row>
    <row r="197" spans="1:11" x14ac:dyDescent="0.25">
      <c r="A197" t="s">
        <v>912</v>
      </c>
      <c r="B197" t="s">
        <v>913</v>
      </c>
      <c r="C197" s="2" t="s">
        <v>306</v>
      </c>
      <c r="F197" s="2">
        <v>1</v>
      </c>
      <c r="H197" t="s">
        <v>30</v>
      </c>
      <c r="K197" t="s">
        <v>42</v>
      </c>
    </row>
    <row r="198" spans="1:11" x14ac:dyDescent="0.25">
      <c r="A198" t="s">
        <v>914</v>
      </c>
      <c r="B198" t="s">
        <v>915</v>
      </c>
      <c r="C198" s="2" t="s">
        <v>82</v>
      </c>
      <c r="F198" s="2">
        <v>1</v>
      </c>
      <c r="H198" t="s">
        <v>30</v>
      </c>
      <c r="K198" t="s">
        <v>42</v>
      </c>
    </row>
    <row r="199" spans="1:11" x14ac:dyDescent="0.25">
      <c r="A199" t="s">
        <v>916</v>
      </c>
      <c r="B199" t="s">
        <v>917</v>
      </c>
      <c r="C199" s="2" t="s">
        <v>118</v>
      </c>
      <c r="F199" s="2">
        <v>1</v>
      </c>
      <c r="H199" t="s">
        <v>30</v>
      </c>
      <c r="K199" t="s">
        <v>42</v>
      </c>
    </row>
    <row r="200" spans="1:11" x14ac:dyDescent="0.25">
      <c r="A200" t="s">
        <v>918</v>
      </c>
      <c r="B200" t="s">
        <v>919</v>
      </c>
      <c r="C200" s="2" t="s">
        <v>156</v>
      </c>
      <c r="F200" s="2">
        <v>1</v>
      </c>
      <c r="H200" t="s">
        <v>30</v>
      </c>
      <c r="K200" t="s">
        <v>42</v>
      </c>
    </row>
    <row r="201" spans="1:11" x14ac:dyDescent="0.25">
      <c r="A201" t="s">
        <v>920</v>
      </c>
      <c r="B201" t="s">
        <v>921</v>
      </c>
      <c r="C201" s="2" t="s">
        <v>194</v>
      </c>
      <c r="F201" s="2">
        <v>1</v>
      </c>
      <c r="H201" t="s">
        <v>30</v>
      </c>
      <c r="K201" t="s">
        <v>42</v>
      </c>
    </row>
    <row r="202" spans="1:11" x14ac:dyDescent="0.25">
      <c r="A202" t="s">
        <v>922</v>
      </c>
      <c r="B202" t="s">
        <v>923</v>
      </c>
      <c r="C202" s="2" t="s">
        <v>232</v>
      </c>
      <c r="F202" s="2">
        <v>1</v>
      </c>
      <c r="H202" t="s">
        <v>30</v>
      </c>
      <c r="K202" t="s">
        <v>42</v>
      </c>
    </row>
    <row r="203" spans="1:11" x14ac:dyDescent="0.25">
      <c r="A203" t="s">
        <v>924</v>
      </c>
      <c r="B203" t="s">
        <v>925</v>
      </c>
      <c r="C203" s="2" t="s">
        <v>270</v>
      </c>
      <c r="F203" s="2">
        <v>1</v>
      </c>
      <c r="H203" t="s">
        <v>30</v>
      </c>
      <c r="K203" t="s">
        <v>42</v>
      </c>
    </row>
    <row r="204" spans="1:11" x14ac:dyDescent="0.25">
      <c r="A204" t="s">
        <v>926</v>
      </c>
      <c r="B204" t="s">
        <v>927</v>
      </c>
      <c r="C204" s="2" t="s">
        <v>312</v>
      </c>
      <c r="F204" s="2">
        <v>1</v>
      </c>
      <c r="H204" t="s">
        <v>30</v>
      </c>
      <c r="K204" t="s">
        <v>42</v>
      </c>
    </row>
    <row r="205" spans="1:11" x14ac:dyDescent="0.25">
      <c r="A205" t="s">
        <v>1104</v>
      </c>
      <c r="B205" t="s">
        <v>1118</v>
      </c>
      <c r="C205" s="2" t="s">
        <v>84</v>
      </c>
      <c r="F205" s="2">
        <v>1</v>
      </c>
      <c r="H205" t="s">
        <v>30</v>
      </c>
      <c r="K205" t="s">
        <v>42</v>
      </c>
    </row>
    <row r="206" spans="1:11" x14ac:dyDescent="0.25">
      <c r="A206" t="s">
        <v>1105</v>
      </c>
      <c r="B206" t="s">
        <v>1119</v>
      </c>
      <c r="C206" s="2" t="s">
        <v>120</v>
      </c>
      <c r="F206" s="2">
        <v>1</v>
      </c>
      <c r="H206" t="s">
        <v>30</v>
      </c>
      <c r="K206" t="s">
        <v>42</v>
      </c>
    </row>
    <row r="207" spans="1:11" x14ac:dyDescent="0.25">
      <c r="A207" t="s">
        <v>1106</v>
      </c>
      <c r="B207" t="s">
        <v>1120</v>
      </c>
      <c r="C207" s="2" t="s">
        <v>158</v>
      </c>
      <c r="F207" s="2">
        <v>1</v>
      </c>
      <c r="H207" t="s">
        <v>30</v>
      </c>
      <c r="K207" t="s">
        <v>42</v>
      </c>
    </row>
    <row r="208" spans="1:11" x14ac:dyDescent="0.25">
      <c r="A208" t="s">
        <v>1107</v>
      </c>
      <c r="B208" t="s">
        <v>1121</v>
      </c>
      <c r="C208" s="2" t="s">
        <v>196</v>
      </c>
      <c r="F208" s="2">
        <v>1</v>
      </c>
      <c r="H208" t="s">
        <v>30</v>
      </c>
      <c r="K208" t="s">
        <v>42</v>
      </c>
    </row>
    <row r="209" spans="1:11" x14ac:dyDescent="0.25">
      <c r="A209" t="s">
        <v>1108</v>
      </c>
      <c r="B209" t="s">
        <v>1122</v>
      </c>
      <c r="C209" s="2" t="s">
        <v>234</v>
      </c>
      <c r="F209" s="2">
        <v>1</v>
      </c>
      <c r="H209" t="s">
        <v>30</v>
      </c>
      <c r="K209" t="s">
        <v>42</v>
      </c>
    </row>
    <row r="210" spans="1:11" x14ac:dyDescent="0.25">
      <c r="A210" t="s">
        <v>1109</v>
      </c>
      <c r="B210" t="s">
        <v>1130</v>
      </c>
      <c r="C210" s="2" t="s">
        <v>272</v>
      </c>
      <c r="F210" s="2">
        <v>1</v>
      </c>
      <c r="H210" t="s">
        <v>30</v>
      </c>
      <c r="K210" t="s">
        <v>42</v>
      </c>
    </row>
    <row r="211" spans="1:11" x14ac:dyDescent="0.25">
      <c r="A211" t="s">
        <v>1110</v>
      </c>
      <c r="B211" t="s">
        <v>1131</v>
      </c>
      <c r="C211" s="2" t="s">
        <v>314</v>
      </c>
      <c r="F211" s="2">
        <v>1</v>
      </c>
      <c r="H211" t="s">
        <v>30</v>
      </c>
      <c r="K211" t="s">
        <v>42</v>
      </c>
    </row>
    <row r="212" spans="1:11" x14ac:dyDescent="0.25">
      <c r="A212" t="s">
        <v>1111</v>
      </c>
      <c r="B212" t="s">
        <v>1123</v>
      </c>
      <c r="C212" s="2" t="s">
        <v>98</v>
      </c>
      <c r="F212" s="2">
        <v>1</v>
      </c>
      <c r="H212" t="s">
        <v>30</v>
      </c>
      <c r="K212" t="s">
        <v>42</v>
      </c>
    </row>
    <row r="213" spans="1:11" x14ac:dyDescent="0.25">
      <c r="A213" t="s">
        <v>1112</v>
      </c>
      <c r="B213" t="s">
        <v>1124</v>
      </c>
      <c r="C213" s="2" t="s">
        <v>136</v>
      </c>
      <c r="F213" s="2">
        <v>1</v>
      </c>
      <c r="H213" t="s">
        <v>30</v>
      </c>
      <c r="K213" t="s">
        <v>42</v>
      </c>
    </row>
    <row r="214" spans="1:11" x14ac:dyDescent="0.25">
      <c r="A214" t="s">
        <v>1113</v>
      </c>
      <c r="B214" t="s">
        <v>1125</v>
      </c>
      <c r="C214" s="2" t="s">
        <v>174</v>
      </c>
      <c r="F214" s="2">
        <v>1</v>
      </c>
      <c r="H214" t="s">
        <v>30</v>
      </c>
      <c r="K214" t="s">
        <v>42</v>
      </c>
    </row>
    <row r="215" spans="1:11" x14ac:dyDescent="0.25">
      <c r="A215" t="s">
        <v>1117</v>
      </c>
      <c r="B215" t="s">
        <v>1126</v>
      </c>
      <c r="C215" s="2" t="s">
        <v>212</v>
      </c>
      <c r="F215" s="2">
        <v>1</v>
      </c>
      <c r="H215" t="s">
        <v>30</v>
      </c>
      <c r="K215" t="s">
        <v>42</v>
      </c>
    </row>
    <row r="216" spans="1:11" x14ac:dyDescent="0.25">
      <c r="A216" t="s">
        <v>1114</v>
      </c>
      <c r="B216" t="s">
        <v>1127</v>
      </c>
      <c r="C216" s="2" t="s">
        <v>250</v>
      </c>
      <c r="F216" s="2">
        <v>1</v>
      </c>
      <c r="H216" t="s">
        <v>30</v>
      </c>
      <c r="K216" t="s">
        <v>42</v>
      </c>
    </row>
    <row r="217" spans="1:11" x14ac:dyDescent="0.25">
      <c r="A217" t="s">
        <v>1115</v>
      </c>
      <c r="B217" t="s">
        <v>1128</v>
      </c>
      <c r="C217" s="2" t="s">
        <v>288</v>
      </c>
      <c r="F217" s="2">
        <v>1</v>
      </c>
      <c r="H217" t="s">
        <v>30</v>
      </c>
      <c r="K217" t="s">
        <v>42</v>
      </c>
    </row>
    <row r="218" spans="1:11" x14ac:dyDescent="0.25">
      <c r="A218" t="s">
        <v>1116</v>
      </c>
      <c r="B218" t="s">
        <v>1129</v>
      </c>
      <c r="C218" s="2" t="s">
        <v>330</v>
      </c>
      <c r="F218" s="2">
        <v>1</v>
      </c>
      <c r="H218" t="s">
        <v>30</v>
      </c>
      <c r="K218" t="s">
        <v>42</v>
      </c>
    </row>
    <row r="219" spans="1:11" x14ac:dyDescent="0.25">
      <c r="A219" t="s">
        <v>928</v>
      </c>
      <c r="B219" t="s">
        <v>929</v>
      </c>
      <c r="C219" s="2" t="s">
        <v>930</v>
      </c>
      <c r="D219" t="s">
        <v>580</v>
      </c>
      <c r="F219" s="2">
        <v>0</v>
      </c>
      <c r="K219" t="s">
        <v>42</v>
      </c>
    </row>
    <row r="220" spans="1:11" x14ac:dyDescent="0.25">
      <c r="A220" t="s">
        <v>931</v>
      </c>
      <c r="B220" t="s">
        <v>932</v>
      </c>
      <c r="C220" s="2" t="s">
        <v>906</v>
      </c>
      <c r="D220" t="s">
        <v>580</v>
      </c>
      <c r="F220" s="2">
        <v>0</v>
      </c>
      <c r="K220" t="s">
        <v>42</v>
      </c>
    </row>
    <row r="221" spans="1:11" x14ac:dyDescent="0.25">
      <c r="A221" t="s">
        <v>933</v>
      </c>
      <c r="B221" t="s">
        <v>934</v>
      </c>
      <c r="C221" s="2" t="s">
        <v>908</v>
      </c>
      <c r="D221" t="s">
        <v>580</v>
      </c>
      <c r="F221" s="2">
        <v>0</v>
      </c>
      <c r="K221" t="s">
        <v>42</v>
      </c>
    </row>
    <row r="222" spans="1:11" x14ac:dyDescent="0.25">
      <c r="A222" t="s">
        <v>935</v>
      </c>
      <c r="B222" t="s">
        <v>936</v>
      </c>
      <c r="C222" s="2" t="s">
        <v>910</v>
      </c>
      <c r="D222" t="s">
        <v>580</v>
      </c>
      <c r="F222" s="2">
        <v>0</v>
      </c>
      <c r="K222" t="s">
        <v>42</v>
      </c>
    </row>
    <row r="223" spans="1:11" x14ac:dyDescent="0.25">
      <c r="A223" t="s">
        <v>937</v>
      </c>
      <c r="B223" t="s">
        <v>938</v>
      </c>
      <c r="C223" s="2" t="s">
        <v>912</v>
      </c>
      <c r="D223" t="s">
        <v>580</v>
      </c>
      <c r="F223" s="2">
        <v>0</v>
      </c>
      <c r="K223" t="s">
        <v>42</v>
      </c>
    </row>
    <row r="224" spans="1:11" x14ac:dyDescent="0.25">
      <c r="A224" t="s">
        <v>939</v>
      </c>
      <c r="B224" t="s">
        <v>940</v>
      </c>
      <c r="C224" s="2" t="s">
        <v>941</v>
      </c>
      <c r="D224" t="s">
        <v>580</v>
      </c>
      <c r="F224" s="2">
        <v>0</v>
      </c>
      <c r="K224" t="s">
        <v>42</v>
      </c>
    </row>
    <row r="225" spans="1:11" x14ac:dyDescent="0.25">
      <c r="A225" t="s">
        <v>942</v>
      </c>
      <c r="B225" t="s">
        <v>943</v>
      </c>
      <c r="C225" s="2" t="s">
        <v>920</v>
      </c>
      <c r="D225" t="s">
        <v>580</v>
      </c>
      <c r="F225" s="2">
        <v>0</v>
      </c>
      <c r="K225" t="s">
        <v>42</v>
      </c>
    </row>
    <row r="226" spans="1:11" x14ac:dyDescent="0.25">
      <c r="A226" t="s">
        <v>944</v>
      </c>
      <c r="B226" t="s">
        <v>945</v>
      </c>
      <c r="C226" s="2" t="s">
        <v>922</v>
      </c>
      <c r="D226" t="s">
        <v>580</v>
      </c>
      <c r="F226" s="2">
        <v>0</v>
      </c>
      <c r="K226" t="s">
        <v>42</v>
      </c>
    </row>
    <row r="227" spans="1:11" x14ac:dyDescent="0.25">
      <c r="A227" t="s">
        <v>946</v>
      </c>
      <c r="B227" t="s">
        <v>947</v>
      </c>
      <c r="C227" s="2" t="s">
        <v>924</v>
      </c>
      <c r="D227" t="s">
        <v>580</v>
      </c>
      <c r="F227" s="2">
        <v>0</v>
      </c>
      <c r="K227" t="s">
        <v>42</v>
      </c>
    </row>
    <row r="228" spans="1:11" x14ac:dyDescent="0.25">
      <c r="A228" t="s">
        <v>948</v>
      </c>
      <c r="B228" t="s">
        <v>949</v>
      </c>
      <c r="C228" s="2" t="s">
        <v>926</v>
      </c>
      <c r="D228" t="s">
        <v>580</v>
      </c>
      <c r="F228" s="2">
        <v>0</v>
      </c>
      <c r="K228" t="s">
        <v>42</v>
      </c>
    </row>
    <row r="229" spans="1:11" x14ac:dyDescent="0.25">
      <c r="A229" t="s">
        <v>950</v>
      </c>
      <c r="B229" t="s">
        <v>951</v>
      </c>
      <c r="C229" s="2" t="s">
        <v>952</v>
      </c>
      <c r="D229" t="s">
        <v>580</v>
      </c>
      <c r="F229" s="2">
        <v>0</v>
      </c>
      <c r="K229" t="s">
        <v>42</v>
      </c>
    </row>
    <row r="230" spans="1:11" x14ac:dyDescent="0.25">
      <c r="A230" t="s">
        <v>953</v>
      </c>
      <c r="B230" t="s">
        <v>954</v>
      </c>
      <c r="C230" s="2" t="s">
        <v>892</v>
      </c>
      <c r="D230" t="s">
        <v>580</v>
      </c>
      <c r="F230" s="2">
        <v>0</v>
      </c>
      <c r="K230" t="s">
        <v>42</v>
      </c>
    </row>
    <row r="231" spans="1:11" x14ac:dyDescent="0.25">
      <c r="A231" t="s">
        <v>955</v>
      </c>
      <c r="B231" t="s">
        <v>956</v>
      </c>
      <c r="C231" s="2" t="s">
        <v>894</v>
      </c>
      <c r="D231" t="s">
        <v>580</v>
      </c>
      <c r="F231" s="2">
        <v>0</v>
      </c>
      <c r="K231" t="s">
        <v>42</v>
      </c>
    </row>
    <row r="232" spans="1:11" x14ac:dyDescent="0.25">
      <c r="A232" t="s">
        <v>957</v>
      </c>
      <c r="B232" t="s">
        <v>958</v>
      </c>
      <c r="C232" s="2" t="s">
        <v>896</v>
      </c>
      <c r="D232" t="s">
        <v>580</v>
      </c>
      <c r="F232" s="2">
        <v>0</v>
      </c>
      <c r="K232" t="s">
        <v>42</v>
      </c>
    </row>
    <row r="233" spans="1:11" x14ac:dyDescent="0.25">
      <c r="A233" t="s">
        <v>959</v>
      </c>
      <c r="B233" t="s">
        <v>960</v>
      </c>
      <c r="C233" s="2" t="s">
        <v>898</v>
      </c>
      <c r="D233" t="s">
        <v>580</v>
      </c>
      <c r="F233" s="2">
        <v>0</v>
      </c>
      <c r="K233" t="s">
        <v>42</v>
      </c>
    </row>
    <row r="234" spans="1:11" x14ac:dyDescent="0.25">
      <c r="A234" t="s">
        <v>961</v>
      </c>
      <c r="B234" t="s">
        <v>962</v>
      </c>
      <c r="C234" s="2" t="s">
        <v>963</v>
      </c>
      <c r="F234" s="2">
        <v>0</v>
      </c>
      <c r="K234" t="s">
        <v>42</v>
      </c>
    </row>
    <row r="235" spans="1:11" x14ac:dyDescent="0.25">
      <c r="A235" t="s">
        <v>964</v>
      </c>
      <c r="B235" t="s">
        <v>965</v>
      </c>
      <c r="C235" s="2" t="s">
        <v>54</v>
      </c>
      <c r="D235" t="s">
        <v>961</v>
      </c>
      <c r="F235" s="2">
        <v>0</v>
      </c>
      <c r="K235" t="s">
        <v>42</v>
      </c>
    </row>
    <row r="236" spans="1:11" x14ac:dyDescent="0.25">
      <c r="A236" t="s">
        <v>966</v>
      </c>
      <c r="B236" t="s">
        <v>967</v>
      </c>
      <c r="C236" s="2" t="s">
        <v>50</v>
      </c>
      <c r="D236" t="s">
        <v>961</v>
      </c>
      <c r="F236" s="2">
        <v>0</v>
      </c>
      <c r="K236" t="s">
        <v>42</v>
      </c>
    </row>
    <row r="237" spans="1:11" x14ac:dyDescent="0.25">
      <c r="A237" t="s">
        <v>968</v>
      </c>
      <c r="B237" t="s">
        <v>969</v>
      </c>
      <c r="C237" s="2" t="s">
        <v>970</v>
      </c>
      <c r="D237" t="s">
        <v>961</v>
      </c>
      <c r="F237" s="2">
        <v>0</v>
      </c>
      <c r="K237" t="s">
        <v>42</v>
      </c>
    </row>
    <row r="238" spans="1:11" x14ac:dyDescent="0.25">
      <c r="A238" t="s">
        <v>971</v>
      </c>
      <c r="B238" t="s">
        <v>972</v>
      </c>
      <c r="C238" s="2" t="s">
        <v>870</v>
      </c>
      <c r="D238" t="s">
        <v>961</v>
      </c>
      <c r="F238" s="2">
        <v>0</v>
      </c>
      <c r="K238" t="s">
        <v>42</v>
      </c>
    </row>
    <row r="239" spans="1:11" x14ac:dyDescent="0.25">
      <c r="A239" t="s">
        <v>973</v>
      </c>
      <c r="B239" t="s">
        <v>974</v>
      </c>
      <c r="C239" s="2" t="s">
        <v>872</v>
      </c>
      <c r="D239" t="s">
        <v>961</v>
      </c>
      <c r="F239" s="2">
        <v>0</v>
      </c>
      <c r="K239" t="s">
        <v>42</v>
      </c>
    </row>
    <row r="240" spans="1:11" x14ac:dyDescent="0.25">
      <c r="A240" t="s">
        <v>975</v>
      </c>
      <c r="B240" t="s">
        <v>976</v>
      </c>
      <c r="C240" s="2" t="s">
        <v>872</v>
      </c>
      <c r="D240" t="s">
        <v>961</v>
      </c>
      <c r="F240" s="2">
        <v>0</v>
      </c>
      <c r="K240" t="s">
        <v>42</v>
      </c>
    </row>
    <row r="241" spans="1:11" x14ac:dyDescent="0.25">
      <c r="A241" t="s">
        <v>977</v>
      </c>
      <c r="B241" t="s">
        <v>978</v>
      </c>
      <c r="C241" s="2" t="s">
        <v>1471</v>
      </c>
      <c r="F241" s="2">
        <v>0</v>
      </c>
      <c r="K241" t="s">
        <v>42</v>
      </c>
    </row>
    <row r="242" spans="1:11" x14ac:dyDescent="0.25">
      <c r="A242" t="s">
        <v>980</v>
      </c>
      <c r="B242" t="s">
        <v>981</v>
      </c>
      <c r="C242" s="2" t="s">
        <v>69</v>
      </c>
      <c r="F242" s="2">
        <v>1</v>
      </c>
      <c r="H242" t="s">
        <v>30</v>
      </c>
      <c r="K242" t="s">
        <v>42</v>
      </c>
    </row>
    <row r="243" spans="1:11" x14ac:dyDescent="0.25">
      <c r="A243" t="s">
        <v>982</v>
      </c>
      <c r="B243" t="s">
        <v>983</v>
      </c>
      <c r="C243" s="2" t="s">
        <v>106</v>
      </c>
      <c r="F243" s="2">
        <v>1</v>
      </c>
      <c r="H243" t="s">
        <v>30</v>
      </c>
      <c r="K243" t="s">
        <v>42</v>
      </c>
    </row>
    <row r="244" spans="1:11" x14ac:dyDescent="0.25">
      <c r="A244" t="s">
        <v>984</v>
      </c>
      <c r="B244" t="s">
        <v>985</v>
      </c>
      <c r="C244" s="2" t="s">
        <v>144</v>
      </c>
      <c r="F244" s="2">
        <v>1</v>
      </c>
      <c r="H244" t="s">
        <v>30</v>
      </c>
      <c r="K244" t="s">
        <v>42</v>
      </c>
    </row>
    <row r="245" spans="1:11" x14ac:dyDescent="0.25">
      <c r="A245" t="s">
        <v>986</v>
      </c>
      <c r="B245" t="s">
        <v>987</v>
      </c>
      <c r="C245" s="2" t="s">
        <v>182</v>
      </c>
      <c r="F245" s="2">
        <v>1</v>
      </c>
      <c r="H245" t="s">
        <v>30</v>
      </c>
      <c r="K245" t="s">
        <v>42</v>
      </c>
    </row>
    <row r="246" spans="1:11" x14ac:dyDescent="0.25">
      <c r="A246" t="s">
        <v>988</v>
      </c>
      <c r="B246" t="s">
        <v>989</v>
      </c>
      <c r="C246" s="2" t="s">
        <v>220</v>
      </c>
      <c r="F246" s="2">
        <v>1</v>
      </c>
      <c r="H246" t="s">
        <v>30</v>
      </c>
      <c r="K246" t="s">
        <v>42</v>
      </c>
    </row>
    <row r="247" spans="1:11" x14ac:dyDescent="0.25">
      <c r="A247" t="s">
        <v>990</v>
      </c>
      <c r="B247" t="s">
        <v>991</v>
      </c>
      <c r="C247" s="2" t="s">
        <v>258</v>
      </c>
      <c r="F247" s="2">
        <v>1</v>
      </c>
      <c r="H247" t="s">
        <v>30</v>
      </c>
      <c r="K247" t="s">
        <v>42</v>
      </c>
    </row>
    <row r="248" spans="1:11" x14ac:dyDescent="0.25">
      <c r="A248" t="s">
        <v>992</v>
      </c>
      <c r="B248" t="s">
        <v>993</v>
      </c>
      <c r="C248" s="2" t="s">
        <v>300</v>
      </c>
      <c r="F248" s="2">
        <v>1</v>
      </c>
      <c r="H248" t="s">
        <v>30</v>
      </c>
      <c r="K248" t="s">
        <v>42</v>
      </c>
    </row>
    <row r="249" spans="1:11" x14ac:dyDescent="0.25">
      <c r="A249" t="s">
        <v>994</v>
      </c>
      <c r="B249" t="s">
        <v>995</v>
      </c>
      <c r="C249" s="2" t="s">
        <v>69</v>
      </c>
      <c r="D249" t="s">
        <v>977</v>
      </c>
      <c r="F249" s="2">
        <v>0</v>
      </c>
      <c r="K249" t="s">
        <v>42</v>
      </c>
    </row>
    <row r="250" spans="1:11" x14ac:dyDescent="0.25">
      <c r="A250" t="s">
        <v>996</v>
      </c>
      <c r="B250" t="s">
        <v>997</v>
      </c>
      <c r="C250" s="2" t="s">
        <v>106</v>
      </c>
      <c r="D250" t="s">
        <v>977</v>
      </c>
      <c r="F250" s="2">
        <v>0</v>
      </c>
      <c r="K250" t="s">
        <v>42</v>
      </c>
    </row>
    <row r="251" spans="1:11" x14ac:dyDescent="0.25">
      <c r="A251" t="s">
        <v>998</v>
      </c>
      <c r="B251" t="s">
        <v>999</v>
      </c>
      <c r="C251" s="2" t="s">
        <v>144</v>
      </c>
      <c r="D251" t="s">
        <v>977</v>
      </c>
      <c r="F251" s="2">
        <v>0</v>
      </c>
      <c r="K251" t="s">
        <v>42</v>
      </c>
    </row>
    <row r="252" spans="1:11" x14ac:dyDescent="0.25">
      <c r="A252" t="s">
        <v>1000</v>
      </c>
      <c r="B252" t="s">
        <v>1001</v>
      </c>
      <c r="C252" s="2" t="s">
        <v>182</v>
      </c>
      <c r="D252" t="s">
        <v>977</v>
      </c>
      <c r="F252" s="2">
        <v>0</v>
      </c>
      <c r="K252" t="s">
        <v>42</v>
      </c>
    </row>
    <row r="253" spans="1:11" x14ac:dyDescent="0.25">
      <c r="A253" t="s">
        <v>1002</v>
      </c>
      <c r="B253" t="s">
        <v>1003</v>
      </c>
      <c r="C253" s="2" t="s">
        <v>220</v>
      </c>
      <c r="D253" t="s">
        <v>977</v>
      </c>
      <c r="F253" s="2">
        <v>0</v>
      </c>
      <c r="K253" t="s">
        <v>42</v>
      </c>
    </row>
    <row r="254" spans="1:11" x14ac:dyDescent="0.25">
      <c r="A254" t="s">
        <v>1004</v>
      </c>
      <c r="B254" t="s">
        <v>1005</v>
      </c>
      <c r="C254" s="2" t="s">
        <v>258</v>
      </c>
      <c r="D254" t="s">
        <v>977</v>
      </c>
      <c r="F254" s="2">
        <v>0</v>
      </c>
      <c r="K254" t="s">
        <v>42</v>
      </c>
    </row>
    <row r="255" spans="1:11" x14ac:dyDescent="0.25">
      <c r="A255" t="s">
        <v>1006</v>
      </c>
      <c r="B255" t="s">
        <v>1007</v>
      </c>
      <c r="C255" s="2" t="s">
        <v>300</v>
      </c>
      <c r="D255" t="s">
        <v>977</v>
      </c>
      <c r="F255" s="2">
        <v>0</v>
      </c>
      <c r="K255" t="s">
        <v>42</v>
      </c>
    </row>
    <row r="256" spans="1:11" x14ac:dyDescent="0.25">
      <c r="A256" t="s">
        <v>1008</v>
      </c>
      <c r="B256" t="s">
        <v>1009</v>
      </c>
      <c r="C256" s="2" t="s">
        <v>979</v>
      </c>
      <c r="D256" t="s">
        <v>977</v>
      </c>
      <c r="F256" s="2">
        <v>0</v>
      </c>
      <c r="K256" t="s">
        <v>42</v>
      </c>
    </row>
    <row r="257" spans="1:11" x14ac:dyDescent="0.25">
      <c r="A257" t="s">
        <v>1010</v>
      </c>
      <c r="B257" t="s">
        <v>1011</v>
      </c>
      <c r="C257" s="2" t="s">
        <v>1012</v>
      </c>
      <c r="F257" s="2">
        <v>0</v>
      </c>
      <c r="K257" t="s">
        <v>42</v>
      </c>
    </row>
    <row r="258" spans="1:11" x14ac:dyDescent="0.25">
      <c r="A258" t="s">
        <v>1013</v>
      </c>
      <c r="B258" t="s">
        <v>1014</v>
      </c>
      <c r="C258" s="2" t="s">
        <v>1010</v>
      </c>
      <c r="D258" t="s">
        <v>580</v>
      </c>
      <c r="F258" s="2">
        <v>0</v>
      </c>
      <c r="K258" t="s">
        <v>42</v>
      </c>
    </row>
    <row r="259" spans="1:11" x14ac:dyDescent="0.25">
      <c r="A259" t="s">
        <v>1015</v>
      </c>
      <c r="B259" t="s">
        <v>1016</v>
      </c>
      <c r="C259" s="2" t="s">
        <v>1017</v>
      </c>
      <c r="F259" s="2">
        <v>0</v>
      </c>
      <c r="K259" t="s">
        <v>42</v>
      </c>
    </row>
    <row r="260" spans="1:11" x14ac:dyDescent="0.25">
      <c r="A260" t="s">
        <v>1018</v>
      </c>
      <c r="B260" t="s">
        <v>1019</v>
      </c>
      <c r="C260" s="2" t="s">
        <v>1020</v>
      </c>
      <c r="F260" s="2">
        <v>0</v>
      </c>
      <c r="K260" t="s">
        <v>42</v>
      </c>
    </row>
    <row r="261" spans="1:11" x14ac:dyDescent="0.25">
      <c r="A261" t="s">
        <v>1084</v>
      </c>
      <c r="B261" t="s">
        <v>1087</v>
      </c>
      <c r="C261" s="2" t="s">
        <v>1094</v>
      </c>
      <c r="F261" s="2">
        <v>0</v>
      </c>
      <c r="K261" t="s">
        <v>42</v>
      </c>
    </row>
    <row r="262" spans="1:11" x14ac:dyDescent="0.25">
      <c r="A262" t="s">
        <v>1085</v>
      </c>
      <c r="B262" t="s">
        <v>1088</v>
      </c>
      <c r="C262" s="2" t="s">
        <v>1095</v>
      </c>
      <c r="F262" s="2">
        <v>0</v>
      </c>
      <c r="K262" t="s">
        <v>42</v>
      </c>
    </row>
    <row r="263" spans="1:11" x14ac:dyDescent="0.25">
      <c r="A263" t="s">
        <v>1086</v>
      </c>
      <c r="B263" t="s">
        <v>1089</v>
      </c>
      <c r="C263" s="2" t="s">
        <v>1096</v>
      </c>
      <c r="F263" s="2">
        <v>0</v>
      </c>
      <c r="K263" t="s">
        <v>42</v>
      </c>
    </row>
    <row r="264" spans="1:11" x14ac:dyDescent="0.25">
      <c r="A264" t="s">
        <v>1080</v>
      </c>
      <c r="B264" t="s">
        <v>1093</v>
      </c>
      <c r="C264" s="2" t="s">
        <v>1097</v>
      </c>
      <c r="F264" s="2">
        <v>0</v>
      </c>
      <c r="K264" t="s">
        <v>42</v>
      </c>
    </row>
    <row r="265" spans="1:11" x14ac:dyDescent="0.25">
      <c r="A265" t="s">
        <v>1081</v>
      </c>
      <c r="B265" t="s">
        <v>1090</v>
      </c>
      <c r="C265" s="2" t="s">
        <v>1099</v>
      </c>
      <c r="F265" s="2">
        <v>0</v>
      </c>
      <c r="K265" t="s">
        <v>42</v>
      </c>
    </row>
    <row r="266" spans="1:11" x14ac:dyDescent="0.25">
      <c r="A266" t="s">
        <v>1102</v>
      </c>
      <c r="B266" t="s">
        <v>1103</v>
      </c>
      <c r="C266" s="2" t="s">
        <v>1098</v>
      </c>
      <c r="F266" s="2">
        <v>0</v>
      </c>
      <c r="K266" t="s">
        <v>42</v>
      </c>
    </row>
    <row r="267" spans="1:11" x14ac:dyDescent="0.25">
      <c r="A267" t="s">
        <v>1082</v>
      </c>
      <c r="B267" t="s">
        <v>1091</v>
      </c>
      <c r="C267" s="2" t="s">
        <v>1100</v>
      </c>
      <c r="F267" s="2">
        <v>0</v>
      </c>
      <c r="K267" t="s">
        <v>42</v>
      </c>
    </row>
    <row r="268" spans="1:11" x14ac:dyDescent="0.25">
      <c r="A268" t="s">
        <v>1083</v>
      </c>
      <c r="B268" t="s">
        <v>1092</v>
      </c>
      <c r="C268" s="2" t="s">
        <v>1101</v>
      </c>
      <c r="F268" s="2">
        <v>0</v>
      </c>
      <c r="K268" t="s">
        <v>42</v>
      </c>
    </row>
    <row r="269" spans="1:11" x14ac:dyDescent="0.25">
      <c r="A269" t="s">
        <v>1134</v>
      </c>
      <c r="B269" t="s">
        <v>1135</v>
      </c>
      <c r="C269" s="2" t="s">
        <v>1136</v>
      </c>
      <c r="F269" s="2">
        <v>0</v>
      </c>
      <c r="K269" t="s">
        <v>42</v>
      </c>
    </row>
    <row r="270" spans="1:11" x14ac:dyDescent="0.25">
      <c r="A270" t="s">
        <v>1150</v>
      </c>
      <c r="B270" t="s">
        <v>1225</v>
      </c>
      <c r="C270" s="2" t="s">
        <v>1224</v>
      </c>
      <c r="F270" s="2">
        <v>0</v>
      </c>
      <c r="K270" t="s">
        <v>42</v>
      </c>
    </row>
    <row r="271" spans="1:11" x14ac:dyDescent="0.25">
      <c r="A271" t="s">
        <v>1545</v>
      </c>
      <c r="B271" t="s">
        <v>1547</v>
      </c>
      <c r="C271" s="2" t="s">
        <v>1546</v>
      </c>
      <c r="D271" t="s">
        <v>610</v>
      </c>
      <c r="F271" s="2">
        <v>0</v>
      </c>
      <c r="K271" t="s">
        <v>42</v>
      </c>
    </row>
    <row r="272" spans="1:11" x14ac:dyDescent="0.25">
      <c r="A272" t="s">
        <v>1152</v>
      </c>
      <c r="B272" t="s">
        <v>1153</v>
      </c>
      <c r="C272" s="2" t="s">
        <v>422</v>
      </c>
      <c r="F272" s="2">
        <v>0</v>
      </c>
      <c r="K272" t="s">
        <v>42</v>
      </c>
    </row>
    <row r="273" spans="1:11" x14ac:dyDescent="0.25">
      <c r="A273" t="s">
        <v>1253</v>
      </c>
      <c r="B273" t="s">
        <v>1256</v>
      </c>
      <c r="C273" s="2" t="s">
        <v>1255</v>
      </c>
      <c r="D273" t="s">
        <v>580</v>
      </c>
      <c r="F273" s="2">
        <v>0</v>
      </c>
      <c r="H273" t="s">
        <v>481</v>
      </c>
      <c r="K273" t="s">
        <v>42</v>
      </c>
    </row>
    <row r="274" spans="1:11" x14ac:dyDescent="0.25">
      <c r="A274" t="s">
        <v>1530</v>
      </c>
      <c r="B274" t="s">
        <v>1525</v>
      </c>
      <c r="C274" s="2" t="s">
        <v>1529</v>
      </c>
      <c r="F274" s="2">
        <v>0</v>
      </c>
      <c r="K274" t="s">
        <v>42</v>
      </c>
    </row>
    <row r="275" spans="1:11" x14ac:dyDescent="0.25">
      <c r="A275" t="s">
        <v>1536</v>
      </c>
      <c r="B275" t="s">
        <v>1543</v>
      </c>
      <c r="C275" s="2" t="s">
        <v>1533</v>
      </c>
      <c r="F275" s="2">
        <v>0</v>
      </c>
      <c r="K275" t="s">
        <v>42</v>
      </c>
    </row>
    <row r="276" spans="1:11" x14ac:dyDescent="0.25">
      <c r="A276" t="s">
        <v>1535</v>
      </c>
      <c r="B276" t="s">
        <v>1539</v>
      </c>
      <c r="C276" s="2" t="s">
        <v>1530</v>
      </c>
      <c r="D276" t="s">
        <v>1536</v>
      </c>
      <c r="F276" s="2">
        <v>0</v>
      </c>
      <c r="K276" t="s">
        <v>42</v>
      </c>
    </row>
    <row r="277" spans="1:11" x14ac:dyDescent="0.25">
      <c r="A277" t="s">
        <v>1537</v>
      </c>
      <c r="B277" t="s">
        <v>1538</v>
      </c>
      <c r="C277" s="2" t="s">
        <v>648</v>
      </c>
      <c r="D277" t="s">
        <v>1540</v>
      </c>
      <c r="F277" s="2">
        <v>0</v>
      </c>
      <c r="K277" t="s">
        <v>42</v>
      </c>
    </row>
    <row r="278" spans="1:11" x14ac:dyDescent="0.25">
      <c r="A278" s="4" t="s">
        <v>1580</v>
      </c>
      <c r="B278" t="s">
        <v>1582</v>
      </c>
      <c r="C278" s="2" t="s">
        <v>1586</v>
      </c>
      <c r="F278" s="2">
        <v>0</v>
      </c>
      <c r="K278" t="s">
        <v>42</v>
      </c>
    </row>
    <row r="279" spans="1:11" x14ac:dyDescent="0.25">
      <c r="A279" s="4" t="s">
        <v>1624</v>
      </c>
      <c r="B279" t="s">
        <v>1583</v>
      </c>
      <c r="C279" s="2" t="s">
        <v>1587</v>
      </c>
      <c r="F279" s="2">
        <v>0</v>
      </c>
      <c r="K279" t="s">
        <v>42</v>
      </c>
    </row>
    <row r="280" spans="1:11" x14ac:dyDescent="0.25">
      <c r="A280" s="4" t="s">
        <v>1581</v>
      </c>
      <c r="B280" t="s">
        <v>1584</v>
      </c>
      <c r="C280" s="2" t="s">
        <v>1588</v>
      </c>
      <c r="F280" s="2">
        <v>0</v>
      </c>
      <c r="K280" t="s">
        <v>42</v>
      </c>
    </row>
    <row r="281" spans="1:11" x14ac:dyDescent="0.25">
      <c r="A281" s="4" t="s">
        <v>1623</v>
      </c>
      <c r="B281" t="s">
        <v>1585</v>
      </c>
      <c r="C281" s="2" t="s">
        <v>1589</v>
      </c>
      <c r="F281" s="2">
        <v>0</v>
      </c>
      <c r="K281" t="s">
        <v>42</v>
      </c>
    </row>
    <row r="282" spans="1:11" x14ac:dyDescent="0.25">
      <c r="A282" t="s">
        <v>1590</v>
      </c>
      <c r="B282" t="s">
        <v>1597</v>
      </c>
      <c r="C282" s="2" t="s">
        <v>1604</v>
      </c>
      <c r="F282" s="2">
        <v>0</v>
      </c>
      <c r="K282" t="s">
        <v>42</v>
      </c>
    </row>
    <row r="283" spans="1:11" x14ac:dyDescent="0.25">
      <c r="A283" t="s">
        <v>1591</v>
      </c>
      <c r="B283" t="s">
        <v>1598</v>
      </c>
      <c r="C283" s="2" t="s">
        <v>1605</v>
      </c>
      <c r="F283" s="2">
        <v>0</v>
      </c>
      <c r="K283" t="s">
        <v>42</v>
      </c>
    </row>
    <row r="284" spans="1:11" x14ac:dyDescent="0.25">
      <c r="A284" s="4" t="s">
        <v>1606</v>
      </c>
      <c r="B284" t="s">
        <v>1609</v>
      </c>
      <c r="C284" s="2" t="s">
        <v>1622</v>
      </c>
      <c r="D284" s="2"/>
      <c r="E284" s="2"/>
      <c r="F284" s="2">
        <v>0</v>
      </c>
      <c r="H284" s="2"/>
      <c r="I284" s="2"/>
      <c r="J284" s="2"/>
      <c r="K284" s="4" t="s">
        <v>42</v>
      </c>
    </row>
    <row r="285" spans="1:11" x14ac:dyDescent="0.25">
      <c r="A285" t="s">
        <v>1607</v>
      </c>
      <c r="B285" t="s">
        <v>1610</v>
      </c>
      <c r="C285" s="2" t="s">
        <v>1612</v>
      </c>
      <c r="F285" s="2">
        <v>0</v>
      </c>
      <c r="H285" s="2"/>
      <c r="K285" t="s">
        <v>42</v>
      </c>
    </row>
    <row r="286" spans="1:11" x14ac:dyDescent="0.25">
      <c r="A286" t="s">
        <v>1608</v>
      </c>
      <c r="B286" t="s">
        <v>1611</v>
      </c>
      <c r="C286" s="2" t="s">
        <v>1613</v>
      </c>
      <c r="F286" s="2">
        <v>0</v>
      </c>
      <c r="H286" s="2"/>
      <c r="K286" t="s">
        <v>42</v>
      </c>
    </row>
    <row r="287" spans="1:11" x14ac:dyDescent="0.25">
      <c r="A287" t="s">
        <v>1593</v>
      </c>
      <c r="B287" t="s">
        <v>1600</v>
      </c>
      <c r="C287" s="2" t="s">
        <v>1614</v>
      </c>
      <c r="F287" s="2">
        <v>0</v>
      </c>
      <c r="K287" t="s">
        <v>42</v>
      </c>
    </row>
    <row r="288" spans="1:11" x14ac:dyDescent="0.25">
      <c r="A288" t="s">
        <v>1594</v>
      </c>
      <c r="B288" t="s">
        <v>1601</v>
      </c>
      <c r="C288" s="2" t="s">
        <v>1615</v>
      </c>
      <c r="F288" s="2">
        <v>0</v>
      </c>
      <c r="K288" t="s">
        <v>42</v>
      </c>
    </row>
    <row r="289" spans="1:11" x14ac:dyDescent="0.25">
      <c r="A289" t="s">
        <v>1595</v>
      </c>
      <c r="B289" t="s">
        <v>1602</v>
      </c>
      <c r="C289" s="2" t="s">
        <v>1616</v>
      </c>
      <c r="F289" s="2">
        <v>0</v>
      </c>
      <c r="K289" t="s">
        <v>42</v>
      </c>
    </row>
    <row r="290" spans="1:11" x14ac:dyDescent="0.25">
      <c r="A290" t="s">
        <v>1596</v>
      </c>
      <c r="B290" t="s">
        <v>1603</v>
      </c>
      <c r="C290" s="2" t="s">
        <v>1617</v>
      </c>
      <c r="F290" s="2">
        <v>0</v>
      </c>
      <c r="K290" t="s">
        <v>42</v>
      </c>
    </row>
    <row r="291" spans="1:11" x14ac:dyDescent="0.25">
      <c r="A291" t="s">
        <v>1592</v>
      </c>
      <c r="B291" t="s">
        <v>1599</v>
      </c>
      <c r="C291" s="2" t="s">
        <v>1618</v>
      </c>
      <c r="F291" s="2">
        <v>0</v>
      </c>
      <c r="K291" t="s">
        <v>42</v>
      </c>
    </row>
  </sheetData>
  <phoneticPr fontId="17" type="noConversion"/>
  <conditionalFormatting sqref="B2:B1048576">
    <cfRule type="expression" dxfId="3" priority="6">
      <formula>AND(A2&lt;&gt;"",NOT(B2&lt;&gt;""))</formula>
    </cfRule>
  </conditionalFormatting>
  <conditionalFormatting sqref="H2:H1048576">
    <cfRule type="expression" dxfId="1" priority="5">
      <formula>AND(I2&lt;&gt;"",NOT(H2&lt;&gt;""))</formula>
    </cfRule>
  </conditionalFormatting>
  <pageMargins left="0.7" right="0.7" top="0.75" bottom="0.75" header="0.3" footer="0.3"/>
  <pageSetup paperSize="0" orientation="portrait" r:id="rId1"/>
  <legacyDrawing r:id="rId2"/>
  <extLst>
    <ext xmlns:x14="http://schemas.microsoft.com/office/spreadsheetml/2009/9/main" uri="{78C0D931-6437-407d-A8EE-F0AAD7539E65}">
      <x14:conditionalFormattings>
        <x14:conditionalFormatting xmlns:xm="http://schemas.microsoft.com/office/excel/2006/main">
          <x14:cfRule type="expression" priority="1" id="{B070FBDA-10C1-45BC-AA32-DA4BD51EB2DD}">
            <xm:f>AND(H2&lt;&gt;"",ISERROR(MATCH(H2,'Databook Pages'!$A:$A,0)))</xm:f>
            <x14:dxf>
              <fill>
                <patternFill>
                  <bgColor rgb="FFFF0000"/>
                </patternFill>
              </fill>
            </x14:dxf>
          </x14:cfRule>
          <xm:sqref>H2:H1048576</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339EBB5E-6F02-46D2-A8F3-78461064F325}">
          <x14:formula1>
            <xm:f>'Population types'!$A$2:$A$9999</xm:f>
          </x14:formula1>
          <xm:sqref>K1:K1048576</xm:sqref>
        </x14:dataValidation>
        <x14:dataValidation type="list" allowBlank="1" showInputMessage="1" showErrorMessage="1" xr:uid="{5D0F4671-09BF-4759-B6D1-63C49CDF0760}">
          <x14:formula1>
            <xm:f>'Databook Pages'!$A$2:$A$9999</xm:f>
          </x14:formula1>
          <xm:sqref>H1:H1048576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tint="0.79998168889431442"/>
  </sheetPr>
  <dimension ref="A1:CW429"/>
  <sheetViews>
    <sheetView zoomScale="60" zoomScaleNormal="60" workbookViewId="0">
      <selection activeCell="C170" sqref="C170"/>
    </sheetView>
  </sheetViews>
  <sheetFormatPr defaultColWidth="8.85546875" defaultRowHeight="15" x14ac:dyDescent="0.25"/>
  <cols>
    <col min="1" max="1" width="26" style="3" customWidth="1"/>
    <col min="2" max="2" width="22.28515625" customWidth="1"/>
    <col min="3" max="3" width="23.28515625" bestFit="1" customWidth="1"/>
    <col min="4" max="4" width="27.7109375" bestFit="1" customWidth="1"/>
    <col min="5" max="5" width="16.28515625" bestFit="1" customWidth="1"/>
    <col min="6" max="6" width="28.42578125" bestFit="1" customWidth="1"/>
    <col min="7" max="7" width="29.140625" bestFit="1" customWidth="1"/>
    <col min="8" max="8" width="17.28515625" bestFit="1" customWidth="1"/>
    <col min="9" max="9" width="21" customWidth="1"/>
    <col min="10" max="10" width="13" bestFit="1" customWidth="1"/>
    <col min="11" max="11" width="14.42578125" bestFit="1" customWidth="1"/>
    <col min="12" max="12" width="23.7109375" bestFit="1" customWidth="1"/>
    <col min="13" max="13" width="16.28515625" bestFit="1" customWidth="1"/>
    <col min="14" max="14" width="21.28515625" bestFit="1" customWidth="1"/>
    <col min="15" max="15" width="14.42578125" bestFit="1" customWidth="1"/>
    <col min="16" max="16" width="18.42578125" customWidth="1"/>
    <col min="17" max="17" width="12" bestFit="1" customWidth="1"/>
    <col min="18" max="18" width="12.28515625" bestFit="1" customWidth="1"/>
    <col min="19" max="19" width="11.140625" bestFit="1" customWidth="1"/>
    <col min="20" max="20" width="13.42578125" bestFit="1" customWidth="1"/>
    <col min="21" max="21" width="13.7109375" bestFit="1" customWidth="1"/>
    <col min="22" max="22" width="14.85546875" bestFit="1" customWidth="1"/>
    <col min="23" max="23" width="15.140625" bestFit="1" customWidth="1"/>
    <col min="24" max="24" width="13.42578125" bestFit="1" customWidth="1"/>
    <col min="25" max="25" width="16.28515625" bestFit="1" customWidth="1"/>
    <col min="26" max="26" width="14.7109375" bestFit="1" customWidth="1"/>
    <col min="27" max="27" width="13.42578125" bestFit="1" customWidth="1"/>
    <col min="28" max="28" width="22" bestFit="1" customWidth="1"/>
    <col min="29" max="29" width="11.5703125" customWidth="1"/>
    <col min="30" max="30" width="16.42578125" bestFit="1" customWidth="1"/>
    <col min="31" max="31" width="15.28515625" bestFit="1" customWidth="1"/>
    <col min="32" max="32" width="11.5703125" bestFit="1" customWidth="1"/>
    <col min="33" max="33" width="15.85546875" bestFit="1" customWidth="1"/>
    <col min="37" max="37" width="11.5703125" bestFit="1" customWidth="1"/>
  </cols>
  <sheetData>
    <row r="1" spans="1:37" x14ac:dyDescent="0.25">
      <c r="A1" s="16"/>
      <c r="B1" s="17" t="s">
        <v>48</v>
      </c>
      <c r="C1" s="17" t="s">
        <v>54</v>
      </c>
      <c r="D1" s="18" t="s">
        <v>58</v>
      </c>
      <c r="E1" s="17" t="s">
        <v>50</v>
      </c>
      <c r="F1" s="17" t="s">
        <v>56</v>
      </c>
      <c r="G1" s="18" t="s">
        <v>60</v>
      </c>
      <c r="H1" s="18" t="s">
        <v>64</v>
      </c>
      <c r="I1" s="17" t="s">
        <v>52</v>
      </c>
      <c r="J1" s="17" t="s">
        <v>67</v>
      </c>
      <c r="K1" s="17" t="s">
        <v>69</v>
      </c>
      <c r="L1" s="17" t="s">
        <v>72</v>
      </c>
      <c r="M1" s="19" t="s">
        <v>96</v>
      </c>
      <c r="N1" s="17" t="s">
        <v>1339</v>
      </c>
      <c r="O1" s="17" t="s">
        <v>1341</v>
      </c>
      <c r="P1" s="17" t="s">
        <v>1342</v>
      </c>
      <c r="Q1" s="89" t="s">
        <v>340</v>
      </c>
      <c r="R1" s="89" t="s">
        <v>1244</v>
      </c>
    </row>
    <row r="2" spans="1:37" x14ac:dyDescent="0.25">
      <c r="A2" s="89" t="s">
        <v>1247</v>
      </c>
      <c r="B2" s="20" t="s">
        <v>1249</v>
      </c>
      <c r="C2" s="20"/>
      <c r="D2" s="20"/>
      <c r="E2" s="20"/>
      <c r="F2" s="20"/>
      <c r="G2" s="20"/>
      <c r="H2" s="20"/>
      <c r="I2" s="20"/>
      <c r="J2" s="20"/>
      <c r="K2" s="20"/>
      <c r="L2" s="20"/>
      <c r="M2" s="21"/>
      <c r="N2" s="21"/>
      <c r="O2" s="21"/>
      <c r="P2" s="21"/>
      <c r="Q2" s="21"/>
      <c r="R2" s="21"/>
    </row>
    <row r="3" spans="1:37" x14ac:dyDescent="0.25">
      <c r="A3" s="89" t="s">
        <v>1242</v>
      </c>
      <c r="B3" s="20" t="s">
        <v>1248</v>
      </c>
      <c r="C3" s="20"/>
      <c r="D3" s="20"/>
      <c r="E3" s="20"/>
      <c r="F3" s="20"/>
      <c r="G3" s="20"/>
      <c r="H3" s="20"/>
      <c r="I3" s="20"/>
      <c r="J3" s="20"/>
      <c r="K3" s="20"/>
      <c r="L3" s="20"/>
      <c r="M3" s="21"/>
      <c r="N3" s="21"/>
      <c r="O3" s="21"/>
      <c r="P3" s="21"/>
      <c r="Q3" s="21"/>
      <c r="R3" s="21"/>
    </row>
    <row r="4" spans="1:37" x14ac:dyDescent="0.25">
      <c r="A4" s="17" t="s">
        <v>48</v>
      </c>
      <c r="B4" s="20"/>
      <c r="C4" s="104" t="s">
        <v>1515</v>
      </c>
      <c r="D4" s="20"/>
      <c r="E4" s="20"/>
      <c r="F4" s="20"/>
      <c r="G4" s="20"/>
      <c r="H4" s="20"/>
      <c r="I4" s="20"/>
      <c r="J4" s="20"/>
      <c r="K4" s="20"/>
      <c r="L4" s="20"/>
      <c r="M4" s="21"/>
      <c r="N4" s="102" t="s">
        <v>1329</v>
      </c>
      <c r="O4" s="21"/>
      <c r="P4" s="21"/>
      <c r="Q4" s="21" t="s">
        <v>351</v>
      </c>
      <c r="R4" s="21" t="s">
        <v>1236</v>
      </c>
    </row>
    <row r="5" spans="1:37" x14ac:dyDescent="0.25">
      <c r="A5" s="17" t="s">
        <v>54</v>
      </c>
      <c r="B5" s="20"/>
      <c r="C5" s="20"/>
      <c r="D5" s="20" t="s">
        <v>352</v>
      </c>
      <c r="E5" s="20"/>
      <c r="F5" s="20" t="s">
        <v>353</v>
      </c>
      <c r="G5" s="20"/>
      <c r="H5" s="20"/>
      <c r="I5" s="20"/>
      <c r="J5" s="20"/>
      <c r="K5" s="20"/>
      <c r="L5" s="20"/>
      <c r="M5" s="21"/>
      <c r="N5" s="21"/>
      <c r="O5" s="21"/>
      <c r="P5" s="21"/>
      <c r="Q5" s="21" t="s">
        <v>351</v>
      </c>
      <c r="R5" s="21" t="s">
        <v>1236</v>
      </c>
    </row>
    <row r="6" spans="1:37" x14ac:dyDescent="0.25">
      <c r="A6" s="18" t="s">
        <v>58</v>
      </c>
      <c r="B6" s="20"/>
      <c r="C6" s="20"/>
      <c r="D6" s="20"/>
      <c r="E6" s="20" t="s">
        <v>354</v>
      </c>
      <c r="F6" s="20"/>
      <c r="G6" s="20"/>
      <c r="H6" s="20" t="s">
        <v>355</v>
      </c>
      <c r="I6" s="20"/>
      <c r="J6" s="20"/>
      <c r="K6" s="20"/>
      <c r="L6" s="20"/>
      <c r="M6" s="21"/>
      <c r="N6" s="21"/>
      <c r="O6" s="21"/>
      <c r="P6" s="21"/>
      <c r="Q6" s="21"/>
      <c r="R6" s="21"/>
    </row>
    <row r="7" spans="1:37" x14ac:dyDescent="0.25">
      <c r="A7" s="17" t="s">
        <v>50</v>
      </c>
      <c r="B7" s="20"/>
      <c r="C7" s="104" t="s">
        <v>1497</v>
      </c>
      <c r="D7" s="20"/>
      <c r="E7" s="20"/>
      <c r="F7" s="20"/>
      <c r="G7" s="20"/>
      <c r="H7" s="20"/>
      <c r="I7" s="20" t="s">
        <v>356</v>
      </c>
      <c r="J7" s="20"/>
      <c r="K7" s="20"/>
      <c r="L7" s="20"/>
      <c r="M7" s="21"/>
      <c r="N7" s="21"/>
      <c r="O7" s="102" t="s">
        <v>1329</v>
      </c>
      <c r="P7" s="21"/>
      <c r="Q7" s="21" t="s">
        <v>351</v>
      </c>
      <c r="R7" s="21" t="s">
        <v>1236</v>
      </c>
    </row>
    <row r="8" spans="1:37" x14ac:dyDescent="0.25">
      <c r="A8" s="17" t="s">
        <v>52</v>
      </c>
      <c r="B8" s="20"/>
      <c r="C8" s="20"/>
      <c r="D8" s="20"/>
      <c r="E8" s="20"/>
      <c r="F8" s="20"/>
      <c r="G8" s="20"/>
      <c r="H8" s="20"/>
      <c r="I8" s="20"/>
      <c r="J8" s="20"/>
      <c r="K8" s="20"/>
      <c r="L8" s="20"/>
      <c r="M8" s="104" t="s">
        <v>1497</v>
      </c>
      <c r="N8" s="21"/>
      <c r="O8" s="21"/>
      <c r="P8" s="102" t="s">
        <v>1329</v>
      </c>
      <c r="Q8" s="21" t="s">
        <v>351</v>
      </c>
      <c r="R8" s="21" t="s">
        <v>1236</v>
      </c>
    </row>
    <row r="9" spans="1:37" x14ac:dyDescent="0.25">
      <c r="A9" s="17" t="s">
        <v>56</v>
      </c>
      <c r="B9" s="20"/>
      <c r="C9" s="20"/>
      <c r="D9" s="20"/>
      <c r="E9" s="20"/>
      <c r="F9" s="20"/>
      <c r="G9" s="20" t="s">
        <v>352</v>
      </c>
      <c r="H9" s="20"/>
      <c r="I9" s="20"/>
      <c r="J9" s="20"/>
      <c r="K9" s="20"/>
      <c r="L9" s="20"/>
      <c r="M9" s="21"/>
      <c r="N9" s="21"/>
      <c r="O9" s="21"/>
      <c r="P9" s="21"/>
      <c r="Q9" s="21" t="s">
        <v>351</v>
      </c>
      <c r="R9" s="21" t="s">
        <v>1236</v>
      </c>
    </row>
    <row r="10" spans="1:37" x14ac:dyDescent="0.25">
      <c r="A10" s="18" t="s">
        <v>60</v>
      </c>
      <c r="B10" s="20"/>
      <c r="C10" s="20"/>
      <c r="D10" s="20"/>
      <c r="E10" s="20"/>
      <c r="F10" s="20"/>
      <c r="G10" s="20"/>
      <c r="H10" s="20"/>
      <c r="I10" s="20" t="s">
        <v>354</v>
      </c>
      <c r="J10" s="20"/>
      <c r="K10" s="20"/>
      <c r="L10" s="20" t="s">
        <v>355</v>
      </c>
      <c r="M10" s="21"/>
      <c r="N10" s="21"/>
      <c r="O10" s="21"/>
      <c r="P10" s="21"/>
      <c r="Q10" s="21"/>
      <c r="R10" s="21"/>
    </row>
    <row r="11" spans="1:37" x14ac:dyDescent="0.25">
      <c r="A11" s="18" t="s">
        <v>64</v>
      </c>
      <c r="B11" s="20"/>
      <c r="C11" s="20"/>
      <c r="D11" s="20"/>
      <c r="E11" s="20"/>
      <c r="F11" s="20"/>
      <c r="G11" s="20"/>
      <c r="H11" s="20"/>
      <c r="I11" s="20"/>
      <c r="J11" s="20" t="s">
        <v>357</v>
      </c>
      <c r="K11" s="20" t="s">
        <v>358</v>
      </c>
      <c r="L11" s="20"/>
      <c r="M11" s="21"/>
      <c r="N11" s="21"/>
      <c r="O11" s="21"/>
      <c r="P11" s="21"/>
      <c r="Q11" s="21"/>
      <c r="R11" s="21"/>
    </row>
    <row r="13" spans="1:37" x14ac:dyDescent="0.25">
      <c r="A13" s="22"/>
      <c r="B13" s="19" t="s">
        <v>67</v>
      </c>
      <c r="C13" s="18" t="s">
        <v>74</v>
      </c>
      <c r="D13" s="19" t="s">
        <v>72</v>
      </c>
      <c r="E13" s="19" t="s">
        <v>76</v>
      </c>
      <c r="F13" s="18" t="s">
        <v>80</v>
      </c>
      <c r="G13" s="19" t="s">
        <v>78</v>
      </c>
      <c r="H13" s="19" t="s">
        <v>82</v>
      </c>
      <c r="I13" s="19" t="s">
        <v>84</v>
      </c>
      <c r="J13" s="18" t="s">
        <v>86</v>
      </c>
      <c r="K13" s="18" t="s">
        <v>88</v>
      </c>
      <c r="L13" s="19" t="s">
        <v>90</v>
      </c>
      <c r="M13" s="19" t="s">
        <v>92</v>
      </c>
      <c r="N13" s="19" t="s">
        <v>94</v>
      </c>
      <c r="O13" s="19" t="s">
        <v>96</v>
      </c>
      <c r="P13" s="18" t="s">
        <v>62</v>
      </c>
      <c r="Q13" s="19" t="s">
        <v>98</v>
      </c>
      <c r="R13" s="18" t="s">
        <v>100</v>
      </c>
      <c r="S13" s="19" t="s">
        <v>102</v>
      </c>
      <c r="T13" s="19" t="s">
        <v>104</v>
      </c>
      <c r="U13" s="19" t="s">
        <v>106</v>
      </c>
      <c r="V13" s="19" t="s">
        <v>108</v>
      </c>
      <c r="W13" s="19" t="s">
        <v>112</v>
      </c>
      <c r="X13" s="19" t="s">
        <v>114</v>
      </c>
      <c r="Y13" s="19" t="s">
        <v>118</v>
      </c>
      <c r="Z13" s="19" t="s">
        <v>128</v>
      </c>
      <c r="AA13" s="19" t="s">
        <v>140</v>
      </c>
      <c r="AB13" s="19" t="s">
        <v>1331</v>
      </c>
      <c r="AC13" s="89" t="s">
        <v>340</v>
      </c>
      <c r="AD13" s="89" t="s">
        <v>1244</v>
      </c>
      <c r="AE13" s="3"/>
      <c r="AF13" s="3"/>
      <c r="AG13" s="3"/>
      <c r="AH13" s="3"/>
      <c r="AI13" s="3"/>
      <c r="AJ13" s="3"/>
      <c r="AK13" s="3"/>
    </row>
    <row r="14" spans="1:37" x14ac:dyDescent="0.25">
      <c r="A14" s="19" t="s">
        <v>67</v>
      </c>
      <c r="B14" s="20"/>
      <c r="C14" s="20" t="s">
        <v>359</v>
      </c>
      <c r="D14" s="20"/>
      <c r="E14" s="21"/>
      <c r="F14" s="21"/>
      <c r="G14" s="21" t="s">
        <v>360</v>
      </c>
      <c r="H14" s="21"/>
      <c r="I14" s="21"/>
      <c r="J14" s="21"/>
      <c r="K14" s="21"/>
      <c r="L14" s="21"/>
      <c r="M14" s="21"/>
      <c r="N14" s="21"/>
      <c r="O14" s="21"/>
      <c r="P14" s="21"/>
      <c r="Q14" s="21"/>
      <c r="R14" s="21"/>
      <c r="S14" s="21"/>
      <c r="T14" s="21" t="s">
        <v>361</v>
      </c>
      <c r="U14" s="21"/>
      <c r="V14" s="21"/>
      <c r="W14" s="21"/>
      <c r="X14" s="21"/>
      <c r="Y14" s="21"/>
      <c r="Z14" s="21"/>
      <c r="AA14" s="21"/>
      <c r="AB14" s="21"/>
      <c r="AC14" s="21" t="s">
        <v>351</v>
      </c>
      <c r="AD14" s="21" t="s">
        <v>1236</v>
      </c>
    </row>
    <row r="15" spans="1:37" x14ac:dyDescent="0.25">
      <c r="A15" s="19" t="s">
        <v>69</v>
      </c>
      <c r="B15" s="20"/>
      <c r="C15" s="20" t="s">
        <v>362</v>
      </c>
      <c r="D15" s="20"/>
      <c r="E15" s="21"/>
      <c r="F15" s="21"/>
      <c r="G15" s="21" t="s">
        <v>363</v>
      </c>
      <c r="H15" s="21"/>
      <c r="I15" s="21"/>
      <c r="J15" s="21"/>
      <c r="K15" s="21"/>
      <c r="L15" s="21"/>
      <c r="M15" s="21"/>
      <c r="N15" s="21"/>
      <c r="O15" s="21"/>
      <c r="P15" s="21"/>
      <c r="Q15" s="21"/>
      <c r="R15" s="21"/>
      <c r="S15" s="21"/>
      <c r="T15" s="21"/>
      <c r="U15" s="21" t="s">
        <v>361</v>
      </c>
      <c r="V15" s="21"/>
      <c r="W15" s="21"/>
      <c r="X15" s="21"/>
      <c r="Y15" s="21"/>
      <c r="Z15" s="21"/>
      <c r="AA15" s="21"/>
      <c r="AB15" s="21"/>
      <c r="AC15" s="21" t="s">
        <v>351</v>
      </c>
      <c r="AD15" s="21" t="s">
        <v>1236</v>
      </c>
    </row>
    <row r="16" spans="1:37" x14ac:dyDescent="0.25">
      <c r="A16" s="18" t="s">
        <v>74</v>
      </c>
      <c r="B16" s="21"/>
      <c r="C16" s="21"/>
      <c r="D16" s="21" t="s">
        <v>364</v>
      </c>
      <c r="E16" s="21" t="s">
        <v>1045</v>
      </c>
      <c r="F16" s="21"/>
      <c r="G16" s="21"/>
      <c r="H16" s="21"/>
      <c r="I16" s="21"/>
      <c r="J16" s="21"/>
      <c r="K16" s="21"/>
      <c r="L16" s="21"/>
      <c r="M16" s="21"/>
      <c r="N16" s="21"/>
      <c r="O16" s="21"/>
      <c r="P16" s="21"/>
      <c r="Q16" s="21"/>
      <c r="R16" s="21"/>
      <c r="S16" s="21"/>
      <c r="T16" s="21"/>
      <c r="U16" s="21"/>
      <c r="V16" s="21"/>
      <c r="W16" s="21"/>
      <c r="X16" s="21"/>
      <c r="Y16" s="21"/>
      <c r="Z16" s="21"/>
      <c r="AA16" s="21"/>
      <c r="AB16" s="21"/>
      <c r="AC16" s="21"/>
      <c r="AD16" s="21"/>
    </row>
    <row r="17" spans="1:30" x14ac:dyDescent="0.25">
      <c r="A17" s="19" t="s">
        <v>76</v>
      </c>
      <c r="C17" s="21"/>
      <c r="D17" s="21" t="s">
        <v>1037</v>
      </c>
      <c r="E17" s="21"/>
      <c r="F17" s="21" t="s">
        <v>1043</v>
      </c>
      <c r="G17" s="21"/>
      <c r="H17" s="21"/>
      <c r="I17" s="21"/>
      <c r="J17" s="21"/>
      <c r="K17" s="21"/>
      <c r="L17" s="21"/>
      <c r="M17" s="21"/>
      <c r="N17" s="21"/>
      <c r="O17" s="21"/>
      <c r="P17" s="21"/>
      <c r="Q17" s="21"/>
      <c r="R17" s="21"/>
      <c r="S17" s="21"/>
      <c r="T17" s="21"/>
      <c r="U17" s="21"/>
      <c r="V17" s="21"/>
      <c r="W17" s="21" t="s">
        <v>361</v>
      </c>
      <c r="X17" s="21"/>
      <c r="Y17" s="21"/>
      <c r="Z17" s="21"/>
      <c r="AA17" s="21"/>
      <c r="AB17" s="21"/>
      <c r="AC17" s="21" t="s">
        <v>351</v>
      </c>
      <c r="AD17" s="21" t="s">
        <v>1236</v>
      </c>
    </row>
    <row r="18" spans="1:30" x14ac:dyDescent="0.25">
      <c r="A18" s="19" t="s">
        <v>72</v>
      </c>
      <c r="B18" s="21"/>
      <c r="C18" s="21"/>
      <c r="D18" s="21"/>
      <c r="E18" s="21"/>
      <c r="F18" s="20" t="s">
        <v>365</v>
      </c>
      <c r="G18" s="21"/>
      <c r="H18" s="21"/>
      <c r="I18" s="21"/>
      <c r="J18" s="21"/>
      <c r="K18" s="21"/>
      <c r="L18" s="21"/>
      <c r="M18" s="21"/>
      <c r="N18" s="21"/>
      <c r="O18" s="21"/>
      <c r="P18" s="21"/>
      <c r="Q18" s="21"/>
      <c r="R18" s="21"/>
      <c r="S18" s="21"/>
      <c r="T18" s="21"/>
      <c r="U18" s="21"/>
      <c r="V18" s="21" t="s">
        <v>361</v>
      </c>
      <c r="W18" s="21"/>
      <c r="X18" s="21"/>
      <c r="Y18" s="21"/>
      <c r="Z18" s="21"/>
      <c r="AA18" s="21"/>
      <c r="AB18" s="21"/>
      <c r="AC18" s="21" t="s">
        <v>351</v>
      </c>
      <c r="AD18" s="21" t="s">
        <v>1236</v>
      </c>
    </row>
    <row r="19" spans="1:30" x14ac:dyDescent="0.25">
      <c r="A19" s="18" t="s">
        <v>80</v>
      </c>
      <c r="B19" s="21"/>
      <c r="C19" s="21"/>
      <c r="D19" s="21"/>
      <c r="E19" s="21"/>
      <c r="F19" s="21"/>
      <c r="G19" s="21" t="s">
        <v>366</v>
      </c>
      <c r="H19" s="21" t="s">
        <v>1051</v>
      </c>
      <c r="I19" s="21"/>
      <c r="J19" s="21"/>
      <c r="K19" s="21"/>
      <c r="L19" s="21"/>
      <c r="M19" s="21"/>
      <c r="N19" s="21"/>
      <c r="O19" s="21"/>
      <c r="P19" s="21"/>
      <c r="Q19" s="21"/>
      <c r="R19" s="21"/>
      <c r="S19" s="21"/>
      <c r="T19" s="21"/>
      <c r="U19" s="21"/>
      <c r="V19" s="21"/>
      <c r="W19" s="21"/>
      <c r="X19" s="21"/>
      <c r="Y19" s="21"/>
      <c r="Z19" s="21"/>
      <c r="AA19" s="21"/>
      <c r="AB19" s="21"/>
      <c r="AC19" s="21"/>
      <c r="AD19" s="21"/>
    </row>
    <row r="20" spans="1:30" x14ac:dyDescent="0.25">
      <c r="A20" s="19" t="s">
        <v>82</v>
      </c>
      <c r="B20" s="21"/>
      <c r="C20" s="21"/>
      <c r="E20" s="21"/>
      <c r="F20" s="21"/>
      <c r="G20" s="21" t="s">
        <v>1039</v>
      </c>
      <c r="H20" s="21"/>
      <c r="I20" s="21"/>
      <c r="J20" s="21"/>
      <c r="K20" s="21"/>
      <c r="L20" s="21"/>
      <c r="M20" s="21"/>
      <c r="N20" s="21"/>
      <c r="O20" s="21"/>
      <c r="P20" s="21"/>
      <c r="Q20" s="21"/>
      <c r="R20" s="21"/>
      <c r="S20" s="21"/>
      <c r="T20" s="21"/>
      <c r="U20" s="21"/>
      <c r="V20" s="21"/>
      <c r="W20" s="21"/>
      <c r="X20" s="21"/>
      <c r="Y20" s="21" t="s">
        <v>361</v>
      </c>
      <c r="Z20" s="21"/>
      <c r="AA20" s="21"/>
      <c r="AB20" s="21"/>
      <c r="AC20" s="21" t="s">
        <v>351</v>
      </c>
      <c r="AD20" s="21" t="s">
        <v>1236</v>
      </c>
    </row>
    <row r="21" spans="1:30" x14ac:dyDescent="0.25">
      <c r="A21" s="19" t="s">
        <v>78</v>
      </c>
      <c r="B21" s="21"/>
      <c r="C21" s="21"/>
      <c r="D21" s="21"/>
      <c r="E21" s="21"/>
      <c r="F21" s="21"/>
      <c r="G21" s="21"/>
      <c r="H21" s="21"/>
      <c r="I21" s="21" t="s">
        <v>367</v>
      </c>
      <c r="J21" s="21"/>
      <c r="K21" s="21"/>
      <c r="L21" s="21"/>
      <c r="M21" s="21"/>
      <c r="N21" s="21"/>
      <c r="O21" s="21"/>
      <c r="P21" s="21"/>
      <c r="Q21" s="21"/>
      <c r="R21" s="21"/>
      <c r="S21" s="21"/>
      <c r="T21" s="21"/>
      <c r="U21" s="21"/>
      <c r="V21" s="21"/>
      <c r="W21" s="21"/>
      <c r="X21" s="21" t="s">
        <v>361</v>
      </c>
      <c r="Y21" s="21"/>
      <c r="Z21" s="21"/>
      <c r="AA21" s="21"/>
      <c r="AB21" s="21"/>
      <c r="AC21" s="21" t="s">
        <v>351</v>
      </c>
      <c r="AD21" s="21" t="s">
        <v>1236</v>
      </c>
    </row>
    <row r="22" spans="1:30" x14ac:dyDescent="0.25">
      <c r="A22" s="19" t="s">
        <v>84</v>
      </c>
      <c r="B22" s="21"/>
      <c r="C22" s="21"/>
      <c r="D22" s="21"/>
      <c r="E22" s="21"/>
      <c r="F22" s="21"/>
      <c r="G22" s="21"/>
      <c r="H22" s="21"/>
      <c r="I22" s="21"/>
      <c r="J22" s="21" t="s">
        <v>368</v>
      </c>
      <c r="K22" s="21"/>
      <c r="L22" s="21"/>
      <c r="M22" s="21"/>
      <c r="N22" s="21"/>
      <c r="O22" s="21"/>
      <c r="P22" s="21"/>
      <c r="Q22" s="21"/>
      <c r="R22" s="21"/>
      <c r="S22" s="21"/>
      <c r="T22" s="21"/>
      <c r="U22" s="21"/>
      <c r="V22" s="21"/>
      <c r="W22" s="21"/>
      <c r="X22" s="21"/>
      <c r="Y22" s="21"/>
      <c r="Z22" s="21"/>
      <c r="AA22" s="21"/>
      <c r="AB22" s="21"/>
      <c r="AC22" s="21" t="s">
        <v>351</v>
      </c>
      <c r="AD22" s="21" t="s">
        <v>1236</v>
      </c>
    </row>
    <row r="23" spans="1:30" x14ac:dyDescent="0.25">
      <c r="A23" s="18" t="s">
        <v>86</v>
      </c>
      <c r="B23" s="21"/>
      <c r="C23" s="21"/>
      <c r="D23" s="21"/>
      <c r="E23" s="21"/>
      <c r="F23" s="21"/>
      <c r="G23" s="21" t="s">
        <v>369</v>
      </c>
      <c r="H23" s="21"/>
      <c r="I23" s="21"/>
      <c r="J23" s="21"/>
      <c r="L23" s="21"/>
      <c r="M23" s="21"/>
      <c r="N23" s="21" t="s">
        <v>370</v>
      </c>
      <c r="O23" s="21"/>
      <c r="P23" s="21"/>
      <c r="Q23" s="21"/>
      <c r="R23" s="21"/>
      <c r="S23" s="21"/>
      <c r="T23" s="21"/>
      <c r="U23" s="21"/>
      <c r="V23" s="21"/>
      <c r="W23" s="21"/>
      <c r="X23" s="21"/>
      <c r="Y23" s="21"/>
      <c r="Z23" s="21"/>
      <c r="AA23" s="21"/>
      <c r="AB23" s="21"/>
      <c r="AC23" s="21"/>
      <c r="AD23" s="21"/>
    </row>
    <row r="24" spans="1:30" x14ac:dyDescent="0.25">
      <c r="A24" s="18" t="s">
        <v>88</v>
      </c>
      <c r="B24" s="21"/>
      <c r="C24" s="21"/>
      <c r="D24" s="21"/>
      <c r="E24" s="21"/>
      <c r="F24" s="21"/>
      <c r="G24" s="21"/>
      <c r="H24" s="21"/>
      <c r="I24" s="21"/>
      <c r="J24" s="21"/>
      <c r="K24" s="21"/>
      <c r="L24" s="21" t="s">
        <v>371</v>
      </c>
      <c r="M24" s="21" t="s">
        <v>1053</v>
      </c>
      <c r="N24" s="21"/>
      <c r="O24" s="21"/>
      <c r="P24" s="21"/>
      <c r="Q24" s="21"/>
      <c r="R24" s="21"/>
      <c r="S24" s="21"/>
      <c r="T24" s="21"/>
      <c r="U24" s="21"/>
      <c r="V24" s="21"/>
      <c r="W24" s="21"/>
      <c r="X24" s="21"/>
      <c r="Y24" s="21"/>
      <c r="Z24" s="21"/>
      <c r="AA24" s="21"/>
      <c r="AB24" s="21"/>
      <c r="AC24" s="21"/>
      <c r="AD24" s="21"/>
    </row>
    <row r="25" spans="1:30" x14ac:dyDescent="0.25">
      <c r="A25" s="19" t="s">
        <v>90</v>
      </c>
      <c r="B25" s="21"/>
      <c r="C25" s="21"/>
      <c r="D25" s="21"/>
      <c r="E25" s="21"/>
      <c r="F25" s="21"/>
      <c r="G25" s="21"/>
      <c r="H25" s="21"/>
      <c r="I25" s="21"/>
      <c r="J25" s="21"/>
      <c r="K25" s="21"/>
      <c r="L25" s="21"/>
      <c r="M25" s="21"/>
      <c r="N25" s="21"/>
      <c r="O25" s="21"/>
      <c r="P25" s="21"/>
      <c r="Q25" s="21" t="s">
        <v>372</v>
      </c>
      <c r="R25" s="21"/>
      <c r="S25" s="21"/>
      <c r="T25" s="21"/>
      <c r="U25" s="21"/>
      <c r="V25" s="21"/>
      <c r="W25" s="21"/>
      <c r="X25" s="21"/>
      <c r="Y25" s="21"/>
      <c r="Z25" s="21"/>
      <c r="AA25" s="21"/>
      <c r="AB25" s="21"/>
      <c r="AC25" s="21" t="s">
        <v>351</v>
      </c>
      <c r="AD25" s="21" t="s">
        <v>1236</v>
      </c>
    </row>
    <row r="26" spans="1:30" ht="13.5" customHeight="1" x14ac:dyDescent="0.25">
      <c r="A26" s="19" t="s">
        <v>92</v>
      </c>
      <c r="C26" s="21"/>
      <c r="E26" s="21"/>
      <c r="F26" s="21"/>
      <c r="G26" s="21"/>
      <c r="H26" s="21"/>
      <c r="I26" s="21"/>
      <c r="J26" s="21"/>
      <c r="K26" s="21"/>
      <c r="L26" s="21" t="s">
        <v>1041</v>
      </c>
      <c r="M26" s="21"/>
      <c r="N26" s="21"/>
      <c r="O26" s="21"/>
      <c r="P26" s="21"/>
      <c r="Q26" s="21"/>
      <c r="R26" s="21"/>
      <c r="S26" s="21"/>
      <c r="T26" s="21"/>
      <c r="U26" s="21"/>
      <c r="V26" s="21"/>
      <c r="W26" s="21"/>
      <c r="X26" s="21"/>
      <c r="Y26" s="21"/>
      <c r="Z26" s="21" t="s">
        <v>361</v>
      </c>
      <c r="AA26" s="21"/>
      <c r="AB26" s="21"/>
      <c r="AC26" s="21" t="s">
        <v>351</v>
      </c>
      <c r="AD26" s="21" t="s">
        <v>1236</v>
      </c>
    </row>
    <row r="27" spans="1:30" x14ac:dyDescent="0.25">
      <c r="A27" s="19" t="s">
        <v>94</v>
      </c>
      <c r="B27" s="21"/>
      <c r="C27" s="21"/>
      <c r="D27" s="21"/>
      <c r="E27" s="21"/>
      <c r="F27" s="21"/>
      <c r="G27" s="21"/>
      <c r="H27" s="21"/>
      <c r="I27" s="21"/>
      <c r="J27" s="21"/>
      <c r="K27" s="21"/>
      <c r="L27" s="21"/>
      <c r="M27" s="21"/>
      <c r="N27" s="21"/>
      <c r="O27" s="105" t="s">
        <v>1497</v>
      </c>
      <c r="P27" s="21"/>
      <c r="Q27" s="21"/>
      <c r="R27" s="21"/>
      <c r="S27" s="21"/>
      <c r="T27" s="21"/>
      <c r="U27" s="21"/>
      <c r="V27" s="21"/>
      <c r="W27" s="21"/>
      <c r="X27" s="21"/>
      <c r="Y27" s="21"/>
      <c r="Z27" s="21"/>
      <c r="AA27" s="21"/>
      <c r="AB27" s="102" t="s">
        <v>1329</v>
      </c>
      <c r="AC27" s="21" t="s">
        <v>351</v>
      </c>
      <c r="AD27" s="21" t="s">
        <v>1236</v>
      </c>
    </row>
    <row r="28" spans="1:30" x14ac:dyDescent="0.25">
      <c r="A28" s="19" t="s">
        <v>96</v>
      </c>
      <c r="B28" s="21"/>
      <c r="C28" s="21"/>
      <c r="D28" s="21"/>
      <c r="E28" s="21"/>
      <c r="F28" s="21"/>
      <c r="G28" s="21"/>
      <c r="H28" s="21"/>
      <c r="I28" s="21"/>
      <c r="J28" s="21"/>
      <c r="K28" s="21"/>
      <c r="L28" s="21"/>
      <c r="M28" s="21"/>
      <c r="N28" s="21"/>
      <c r="O28" s="21"/>
      <c r="P28" s="20" t="s">
        <v>352</v>
      </c>
      <c r="Q28" s="21"/>
      <c r="R28" s="21"/>
      <c r="S28" s="21"/>
      <c r="T28" s="21"/>
      <c r="U28" s="21"/>
      <c r="V28" s="21"/>
      <c r="W28" s="21"/>
      <c r="X28" s="21"/>
      <c r="Y28" s="21"/>
      <c r="Z28" s="21"/>
      <c r="AA28" s="21"/>
      <c r="AB28" s="21"/>
      <c r="AC28" s="21" t="s">
        <v>351</v>
      </c>
      <c r="AD28" s="21" t="s">
        <v>1236</v>
      </c>
    </row>
    <row r="29" spans="1:30" x14ac:dyDescent="0.25">
      <c r="A29" s="23" t="s">
        <v>62</v>
      </c>
      <c r="B29" s="21"/>
      <c r="C29" s="21"/>
      <c r="D29" s="20" t="s">
        <v>355</v>
      </c>
      <c r="E29" s="21"/>
      <c r="F29" s="21"/>
      <c r="G29" s="21"/>
      <c r="H29" s="21"/>
      <c r="I29" s="21"/>
      <c r="J29" s="21"/>
      <c r="K29" s="21"/>
      <c r="L29" s="21"/>
      <c r="M29" s="21"/>
      <c r="N29" s="20" t="s">
        <v>354</v>
      </c>
      <c r="O29" s="21"/>
      <c r="P29" s="21"/>
      <c r="Q29" s="21"/>
      <c r="R29" s="21"/>
      <c r="S29" s="21"/>
      <c r="T29" s="21"/>
      <c r="U29" s="21"/>
      <c r="V29" s="21"/>
      <c r="W29" s="21"/>
      <c r="X29" s="21"/>
      <c r="Y29" s="21"/>
      <c r="Z29" s="21"/>
      <c r="AA29" s="21"/>
      <c r="AB29" s="20"/>
      <c r="AC29" s="21"/>
      <c r="AD29" s="21"/>
    </row>
    <row r="30" spans="1:30" x14ac:dyDescent="0.25">
      <c r="A30" s="19" t="s">
        <v>98</v>
      </c>
      <c r="B30" s="21"/>
      <c r="C30" s="21"/>
      <c r="D30" s="21"/>
      <c r="E30" s="21"/>
      <c r="F30" s="21"/>
      <c r="G30" s="21"/>
      <c r="H30" s="21"/>
      <c r="I30" s="21"/>
      <c r="J30" s="21"/>
      <c r="K30" s="21"/>
      <c r="L30" s="21"/>
      <c r="M30" s="21"/>
      <c r="N30" s="21"/>
      <c r="O30" s="21"/>
      <c r="P30" s="21"/>
      <c r="Q30" s="21"/>
      <c r="R30" s="21" t="s">
        <v>368</v>
      </c>
      <c r="S30" s="21"/>
      <c r="T30" s="21"/>
      <c r="U30" s="21"/>
      <c r="V30" s="21"/>
      <c r="W30" s="21"/>
      <c r="X30" s="21"/>
      <c r="Y30" s="21"/>
      <c r="Z30" s="21"/>
      <c r="AA30" s="21"/>
      <c r="AB30" s="21"/>
      <c r="AC30" s="21" t="s">
        <v>351</v>
      </c>
      <c r="AD30" s="21" t="s">
        <v>1236</v>
      </c>
    </row>
    <row r="31" spans="1:30" x14ac:dyDescent="0.25">
      <c r="A31" s="18" t="s">
        <v>100</v>
      </c>
      <c r="B31" s="21"/>
      <c r="C31" s="21"/>
      <c r="D31" s="21"/>
      <c r="E31" s="21"/>
      <c r="F31" s="21"/>
      <c r="G31" s="21" t="s">
        <v>369</v>
      </c>
      <c r="H31" s="21"/>
      <c r="I31" s="21"/>
      <c r="J31" s="21"/>
      <c r="K31" s="21"/>
      <c r="M31" s="21"/>
      <c r="N31" s="21" t="s">
        <v>370</v>
      </c>
      <c r="O31" s="21"/>
      <c r="P31" s="21"/>
      <c r="Q31" s="21"/>
      <c r="R31" s="21"/>
      <c r="T31" s="21"/>
      <c r="U31" s="21"/>
      <c r="V31" s="21"/>
      <c r="W31" s="21"/>
      <c r="X31" s="21"/>
      <c r="Y31" s="21"/>
      <c r="Z31" s="21"/>
      <c r="AA31" s="21"/>
      <c r="AB31" s="21"/>
      <c r="AC31" s="21"/>
      <c r="AD31" s="21"/>
    </row>
    <row r="32" spans="1:30" x14ac:dyDescent="0.25">
      <c r="A32" s="19" t="s">
        <v>102</v>
      </c>
      <c r="B32" s="21"/>
      <c r="C32" s="21"/>
      <c r="D32" s="21"/>
      <c r="E32" s="21"/>
      <c r="F32" s="21"/>
      <c r="G32" s="21"/>
      <c r="H32" s="21"/>
      <c r="I32" s="21"/>
      <c r="J32" s="21"/>
      <c r="K32" s="21"/>
      <c r="L32" s="21"/>
      <c r="M32" s="21"/>
      <c r="N32" s="21"/>
      <c r="O32" s="21"/>
      <c r="P32" s="21"/>
      <c r="Q32" s="21"/>
      <c r="R32" s="21"/>
      <c r="S32" s="21"/>
      <c r="T32" s="21"/>
      <c r="U32" s="21"/>
      <c r="V32" s="21"/>
      <c r="W32" s="21"/>
      <c r="X32" s="21"/>
      <c r="Y32" s="21"/>
      <c r="Z32" s="21"/>
      <c r="AA32" s="21" t="s">
        <v>361</v>
      </c>
      <c r="AB32" s="21"/>
      <c r="AC32" s="21" t="s">
        <v>351</v>
      </c>
      <c r="AD32" s="21" t="s">
        <v>1236</v>
      </c>
    </row>
    <row r="34" spans="1:37" x14ac:dyDescent="0.25">
      <c r="A34" s="22"/>
      <c r="B34" s="19" t="s">
        <v>104</v>
      </c>
      <c r="C34" s="18" t="s">
        <v>110</v>
      </c>
      <c r="D34" s="19" t="s">
        <v>108</v>
      </c>
      <c r="E34" s="19" t="s">
        <v>112</v>
      </c>
      <c r="F34" s="18" t="s">
        <v>116</v>
      </c>
      <c r="G34" s="19" t="s">
        <v>114</v>
      </c>
      <c r="H34" s="19" t="s">
        <v>118</v>
      </c>
      <c r="I34" s="19" t="s">
        <v>120</v>
      </c>
      <c r="J34" s="18" t="s">
        <v>122</v>
      </c>
      <c r="K34" s="18" t="s">
        <v>124</v>
      </c>
      <c r="L34" s="19" t="s">
        <v>126</v>
      </c>
      <c r="M34" s="19" t="s">
        <v>128</v>
      </c>
      <c r="N34" s="19" t="s">
        <v>130</v>
      </c>
      <c r="O34" s="19" t="s">
        <v>132</v>
      </c>
      <c r="P34" s="18" t="s">
        <v>134</v>
      </c>
      <c r="Q34" s="19" t="s">
        <v>136</v>
      </c>
      <c r="R34" s="18" t="s">
        <v>138</v>
      </c>
      <c r="S34" s="19" t="s">
        <v>140</v>
      </c>
      <c r="T34" s="19" t="s">
        <v>142</v>
      </c>
      <c r="U34" s="19" t="s">
        <v>144</v>
      </c>
      <c r="V34" s="19" t="s">
        <v>146</v>
      </c>
      <c r="W34" s="19" t="s">
        <v>150</v>
      </c>
      <c r="X34" s="19" t="s">
        <v>152</v>
      </c>
      <c r="Y34" s="19" t="s">
        <v>156</v>
      </c>
      <c r="Z34" s="19" t="s">
        <v>166</v>
      </c>
      <c r="AA34" s="19" t="s">
        <v>178</v>
      </c>
      <c r="AB34" s="19" t="s">
        <v>1332</v>
      </c>
      <c r="AC34" s="89" t="s">
        <v>340</v>
      </c>
      <c r="AD34" s="89" t="s">
        <v>1244</v>
      </c>
      <c r="AE34" s="3"/>
      <c r="AF34" s="3"/>
      <c r="AG34" s="3"/>
      <c r="AH34" s="3"/>
      <c r="AI34" s="3"/>
      <c r="AJ34" s="3"/>
      <c r="AK34" s="3"/>
    </row>
    <row r="35" spans="1:37" x14ac:dyDescent="0.25">
      <c r="A35" s="19" t="s">
        <v>104</v>
      </c>
      <c r="B35" s="20"/>
      <c r="C35" s="20" t="s">
        <v>359</v>
      </c>
      <c r="D35" s="20"/>
      <c r="E35" s="21"/>
      <c r="F35" s="20"/>
      <c r="G35" s="20" t="s">
        <v>360</v>
      </c>
      <c r="H35" s="21"/>
      <c r="I35" s="21"/>
      <c r="J35" s="21"/>
      <c r="K35" s="21"/>
      <c r="L35" s="21"/>
      <c r="M35" s="21"/>
      <c r="N35" s="21"/>
      <c r="O35" s="21"/>
      <c r="P35" s="21"/>
      <c r="Q35" s="21"/>
      <c r="R35" s="21"/>
      <c r="S35" s="21"/>
      <c r="T35" s="21" t="s">
        <v>373</v>
      </c>
      <c r="U35" s="21"/>
      <c r="V35" s="21"/>
      <c r="W35" s="21"/>
      <c r="X35" s="21"/>
      <c r="Y35" s="21"/>
      <c r="Z35" s="21"/>
      <c r="AA35" s="21"/>
      <c r="AB35" s="21"/>
      <c r="AC35" s="21" t="s">
        <v>351</v>
      </c>
      <c r="AD35" s="21" t="s">
        <v>1236</v>
      </c>
    </row>
    <row r="36" spans="1:37" x14ac:dyDescent="0.25">
      <c r="A36" s="19" t="s">
        <v>106</v>
      </c>
      <c r="B36" s="20"/>
      <c r="C36" s="20" t="s">
        <v>362</v>
      </c>
      <c r="D36" s="20"/>
      <c r="E36" s="21"/>
      <c r="F36" s="21"/>
      <c r="G36" s="21" t="s">
        <v>363</v>
      </c>
      <c r="H36" s="21"/>
      <c r="I36" s="21"/>
      <c r="J36" s="21"/>
      <c r="K36" s="21"/>
      <c r="L36" s="21"/>
      <c r="M36" s="21"/>
      <c r="N36" s="21"/>
      <c r="O36" s="21"/>
      <c r="P36" s="21"/>
      <c r="Q36" s="21"/>
      <c r="R36" s="21"/>
      <c r="S36" s="21"/>
      <c r="T36" s="21"/>
      <c r="U36" s="21" t="s">
        <v>373</v>
      </c>
      <c r="V36" s="21"/>
      <c r="W36" s="21"/>
      <c r="X36" s="21"/>
      <c r="Y36" s="21"/>
      <c r="Z36" s="21"/>
      <c r="AA36" s="21"/>
      <c r="AB36" s="21"/>
      <c r="AC36" s="21" t="s">
        <v>351</v>
      </c>
      <c r="AD36" s="21" t="s">
        <v>1236</v>
      </c>
    </row>
    <row r="37" spans="1:37" x14ac:dyDescent="0.25">
      <c r="A37" s="18" t="s">
        <v>110</v>
      </c>
      <c r="B37" s="21"/>
      <c r="C37" s="21"/>
      <c r="D37" s="21" t="s">
        <v>364</v>
      </c>
      <c r="E37" s="21" t="s">
        <v>1045</v>
      </c>
      <c r="F37" s="21"/>
      <c r="G37" s="21"/>
      <c r="H37" s="21"/>
      <c r="I37" s="21"/>
      <c r="J37" s="21"/>
      <c r="K37" s="21"/>
      <c r="L37" s="21"/>
      <c r="M37" s="21"/>
      <c r="N37" s="21"/>
      <c r="O37" s="21"/>
      <c r="P37" s="21"/>
      <c r="Q37" s="21"/>
      <c r="R37" s="21"/>
      <c r="S37" s="21"/>
      <c r="T37" s="21"/>
      <c r="U37" s="21"/>
      <c r="V37" s="21"/>
      <c r="W37" s="21"/>
      <c r="X37" s="21"/>
      <c r="Y37" s="21"/>
      <c r="Z37" s="21"/>
      <c r="AA37" s="21"/>
      <c r="AB37" s="21"/>
      <c r="AC37" s="21"/>
      <c r="AD37" s="21"/>
    </row>
    <row r="38" spans="1:37" x14ac:dyDescent="0.25">
      <c r="A38" s="19" t="s">
        <v>112</v>
      </c>
      <c r="C38" s="21"/>
      <c r="D38" s="21" t="s">
        <v>1037</v>
      </c>
      <c r="E38" s="21"/>
      <c r="F38" s="21" t="s">
        <v>1043</v>
      </c>
      <c r="G38" s="21"/>
      <c r="H38" s="21"/>
      <c r="I38" s="21"/>
      <c r="J38" s="21"/>
      <c r="K38" s="21"/>
      <c r="L38" s="21"/>
      <c r="M38" s="21"/>
      <c r="N38" s="21"/>
      <c r="O38" s="21"/>
      <c r="P38" s="21"/>
      <c r="Q38" s="21"/>
      <c r="R38" s="21"/>
      <c r="S38" s="21"/>
      <c r="T38" s="21"/>
      <c r="U38" s="21"/>
      <c r="V38" s="21"/>
      <c r="W38" s="21" t="s">
        <v>373</v>
      </c>
      <c r="X38" s="21"/>
      <c r="Y38" s="21"/>
      <c r="Z38" s="21"/>
      <c r="AA38" s="21"/>
      <c r="AB38" s="21"/>
      <c r="AC38" s="21" t="s">
        <v>351</v>
      </c>
      <c r="AD38" s="21" t="s">
        <v>1236</v>
      </c>
    </row>
    <row r="39" spans="1:37" x14ac:dyDescent="0.25">
      <c r="A39" s="19" t="s">
        <v>108</v>
      </c>
      <c r="B39" s="21"/>
      <c r="C39" s="21"/>
      <c r="D39" s="21"/>
      <c r="E39" s="21"/>
      <c r="F39" s="20" t="s">
        <v>365</v>
      </c>
      <c r="G39" s="21"/>
      <c r="H39" s="21"/>
      <c r="I39" s="21"/>
      <c r="J39" s="21"/>
      <c r="K39" s="21"/>
      <c r="L39" s="21"/>
      <c r="M39" s="21"/>
      <c r="N39" s="21"/>
      <c r="O39" s="21"/>
      <c r="P39" s="21"/>
      <c r="Q39" s="21"/>
      <c r="R39" s="21"/>
      <c r="S39" s="21"/>
      <c r="T39" s="21"/>
      <c r="U39" s="21"/>
      <c r="V39" s="21" t="s">
        <v>373</v>
      </c>
      <c r="W39" s="21"/>
      <c r="X39" s="21"/>
      <c r="Y39" s="21"/>
      <c r="Z39" s="21"/>
      <c r="AA39" s="21"/>
      <c r="AB39" s="21"/>
      <c r="AC39" s="21" t="s">
        <v>351</v>
      </c>
      <c r="AD39" s="21" t="s">
        <v>1236</v>
      </c>
    </row>
    <row r="40" spans="1:37" x14ac:dyDescent="0.25">
      <c r="A40" s="18" t="s">
        <v>116</v>
      </c>
      <c r="B40" s="21"/>
      <c r="C40" s="21"/>
      <c r="D40" s="21"/>
      <c r="E40" s="21"/>
      <c r="F40" s="21"/>
      <c r="G40" s="21" t="s">
        <v>366</v>
      </c>
      <c r="H40" s="21" t="s">
        <v>1051</v>
      </c>
      <c r="I40" s="21"/>
      <c r="J40" s="21"/>
      <c r="K40" s="21"/>
      <c r="L40" s="21"/>
      <c r="M40" s="21"/>
      <c r="N40" s="21"/>
      <c r="O40" s="21"/>
      <c r="P40" s="21"/>
      <c r="Q40" s="21"/>
      <c r="R40" s="21"/>
      <c r="S40" s="21"/>
      <c r="T40" s="21"/>
      <c r="U40" s="21"/>
      <c r="V40" s="21"/>
      <c r="W40" s="21"/>
      <c r="X40" s="21"/>
      <c r="Y40" s="21"/>
      <c r="Z40" s="21"/>
      <c r="AA40" s="21"/>
      <c r="AB40" s="21"/>
      <c r="AC40" s="21"/>
      <c r="AD40" s="21"/>
    </row>
    <row r="41" spans="1:37" x14ac:dyDescent="0.25">
      <c r="A41" s="19" t="s">
        <v>118</v>
      </c>
      <c r="B41" s="21"/>
      <c r="C41" s="21"/>
      <c r="E41" s="21"/>
      <c r="F41" s="21"/>
      <c r="G41" s="21" t="s">
        <v>1039</v>
      </c>
      <c r="H41" s="21"/>
      <c r="I41" s="21"/>
      <c r="J41" s="21"/>
      <c r="K41" s="21"/>
      <c r="L41" s="21"/>
      <c r="M41" s="21"/>
      <c r="N41" s="21"/>
      <c r="O41" s="21"/>
      <c r="P41" s="21"/>
      <c r="Q41" s="21"/>
      <c r="R41" s="21"/>
      <c r="S41" s="21"/>
      <c r="T41" s="21"/>
      <c r="U41" s="21"/>
      <c r="V41" s="21"/>
      <c r="W41" s="21"/>
      <c r="X41" s="21"/>
      <c r="Y41" s="21" t="s">
        <v>373</v>
      </c>
      <c r="Z41" s="21"/>
      <c r="AA41" s="21"/>
      <c r="AB41" s="21"/>
      <c r="AC41" s="21" t="s">
        <v>351</v>
      </c>
      <c r="AD41" s="21" t="s">
        <v>1236</v>
      </c>
    </row>
    <row r="42" spans="1:37" x14ac:dyDescent="0.25">
      <c r="A42" s="19" t="s">
        <v>114</v>
      </c>
      <c r="B42" s="21"/>
      <c r="C42" s="21"/>
      <c r="D42" s="21"/>
      <c r="E42" s="21"/>
      <c r="F42" s="21"/>
      <c r="G42" s="21"/>
      <c r="H42" s="21"/>
      <c r="I42" s="21" t="s">
        <v>374</v>
      </c>
      <c r="J42" s="21"/>
      <c r="K42" s="21"/>
      <c r="L42" s="21"/>
      <c r="M42" s="21"/>
      <c r="N42" s="21"/>
      <c r="O42" s="21"/>
      <c r="P42" s="21"/>
      <c r="Q42" s="21"/>
      <c r="R42" s="21"/>
      <c r="S42" s="21"/>
      <c r="T42" s="21"/>
      <c r="U42" s="21"/>
      <c r="V42" s="21"/>
      <c r="W42" s="21"/>
      <c r="X42" s="21" t="s">
        <v>373</v>
      </c>
      <c r="Y42" s="21"/>
      <c r="Z42" s="21"/>
      <c r="AA42" s="21"/>
      <c r="AB42" s="21"/>
      <c r="AC42" s="21" t="s">
        <v>351</v>
      </c>
      <c r="AD42" s="21" t="s">
        <v>1236</v>
      </c>
    </row>
    <row r="43" spans="1:37" x14ac:dyDescent="0.25">
      <c r="A43" s="19" t="s">
        <v>120</v>
      </c>
      <c r="B43" s="21"/>
      <c r="C43" s="21"/>
      <c r="D43" s="21"/>
      <c r="E43" s="21"/>
      <c r="F43" s="21"/>
      <c r="G43" s="21"/>
      <c r="H43" s="21"/>
      <c r="I43" s="21"/>
      <c r="J43" s="21" t="s">
        <v>368</v>
      </c>
      <c r="K43" s="21"/>
      <c r="L43" s="21"/>
      <c r="M43" s="21"/>
      <c r="N43" s="21"/>
      <c r="O43" s="21"/>
      <c r="P43" s="21"/>
      <c r="Q43" s="21"/>
      <c r="R43" s="21"/>
      <c r="S43" s="21"/>
      <c r="T43" s="21"/>
      <c r="U43" s="21"/>
      <c r="V43" s="21"/>
      <c r="W43" s="21"/>
      <c r="X43" s="21"/>
      <c r="Y43" s="21"/>
      <c r="Z43" s="21"/>
      <c r="AA43" s="21"/>
      <c r="AB43" s="21"/>
      <c r="AC43" s="21" t="s">
        <v>351</v>
      </c>
      <c r="AD43" s="21" t="s">
        <v>1236</v>
      </c>
    </row>
    <row r="44" spans="1:37" x14ac:dyDescent="0.25">
      <c r="A44" s="18" t="s">
        <v>122</v>
      </c>
      <c r="B44" s="21"/>
      <c r="C44" s="21"/>
      <c r="D44" s="21"/>
      <c r="E44" s="21"/>
      <c r="F44" s="21"/>
      <c r="G44" s="21" t="s">
        <v>369</v>
      </c>
      <c r="H44" s="21"/>
      <c r="I44" s="21"/>
      <c r="J44" s="21"/>
      <c r="L44" s="21"/>
      <c r="M44" s="21"/>
      <c r="N44" s="21" t="s">
        <v>370</v>
      </c>
      <c r="O44" s="21"/>
      <c r="P44" s="21"/>
      <c r="Q44" s="21"/>
      <c r="R44" s="21"/>
      <c r="S44" s="21"/>
      <c r="T44" s="21"/>
      <c r="U44" s="21"/>
      <c r="V44" s="21"/>
      <c r="W44" s="21"/>
      <c r="X44" s="21"/>
      <c r="Y44" s="21"/>
      <c r="Z44" s="21"/>
      <c r="AA44" s="21"/>
      <c r="AB44" s="21"/>
      <c r="AC44" s="21"/>
      <c r="AD44" s="21"/>
    </row>
    <row r="45" spans="1:37" x14ac:dyDescent="0.25">
      <c r="A45" s="18" t="s">
        <v>124</v>
      </c>
      <c r="B45" s="21"/>
      <c r="C45" s="21"/>
      <c r="D45" s="21"/>
      <c r="E45" s="21"/>
      <c r="F45" s="21"/>
      <c r="G45" s="21"/>
      <c r="H45" s="21"/>
      <c r="I45" s="21"/>
      <c r="J45" s="21"/>
      <c r="K45" s="21"/>
      <c r="L45" s="21" t="s">
        <v>371</v>
      </c>
      <c r="M45" s="21" t="s">
        <v>1053</v>
      </c>
      <c r="N45" s="21"/>
      <c r="O45" s="21"/>
      <c r="P45" s="21"/>
      <c r="Q45" s="21"/>
      <c r="R45" s="21"/>
      <c r="S45" s="21"/>
      <c r="T45" s="21"/>
      <c r="U45" s="21"/>
      <c r="V45" s="21"/>
      <c r="W45" s="21"/>
      <c r="X45" s="21"/>
      <c r="Y45" s="21"/>
      <c r="Z45" s="21"/>
      <c r="AA45" s="21"/>
      <c r="AB45" s="21"/>
      <c r="AC45" s="21"/>
      <c r="AD45" s="21"/>
    </row>
    <row r="46" spans="1:37" x14ac:dyDescent="0.25">
      <c r="A46" s="19" t="s">
        <v>126</v>
      </c>
      <c r="B46" s="21"/>
      <c r="C46" s="21"/>
      <c r="D46" s="21"/>
      <c r="E46" s="21"/>
      <c r="F46" s="21"/>
      <c r="G46" s="21"/>
      <c r="H46" s="21"/>
      <c r="I46" s="21"/>
      <c r="J46" s="21"/>
      <c r="K46" s="21"/>
      <c r="L46" s="21"/>
      <c r="M46" s="21"/>
      <c r="N46" s="21"/>
      <c r="O46" s="21"/>
      <c r="P46" s="21"/>
      <c r="Q46" s="21" t="s">
        <v>375</v>
      </c>
      <c r="R46" s="21"/>
      <c r="S46" s="21"/>
      <c r="T46" s="21"/>
      <c r="U46" s="21"/>
      <c r="V46" s="21"/>
      <c r="W46" s="21"/>
      <c r="X46" s="21"/>
      <c r="Y46" s="21"/>
      <c r="Z46" s="21"/>
      <c r="AA46" s="21"/>
      <c r="AB46" s="21"/>
      <c r="AC46" s="21" t="s">
        <v>351</v>
      </c>
      <c r="AD46" s="21" t="s">
        <v>1236</v>
      </c>
    </row>
    <row r="47" spans="1:37" x14ac:dyDescent="0.25">
      <c r="A47" s="19" t="s">
        <v>128</v>
      </c>
      <c r="C47" s="21"/>
      <c r="E47" s="21"/>
      <c r="F47" s="21"/>
      <c r="G47" s="21"/>
      <c r="H47" s="21"/>
      <c r="I47" s="21"/>
      <c r="J47" s="21"/>
      <c r="K47" s="21"/>
      <c r="L47" s="21" t="s">
        <v>1041</v>
      </c>
      <c r="M47" s="21"/>
      <c r="N47" s="21"/>
      <c r="O47" s="21"/>
      <c r="P47" s="21"/>
      <c r="Q47" s="21"/>
      <c r="R47" s="21"/>
      <c r="S47" s="21"/>
      <c r="T47" s="21"/>
      <c r="U47" s="21"/>
      <c r="V47" s="21"/>
      <c r="W47" s="21"/>
      <c r="X47" s="21"/>
      <c r="Y47" s="21"/>
      <c r="Z47" s="21" t="s">
        <v>373</v>
      </c>
      <c r="AA47" s="21"/>
      <c r="AB47" s="21"/>
      <c r="AC47" s="21" t="s">
        <v>351</v>
      </c>
      <c r="AD47" s="21" t="s">
        <v>1236</v>
      </c>
    </row>
    <row r="48" spans="1:37" x14ac:dyDescent="0.25">
      <c r="A48" s="19" t="s">
        <v>130</v>
      </c>
      <c r="B48" s="21"/>
      <c r="C48" s="21"/>
      <c r="D48" s="21"/>
      <c r="E48" s="21"/>
      <c r="F48" s="21"/>
      <c r="G48" s="21"/>
      <c r="H48" s="21"/>
      <c r="I48" s="21"/>
      <c r="J48" s="21"/>
      <c r="K48" s="21"/>
      <c r="L48" s="21"/>
      <c r="M48" s="21"/>
      <c r="N48" s="21"/>
      <c r="O48" s="105" t="s">
        <v>1497</v>
      </c>
      <c r="P48" s="21"/>
      <c r="Q48" s="21"/>
      <c r="R48" s="21"/>
      <c r="S48" s="21"/>
      <c r="T48" s="21"/>
      <c r="U48" s="21"/>
      <c r="V48" s="21"/>
      <c r="W48" s="21"/>
      <c r="X48" s="21"/>
      <c r="Y48" s="21"/>
      <c r="Z48" s="21"/>
      <c r="AA48" s="21"/>
      <c r="AB48" s="102" t="s">
        <v>1329</v>
      </c>
      <c r="AC48" s="21" t="s">
        <v>351</v>
      </c>
      <c r="AD48" s="21" t="s">
        <v>1236</v>
      </c>
    </row>
    <row r="49" spans="1:37" x14ac:dyDescent="0.25">
      <c r="A49" s="19" t="s">
        <v>132</v>
      </c>
      <c r="B49" s="21"/>
      <c r="C49" s="21"/>
      <c r="D49" s="21"/>
      <c r="E49" s="21"/>
      <c r="F49" s="21"/>
      <c r="G49" s="21"/>
      <c r="H49" s="21"/>
      <c r="I49" s="21"/>
      <c r="J49" s="21"/>
      <c r="K49" s="21"/>
      <c r="L49" s="21"/>
      <c r="M49" s="21"/>
      <c r="N49" s="21"/>
      <c r="O49" s="21"/>
      <c r="P49" s="20" t="s">
        <v>352</v>
      </c>
      <c r="Q49" s="21"/>
      <c r="R49" s="21"/>
      <c r="S49" s="21"/>
      <c r="T49" s="21"/>
      <c r="U49" s="21"/>
      <c r="V49" s="21"/>
      <c r="W49" s="21"/>
      <c r="X49" s="21"/>
      <c r="Y49" s="21"/>
      <c r="Z49" s="21"/>
      <c r="AA49" s="21"/>
      <c r="AB49" s="21"/>
      <c r="AC49" s="21" t="s">
        <v>351</v>
      </c>
      <c r="AD49" s="21" t="s">
        <v>1236</v>
      </c>
    </row>
    <row r="50" spans="1:37" x14ac:dyDescent="0.25">
      <c r="A50" s="18" t="s">
        <v>134</v>
      </c>
      <c r="B50" s="21"/>
      <c r="C50" s="21"/>
      <c r="D50" s="20" t="s">
        <v>355</v>
      </c>
      <c r="E50" s="21"/>
      <c r="F50" s="21"/>
      <c r="G50" s="21"/>
      <c r="H50" s="21"/>
      <c r="I50" s="21"/>
      <c r="J50" s="21"/>
      <c r="K50" s="21"/>
      <c r="L50" s="21"/>
      <c r="M50" s="21"/>
      <c r="N50" s="20" t="s">
        <v>354</v>
      </c>
      <c r="O50" s="21"/>
      <c r="P50" s="21"/>
      <c r="Q50" s="21"/>
      <c r="R50" s="21"/>
      <c r="S50" s="21"/>
      <c r="T50" s="21"/>
      <c r="U50" s="21"/>
      <c r="V50" s="21"/>
      <c r="W50" s="21"/>
      <c r="X50" s="21"/>
      <c r="Y50" s="21"/>
      <c r="Z50" s="21"/>
      <c r="AA50" s="21"/>
      <c r="AB50" s="20"/>
      <c r="AC50" s="21"/>
      <c r="AD50" s="21"/>
    </row>
    <row r="51" spans="1:37" x14ac:dyDescent="0.25">
      <c r="A51" s="19" t="s">
        <v>136</v>
      </c>
      <c r="B51" s="21"/>
      <c r="C51" s="21"/>
      <c r="D51" s="21"/>
      <c r="E51" s="21"/>
      <c r="F51" s="21"/>
      <c r="G51" s="21"/>
      <c r="H51" s="21"/>
      <c r="I51" s="21"/>
      <c r="J51" s="21"/>
      <c r="K51" s="21"/>
      <c r="L51" s="21"/>
      <c r="M51" s="21"/>
      <c r="N51" s="21"/>
      <c r="O51" s="21"/>
      <c r="P51" s="21"/>
      <c r="Q51" s="21"/>
      <c r="R51" s="21" t="s">
        <v>368</v>
      </c>
      <c r="S51" s="21"/>
      <c r="T51" s="21"/>
      <c r="U51" s="21"/>
      <c r="V51" s="21"/>
      <c r="W51" s="21"/>
      <c r="X51" s="21"/>
      <c r="Y51" s="21"/>
      <c r="Z51" s="21"/>
      <c r="AA51" s="21"/>
      <c r="AB51" s="21"/>
      <c r="AC51" s="21" t="s">
        <v>351</v>
      </c>
      <c r="AD51" s="21" t="s">
        <v>1236</v>
      </c>
    </row>
    <row r="52" spans="1:37" x14ac:dyDescent="0.25">
      <c r="A52" s="18" t="s">
        <v>138</v>
      </c>
      <c r="B52" s="21"/>
      <c r="C52" s="21"/>
      <c r="D52" s="21"/>
      <c r="E52" s="21"/>
      <c r="F52" s="21"/>
      <c r="G52" s="21" t="s">
        <v>369</v>
      </c>
      <c r="H52" s="21"/>
      <c r="I52" s="21"/>
      <c r="J52" s="21"/>
      <c r="K52" s="21"/>
      <c r="M52" s="21"/>
      <c r="N52" s="21" t="s">
        <v>370</v>
      </c>
      <c r="O52" s="21"/>
      <c r="P52" s="21"/>
      <c r="Q52" s="21"/>
      <c r="R52" s="21"/>
      <c r="T52" s="21"/>
      <c r="U52" s="21"/>
      <c r="V52" s="21"/>
      <c r="W52" s="21"/>
      <c r="X52" s="21"/>
      <c r="Y52" s="21"/>
      <c r="Z52" s="21"/>
      <c r="AA52" s="21"/>
      <c r="AB52" s="21"/>
      <c r="AC52" s="21"/>
      <c r="AD52" s="21"/>
    </row>
    <row r="53" spans="1:37" x14ac:dyDescent="0.25">
      <c r="A53" s="19" t="s">
        <v>140</v>
      </c>
      <c r="B53" s="21"/>
      <c r="C53" s="21"/>
      <c r="D53" s="21"/>
      <c r="E53" s="21"/>
      <c r="F53" s="21"/>
      <c r="G53" s="21"/>
      <c r="H53" s="21"/>
      <c r="I53" s="21"/>
      <c r="J53" s="21"/>
      <c r="K53" s="21"/>
      <c r="L53" s="21"/>
      <c r="M53" s="21"/>
      <c r="N53" s="21"/>
      <c r="O53" s="21"/>
      <c r="P53" s="21"/>
      <c r="Q53" s="21"/>
      <c r="R53" s="21"/>
      <c r="S53" s="21"/>
      <c r="T53" s="21"/>
      <c r="U53" s="21"/>
      <c r="V53" s="21"/>
      <c r="W53" s="21"/>
      <c r="X53" s="21"/>
      <c r="Y53" s="21"/>
      <c r="Z53" s="21"/>
      <c r="AA53" s="21" t="s">
        <v>373</v>
      </c>
      <c r="AB53" s="21"/>
      <c r="AC53" s="21" t="s">
        <v>351</v>
      </c>
      <c r="AD53" s="21" t="s">
        <v>1236</v>
      </c>
    </row>
    <row r="55" spans="1:37" x14ac:dyDescent="0.25">
      <c r="A55" s="22"/>
      <c r="B55" s="19" t="s">
        <v>142</v>
      </c>
      <c r="C55" s="18" t="s">
        <v>148</v>
      </c>
      <c r="D55" s="19" t="s">
        <v>146</v>
      </c>
      <c r="E55" s="19" t="s">
        <v>150</v>
      </c>
      <c r="F55" s="18" t="s">
        <v>154</v>
      </c>
      <c r="G55" s="19" t="s">
        <v>152</v>
      </c>
      <c r="H55" s="19" t="s">
        <v>156</v>
      </c>
      <c r="I55" s="19" t="s">
        <v>158</v>
      </c>
      <c r="J55" s="18" t="s">
        <v>160</v>
      </c>
      <c r="K55" s="18" t="s">
        <v>162</v>
      </c>
      <c r="L55" s="19" t="s">
        <v>164</v>
      </c>
      <c r="M55" s="19" t="s">
        <v>166</v>
      </c>
      <c r="N55" s="19" t="s">
        <v>168</v>
      </c>
      <c r="O55" s="19" t="s">
        <v>170</v>
      </c>
      <c r="P55" s="18" t="s">
        <v>172</v>
      </c>
      <c r="Q55" s="19" t="s">
        <v>174</v>
      </c>
      <c r="R55" s="18" t="s">
        <v>176</v>
      </c>
      <c r="S55" s="19" t="s">
        <v>178</v>
      </c>
      <c r="T55" s="19" t="s">
        <v>180</v>
      </c>
      <c r="U55" s="19" t="s">
        <v>182</v>
      </c>
      <c r="V55" s="19" t="s">
        <v>184</v>
      </c>
      <c r="W55" s="19" t="s">
        <v>188</v>
      </c>
      <c r="X55" s="19" t="s">
        <v>190</v>
      </c>
      <c r="Y55" s="19" t="s">
        <v>194</v>
      </c>
      <c r="Z55" s="19" t="s">
        <v>204</v>
      </c>
      <c r="AA55" s="19" t="s">
        <v>216</v>
      </c>
      <c r="AB55" s="19" t="s">
        <v>1333</v>
      </c>
      <c r="AC55" s="89" t="s">
        <v>340</v>
      </c>
      <c r="AD55" s="89" t="s">
        <v>1244</v>
      </c>
      <c r="AE55" s="3"/>
      <c r="AF55" s="3"/>
      <c r="AG55" s="3"/>
      <c r="AH55" s="3"/>
      <c r="AI55" s="3"/>
      <c r="AJ55" s="3"/>
      <c r="AK55" s="3"/>
    </row>
    <row r="56" spans="1:37" x14ac:dyDescent="0.25">
      <c r="A56" s="19" t="s">
        <v>142</v>
      </c>
      <c r="B56" s="20"/>
      <c r="C56" s="20" t="s">
        <v>359</v>
      </c>
      <c r="D56" s="20"/>
      <c r="E56" s="21"/>
      <c r="F56" s="20"/>
      <c r="G56" s="20" t="s">
        <v>360</v>
      </c>
      <c r="H56" s="21"/>
      <c r="I56" s="21"/>
      <c r="J56" s="21"/>
      <c r="K56" s="21"/>
      <c r="L56" s="21"/>
      <c r="M56" s="21"/>
      <c r="N56" s="21"/>
      <c r="O56" s="21"/>
      <c r="P56" s="21"/>
      <c r="Q56" s="21"/>
      <c r="R56" s="21"/>
      <c r="S56" s="21"/>
      <c r="T56" s="21" t="s">
        <v>376</v>
      </c>
      <c r="U56" s="21"/>
      <c r="V56" s="21"/>
      <c r="W56" s="21"/>
      <c r="X56" s="21"/>
      <c r="Y56" s="21"/>
      <c r="Z56" s="21"/>
      <c r="AA56" s="21"/>
      <c r="AB56" s="21"/>
      <c r="AC56" s="21" t="s">
        <v>351</v>
      </c>
      <c r="AD56" s="21" t="s">
        <v>1236</v>
      </c>
    </row>
    <row r="57" spans="1:37" x14ac:dyDescent="0.25">
      <c r="A57" s="19" t="s">
        <v>144</v>
      </c>
      <c r="B57" s="20"/>
      <c r="C57" s="20" t="s">
        <v>362</v>
      </c>
      <c r="D57" s="20"/>
      <c r="E57" s="21"/>
      <c r="F57" s="21"/>
      <c r="G57" s="21" t="s">
        <v>363</v>
      </c>
      <c r="H57" s="21"/>
      <c r="I57" s="21"/>
      <c r="J57" s="21"/>
      <c r="K57" s="21"/>
      <c r="L57" s="21"/>
      <c r="M57" s="21"/>
      <c r="N57" s="21"/>
      <c r="O57" s="21"/>
      <c r="P57" s="21"/>
      <c r="Q57" s="21"/>
      <c r="R57" s="21"/>
      <c r="S57" s="21"/>
      <c r="T57" s="21"/>
      <c r="U57" s="21" t="s">
        <v>376</v>
      </c>
      <c r="V57" s="21"/>
      <c r="W57" s="21"/>
      <c r="X57" s="21"/>
      <c r="Y57" s="21"/>
      <c r="Z57" s="21"/>
      <c r="AA57" s="21"/>
      <c r="AB57" s="21"/>
      <c r="AC57" s="21" t="s">
        <v>351</v>
      </c>
      <c r="AD57" s="21" t="s">
        <v>1236</v>
      </c>
    </row>
    <row r="58" spans="1:37" x14ac:dyDescent="0.25">
      <c r="A58" s="18" t="s">
        <v>148</v>
      </c>
      <c r="B58" s="21"/>
      <c r="C58" s="21"/>
      <c r="D58" s="21" t="s">
        <v>364</v>
      </c>
      <c r="E58" s="21" t="s">
        <v>1045</v>
      </c>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row>
    <row r="59" spans="1:37" x14ac:dyDescent="0.25">
      <c r="A59" s="19" t="s">
        <v>150</v>
      </c>
      <c r="B59" s="21"/>
      <c r="C59" s="21"/>
      <c r="D59" s="21" t="s">
        <v>1037</v>
      </c>
      <c r="E59" s="21"/>
      <c r="F59" s="21" t="s">
        <v>1043</v>
      </c>
      <c r="G59" s="21"/>
      <c r="H59" s="21"/>
      <c r="I59" s="21"/>
      <c r="J59" s="21"/>
      <c r="K59" s="21"/>
      <c r="L59" s="21"/>
      <c r="M59" s="21"/>
      <c r="N59" s="21"/>
      <c r="O59" s="21"/>
      <c r="P59" s="21"/>
      <c r="Q59" s="21"/>
      <c r="R59" s="21"/>
      <c r="S59" s="21"/>
      <c r="T59" s="21"/>
      <c r="U59" s="21"/>
      <c r="V59" s="21"/>
      <c r="W59" s="21" t="s">
        <v>376</v>
      </c>
      <c r="X59" s="21"/>
      <c r="Y59" s="21"/>
      <c r="Z59" s="21"/>
      <c r="AA59" s="21"/>
      <c r="AB59" s="21"/>
      <c r="AC59" s="21" t="s">
        <v>351</v>
      </c>
      <c r="AD59" s="21" t="s">
        <v>1236</v>
      </c>
    </row>
    <row r="60" spans="1:37" x14ac:dyDescent="0.25">
      <c r="A60" s="19" t="s">
        <v>146</v>
      </c>
      <c r="B60" s="21"/>
      <c r="C60" s="21"/>
      <c r="D60" s="21"/>
      <c r="E60" s="21"/>
      <c r="F60" s="20" t="s">
        <v>365</v>
      </c>
      <c r="G60" s="21"/>
      <c r="H60" s="21"/>
      <c r="I60" s="21"/>
      <c r="J60" s="21"/>
      <c r="K60" s="21"/>
      <c r="L60" s="21"/>
      <c r="M60" s="21"/>
      <c r="N60" s="21"/>
      <c r="O60" s="21"/>
      <c r="P60" s="21"/>
      <c r="Q60" s="21"/>
      <c r="R60" s="21"/>
      <c r="S60" s="21"/>
      <c r="T60" s="21"/>
      <c r="U60" s="21"/>
      <c r="V60" s="21" t="s">
        <v>376</v>
      </c>
      <c r="W60" s="21"/>
      <c r="X60" s="21"/>
      <c r="Y60" s="21"/>
      <c r="Z60" s="21"/>
      <c r="AA60" s="21"/>
      <c r="AB60" s="21"/>
      <c r="AC60" s="21" t="s">
        <v>351</v>
      </c>
      <c r="AD60" s="21" t="s">
        <v>1236</v>
      </c>
    </row>
    <row r="61" spans="1:37" x14ac:dyDescent="0.25">
      <c r="A61" s="18" t="s">
        <v>154</v>
      </c>
      <c r="B61" s="21"/>
      <c r="C61" s="21"/>
      <c r="D61" s="21"/>
      <c r="E61" s="21"/>
      <c r="F61" s="21"/>
      <c r="G61" s="21" t="s">
        <v>366</v>
      </c>
      <c r="H61" s="21" t="s">
        <v>1051</v>
      </c>
      <c r="I61" s="21"/>
      <c r="J61" s="21"/>
      <c r="K61" s="21"/>
      <c r="L61" s="21"/>
      <c r="M61" s="21"/>
      <c r="N61" s="21"/>
      <c r="O61" s="21"/>
      <c r="P61" s="21"/>
      <c r="Q61" s="21"/>
      <c r="R61" s="21"/>
      <c r="S61" s="21"/>
      <c r="T61" s="21"/>
      <c r="U61" s="21"/>
      <c r="V61" s="21"/>
      <c r="W61" s="21"/>
      <c r="X61" s="21"/>
      <c r="Y61" s="21"/>
      <c r="Z61" s="21"/>
      <c r="AA61" s="21"/>
      <c r="AB61" s="21"/>
      <c r="AC61" s="21"/>
      <c r="AD61" s="21"/>
    </row>
    <row r="62" spans="1:37" x14ac:dyDescent="0.25">
      <c r="A62" s="19" t="s">
        <v>156</v>
      </c>
      <c r="B62" s="21"/>
      <c r="C62" s="21"/>
      <c r="D62" s="21"/>
      <c r="E62" s="21"/>
      <c r="F62" s="21"/>
      <c r="G62" s="21" t="s">
        <v>1039</v>
      </c>
      <c r="H62" s="21"/>
      <c r="I62" s="21"/>
      <c r="J62" s="21"/>
      <c r="K62" s="21"/>
      <c r="L62" s="21"/>
      <c r="M62" s="21"/>
      <c r="N62" s="21"/>
      <c r="O62" s="21"/>
      <c r="P62" s="21"/>
      <c r="Q62" s="21"/>
      <c r="R62" s="21"/>
      <c r="S62" s="21"/>
      <c r="T62" s="21"/>
      <c r="U62" s="21"/>
      <c r="V62" s="21"/>
      <c r="W62" s="21"/>
      <c r="X62" s="21"/>
      <c r="Y62" s="21" t="s">
        <v>376</v>
      </c>
      <c r="Z62" s="21"/>
      <c r="AA62" s="21"/>
      <c r="AB62" s="21"/>
      <c r="AC62" s="21" t="s">
        <v>351</v>
      </c>
      <c r="AD62" s="21" t="s">
        <v>1236</v>
      </c>
    </row>
    <row r="63" spans="1:37" x14ac:dyDescent="0.25">
      <c r="A63" s="19" t="s">
        <v>152</v>
      </c>
      <c r="B63" s="21"/>
      <c r="C63" s="21"/>
      <c r="D63" s="21"/>
      <c r="E63" s="21"/>
      <c r="F63" s="21"/>
      <c r="G63" s="21"/>
      <c r="H63" s="21"/>
      <c r="I63" s="21" t="s">
        <v>377</v>
      </c>
      <c r="J63" s="21"/>
      <c r="K63" s="21"/>
      <c r="L63" s="21"/>
      <c r="M63" s="21"/>
      <c r="N63" s="21"/>
      <c r="O63" s="21"/>
      <c r="P63" s="21"/>
      <c r="Q63" s="21"/>
      <c r="R63" s="21"/>
      <c r="S63" s="21"/>
      <c r="T63" s="21"/>
      <c r="U63" s="21"/>
      <c r="V63" s="21"/>
      <c r="W63" s="21"/>
      <c r="X63" s="21" t="s">
        <v>376</v>
      </c>
      <c r="Y63" s="21"/>
      <c r="Z63" s="21"/>
      <c r="AA63" s="21"/>
      <c r="AB63" s="21"/>
      <c r="AC63" s="21" t="s">
        <v>351</v>
      </c>
      <c r="AD63" s="21" t="s">
        <v>1236</v>
      </c>
    </row>
    <row r="64" spans="1:37" x14ac:dyDescent="0.25">
      <c r="A64" s="19" t="s">
        <v>158</v>
      </c>
      <c r="B64" s="21"/>
      <c r="C64" s="21"/>
      <c r="D64" s="21"/>
      <c r="E64" s="21"/>
      <c r="F64" s="21"/>
      <c r="G64" s="21"/>
      <c r="H64" s="21"/>
      <c r="I64" s="21"/>
      <c r="J64" s="21" t="s">
        <v>368</v>
      </c>
      <c r="K64" s="21"/>
      <c r="L64" s="21"/>
      <c r="M64" s="21"/>
      <c r="N64" s="21"/>
      <c r="O64" s="21"/>
      <c r="P64" s="21"/>
      <c r="Q64" s="21"/>
      <c r="R64" s="21"/>
      <c r="S64" s="21"/>
      <c r="T64" s="21"/>
      <c r="U64" s="21"/>
      <c r="V64" s="21"/>
      <c r="W64" s="21"/>
      <c r="X64" s="21"/>
      <c r="Y64" s="21"/>
      <c r="Z64" s="21"/>
      <c r="AA64" s="21"/>
      <c r="AB64" s="21"/>
      <c r="AC64" s="21" t="s">
        <v>351</v>
      </c>
      <c r="AD64" s="21" t="s">
        <v>1236</v>
      </c>
    </row>
    <row r="65" spans="1:37" x14ac:dyDescent="0.25">
      <c r="A65" s="18" t="s">
        <v>160</v>
      </c>
      <c r="B65" s="21"/>
      <c r="C65" s="21"/>
      <c r="D65" s="21"/>
      <c r="E65" s="21"/>
      <c r="F65" s="21"/>
      <c r="G65" s="21" t="s">
        <v>369</v>
      </c>
      <c r="H65" s="21"/>
      <c r="I65" s="21"/>
      <c r="J65" s="21"/>
      <c r="L65" s="21"/>
      <c r="M65" s="21"/>
      <c r="N65" s="21" t="s">
        <v>370</v>
      </c>
      <c r="O65" s="21"/>
      <c r="P65" s="21"/>
      <c r="Q65" s="21"/>
      <c r="R65" s="21"/>
      <c r="S65" s="21"/>
      <c r="T65" s="21"/>
      <c r="U65" s="21"/>
      <c r="V65" s="21"/>
      <c r="W65" s="21"/>
      <c r="X65" s="21"/>
      <c r="Y65" s="21"/>
      <c r="Z65" s="21"/>
      <c r="AA65" s="21"/>
      <c r="AB65" s="21"/>
      <c r="AC65" s="21"/>
      <c r="AD65" s="21"/>
    </row>
    <row r="66" spans="1:37" x14ac:dyDescent="0.25">
      <c r="A66" s="18" t="s">
        <v>162</v>
      </c>
      <c r="B66" s="21"/>
      <c r="C66" s="21"/>
      <c r="D66" s="21"/>
      <c r="E66" s="21"/>
      <c r="F66" s="21"/>
      <c r="G66" s="21"/>
      <c r="H66" s="21"/>
      <c r="I66" s="21"/>
      <c r="J66" s="21"/>
      <c r="K66" s="21"/>
      <c r="L66" s="21" t="s">
        <v>371</v>
      </c>
      <c r="M66" s="21" t="s">
        <v>1053</v>
      </c>
      <c r="N66" s="21"/>
      <c r="O66" s="21"/>
      <c r="P66" s="21"/>
      <c r="Q66" s="21"/>
      <c r="R66" s="21"/>
      <c r="S66" s="21"/>
      <c r="T66" s="21"/>
      <c r="U66" s="21"/>
      <c r="V66" s="21"/>
      <c r="W66" s="21"/>
      <c r="X66" s="21"/>
      <c r="Y66" s="21"/>
      <c r="Z66" s="21"/>
      <c r="AA66" s="21"/>
      <c r="AB66" s="21"/>
      <c r="AC66" s="21"/>
      <c r="AD66" s="21"/>
    </row>
    <row r="67" spans="1:37" x14ac:dyDescent="0.25">
      <c r="A67" s="19" t="s">
        <v>164</v>
      </c>
      <c r="B67" s="21"/>
      <c r="C67" s="21"/>
      <c r="D67" s="21"/>
      <c r="E67" s="21"/>
      <c r="F67" s="21"/>
      <c r="G67" s="21"/>
      <c r="H67" s="21"/>
      <c r="I67" s="21"/>
      <c r="J67" s="21"/>
      <c r="K67" s="21"/>
      <c r="L67" s="21"/>
      <c r="M67" s="21"/>
      <c r="N67" s="21"/>
      <c r="O67" s="21"/>
      <c r="P67" s="21"/>
      <c r="Q67" s="21" t="s">
        <v>378</v>
      </c>
      <c r="R67" s="21"/>
      <c r="S67" s="21"/>
      <c r="T67" s="21"/>
      <c r="U67" s="21"/>
      <c r="V67" s="21"/>
      <c r="W67" s="21"/>
      <c r="X67" s="21"/>
      <c r="Y67" s="21"/>
      <c r="Z67" s="21"/>
      <c r="AA67" s="21"/>
      <c r="AB67" s="21"/>
      <c r="AC67" s="21" t="s">
        <v>351</v>
      </c>
      <c r="AD67" s="21" t="s">
        <v>1236</v>
      </c>
    </row>
    <row r="68" spans="1:37" x14ac:dyDescent="0.25">
      <c r="A68" s="19" t="s">
        <v>166</v>
      </c>
      <c r="C68" s="21"/>
      <c r="E68" s="21"/>
      <c r="F68" s="21"/>
      <c r="G68" s="21"/>
      <c r="H68" s="21"/>
      <c r="I68" s="21"/>
      <c r="J68" s="21"/>
      <c r="K68" s="21"/>
      <c r="L68" s="21" t="s">
        <v>1041</v>
      </c>
      <c r="M68" s="21"/>
      <c r="N68" s="21"/>
      <c r="O68" s="21"/>
      <c r="P68" s="21"/>
      <c r="Q68" s="21"/>
      <c r="R68" s="21"/>
      <c r="S68" s="21"/>
      <c r="T68" s="21"/>
      <c r="U68" s="21"/>
      <c r="V68" s="21"/>
      <c r="W68" s="21"/>
      <c r="X68" s="21"/>
      <c r="Y68" s="21"/>
      <c r="Z68" s="21" t="s">
        <v>376</v>
      </c>
      <c r="AA68" s="21"/>
      <c r="AB68" s="21"/>
      <c r="AC68" s="21" t="s">
        <v>351</v>
      </c>
      <c r="AD68" s="21" t="s">
        <v>1236</v>
      </c>
    </row>
    <row r="69" spans="1:37" x14ac:dyDescent="0.25">
      <c r="A69" s="19" t="s">
        <v>168</v>
      </c>
      <c r="B69" s="21"/>
      <c r="C69" s="21"/>
      <c r="D69" s="21"/>
      <c r="E69" s="21"/>
      <c r="F69" s="21"/>
      <c r="G69" s="21"/>
      <c r="H69" s="21"/>
      <c r="I69" s="21"/>
      <c r="J69" s="21"/>
      <c r="K69" s="21"/>
      <c r="M69" s="21"/>
      <c r="N69" s="21"/>
      <c r="O69" s="105" t="s">
        <v>1497</v>
      </c>
      <c r="P69" s="21"/>
      <c r="Q69" s="21"/>
      <c r="R69" s="21"/>
      <c r="S69" s="21"/>
      <c r="T69" s="21"/>
      <c r="U69" s="21"/>
      <c r="V69" s="21"/>
      <c r="W69" s="21"/>
      <c r="X69" s="21"/>
      <c r="Y69" s="21"/>
      <c r="Z69" s="21"/>
      <c r="AA69" s="21"/>
      <c r="AB69" s="102" t="s">
        <v>1329</v>
      </c>
      <c r="AC69" s="21" t="s">
        <v>351</v>
      </c>
      <c r="AD69" s="21" t="s">
        <v>1236</v>
      </c>
    </row>
    <row r="70" spans="1:37" x14ac:dyDescent="0.25">
      <c r="A70" s="19" t="s">
        <v>170</v>
      </c>
      <c r="B70" s="21"/>
      <c r="C70" s="21"/>
      <c r="D70" s="21"/>
      <c r="E70" s="21"/>
      <c r="F70" s="21"/>
      <c r="G70" s="21"/>
      <c r="H70" s="21"/>
      <c r="I70" s="21"/>
      <c r="J70" s="21"/>
      <c r="K70" s="21"/>
      <c r="L70" s="21"/>
      <c r="M70" s="21"/>
      <c r="N70" s="21"/>
      <c r="O70" s="21"/>
      <c r="P70" s="20" t="s">
        <v>352</v>
      </c>
      <c r="Q70" s="21"/>
      <c r="R70" s="21"/>
      <c r="S70" s="21"/>
      <c r="T70" s="21"/>
      <c r="U70" s="21"/>
      <c r="V70" s="21"/>
      <c r="W70" s="21"/>
      <c r="X70" s="21"/>
      <c r="Y70" s="21"/>
      <c r="Z70" s="21"/>
      <c r="AA70" s="21"/>
      <c r="AB70" s="21"/>
      <c r="AC70" s="21" t="s">
        <v>351</v>
      </c>
      <c r="AD70" s="21" t="s">
        <v>1236</v>
      </c>
    </row>
    <row r="71" spans="1:37" x14ac:dyDescent="0.25">
      <c r="A71" s="18" t="s">
        <v>172</v>
      </c>
      <c r="B71" s="21"/>
      <c r="C71" s="21"/>
      <c r="D71" s="20" t="s">
        <v>355</v>
      </c>
      <c r="E71" s="21"/>
      <c r="F71" s="21"/>
      <c r="G71" s="21"/>
      <c r="H71" s="21"/>
      <c r="I71" s="21"/>
      <c r="J71" s="21"/>
      <c r="K71" s="21"/>
      <c r="L71" s="21"/>
      <c r="M71" s="21"/>
      <c r="N71" s="20" t="s">
        <v>354</v>
      </c>
      <c r="O71" s="21"/>
      <c r="P71" s="21"/>
      <c r="Q71" s="21"/>
      <c r="R71" s="21"/>
      <c r="S71" s="21"/>
      <c r="T71" s="21"/>
      <c r="U71" s="21"/>
      <c r="V71" s="21"/>
      <c r="W71" s="21"/>
      <c r="X71" s="21"/>
      <c r="Y71" s="21"/>
      <c r="Z71" s="21"/>
      <c r="AA71" s="21"/>
      <c r="AB71" s="20"/>
      <c r="AC71" s="21"/>
      <c r="AD71" s="21"/>
    </row>
    <row r="72" spans="1:37" x14ac:dyDescent="0.25">
      <c r="A72" s="19" t="s">
        <v>174</v>
      </c>
      <c r="B72" s="21"/>
      <c r="C72" s="21"/>
      <c r="D72" s="21"/>
      <c r="E72" s="21"/>
      <c r="F72" s="21"/>
      <c r="G72" s="21"/>
      <c r="H72" s="21"/>
      <c r="I72" s="21"/>
      <c r="J72" s="21"/>
      <c r="K72" s="21"/>
      <c r="L72" s="21"/>
      <c r="M72" s="21"/>
      <c r="N72" s="21"/>
      <c r="O72" s="21"/>
      <c r="P72" s="21"/>
      <c r="Q72" s="21"/>
      <c r="R72" s="21" t="s">
        <v>368</v>
      </c>
      <c r="S72" s="21"/>
      <c r="T72" s="21"/>
      <c r="U72" s="21"/>
      <c r="V72" s="21"/>
      <c r="W72" s="21"/>
      <c r="X72" s="21"/>
      <c r="Y72" s="21"/>
      <c r="Z72" s="21"/>
      <c r="AA72" s="21"/>
      <c r="AB72" s="21"/>
      <c r="AC72" s="21" t="s">
        <v>351</v>
      </c>
      <c r="AD72" s="21" t="s">
        <v>1236</v>
      </c>
    </row>
    <row r="73" spans="1:37" x14ac:dyDescent="0.25">
      <c r="A73" s="18" t="s">
        <v>176</v>
      </c>
      <c r="B73" s="21"/>
      <c r="C73" s="21"/>
      <c r="D73" s="21"/>
      <c r="E73" s="21"/>
      <c r="F73" s="21"/>
      <c r="G73" s="21"/>
      <c r="H73" s="21"/>
      <c r="I73" s="21"/>
      <c r="J73" s="21"/>
      <c r="K73" s="21"/>
      <c r="L73" s="21" t="s">
        <v>369</v>
      </c>
      <c r="M73" s="21"/>
      <c r="N73" s="21" t="s">
        <v>370</v>
      </c>
      <c r="O73" s="21"/>
      <c r="P73" s="21"/>
      <c r="Q73" s="21"/>
      <c r="R73" s="21"/>
      <c r="T73" s="21"/>
      <c r="U73" s="21"/>
      <c r="V73" s="21"/>
      <c r="W73" s="21"/>
      <c r="X73" s="21"/>
      <c r="Y73" s="21"/>
      <c r="Z73" s="21"/>
      <c r="AA73" s="21"/>
      <c r="AB73" s="21"/>
      <c r="AC73" s="21"/>
      <c r="AD73" s="21"/>
    </row>
    <row r="74" spans="1:37" x14ac:dyDescent="0.25">
      <c r="A74" s="19" t="s">
        <v>178</v>
      </c>
      <c r="B74" s="21"/>
      <c r="C74" s="21"/>
      <c r="D74" s="21"/>
      <c r="E74" s="21"/>
      <c r="F74" s="21"/>
      <c r="G74" s="21"/>
      <c r="H74" s="21"/>
      <c r="I74" s="21"/>
      <c r="J74" s="21"/>
      <c r="K74" s="21"/>
      <c r="L74" s="21"/>
      <c r="M74" s="21"/>
      <c r="N74" s="21"/>
      <c r="O74" s="21"/>
      <c r="P74" s="21"/>
      <c r="Q74" s="21"/>
      <c r="R74" s="21"/>
      <c r="S74" s="21"/>
      <c r="T74" s="21"/>
      <c r="U74" s="21"/>
      <c r="V74" s="21"/>
      <c r="W74" s="21"/>
      <c r="X74" s="21"/>
      <c r="Y74" s="21"/>
      <c r="Z74" s="21"/>
      <c r="AA74" s="21" t="s">
        <v>376</v>
      </c>
      <c r="AB74" s="21"/>
      <c r="AC74" s="21" t="s">
        <v>351</v>
      </c>
      <c r="AD74" s="21" t="s">
        <v>1236</v>
      </c>
    </row>
    <row r="75" spans="1:37" x14ac:dyDescent="0.25">
      <c r="M75" s="24"/>
      <c r="N75" s="24"/>
    </row>
    <row r="76" spans="1:37" x14ac:dyDescent="0.25">
      <c r="A76" s="22"/>
      <c r="B76" s="19" t="s">
        <v>180</v>
      </c>
      <c r="C76" s="18" t="s">
        <v>186</v>
      </c>
      <c r="D76" s="19" t="s">
        <v>184</v>
      </c>
      <c r="E76" s="19" t="s">
        <v>188</v>
      </c>
      <c r="F76" s="18" t="s">
        <v>192</v>
      </c>
      <c r="G76" s="19" t="s">
        <v>190</v>
      </c>
      <c r="H76" s="19" t="s">
        <v>194</v>
      </c>
      <c r="I76" s="19" t="s">
        <v>196</v>
      </c>
      <c r="J76" s="18" t="s">
        <v>198</v>
      </c>
      <c r="K76" s="18" t="s">
        <v>200</v>
      </c>
      <c r="L76" s="19" t="s">
        <v>202</v>
      </c>
      <c r="M76" s="19" t="s">
        <v>204</v>
      </c>
      <c r="N76" s="19" t="s">
        <v>206</v>
      </c>
      <c r="O76" s="19" t="s">
        <v>208</v>
      </c>
      <c r="P76" s="18" t="s">
        <v>210</v>
      </c>
      <c r="Q76" s="19" t="s">
        <v>212</v>
      </c>
      <c r="R76" s="18" t="s">
        <v>214</v>
      </c>
      <c r="S76" s="19" t="s">
        <v>216</v>
      </c>
      <c r="T76" s="19" t="s">
        <v>218</v>
      </c>
      <c r="U76" s="19" t="s">
        <v>220</v>
      </c>
      <c r="V76" s="19" t="s">
        <v>222</v>
      </c>
      <c r="W76" s="19" t="s">
        <v>226</v>
      </c>
      <c r="X76" s="19" t="s">
        <v>228</v>
      </c>
      <c r="Y76" s="19" t="s">
        <v>232</v>
      </c>
      <c r="Z76" s="19" t="s">
        <v>242</v>
      </c>
      <c r="AA76" s="19" t="s">
        <v>254</v>
      </c>
      <c r="AB76" s="19" t="s">
        <v>1335</v>
      </c>
      <c r="AC76" s="89" t="s">
        <v>340</v>
      </c>
      <c r="AD76" s="89" t="s">
        <v>1244</v>
      </c>
      <c r="AE76" s="3"/>
      <c r="AF76" s="3"/>
      <c r="AG76" s="3"/>
      <c r="AH76" s="3"/>
      <c r="AI76" s="3"/>
      <c r="AJ76" s="3"/>
      <c r="AK76" s="3"/>
    </row>
    <row r="77" spans="1:37" x14ac:dyDescent="0.25">
      <c r="A77" s="19" t="s">
        <v>180</v>
      </c>
      <c r="B77" s="20"/>
      <c r="C77" s="20" t="s">
        <v>379</v>
      </c>
      <c r="D77" s="20"/>
      <c r="E77" s="21"/>
      <c r="F77" s="20"/>
      <c r="G77" s="20" t="s">
        <v>380</v>
      </c>
      <c r="H77" s="21"/>
      <c r="I77" s="21"/>
      <c r="J77" s="21"/>
      <c r="K77" s="21"/>
      <c r="L77" s="21"/>
      <c r="M77" s="21"/>
      <c r="N77" s="21"/>
      <c r="O77" s="21"/>
      <c r="P77" s="21"/>
      <c r="Q77" s="21"/>
      <c r="R77" s="21"/>
      <c r="S77" s="21"/>
      <c r="T77" s="21" t="s">
        <v>381</v>
      </c>
      <c r="U77" s="21"/>
      <c r="V77" s="21"/>
      <c r="W77" s="21"/>
      <c r="X77" s="21"/>
      <c r="Y77" s="21"/>
      <c r="Z77" s="21"/>
      <c r="AA77" s="21"/>
      <c r="AB77" s="21"/>
      <c r="AC77" s="21" t="s">
        <v>351</v>
      </c>
      <c r="AD77" s="21" t="s">
        <v>1236</v>
      </c>
    </row>
    <row r="78" spans="1:37" x14ac:dyDescent="0.25">
      <c r="A78" s="19" t="s">
        <v>182</v>
      </c>
      <c r="B78" s="20"/>
      <c r="C78" s="20" t="s">
        <v>382</v>
      </c>
      <c r="D78" s="20"/>
      <c r="E78" s="21"/>
      <c r="F78" s="21"/>
      <c r="G78" s="21" t="s">
        <v>383</v>
      </c>
      <c r="H78" s="21"/>
      <c r="I78" s="21"/>
      <c r="J78" s="21"/>
      <c r="K78" s="21"/>
      <c r="L78" s="21"/>
      <c r="M78" s="21"/>
      <c r="N78" s="21"/>
      <c r="O78" s="21"/>
      <c r="P78" s="21"/>
      <c r="Q78" s="21"/>
      <c r="R78" s="21"/>
      <c r="S78" s="21"/>
      <c r="T78" s="21"/>
      <c r="U78" s="21" t="s">
        <v>381</v>
      </c>
      <c r="V78" s="21"/>
      <c r="W78" s="21"/>
      <c r="X78" s="21"/>
      <c r="Y78" s="21"/>
      <c r="Z78" s="21"/>
      <c r="AA78" s="21"/>
      <c r="AB78" s="21"/>
      <c r="AC78" s="21" t="s">
        <v>351</v>
      </c>
      <c r="AD78" s="21" t="s">
        <v>1236</v>
      </c>
    </row>
    <row r="79" spans="1:37" x14ac:dyDescent="0.25">
      <c r="A79" s="18" t="s">
        <v>186</v>
      </c>
      <c r="B79" s="21"/>
      <c r="C79" s="21"/>
      <c r="D79" s="21" t="s">
        <v>384</v>
      </c>
      <c r="E79" s="21" t="s">
        <v>1047</v>
      </c>
      <c r="F79" s="21"/>
      <c r="G79" s="21"/>
      <c r="H79" s="21"/>
      <c r="I79" s="21"/>
      <c r="J79" s="21"/>
      <c r="K79" s="21"/>
      <c r="L79" s="21"/>
      <c r="M79" s="21"/>
      <c r="N79" s="21"/>
      <c r="O79" s="21"/>
      <c r="P79" s="21"/>
      <c r="Q79" s="21"/>
      <c r="R79" s="21"/>
      <c r="S79" s="21"/>
      <c r="T79" s="21"/>
      <c r="U79" s="21"/>
      <c r="V79" s="21"/>
      <c r="W79" s="21"/>
      <c r="X79" s="21"/>
      <c r="Y79" s="21"/>
      <c r="Z79" s="21"/>
      <c r="AA79" s="21"/>
      <c r="AB79" s="21"/>
      <c r="AC79" s="21"/>
      <c r="AD79" s="21"/>
    </row>
    <row r="80" spans="1:37" x14ac:dyDescent="0.25">
      <c r="A80" s="19" t="s">
        <v>188</v>
      </c>
      <c r="C80" s="21"/>
      <c r="D80" s="21" t="s">
        <v>1038</v>
      </c>
      <c r="E80" s="21"/>
      <c r="F80" s="21" t="s">
        <v>1044</v>
      </c>
      <c r="G80" s="21"/>
      <c r="H80" s="21"/>
      <c r="I80" s="21"/>
      <c r="J80" s="21"/>
      <c r="K80" s="21"/>
      <c r="L80" s="21"/>
      <c r="M80" s="21"/>
      <c r="N80" s="21"/>
      <c r="O80" s="21"/>
      <c r="P80" s="21"/>
      <c r="Q80" s="21"/>
      <c r="R80" s="21"/>
      <c r="S80" s="21"/>
      <c r="T80" s="21"/>
      <c r="U80" s="21"/>
      <c r="V80" s="21"/>
      <c r="W80" s="21" t="s">
        <v>381</v>
      </c>
      <c r="X80" s="21"/>
      <c r="Y80" s="21"/>
      <c r="Z80" s="21"/>
      <c r="AA80" s="21"/>
      <c r="AB80" s="21"/>
      <c r="AC80" s="21" t="s">
        <v>351</v>
      </c>
      <c r="AD80" s="21" t="s">
        <v>1236</v>
      </c>
    </row>
    <row r="81" spans="1:30" x14ac:dyDescent="0.25">
      <c r="A81" s="19" t="s">
        <v>184</v>
      </c>
      <c r="B81" s="21"/>
      <c r="C81" s="21"/>
      <c r="D81" s="21"/>
      <c r="E81" s="21"/>
      <c r="F81" s="20" t="s">
        <v>385</v>
      </c>
      <c r="G81" s="21"/>
      <c r="H81" s="21"/>
      <c r="I81" s="21"/>
      <c r="J81" s="21"/>
      <c r="K81" s="21"/>
      <c r="L81" s="21"/>
      <c r="M81" s="21"/>
      <c r="N81" s="21"/>
      <c r="O81" s="21"/>
      <c r="P81" s="21"/>
      <c r="Q81" s="21"/>
      <c r="R81" s="21"/>
      <c r="S81" s="21"/>
      <c r="T81" s="21"/>
      <c r="U81" s="21"/>
      <c r="V81" s="21" t="s">
        <v>381</v>
      </c>
      <c r="W81" s="21"/>
      <c r="X81" s="21"/>
      <c r="Y81" s="21"/>
      <c r="Z81" s="21"/>
      <c r="AA81" s="21"/>
      <c r="AB81" s="21"/>
      <c r="AC81" s="21" t="s">
        <v>351</v>
      </c>
      <c r="AD81" s="21" t="s">
        <v>1236</v>
      </c>
    </row>
    <row r="82" spans="1:30" x14ac:dyDescent="0.25">
      <c r="A82" s="18" t="s">
        <v>192</v>
      </c>
      <c r="B82" s="21"/>
      <c r="C82" s="21"/>
      <c r="D82" s="21"/>
      <c r="E82" s="21"/>
      <c r="F82" s="21"/>
      <c r="G82" s="21" t="s">
        <v>386</v>
      </c>
      <c r="H82" s="21" t="s">
        <v>1049</v>
      </c>
      <c r="I82" s="21"/>
      <c r="J82" s="21"/>
      <c r="K82" s="21"/>
      <c r="L82" s="21"/>
      <c r="M82" s="21"/>
      <c r="N82" s="21"/>
      <c r="O82" s="21"/>
      <c r="P82" s="21"/>
      <c r="Q82" s="21"/>
      <c r="R82" s="21"/>
      <c r="S82" s="21"/>
      <c r="T82" s="21"/>
      <c r="U82" s="21"/>
      <c r="V82" s="21"/>
      <c r="W82" s="21"/>
      <c r="X82" s="21"/>
      <c r="Y82" s="21"/>
      <c r="Z82" s="21"/>
      <c r="AA82" s="21"/>
      <c r="AB82" s="21"/>
      <c r="AC82" s="21"/>
      <c r="AD82" s="21"/>
    </row>
    <row r="83" spans="1:30" x14ac:dyDescent="0.25">
      <c r="A83" s="19" t="s">
        <v>194</v>
      </c>
      <c r="B83" s="21"/>
      <c r="C83" s="21"/>
      <c r="E83" s="21"/>
      <c r="F83" s="21"/>
      <c r="G83" s="21" t="s">
        <v>1040</v>
      </c>
      <c r="H83" s="21"/>
      <c r="I83" s="21"/>
      <c r="J83" s="21"/>
      <c r="K83" s="21"/>
      <c r="L83" s="21"/>
      <c r="M83" s="21"/>
      <c r="N83" s="21"/>
      <c r="O83" s="21"/>
      <c r="P83" s="21"/>
      <c r="Q83" s="21"/>
      <c r="R83" s="21"/>
      <c r="S83" s="21"/>
      <c r="T83" s="21"/>
      <c r="U83" s="21"/>
      <c r="V83" s="21"/>
      <c r="W83" s="21"/>
      <c r="X83" s="21"/>
      <c r="Y83" s="21" t="s">
        <v>381</v>
      </c>
      <c r="Z83" s="21"/>
      <c r="AA83" s="21"/>
      <c r="AB83" s="21"/>
      <c r="AC83" s="21" t="s">
        <v>351</v>
      </c>
      <c r="AD83" s="21" t="s">
        <v>1236</v>
      </c>
    </row>
    <row r="84" spans="1:30" x14ac:dyDescent="0.25">
      <c r="A84" s="19" t="s">
        <v>190</v>
      </c>
      <c r="B84" s="21"/>
      <c r="C84" s="21"/>
      <c r="D84" s="21"/>
      <c r="E84" s="21"/>
      <c r="F84" s="21"/>
      <c r="G84" s="21"/>
      <c r="H84" s="21"/>
      <c r="I84" s="21" t="s">
        <v>387</v>
      </c>
      <c r="J84" s="21"/>
      <c r="K84" s="21"/>
      <c r="L84" s="21"/>
      <c r="M84" s="21"/>
      <c r="N84" s="21"/>
      <c r="O84" s="21"/>
      <c r="P84" s="21"/>
      <c r="Q84" s="21"/>
      <c r="R84" s="21"/>
      <c r="S84" s="21"/>
      <c r="T84" s="21"/>
      <c r="U84" s="21"/>
      <c r="V84" s="21"/>
      <c r="W84" s="21"/>
      <c r="X84" s="21" t="s">
        <v>381</v>
      </c>
      <c r="Y84" s="21"/>
      <c r="Z84" s="21"/>
      <c r="AA84" s="21"/>
      <c r="AB84" s="21"/>
      <c r="AC84" s="21" t="s">
        <v>351</v>
      </c>
      <c r="AD84" s="21" t="s">
        <v>1236</v>
      </c>
    </row>
    <row r="85" spans="1:30" x14ac:dyDescent="0.25">
      <c r="A85" s="19" t="s">
        <v>196</v>
      </c>
      <c r="B85" s="21"/>
      <c r="C85" s="21"/>
      <c r="D85" s="21"/>
      <c r="E85" s="21"/>
      <c r="F85" s="21"/>
      <c r="G85" s="21"/>
      <c r="H85" s="21"/>
      <c r="I85" s="21"/>
      <c r="J85" s="21" t="s">
        <v>368</v>
      </c>
      <c r="K85" s="21"/>
      <c r="L85" s="21"/>
      <c r="M85" s="21"/>
      <c r="N85" s="21"/>
      <c r="O85" s="21"/>
      <c r="P85" s="21"/>
      <c r="Q85" s="21"/>
      <c r="R85" s="21"/>
      <c r="S85" s="21"/>
      <c r="T85" s="21"/>
      <c r="U85" s="21"/>
      <c r="V85" s="21"/>
      <c r="W85" s="21"/>
      <c r="X85" s="21"/>
      <c r="Y85" s="21"/>
      <c r="Z85" s="21"/>
      <c r="AA85" s="21"/>
      <c r="AB85" s="21"/>
      <c r="AC85" s="21" t="s">
        <v>351</v>
      </c>
      <c r="AD85" s="21" t="s">
        <v>1236</v>
      </c>
    </row>
    <row r="86" spans="1:30" x14ac:dyDescent="0.25">
      <c r="A86" s="18" t="s">
        <v>198</v>
      </c>
      <c r="B86" s="21"/>
      <c r="C86" s="21"/>
      <c r="D86" s="21"/>
      <c r="E86" s="21"/>
      <c r="F86" s="21"/>
      <c r="G86" s="21" t="s">
        <v>369</v>
      </c>
      <c r="H86" s="21"/>
      <c r="I86" s="21"/>
      <c r="J86" s="21"/>
      <c r="L86" s="21"/>
      <c r="M86" s="21"/>
      <c r="N86" s="21" t="s">
        <v>370</v>
      </c>
      <c r="O86" s="21"/>
      <c r="P86" s="21"/>
      <c r="Q86" s="21"/>
      <c r="R86" s="21"/>
      <c r="S86" s="21"/>
      <c r="T86" s="21"/>
      <c r="U86" s="21"/>
      <c r="V86" s="21"/>
      <c r="W86" s="21"/>
      <c r="X86" s="21"/>
      <c r="Y86" s="21"/>
      <c r="Z86" s="21"/>
      <c r="AA86" s="21"/>
      <c r="AB86" s="21"/>
      <c r="AC86" s="21"/>
      <c r="AD86" s="21"/>
    </row>
    <row r="87" spans="1:30" x14ac:dyDescent="0.25">
      <c r="A87" s="18" t="s">
        <v>200</v>
      </c>
      <c r="B87" s="21"/>
      <c r="C87" s="21"/>
      <c r="D87" s="21"/>
      <c r="E87" s="21"/>
      <c r="F87" s="21"/>
      <c r="G87" s="21"/>
      <c r="H87" s="21"/>
      <c r="I87" s="21"/>
      <c r="J87" s="21"/>
      <c r="K87" s="21"/>
      <c r="L87" s="21" t="s">
        <v>388</v>
      </c>
      <c r="M87" s="21" t="s">
        <v>1055</v>
      </c>
      <c r="N87" s="21"/>
      <c r="O87" s="21"/>
      <c r="P87" s="21"/>
      <c r="Q87" s="21"/>
      <c r="R87" s="21"/>
      <c r="S87" s="21"/>
      <c r="T87" s="21"/>
      <c r="U87" s="21"/>
      <c r="V87" s="21"/>
      <c r="W87" s="21"/>
      <c r="X87" s="21"/>
      <c r="Y87" s="21"/>
      <c r="Z87" s="21"/>
      <c r="AA87" s="21"/>
      <c r="AB87" s="21"/>
      <c r="AC87" s="21"/>
      <c r="AD87" s="21"/>
    </row>
    <row r="88" spans="1:30" x14ac:dyDescent="0.25">
      <c r="A88" s="19" t="s">
        <v>202</v>
      </c>
      <c r="B88" s="21"/>
      <c r="C88" s="21"/>
      <c r="D88" s="21"/>
      <c r="E88" s="21"/>
      <c r="F88" s="21"/>
      <c r="G88" s="21"/>
      <c r="H88" s="21"/>
      <c r="I88" s="21"/>
      <c r="J88" s="21"/>
      <c r="K88" s="21"/>
      <c r="L88" s="21"/>
      <c r="M88" s="21"/>
      <c r="N88" s="21"/>
      <c r="O88" s="21"/>
      <c r="P88" s="21"/>
      <c r="Q88" s="21" t="s">
        <v>389</v>
      </c>
      <c r="R88" s="21"/>
      <c r="S88" s="21"/>
      <c r="T88" s="21"/>
      <c r="U88" s="21"/>
      <c r="V88" s="21"/>
      <c r="W88" s="21"/>
      <c r="X88" s="21"/>
      <c r="Y88" s="21"/>
      <c r="Z88" s="21"/>
      <c r="AA88" s="21"/>
      <c r="AB88" s="21"/>
      <c r="AC88" s="21" t="s">
        <v>351</v>
      </c>
      <c r="AD88" s="21" t="s">
        <v>1236</v>
      </c>
    </row>
    <row r="89" spans="1:30" x14ac:dyDescent="0.25">
      <c r="A89" s="19" t="s">
        <v>204</v>
      </c>
      <c r="C89" s="21"/>
      <c r="E89" s="21"/>
      <c r="F89" s="21"/>
      <c r="G89" s="21"/>
      <c r="H89" s="21"/>
      <c r="I89" s="21"/>
      <c r="J89" s="21"/>
      <c r="K89" s="21"/>
      <c r="L89" s="21" t="s">
        <v>1042</v>
      </c>
      <c r="M89" s="21"/>
      <c r="N89" s="21"/>
      <c r="O89" s="21"/>
      <c r="P89" s="21"/>
      <c r="Q89" s="21"/>
      <c r="R89" s="21"/>
      <c r="S89" s="21"/>
      <c r="T89" s="21"/>
      <c r="U89" s="21"/>
      <c r="V89" s="21"/>
      <c r="W89" s="21"/>
      <c r="X89" s="21"/>
      <c r="Y89" s="21"/>
      <c r="Z89" s="21" t="s">
        <v>381</v>
      </c>
      <c r="AA89" s="21"/>
      <c r="AB89" s="21"/>
      <c r="AC89" s="21" t="s">
        <v>351</v>
      </c>
      <c r="AD89" s="21" t="s">
        <v>1236</v>
      </c>
    </row>
    <row r="90" spans="1:30" x14ac:dyDescent="0.25">
      <c r="A90" s="19" t="s">
        <v>206</v>
      </c>
      <c r="B90" s="21"/>
      <c r="C90" s="21"/>
      <c r="D90" s="21"/>
      <c r="E90" s="21"/>
      <c r="F90" s="21"/>
      <c r="G90" s="21"/>
      <c r="H90" s="21"/>
      <c r="I90" s="21"/>
      <c r="J90" s="21"/>
      <c r="K90" s="21"/>
      <c r="L90" s="21"/>
      <c r="M90" s="21"/>
      <c r="N90" s="21"/>
      <c r="O90" s="105" t="s">
        <v>1497</v>
      </c>
      <c r="P90" s="21"/>
      <c r="Q90" s="21"/>
      <c r="R90" s="21"/>
      <c r="S90" s="21"/>
      <c r="T90" s="21"/>
      <c r="U90" s="21"/>
      <c r="V90" s="21"/>
      <c r="W90" s="21"/>
      <c r="X90" s="21"/>
      <c r="Y90" s="21"/>
      <c r="Z90" s="21"/>
      <c r="AA90" s="21"/>
      <c r="AB90" s="102" t="s">
        <v>1329</v>
      </c>
      <c r="AC90" s="21" t="s">
        <v>351</v>
      </c>
      <c r="AD90" s="21" t="s">
        <v>1236</v>
      </c>
    </row>
    <row r="91" spans="1:30" x14ac:dyDescent="0.25">
      <c r="A91" s="19" t="s">
        <v>208</v>
      </c>
      <c r="B91" s="21"/>
      <c r="C91" s="21"/>
      <c r="D91" s="21"/>
      <c r="E91" s="21"/>
      <c r="F91" s="21"/>
      <c r="G91" s="21"/>
      <c r="H91" s="21"/>
      <c r="I91" s="21"/>
      <c r="J91" s="21"/>
      <c r="K91" s="21"/>
      <c r="L91" s="21"/>
      <c r="M91" s="21"/>
      <c r="N91" s="21"/>
      <c r="O91" s="21"/>
      <c r="P91" s="20" t="s">
        <v>352</v>
      </c>
      <c r="Q91" s="21"/>
      <c r="R91" s="21"/>
      <c r="S91" s="21"/>
      <c r="T91" s="21"/>
      <c r="U91" s="21"/>
      <c r="V91" s="21"/>
      <c r="W91" s="21"/>
      <c r="X91" s="21"/>
      <c r="Y91" s="21"/>
      <c r="Z91" s="21"/>
      <c r="AA91" s="21"/>
      <c r="AB91" s="21"/>
      <c r="AC91" s="21" t="s">
        <v>351</v>
      </c>
      <c r="AD91" s="21" t="s">
        <v>1236</v>
      </c>
    </row>
    <row r="92" spans="1:30" x14ac:dyDescent="0.25">
      <c r="A92" s="18" t="s">
        <v>210</v>
      </c>
      <c r="B92" s="21"/>
      <c r="C92" s="21"/>
      <c r="D92" s="20" t="s">
        <v>355</v>
      </c>
      <c r="E92" s="21"/>
      <c r="F92" s="21"/>
      <c r="G92" s="21"/>
      <c r="H92" s="21"/>
      <c r="I92" s="21"/>
      <c r="J92" s="21"/>
      <c r="K92" s="21"/>
      <c r="L92" s="21"/>
      <c r="M92" s="21"/>
      <c r="N92" s="20" t="s">
        <v>354</v>
      </c>
      <c r="O92" s="21"/>
      <c r="P92" s="21"/>
      <c r="Q92" s="21"/>
      <c r="R92" s="21"/>
      <c r="S92" s="21"/>
      <c r="T92" s="21"/>
      <c r="U92" s="21"/>
      <c r="V92" s="21"/>
      <c r="W92" s="21"/>
      <c r="X92" s="21"/>
      <c r="Y92" s="21"/>
      <c r="Z92" s="21"/>
      <c r="AA92" s="21"/>
      <c r="AB92" s="20"/>
      <c r="AC92" s="21"/>
      <c r="AD92" s="21"/>
    </row>
    <row r="93" spans="1:30" x14ac:dyDescent="0.25">
      <c r="A93" s="19" t="s">
        <v>212</v>
      </c>
      <c r="B93" s="21"/>
      <c r="C93" s="21"/>
      <c r="D93" s="21"/>
      <c r="E93" s="21"/>
      <c r="F93" s="21"/>
      <c r="G93" s="21"/>
      <c r="H93" s="21"/>
      <c r="I93" s="21"/>
      <c r="J93" s="21"/>
      <c r="K93" s="21"/>
      <c r="L93" s="21"/>
      <c r="M93" s="21"/>
      <c r="N93" s="21"/>
      <c r="O93" s="21"/>
      <c r="P93" s="21"/>
      <c r="Q93" s="21"/>
      <c r="R93" s="21" t="s">
        <v>368</v>
      </c>
      <c r="S93" s="21"/>
      <c r="T93" s="21"/>
      <c r="U93" s="21"/>
      <c r="V93" s="21"/>
      <c r="W93" s="21"/>
      <c r="X93" s="21"/>
      <c r="Y93" s="21"/>
      <c r="Z93" s="21"/>
      <c r="AA93" s="21"/>
      <c r="AB93" s="21"/>
      <c r="AC93" s="21" t="s">
        <v>351</v>
      </c>
      <c r="AD93" s="21" t="s">
        <v>1236</v>
      </c>
    </row>
    <row r="94" spans="1:30" x14ac:dyDescent="0.25">
      <c r="A94" s="18" t="s">
        <v>214</v>
      </c>
      <c r="B94" s="21"/>
      <c r="C94" s="21"/>
      <c r="D94" s="21"/>
      <c r="E94" s="21"/>
      <c r="F94" s="21"/>
      <c r="G94" s="21"/>
      <c r="H94" s="21"/>
      <c r="I94" s="21"/>
      <c r="J94" s="21"/>
      <c r="K94" s="21"/>
      <c r="L94" s="21" t="s">
        <v>369</v>
      </c>
      <c r="M94" s="21"/>
      <c r="N94" s="21" t="s">
        <v>370</v>
      </c>
      <c r="O94" s="21"/>
      <c r="P94" s="21"/>
      <c r="Q94" s="21"/>
      <c r="R94" s="21"/>
      <c r="T94" s="21"/>
      <c r="U94" s="21"/>
      <c r="V94" s="21"/>
      <c r="W94" s="21"/>
      <c r="X94" s="21"/>
      <c r="Y94" s="21"/>
      <c r="Z94" s="21"/>
      <c r="AA94" s="21"/>
      <c r="AB94" s="21"/>
      <c r="AC94" s="21"/>
      <c r="AD94" s="21"/>
    </row>
    <row r="95" spans="1:30" x14ac:dyDescent="0.25">
      <c r="A95" s="19" t="s">
        <v>216</v>
      </c>
      <c r="B95" s="21"/>
      <c r="C95" s="21"/>
      <c r="D95" s="21"/>
      <c r="E95" s="21"/>
      <c r="F95" s="21"/>
      <c r="G95" s="21"/>
      <c r="H95" s="21"/>
      <c r="I95" s="21"/>
      <c r="J95" s="21"/>
      <c r="K95" s="21"/>
      <c r="L95" s="21"/>
      <c r="M95" s="21"/>
      <c r="N95" s="21"/>
      <c r="O95" s="21"/>
      <c r="P95" s="21"/>
      <c r="Q95" s="21"/>
      <c r="R95" s="21"/>
      <c r="S95" s="21"/>
      <c r="T95" s="21"/>
      <c r="U95" s="21"/>
      <c r="V95" s="21"/>
      <c r="W95" s="21"/>
      <c r="X95" s="21"/>
      <c r="Y95" s="21"/>
      <c r="Z95" s="21"/>
      <c r="AA95" s="21" t="s">
        <v>381</v>
      </c>
      <c r="AB95" s="21"/>
      <c r="AC95" s="21" t="s">
        <v>351</v>
      </c>
      <c r="AD95" s="21" t="s">
        <v>1236</v>
      </c>
    </row>
    <row r="97" spans="1:40" x14ac:dyDescent="0.25">
      <c r="A97" s="22"/>
      <c r="B97" s="19" t="s">
        <v>218</v>
      </c>
      <c r="C97" s="18" t="s">
        <v>224</v>
      </c>
      <c r="D97" s="19" t="s">
        <v>222</v>
      </c>
      <c r="E97" s="19" t="s">
        <v>226</v>
      </c>
      <c r="F97" s="18" t="s">
        <v>230</v>
      </c>
      <c r="G97" s="19" t="s">
        <v>228</v>
      </c>
      <c r="H97" s="19" t="s">
        <v>232</v>
      </c>
      <c r="I97" s="19" t="s">
        <v>234</v>
      </c>
      <c r="J97" s="18" t="s">
        <v>236</v>
      </c>
      <c r="K97" s="18" t="s">
        <v>238</v>
      </c>
      <c r="L97" s="19" t="s">
        <v>240</v>
      </c>
      <c r="M97" s="19" t="s">
        <v>242</v>
      </c>
      <c r="N97" s="19" t="s">
        <v>244</v>
      </c>
      <c r="O97" s="19" t="s">
        <v>246</v>
      </c>
      <c r="P97" s="18" t="s">
        <v>248</v>
      </c>
      <c r="Q97" s="19" t="s">
        <v>250</v>
      </c>
      <c r="R97" s="18" t="s">
        <v>252</v>
      </c>
      <c r="S97" s="19" t="s">
        <v>254</v>
      </c>
      <c r="T97" s="19" t="s">
        <v>1334</v>
      </c>
      <c r="U97" s="19" t="s">
        <v>256</v>
      </c>
      <c r="V97" s="19" t="s">
        <v>258</v>
      </c>
      <c r="W97" s="19" t="s">
        <v>260</v>
      </c>
      <c r="X97" s="19" t="s">
        <v>264</v>
      </c>
      <c r="Y97" s="19" t="s">
        <v>266</v>
      </c>
      <c r="Z97" s="19" t="s">
        <v>270</v>
      </c>
      <c r="AA97" s="19" t="s">
        <v>280</v>
      </c>
      <c r="AB97" s="19" t="s">
        <v>282</v>
      </c>
      <c r="AC97" s="19" t="s">
        <v>292</v>
      </c>
      <c r="AD97" s="19" t="s">
        <v>298</v>
      </c>
      <c r="AE97" s="19" t="s">
        <v>300</v>
      </c>
      <c r="AF97" s="19" t="s">
        <v>302</v>
      </c>
      <c r="AG97" s="19" t="s">
        <v>306</v>
      </c>
      <c r="AH97" s="19" t="s">
        <v>308</v>
      </c>
      <c r="AI97" s="19" t="s">
        <v>312</v>
      </c>
      <c r="AJ97" s="19" t="s">
        <v>322</v>
      </c>
      <c r="AK97" s="19" t="s">
        <v>334</v>
      </c>
      <c r="AL97" s="89" t="s">
        <v>1184</v>
      </c>
      <c r="AM97" s="89" t="s">
        <v>340</v>
      </c>
      <c r="AN97" s="89" t="s">
        <v>1244</v>
      </c>
    </row>
    <row r="98" spans="1:40" x14ac:dyDescent="0.25">
      <c r="A98" s="19" t="s">
        <v>218</v>
      </c>
      <c r="B98" s="20"/>
      <c r="C98" s="20" t="s">
        <v>379</v>
      </c>
      <c r="D98" s="20"/>
      <c r="E98" s="21"/>
      <c r="F98" s="20"/>
      <c r="G98" s="20" t="s">
        <v>380</v>
      </c>
      <c r="H98" s="21"/>
      <c r="I98" s="21"/>
      <c r="J98" s="21"/>
      <c r="K98" s="21"/>
      <c r="L98" s="21"/>
      <c r="M98" s="21"/>
      <c r="N98" s="21"/>
      <c r="O98" s="21"/>
      <c r="P98" s="21"/>
      <c r="Q98" s="21"/>
      <c r="R98" s="21"/>
      <c r="S98" s="21"/>
      <c r="T98" s="21"/>
      <c r="U98" s="21" t="s">
        <v>390</v>
      </c>
      <c r="V98" s="21"/>
      <c r="W98" s="21"/>
      <c r="X98" s="21"/>
      <c r="Y98" s="21"/>
      <c r="Z98" s="21"/>
      <c r="AA98" s="21"/>
      <c r="AB98" s="21"/>
      <c r="AC98" s="21"/>
      <c r="AD98" s="21" t="s">
        <v>391</v>
      </c>
      <c r="AE98" s="21"/>
      <c r="AF98" s="21"/>
      <c r="AG98" s="21"/>
      <c r="AH98" s="21"/>
      <c r="AI98" s="21"/>
      <c r="AJ98" s="21"/>
      <c r="AK98" s="21"/>
      <c r="AL98" s="21" t="s">
        <v>1186</v>
      </c>
      <c r="AM98" s="21" t="s">
        <v>351</v>
      </c>
      <c r="AN98" s="21" t="s">
        <v>1236</v>
      </c>
    </row>
    <row r="99" spans="1:40" x14ac:dyDescent="0.25">
      <c r="A99" s="19" t="s">
        <v>220</v>
      </c>
      <c r="B99" s="20"/>
      <c r="C99" s="20" t="s">
        <v>382</v>
      </c>
      <c r="D99" s="20"/>
      <c r="E99" s="21"/>
      <c r="F99" s="21"/>
      <c r="G99" s="21" t="s">
        <v>383</v>
      </c>
      <c r="H99" s="21"/>
      <c r="I99" s="21"/>
      <c r="J99" s="21"/>
      <c r="K99" s="21"/>
      <c r="L99" s="21"/>
      <c r="M99" s="21"/>
      <c r="N99" s="21"/>
      <c r="O99" s="21"/>
      <c r="P99" s="21"/>
      <c r="Q99" s="21"/>
      <c r="R99" s="21"/>
      <c r="S99" s="21"/>
      <c r="T99" s="21"/>
      <c r="U99" s="21"/>
      <c r="V99" s="21" t="s">
        <v>390</v>
      </c>
      <c r="W99" s="21"/>
      <c r="X99" s="21"/>
      <c r="Y99" s="21"/>
      <c r="Z99" s="21"/>
      <c r="AA99" s="21"/>
      <c r="AB99" s="21"/>
      <c r="AC99" s="21"/>
      <c r="AD99" s="21"/>
      <c r="AE99" s="21" t="s">
        <v>391</v>
      </c>
      <c r="AF99" s="21"/>
      <c r="AG99" s="21"/>
      <c r="AH99" s="21"/>
      <c r="AI99" s="21"/>
      <c r="AJ99" s="21"/>
      <c r="AK99" s="21"/>
      <c r="AL99" s="21" t="s">
        <v>1186</v>
      </c>
      <c r="AM99" s="21" t="s">
        <v>351</v>
      </c>
      <c r="AN99" s="21" t="s">
        <v>1236</v>
      </c>
    </row>
    <row r="100" spans="1:40" x14ac:dyDescent="0.25">
      <c r="A100" s="18" t="s">
        <v>224</v>
      </c>
      <c r="B100" s="21"/>
      <c r="C100" s="21"/>
      <c r="D100" s="21" t="s">
        <v>384</v>
      </c>
      <c r="E100" s="21" t="s">
        <v>1047</v>
      </c>
      <c r="F100" s="21"/>
      <c r="G100" s="21"/>
      <c r="H100" s="21"/>
      <c r="I100" s="21"/>
      <c r="J100" s="21"/>
      <c r="K100" s="21"/>
      <c r="L100" s="21"/>
      <c r="M100" s="21"/>
      <c r="N100" s="21"/>
      <c r="O100" s="21"/>
      <c r="P100" s="21"/>
      <c r="Q100" s="21"/>
      <c r="R100" s="21"/>
      <c r="S100" s="21"/>
      <c r="T100" s="21"/>
      <c r="U100" s="21"/>
      <c r="V100" s="21"/>
      <c r="W100" s="21"/>
      <c r="X100" s="21"/>
      <c r="Y100" s="21"/>
      <c r="Z100" s="21"/>
      <c r="AA100" s="21"/>
      <c r="AB100" s="21"/>
      <c r="AC100" s="21"/>
      <c r="AD100" s="21"/>
      <c r="AE100" s="21"/>
      <c r="AF100" s="21"/>
      <c r="AG100" s="21"/>
      <c r="AH100" s="21"/>
      <c r="AI100" s="21"/>
      <c r="AJ100" s="21"/>
      <c r="AK100" s="21"/>
      <c r="AL100" s="21"/>
      <c r="AM100" s="21"/>
      <c r="AN100" s="21"/>
    </row>
    <row r="101" spans="1:40" x14ac:dyDescent="0.25">
      <c r="A101" s="19" t="s">
        <v>226</v>
      </c>
      <c r="C101" s="21"/>
      <c r="D101" s="21" t="s">
        <v>1038</v>
      </c>
      <c r="E101" s="21"/>
      <c r="F101" s="21" t="s">
        <v>1044</v>
      </c>
      <c r="G101" s="21"/>
      <c r="H101" s="21"/>
      <c r="I101" s="21"/>
      <c r="J101" s="21"/>
      <c r="K101" s="21"/>
      <c r="L101" s="21"/>
      <c r="M101" s="21"/>
      <c r="N101" s="21"/>
      <c r="O101" s="21"/>
      <c r="P101" s="21"/>
      <c r="Q101" s="21"/>
      <c r="R101" s="21"/>
      <c r="S101" s="21"/>
      <c r="T101" s="21"/>
      <c r="U101" s="21"/>
      <c r="V101" s="21"/>
      <c r="W101" s="21"/>
      <c r="X101" s="21" t="s">
        <v>390</v>
      </c>
      <c r="Y101" s="21"/>
      <c r="Z101" s="21"/>
      <c r="AA101" s="21"/>
      <c r="AB101" s="21"/>
      <c r="AC101" s="21"/>
      <c r="AD101" s="21"/>
      <c r="AE101" s="21"/>
      <c r="AF101" s="21"/>
      <c r="AG101" s="21" t="s">
        <v>391</v>
      </c>
      <c r="AH101" s="21"/>
      <c r="AI101" s="21"/>
      <c r="AJ101" s="21"/>
      <c r="AK101" s="21"/>
      <c r="AL101" s="21" t="s">
        <v>1186</v>
      </c>
      <c r="AM101" s="21" t="s">
        <v>351</v>
      </c>
      <c r="AN101" s="21" t="s">
        <v>1236</v>
      </c>
    </row>
    <row r="102" spans="1:40" x14ac:dyDescent="0.25">
      <c r="A102" s="19" t="s">
        <v>222</v>
      </c>
      <c r="B102" s="21"/>
      <c r="C102" s="21"/>
      <c r="D102" s="21"/>
      <c r="E102" s="21"/>
      <c r="F102" s="20" t="s">
        <v>385</v>
      </c>
      <c r="G102" s="21"/>
      <c r="H102" s="21"/>
      <c r="I102" s="21"/>
      <c r="J102" s="21"/>
      <c r="K102" s="21"/>
      <c r="L102" s="21"/>
      <c r="M102" s="21"/>
      <c r="N102" s="21"/>
      <c r="O102" s="21"/>
      <c r="P102" s="21"/>
      <c r="Q102" s="21"/>
      <c r="R102" s="21"/>
      <c r="S102" s="21"/>
      <c r="T102" s="21"/>
      <c r="U102" s="21"/>
      <c r="V102" s="21"/>
      <c r="W102" s="21" t="s">
        <v>390</v>
      </c>
      <c r="X102" s="21"/>
      <c r="Y102" s="21"/>
      <c r="Z102" s="21"/>
      <c r="AA102" s="21"/>
      <c r="AB102" s="21"/>
      <c r="AC102" s="21"/>
      <c r="AD102" s="21"/>
      <c r="AE102" s="21"/>
      <c r="AF102" s="21" t="s">
        <v>391</v>
      </c>
      <c r="AG102" s="21"/>
      <c r="AH102" s="21"/>
      <c r="AI102" s="21"/>
      <c r="AJ102" s="21"/>
      <c r="AK102" s="21"/>
      <c r="AL102" s="21" t="s">
        <v>1186</v>
      </c>
      <c r="AM102" s="21" t="s">
        <v>351</v>
      </c>
      <c r="AN102" s="21" t="s">
        <v>1236</v>
      </c>
    </row>
    <row r="103" spans="1:40" x14ac:dyDescent="0.25">
      <c r="A103" s="18" t="s">
        <v>230</v>
      </c>
      <c r="B103" s="21"/>
      <c r="C103" s="21"/>
      <c r="D103" s="21"/>
      <c r="E103" s="21"/>
      <c r="F103" s="21"/>
      <c r="G103" s="21" t="s">
        <v>386</v>
      </c>
      <c r="H103" s="21" t="s">
        <v>1049</v>
      </c>
      <c r="I103" s="21"/>
      <c r="J103" s="21"/>
      <c r="K103" s="21"/>
      <c r="L103" s="21"/>
      <c r="M103" s="21"/>
      <c r="N103" s="21"/>
      <c r="O103" s="21"/>
      <c r="P103" s="21"/>
      <c r="Q103" s="21"/>
      <c r="R103" s="21"/>
      <c r="S103" s="21"/>
      <c r="T103" s="21"/>
      <c r="U103" s="21"/>
      <c r="V103" s="21"/>
      <c r="W103" s="21"/>
      <c r="X103" s="21"/>
      <c r="Y103" s="21"/>
      <c r="Z103" s="21"/>
      <c r="AA103" s="21"/>
      <c r="AB103" s="21"/>
      <c r="AC103" s="21"/>
      <c r="AD103" s="21"/>
      <c r="AE103" s="21"/>
      <c r="AF103" s="21"/>
      <c r="AG103" s="21"/>
      <c r="AH103" s="21"/>
      <c r="AI103" s="21"/>
      <c r="AJ103" s="21"/>
      <c r="AK103" s="21"/>
      <c r="AL103" s="21"/>
      <c r="AM103" s="21"/>
      <c r="AN103" s="21"/>
    </row>
    <row r="104" spans="1:40" x14ac:dyDescent="0.25">
      <c r="A104" s="19" t="s">
        <v>232</v>
      </c>
      <c r="B104" s="21"/>
      <c r="C104" s="21"/>
      <c r="E104" s="21"/>
      <c r="F104" s="21"/>
      <c r="G104" s="21" t="s">
        <v>1040</v>
      </c>
      <c r="H104" s="21"/>
      <c r="I104" s="21"/>
      <c r="J104" s="21"/>
      <c r="K104" s="21"/>
      <c r="L104" s="21"/>
      <c r="M104" s="21"/>
      <c r="N104" s="21"/>
      <c r="O104" s="21"/>
      <c r="P104" s="21"/>
      <c r="Q104" s="21"/>
      <c r="R104" s="21"/>
      <c r="S104" s="21"/>
      <c r="T104" s="21"/>
      <c r="U104" s="21"/>
      <c r="V104" s="21"/>
      <c r="W104" s="21"/>
      <c r="X104" s="21"/>
      <c r="Y104" s="21"/>
      <c r="Z104" s="21" t="s">
        <v>390</v>
      </c>
      <c r="AA104" s="21"/>
      <c r="AB104" s="21"/>
      <c r="AC104" s="21"/>
      <c r="AD104" s="21"/>
      <c r="AE104" s="21"/>
      <c r="AF104" s="21"/>
      <c r="AG104" s="21"/>
      <c r="AH104" s="21"/>
      <c r="AI104" s="21" t="s">
        <v>391</v>
      </c>
      <c r="AJ104" s="21"/>
      <c r="AK104" s="21"/>
      <c r="AL104" s="21" t="s">
        <v>1186</v>
      </c>
      <c r="AM104" s="21" t="s">
        <v>351</v>
      </c>
      <c r="AN104" s="21" t="s">
        <v>1236</v>
      </c>
    </row>
    <row r="105" spans="1:40" x14ac:dyDescent="0.25">
      <c r="A105" s="19" t="s">
        <v>228</v>
      </c>
      <c r="B105" s="21"/>
      <c r="C105" s="21"/>
      <c r="D105" s="21"/>
      <c r="E105" s="21"/>
      <c r="F105" s="21"/>
      <c r="G105" s="21"/>
      <c r="H105" s="21"/>
      <c r="I105" s="21" t="s">
        <v>392</v>
      </c>
      <c r="J105" s="21"/>
      <c r="K105" s="21"/>
      <c r="L105" s="21"/>
      <c r="M105" s="21"/>
      <c r="N105" s="21"/>
      <c r="O105" s="21"/>
      <c r="P105" s="21"/>
      <c r="Q105" s="21"/>
      <c r="R105" s="21"/>
      <c r="S105" s="21"/>
      <c r="T105" s="21"/>
      <c r="U105" s="21"/>
      <c r="V105" s="21"/>
      <c r="W105" s="21"/>
      <c r="X105" s="21"/>
      <c r="Y105" s="21" t="s">
        <v>390</v>
      </c>
      <c r="Z105" s="21"/>
      <c r="AA105" s="21"/>
      <c r="AB105" s="21"/>
      <c r="AC105" s="21"/>
      <c r="AD105" s="21"/>
      <c r="AE105" s="21"/>
      <c r="AF105" s="21"/>
      <c r="AG105" s="21"/>
      <c r="AH105" s="21" t="s">
        <v>391</v>
      </c>
      <c r="AI105" s="21"/>
      <c r="AJ105" s="21"/>
      <c r="AK105" s="21"/>
      <c r="AL105" s="21" t="s">
        <v>1186</v>
      </c>
      <c r="AM105" s="21" t="s">
        <v>351</v>
      </c>
      <c r="AN105" s="21" t="s">
        <v>1236</v>
      </c>
    </row>
    <row r="106" spans="1:40" x14ac:dyDescent="0.25">
      <c r="A106" s="19" t="s">
        <v>234</v>
      </c>
      <c r="B106" s="21"/>
      <c r="C106" s="21"/>
      <c r="D106" s="21"/>
      <c r="E106" s="21"/>
      <c r="F106" s="21"/>
      <c r="G106" s="21"/>
      <c r="H106" s="21"/>
      <c r="I106" s="21"/>
      <c r="J106" s="21" t="s">
        <v>368</v>
      </c>
      <c r="K106" s="21"/>
      <c r="L106" s="21"/>
      <c r="M106" s="21"/>
      <c r="N106" s="21"/>
      <c r="O106" s="21"/>
      <c r="P106" s="21"/>
      <c r="Q106" s="21"/>
      <c r="R106" s="21"/>
      <c r="S106" s="21"/>
      <c r="T106" s="21"/>
      <c r="U106" s="21"/>
      <c r="V106" s="21"/>
      <c r="W106" s="21"/>
      <c r="X106" s="21"/>
      <c r="Y106" s="21"/>
      <c r="Z106" s="21"/>
      <c r="AA106" s="21"/>
      <c r="AB106" s="21"/>
      <c r="AC106" s="21"/>
      <c r="AD106" s="21"/>
      <c r="AE106" s="21"/>
      <c r="AF106" s="21"/>
      <c r="AG106" s="21"/>
      <c r="AH106" s="21"/>
      <c r="AI106" s="21"/>
      <c r="AJ106" s="21"/>
      <c r="AK106" s="21"/>
      <c r="AL106" s="21" t="s">
        <v>1186</v>
      </c>
      <c r="AM106" s="21" t="s">
        <v>351</v>
      </c>
      <c r="AN106" s="21" t="s">
        <v>1236</v>
      </c>
    </row>
    <row r="107" spans="1:40" x14ac:dyDescent="0.25">
      <c r="A107" s="18" t="s">
        <v>236</v>
      </c>
      <c r="B107" s="21"/>
      <c r="C107" s="21"/>
      <c r="D107" s="21"/>
      <c r="E107" s="21"/>
      <c r="F107" s="21"/>
      <c r="G107" s="21" t="s">
        <v>369</v>
      </c>
      <c r="H107" s="21"/>
      <c r="I107" s="21"/>
      <c r="J107" s="21"/>
      <c r="L107" s="21"/>
      <c r="M107" s="21"/>
      <c r="N107" s="21" t="s">
        <v>370</v>
      </c>
      <c r="O107" s="21"/>
      <c r="P107" s="21"/>
      <c r="Q107" s="21"/>
      <c r="R107" s="21"/>
      <c r="S107" s="21"/>
      <c r="T107" s="21"/>
      <c r="U107" s="21"/>
      <c r="V107" s="21"/>
      <c r="W107" s="21"/>
      <c r="X107" s="21"/>
      <c r="Y107" s="21"/>
      <c r="Z107" s="21"/>
      <c r="AA107" s="21"/>
      <c r="AB107" s="21"/>
      <c r="AC107" s="21"/>
      <c r="AD107" s="21"/>
      <c r="AE107" s="21"/>
      <c r="AF107" s="21"/>
      <c r="AG107" s="21"/>
      <c r="AH107" s="21"/>
      <c r="AI107" s="21"/>
      <c r="AJ107" s="21"/>
      <c r="AK107" s="21"/>
      <c r="AL107" s="21"/>
      <c r="AM107" s="21"/>
      <c r="AN107" s="21"/>
    </row>
    <row r="108" spans="1:40" x14ac:dyDescent="0.25">
      <c r="A108" s="18" t="s">
        <v>238</v>
      </c>
      <c r="B108" s="21"/>
      <c r="C108" s="21"/>
      <c r="D108" s="21"/>
      <c r="E108" s="21"/>
      <c r="F108" s="21"/>
      <c r="G108" s="21"/>
      <c r="H108" s="21"/>
      <c r="I108" s="21"/>
      <c r="J108" s="21"/>
      <c r="K108" s="21"/>
      <c r="L108" s="21" t="s">
        <v>388</v>
      </c>
      <c r="M108" s="21" t="s">
        <v>1055</v>
      </c>
      <c r="N108" s="21"/>
      <c r="O108" s="21"/>
      <c r="P108" s="21"/>
      <c r="Q108" s="21"/>
      <c r="R108" s="21"/>
      <c r="S108" s="21"/>
      <c r="T108" s="21"/>
      <c r="U108" s="21"/>
      <c r="V108" s="21"/>
      <c r="W108" s="21"/>
      <c r="X108" s="21"/>
      <c r="Y108" s="21"/>
      <c r="Z108" s="21"/>
      <c r="AA108" s="21"/>
      <c r="AB108" s="21"/>
      <c r="AC108" s="21"/>
      <c r="AD108" s="21"/>
      <c r="AE108" s="21"/>
      <c r="AF108" s="21"/>
      <c r="AG108" s="21"/>
      <c r="AH108" s="21"/>
      <c r="AI108" s="21"/>
      <c r="AJ108" s="21"/>
      <c r="AK108" s="21"/>
      <c r="AL108" s="21"/>
      <c r="AM108" s="21"/>
      <c r="AN108" s="21"/>
    </row>
    <row r="109" spans="1:40" x14ac:dyDescent="0.25">
      <c r="A109" s="19" t="s">
        <v>240</v>
      </c>
      <c r="B109" s="21"/>
      <c r="C109" s="21"/>
      <c r="D109" s="21"/>
      <c r="E109" s="21"/>
      <c r="F109" s="21"/>
      <c r="G109" s="21"/>
      <c r="H109" s="21"/>
      <c r="I109" s="21"/>
      <c r="J109" s="21"/>
      <c r="K109" s="21"/>
      <c r="L109" s="21"/>
      <c r="M109" s="21"/>
      <c r="N109" s="21"/>
      <c r="O109" s="21"/>
      <c r="P109" s="21"/>
      <c r="Q109" s="21" t="s">
        <v>393</v>
      </c>
      <c r="R109" s="21"/>
      <c r="S109" s="21"/>
      <c r="T109" s="21"/>
      <c r="U109" s="21"/>
      <c r="V109" s="21"/>
      <c r="W109" s="21"/>
      <c r="X109" s="21"/>
      <c r="Y109" s="21"/>
      <c r="Z109" s="21"/>
      <c r="AA109" s="21"/>
      <c r="AB109" s="21"/>
      <c r="AC109" s="21"/>
      <c r="AD109" s="21"/>
      <c r="AE109" s="21"/>
      <c r="AF109" s="21"/>
      <c r="AG109" s="21"/>
      <c r="AH109" s="21"/>
      <c r="AI109" s="21"/>
      <c r="AJ109" s="21"/>
      <c r="AK109" s="21"/>
      <c r="AL109" s="21" t="s">
        <v>1186</v>
      </c>
      <c r="AM109" s="21" t="s">
        <v>351</v>
      </c>
      <c r="AN109" s="21" t="s">
        <v>1236</v>
      </c>
    </row>
    <row r="110" spans="1:40" x14ac:dyDescent="0.25">
      <c r="A110" s="19" t="s">
        <v>242</v>
      </c>
      <c r="C110" s="21"/>
      <c r="E110" s="21"/>
      <c r="F110" s="21"/>
      <c r="G110" s="21"/>
      <c r="H110" s="21"/>
      <c r="I110" s="21"/>
      <c r="J110" s="21"/>
      <c r="K110" s="21"/>
      <c r="L110" s="21" t="s">
        <v>1042</v>
      </c>
      <c r="M110" s="21"/>
      <c r="N110" s="21"/>
      <c r="O110" s="21"/>
      <c r="P110" s="21"/>
      <c r="Q110" s="21"/>
      <c r="R110" s="21"/>
      <c r="S110" s="21"/>
      <c r="T110" s="21"/>
      <c r="U110" s="21"/>
      <c r="V110" s="21"/>
      <c r="W110" s="21"/>
      <c r="X110" s="21"/>
      <c r="Y110" s="21"/>
      <c r="Z110" s="21"/>
      <c r="AA110" s="21" t="s">
        <v>390</v>
      </c>
      <c r="AB110" s="21"/>
      <c r="AC110" s="21"/>
      <c r="AD110" s="21"/>
      <c r="AE110" s="21"/>
      <c r="AF110" s="21"/>
      <c r="AG110" s="21"/>
      <c r="AH110" s="21"/>
      <c r="AI110" s="21"/>
      <c r="AJ110" s="21" t="s">
        <v>391</v>
      </c>
      <c r="AK110" s="21"/>
      <c r="AL110" s="21" t="s">
        <v>1186</v>
      </c>
      <c r="AM110" s="21" t="s">
        <v>351</v>
      </c>
      <c r="AN110" s="21" t="s">
        <v>1236</v>
      </c>
    </row>
    <row r="111" spans="1:40" x14ac:dyDescent="0.25">
      <c r="A111" s="19" t="s">
        <v>244</v>
      </c>
      <c r="B111" s="21"/>
      <c r="C111" s="21"/>
      <c r="D111" s="21"/>
      <c r="E111" s="21"/>
      <c r="F111" s="21"/>
      <c r="G111" s="21"/>
      <c r="H111" s="21"/>
      <c r="I111" s="21"/>
      <c r="J111" s="21"/>
      <c r="K111" s="21"/>
      <c r="L111" s="21"/>
      <c r="M111" s="21"/>
      <c r="N111" s="21"/>
      <c r="O111" s="105" t="s">
        <v>1497</v>
      </c>
      <c r="P111" s="21"/>
      <c r="Q111" s="21"/>
      <c r="R111" s="21"/>
      <c r="S111" s="21"/>
      <c r="T111" s="102" t="s">
        <v>1329</v>
      </c>
      <c r="U111" s="21"/>
      <c r="V111" s="21"/>
      <c r="W111" s="21" t="s">
        <v>394</v>
      </c>
      <c r="X111" s="21"/>
      <c r="Y111" s="21"/>
      <c r="Z111" s="21"/>
      <c r="AA111" s="21"/>
      <c r="AB111" s="21"/>
      <c r="AC111" s="21"/>
      <c r="AD111" s="21"/>
      <c r="AE111" s="21"/>
      <c r="AF111" s="21" t="s">
        <v>400</v>
      </c>
      <c r="AG111" s="21"/>
      <c r="AH111" s="21"/>
      <c r="AI111" s="21"/>
      <c r="AJ111" s="21"/>
      <c r="AK111" s="21"/>
      <c r="AL111" s="21"/>
      <c r="AM111" s="21" t="s">
        <v>351</v>
      </c>
      <c r="AN111" s="21" t="s">
        <v>1236</v>
      </c>
    </row>
    <row r="112" spans="1:40" x14ac:dyDescent="0.25">
      <c r="A112" s="19" t="s">
        <v>246</v>
      </c>
      <c r="B112" s="21"/>
      <c r="C112" s="21"/>
      <c r="D112" s="21"/>
      <c r="E112" s="21"/>
      <c r="F112" s="21"/>
      <c r="G112" s="21"/>
      <c r="H112" s="21"/>
      <c r="I112" s="21"/>
      <c r="J112" s="21"/>
      <c r="K112" s="21"/>
      <c r="L112" s="21"/>
      <c r="M112" s="21"/>
      <c r="N112" s="21"/>
      <c r="O112" s="21"/>
      <c r="P112" s="20" t="s">
        <v>352</v>
      </c>
      <c r="Q112" s="21"/>
      <c r="R112" s="21"/>
      <c r="S112" s="21"/>
      <c r="T112" s="21"/>
      <c r="U112" s="21"/>
      <c r="V112" s="21"/>
      <c r="W112" s="21"/>
      <c r="X112" s="21"/>
      <c r="Y112" s="21"/>
      <c r="Z112" s="21"/>
      <c r="AA112" s="21"/>
      <c r="AB112" s="21"/>
      <c r="AC112" s="21"/>
      <c r="AD112" s="21"/>
      <c r="AE112" s="21"/>
      <c r="AF112" s="21"/>
      <c r="AG112" s="21"/>
      <c r="AH112" s="21"/>
      <c r="AI112" s="21"/>
      <c r="AJ112" s="21"/>
      <c r="AK112" s="21"/>
      <c r="AL112" s="21" t="s">
        <v>1186</v>
      </c>
      <c r="AM112" s="21" t="s">
        <v>351</v>
      </c>
      <c r="AN112" s="21" t="s">
        <v>1236</v>
      </c>
    </row>
    <row r="113" spans="1:40" x14ac:dyDescent="0.25">
      <c r="A113" s="18" t="s">
        <v>248</v>
      </c>
      <c r="B113" s="21"/>
      <c r="C113" s="21"/>
      <c r="D113" s="20" t="s">
        <v>355</v>
      </c>
      <c r="E113" s="21"/>
      <c r="F113" s="21"/>
      <c r="G113" s="21"/>
      <c r="H113" s="21"/>
      <c r="I113" s="21"/>
      <c r="J113" s="21"/>
      <c r="K113" s="21"/>
      <c r="L113" s="21"/>
      <c r="M113" s="21"/>
      <c r="N113" s="20" t="s">
        <v>354</v>
      </c>
      <c r="O113" s="21"/>
      <c r="P113" s="21"/>
      <c r="Q113" s="21"/>
      <c r="R113" s="21"/>
      <c r="S113" s="21"/>
      <c r="T113" s="20"/>
      <c r="U113" s="21"/>
      <c r="V113" s="21"/>
      <c r="W113" s="21"/>
      <c r="X113" s="21"/>
      <c r="Y113" s="21"/>
      <c r="Z113" s="21"/>
      <c r="AA113" s="21"/>
      <c r="AB113" s="21"/>
      <c r="AC113" s="21"/>
      <c r="AD113" s="21"/>
      <c r="AE113" s="21"/>
      <c r="AF113" s="21"/>
      <c r="AG113" s="21"/>
      <c r="AH113" s="21"/>
      <c r="AI113" s="21"/>
      <c r="AJ113" s="21"/>
      <c r="AK113" s="21"/>
      <c r="AL113" s="21"/>
      <c r="AM113" s="21"/>
      <c r="AN113" s="21"/>
    </row>
    <row r="114" spans="1:40" x14ac:dyDescent="0.25">
      <c r="A114" s="19" t="s">
        <v>250</v>
      </c>
      <c r="B114" s="21"/>
      <c r="C114" s="21"/>
      <c r="D114" s="21"/>
      <c r="E114" s="21"/>
      <c r="F114" s="21"/>
      <c r="G114" s="21"/>
      <c r="H114" s="21"/>
      <c r="I114" s="21"/>
      <c r="J114" s="21"/>
      <c r="K114" s="21"/>
      <c r="L114" s="21"/>
      <c r="M114" s="21"/>
      <c r="N114" s="21"/>
      <c r="O114" s="21"/>
      <c r="P114" s="21"/>
      <c r="Q114" s="21"/>
      <c r="R114" s="21" t="s">
        <v>368</v>
      </c>
      <c r="S114" s="21"/>
      <c r="T114" s="21"/>
      <c r="U114" s="21"/>
      <c r="V114" s="21"/>
      <c r="W114" s="21"/>
      <c r="X114" s="21"/>
      <c r="Y114" s="21"/>
      <c r="Z114" s="21"/>
      <c r="AA114" s="21"/>
      <c r="AB114" s="21"/>
      <c r="AC114" s="21"/>
      <c r="AD114" s="21"/>
      <c r="AE114" s="21"/>
      <c r="AF114" s="21"/>
      <c r="AG114" s="21"/>
      <c r="AH114" s="21"/>
      <c r="AI114" s="21"/>
      <c r="AJ114" s="21"/>
      <c r="AK114" s="21"/>
      <c r="AL114" s="21" t="s">
        <v>1186</v>
      </c>
      <c r="AM114" s="21" t="s">
        <v>351</v>
      </c>
      <c r="AN114" s="21" t="s">
        <v>1236</v>
      </c>
    </row>
    <row r="115" spans="1:40" x14ac:dyDescent="0.25">
      <c r="A115" s="18" t="s">
        <v>252</v>
      </c>
      <c r="B115" s="21"/>
      <c r="C115" s="21"/>
      <c r="D115" s="21"/>
      <c r="E115" s="21"/>
      <c r="F115" s="21"/>
      <c r="G115" s="21"/>
      <c r="H115" s="21"/>
      <c r="I115" s="21"/>
      <c r="J115" s="21"/>
      <c r="K115" s="21"/>
      <c r="L115" s="21" t="s">
        <v>369</v>
      </c>
      <c r="M115" s="21"/>
      <c r="N115" s="21" t="s">
        <v>370</v>
      </c>
      <c r="O115" s="21"/>
      <c r="P115" s="21"/>
      <c r="Q115" s="21"/>
      <c r="R115" s="21"/>
      <c r="T115" s="21"/>
      <c r="U115" s="21"/>
      <c r="V115" s="21"/>
      <c r="W115" s="21"/>
      <c r="X115" s="21"/>
      <c r="Y115" s="21"/>
      <c r="Z115" s="21"/>
      <c r="AA115" s="21"/>
      <c r="AB115" s="21"/>
      <c r="AC115" s="21"/>
      <c r="AD115" s="21"/>
      <c r="AE115" s="21"/>
      <c r="AF115" s="21"/>
      <c r="AG115" s="21"/>
      <c r="AH115" s="21"/>
      <c r="AI115" s="21"/>
      <c r="AJ115" s="21"/>
      <c r="AK115" s="21"/>
      <c r="AL115" s="21"/>
      <c r="AM115" s="21"/>
      <c r="AN115" s="21"/>
    </row>
    <row r="116" spans="1:40" x14ac:dyDescent="0.25">
      <c r="A116" s="19" t="s">
        <v>254</v>
      </c>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c r="AA116" s="21"/>
      <c r="AB116" s="21"/>
      <c r="AC116" s="21" t="s">
        <v>390</v>
      </c>
      <c r="AD116" s="21"/>
      <c r="AE116" s="21"/>
      <c r="AF116" s="21"/>
      <c r="AG116" s="21"/>
      <c r="AH116" s="21"/>
      <c r="AI116" s="21"/>
      <c r="AJ116" s="21"/>
      <c r="AK116" s="21" t="s">
        <v>391</v>
      </c>
      <c r="AL116" s="21" t="s">
        <v>1186</v>
      </c>
      <c r="AM116" s="21" t="s">
        <v>351</v>
      </c>
      <c r="AN116" s="21" t="s">
        <v>1236</v>
      </c>
    </row>
    <row r="118" spans="1:40" x14ac:dyDescent="0.25">
      <c r="A118" s="22"/>
      <c r="B118" s="19" t="s">
        <v>256</v>
      </c>
      <c r="C118" s="18" t="s">
        <v>262</v>
      </c>
      <c r="D118" s="19" t="s">
        <v>260</v>
      </c>
      <c r="E118" s="19" t="s">
        <v>264</v>
      </c>
      <c r="F118" s="18" t="s">
        <v>268</v>
      </c>
      <c r="G118" s="19" t="s">
        <v>266</v>
      </c>
      <c r="H118" s="19" t="s">
        <v>270</v>
      </c>
      <c r="I118" s="19" t="s">
        <v>272</v>
      </c>
      <c r="J118" s="18" t="s">
        <v>274</v>
      </c>
      <c r="K118" s="18" t="s">
        <v>276</v>
      </c>
      <c r="L118" s="19" t="s">
        <v>278</v>
      </c>
      <c r="M118" s="19" t="s">
        <v>280</v>
      </c>
      <c r="N118" s="19" t="s">
        <v>282</v>
      </c>
      <c r="O118" s="19" t="s">
        <v>1336</v>
      </c>
      <c r="P118" s="19" t="s">
        <v>284</v>
      </c>
      <c r="Q118" s="18" t="s">
        <v>286</v>
      </c>
      <c r="R118" s="19" t="s">
        <v>288</v>
      </c>
      <c r="S118" s="18" t="s">
        <v>290</v>
      </c>
      <c r="T118" s="19" t="s">
        <v>292</v>
      </c>
      <c r="U118" s="17" t="s">
        <v>294</v>
      </c>
      <c r="V118" s="17" t="s">
        <v>296</v>
      </c>
      <c r="W118" s="19" t="s">
        <v>298</v>
      </c>
      <c r="X118" s="19" t="s">
        <v>300</v>
      </c>
      <c r="Y118" s="19" t="s">
        <v>302</v>
      </c>
      <c r="Z118" s="19" t="s">
        <v>306</v>
      </c>
      <c r="AA118" s="19" t="s">
        <v>308</v>
      </c>
      <c r="AB118" s="19" t="s">
        <v>312</v>
      </c>
      <c r="AC118" s="19" t="s">
        <v>322</v>
      </c>
      <c r="AD118" s="19" t="s">
        <v>324</v>
      </c>
      <c r="AE118" s="19" t="s">
        <v>334</v>
      </c>
      <c r="AF118" s="16" t="s">
        <v>346</v>
      </c>
      <c r="AG118" s="16" t="s">
        <v>348</v>
      </c>
      <c r="AH118" s="89" t="s">
        <v>342</v>
      </c>
      <c r="AI118" s="89" t="s">
        <v>340</v>
      </c>
      <c r="AJ118" s="89" t="s">
        <v>1244</v>
      </c>
    </row>
    <row r="119" spans="1:40" x14ac:dyDescent="0.25">
      <c r="A119" s="19" t="s">
        <v>256</v>
      </c>
      <c r="B119" s="20"/>
      <c r="C119" s="20" t="s">
        <v>379</v>
      </c>
      <c r="D119" s="20"/>
      <c r="E119" s="21"/>
      <c r="F119" s="20"/>
      <c r="G119" s="20" t="s">
        <v>380</v>
      </c>
      <c r="H119" s="21"/>
      <c r="I119" s="21"/>
      <c r="J119" s="21"/>
      <c r="K119" s="21"/>
      <c r="L119" s="21"/>
      <c r="M119" s="21"/>
      <c r="N119" s="21"/>
      <c r="O119" s="21"/>
      <c r="P119" s="21"/>
      <c r="Q119" s="21"/>
      <c r="R119" s="21"/>
      <c r="S119" s="21"/>
      <c r="T119" s="21"/>
      <c r="U119" s="21"/>
      <c r="V119" s="21"/>
      <c r="W119" s="21" t="s">
        <v>395</v>
      </c>
      <c r="X119" s="21"/>
      <c r="Y119" s="21"/>
      <c r="Z119" s="21"/>
      <c r="AA119" s="21"/>
      <c r="AB119" s="21"/>
      <c r="AC119" s="21"/>
      <c r="AD119" s="21"/>
      <c r="AE119" s="21"/>
      <c r="AF119" s="21"/>
      <c r="AG119" s="21"/>
      <c r="AH119" s="20" t="s">
        <v>396</v>
      </c>
      <c r="AI119" s="21" t="s">
        <v>351</v>
      </c>
      <c r="AJ119" s="21" t="s">
        <v>1236</v>
      </c>
    </row>
    <row r="120" spans="1:40" x14ac:dyDescent="0.25">
      <c r="A120" s="19" t="s">
        <v>258</v>
      </c>
      <c r="B120" s="20"/>
      <c r="C120" s="20" t="s">
        <v>382</v>
      </c>
      <c r="D120" s="20"/>
      <c r="E120" s="21"/>
      <c r="F120" s="21"/>
      <c r="G120" s="21" t="s">
        <v>383</v>
      </c>
      <c r="H120" s="21"/>
      <c r="I120" s="21"/>
      <c r="J120" s="21"/>
      <c r="K120" s="21"/>
      <c r="L120" s="21"/>
      <c r="M120" s="21"/>
      <c r="N120" s="21"/>
      <c r="O120" s="21"/>
      <c r="P120" s="21"/>
      <c r="Q120" s="21"/>
      <c r="R120" s="21"/>
      <c r="S120" s="21"/>
      <c r="T120" s="21"/>
      <c r="U120" s="21"/>
      <c r="V120" s="21"/>
      <c r="W120" s="21"/>
      <c r="X120" s="21" t="s">
        <v>395</v>
      </c>
      <c r="Y120" s="21"/>
      <c r="Z120" s="21"/>
      <c r="AA120" s="21"/>
      <c r="AB120" s="21"/>
      <c r="AC120" s="21"/>
      <c r="AD120" s="21"/>
      <c r="AE120" s="21"/>
      <c r="AF120" s="21"/>
      <c r="AG120" s="21"/>
      <c r="AH120" s="20" t="s">
        <v>396</v>
      </c>
      <c r="AI120" s="21" t="s">
        <v>351</v>
      </c>
      <c r="AJ120" s="21" t="s">
        <v>1236</v>
      </c>
    </row>
    <row r="121" spans="1:40" x14ac:dyDescent="0.25">
      <c r="A121" s="18" t="s">
        <v>262</v>
      </c>
      <c r="B121" s="21"/>
      <c r="C121" s="21"/>
      <c r="D121" s="21" t="s">
        <v>384</v>
      </c>
      <c r="E121" s="21" t="s">
        <v>1047</v>
      </c>
      <c r="F121" s="21"/>
      <c r="G121" s="21"/>
      <c r="H121" s="21"/>
      <c r="I121" s="21"/>
      <c r="J121" s="21"/>
      <c r="K121" s="21"/>
      <c r="L121" s="21"/>
      <c r="M121" s="21"/>
      <c r="N121" s="21"/>
      <c r="O121" s="21"/>
      <c r="P121" s="21"/>
      <c r="Q121" s="21"/>
      <c r="R121" s="21"/>
      <c r="S121" s="21"/>
      <c r="T121" s="21"/>
      <c r="U121" s="21"/>
      <c r="V121" s="21"/>
      <c r="W121" s="21"/>
      <c r="X121" s="21"/>
      <c r="Y121" s="21"/>
      <c r="Z121" s="21"/>
      <c r="AA121" s="21"/>
      <c r="AB121" s="21"/>
      <c r="AC121" s="21"/>
      <c r="AD121" s="21"/>
      <c r="AE121" s="21"/>
      <c r="AF121" s="21"/>
      <c r="AG121" s="21"/>
      <c r="AH121" s="21"/>
      <c r="AI121" s="21"/>
      <c r="AJ121" s="21"/>
    </row>
    <row r="122" spans="1:40" x14ac:dyDescent="0.25">
      <c r="A122" s="19" t="s">
        <v>264</v>
      </c>
      <c r="C122" s="21"/>
      <c r="D122" s="21" t="s">
        <v>1038</v>
      </c>
      <c r="E122" s="21"/>
      <c r="F122" s="21" t="s">
        <v>1044</v>
      </c>
      <c r="G122" s="21"/>
      <c r="H122" s="21"/>
      <c r="I122" s="21"/>
      <c r="J122" s="21"/>
      <c r="K122" s="21"/>
      <c r="L122" s="21"/>
      <c r="M122" s="21"/>
      <c r="N122" s="21"/>
      <c r="O122" s="21"/>
      <c r="P122" s="21"/>
      <c r="Q122" s="21"/>
      <c r="R122" s="21"/>
      <c r="S122" s="21"/>
      <c r="T122" s="21"/>
      <c r="U122" s="21"/>
      <c r="V122" s="21"/>
      <c r="W122" s="21"/>
      <c r="X122" s="21"/>
      <c r="Y122" s="21"/>
      <c r="Z122" s="21" t="s">
        <v>395</v>
      </c>
      <c r="AA122" s="21"/>
      <c r="AB122" s="21"/>
      <c r="AC122" s="21"/>
      <c r="AD122" s="21"/>
      <c r="AE122" s="21"/>
      <c r="AF122" s="21"/>
      <c r="AG122" s="21"/>
      <c r="AH122" s="20" t="s">
        <v>396</v>
      </c>
      <c r="AI122" s="21" t="s">
        <v>351</v>
      </c>
      <c r="AJ122" s="21" t="s">
        <v>1236</v>
      </c>
    </row>
    <row r="123" spans="1:40" x14ac:dyDescent="0.25">
      <c r="A123" s="19" t="s">
        <v>260</v>
      </c>
      <c r="B123" s="21"/>
      <c r="C123" s="21"/>
      <c r="D123" s="21"/>
      <c r="E123" s="21"/>
      <c r="F123" s="20" t="s">
        <v>385</v>
      </c>
      <c r="G123" s="21"/>
      <c r="H123" s="21"/>
      <c r="I123" s="21"/>
      <c r="J123" s="21"/>
      <c r="K123" s="21"/>
      <c r="L123" s="21"/>
      <c r="M123" s="21"/>
      <c r="N123" s="21"/>
      <c r="O123" s="21"/>
      <c r="P123" s="21"/>
      <c r="Q123" s="21"/>
      <c r="R123" s="21"/>
      <c r="S123" s="21"/>
      <c r="T123" s="21"/>
      <c r="U123" s="21"/>
      <c r="V123" s="21"/>
      <c r="W123" s="21"/>
      <c r="X123" s="21"/>
      <c r="Y123" s="21" t="s">
        <v>395</v>
      </c>
      <c r="Z123" s="21"/>
      <c r="AA123" s="21"/>
      <c r="AB123" s="21"/>
      <c r="AC123" s="21"/>
      <c r="AD123" s="21"/>
      <c r="AE123" s="21"/>
      <c r="AF123" s="21"/>
      <c r="AG123" s="21"/>
      <c r="AH123" s="20" t="s">
        <v>396</v>
      </c>
      <c r="AI123" s="21" t="s">
        <v>351</v>
      </c>
      <c r="AJ123" s="21" t="s">
        <v>1236</v>
      </c>
    </row>
    <row r="124" spans="1:40" x14ac:dyDescent="0.25">
      <c r="A124" s="18" t="s">
        <v>268</v>
      </c>
      <c r="B124" s="21"/>
      <c r="C124" s="21"/>
      <c r="D124" s="21"/>
      <c r="E124" s="21"/>
      <c r="F124" s="21"/>
      <c r="G124" s="21" t="s">
        <v>386</v>
      </c>
      <c r="H124" s="21" t="s">
        <v>1049</v>
      </c>
      <c r="I124" s="21"/>
      <c r="J124" s="21"/>
      <c r="K124" s="21"/>
      <c r="L124" s="21"/>
      <c r="M124" s="21"/>
      <c r="N124" s="21"/>
      <c r="O124" s="21"/>
      <c r="P124" s="21"/>
      <c r="Q124" s="21"/>
      <c r="R124" s="21"/>
      <c r="S124" s="21"/>
      <c r="T124" s="21"/>
      <c r="U124" s="21"/>
      <c r="V124" s="21"/>
      <c r="W124" s="21"/>
      <c r="X124" s="21"/>
      <c r="Y124" s="21"/>
      <c r="Z124" s="21"/>
      <c r="AA124" s="21"/>
      <c r="AB124" s="21"/>
      <c r="AC124" s="21"/>
      <c r="AD124" s="21"/>
      <c r="AE124" s="21"/>
      <c r="AF124" s="21"/>
      <c r="AG124" s="21"/>
      <c r="AH124" s="21"/>
      <c r="AI124" s="21"/>
      <c r="AJ124" s="21"/>
    </row>
    <row r="125" spans="1:40" x14ac:dyDescent="0.25">
      <c r="A125" s="19" t="s">
        <v>270</v>
      </c>
      <c r="B125" s="21"/>
      <c r="C125" s="21"/>
      <c r="E125" s="21"/>
      <c r="F125" s="21"/>
      <c r="G125" s="21" t="s">
        <v>1040</v>
      </c>
      <c r="H125" s="21"/>
      <c r="I125" s="21"/>
      <c r="J125" s="21"/>
      <c r="K125" s="21"/>
      <c r="L125" s="21"/>
      <c r="M125" s="21"/>
      <c r="N125" s="21"/>
      <c r="O125" s="21"/>
      <c r="P125" s="21"/>
      <c r="Q125" s="21"/>
      <c r="R125" s="21"/>
      <c r="S125" s="21"/>
      <c r="T125" s="21"/>
      <c r="U125" s="21"/>
      <c r="V125" s="21"/>
      <c r="W125" s="21"/>
      <c r="X125" s="21"/>
      <c r="Y125" s="21"/>
      <c r="Z125" s="21"/>
      <c r="AA125" s="21"/>
      <c r="AB125" s="21" t="s">
        <v>395</v>
      </c>
      <c r="AC125" s="21"/>
      <c r="AD125" s="21"/>
      <c r="AE125" s="21"/>
      <c r="AF125" s="21"/>
      <c r="AG125" s="21"/>
      <c r="AH125" s="20" t="s">
        <v>396</v>
      </c>
      <c r="AI125" s="21" t="s">
        <v>351</v>
      </c>
      <c r="AJ125" s="21" t="s">
        <v>1236</v>
      </c>
    </row>
    <row r="126" spans="1:40" x14ac:dyDescent="0.25">
      <c r="A126" s="19" t="s">
        <v>266</v>
      </c>
      <c r="B126" s="21"/>
      <c r="C126" s="21"/>
      <c r="D126" s="21"/>
      <c r="E126" s="21"/>
      <c r="F126" s="21"/>
      <c r="G126" s="21"/>
      <c r="H126" s="21"/>
      <c r="I126" s="21" t="s">
        <v>397</v>
      </c>
      <c r="J126" s="21"/>
      <c r="K126" s="21"/>
      <c r="L126" s="21"/>
      <c r="M126" s="21"/>
      <c r="N126" s="21"/>
      <c r="O126" s="21"/>
      <c r="P126" s="21"/>
      <c r="Q126" s="21"/>
      <c r="R126" s="21"/>
      <c r="S126" s="21"/>
      <c r="T126" s="21"/>
      <c r="U126" s="21" t="s">
        <v>398</v>
      </c>
      <c r="V126" s="21"/>
      <c r="W126" s="21"/>
      <c r="X126" s="21"/>
      <c r="Y126" s="21"/>
      <c r="Z126" s="21"/>
      <c r="AA126" s="21" t="s">
        <v>395</v>
      </c>
      <c r="AB126" s="21"/>
      <c r="AC126" s="21"/>
      <c r="AD126" s="21"/>
      <c r="AE126" s="21"/>
      <c r="AF126" s="21"/>
      <c r="AG126" s="21"/>
      <c r="AH126" s="20" t="s">
        <v>396</v>
      </c>
      <c r="AI126" s="21" t="s">
        <v>351</v>
      </c>
      <c r="AJ126" s="21" t="s">
        <v>1236</v>
      </c>
    </row>
    <row r="127" spans="1:40" x14ac:dyDescent="0.25">
      <c r="A127" s="19" t="s">
        <v>272</v>
      </c>
      <c r="B127" s="21"/>
      <c r="C127" s="21"/>
      <c r="D127" s="21"/>
      <c r="E127" s="21"/>
      <c r="F127" s="21"/>
      <c r="G127" s="21"/>
      <c r="H127" s="21"/>
      <c r="I127" s="21"/>
      <c r="J127" s="21" t="s">
        <v>368</v>
      </c>
      <c r="K127" s="21"/>
      <c r="L127" s="21"/>
      <c r="M127" s="21"/>
      <c r="N127" s="21"/>
      <c r="O127" s="21"/>
      <c r="P127" s="21"/>
      <c r="Q127" s="21"/>
      <c r="R127" s="21"/>
      <c r="S127" s="21"/>
      <c r="T127" s="21"/>
      <c r="U127" s="21" t="s">
        <v>398</v>
      </c>
      <c r="V127" s="21"/>
      <c r="W127" s="21"/>
      <c r="X127" s="21"/>
      <c r="Y127" s="21"/>
      <c r="Z127" s="21"/>
      <c r="AA127" s="21"/>
      <c r="AB127" s="21"/>
      <c r="AC127" s="21"/>
      <c r="AD127" s="21"/>
      <c r="AE127" s="21"/>
      <c r="AF127" s="21"/>
      <c r="AG127" s="21"/>
      <c r="AH127" s="20" t="s">
        <v>396</v>
      </c>
      <c r="AI127" s="21" t="s">
        <v>351</v>
      </c>
      <c r="AJ127" s="21" t="s">
        <v>1236</v>
      </c>
    </row>
    <row r="128" spans="1:40" x14ac:dyDescent="0.25">
      <c r="A128" s="18" t="s">
        <v>274</v>
      </c>
      <c r="B128" s="21"/>
      <c r="C128" s="21"/>
      <c r="D128" s="21"/>
      <c r="E128" s="21"/>
      <c r="F128" s="21"/>
      <c r="G128" s="21" t="s">
        <v>369</v>
      </c>
      <c r="H128" s="21"/>
      <c r="I128" s="21"/>
      <c r="J128" s="21"/>
      <c r="L128" s="21"/>
      <c r="M128" s="21"/>
      <c r="N128" s="21" t="s">
        <v>370</v>
      </c>
      <c r="O128" s="21"/>
      <c r="P128" s="21"/>
      <c r="Q128" s="21"/>
      <c r="R128" s="21"/>
      <c r="S128" s="21"/>
      <c r="T128" s="21"/>
      <c r="U128" s="21"/>
      <c r="V128" s="21"/>
      <c r="W128" s="21"/>
      <c r="X128" s="21"/>
      <c r="Y128" s="21"/>
      <c r="Z128" s="21"/>
      <c r="AA128" s="21"/>
      <c r="AB128" s="21"/>
      <c r="AC128" s="21"/>
      <c r="AD128" s="21"/>
      <c r="AE128" s="21"/>
      <c r="AF128" s="21"/>
      <c r="AG128" s="21"/>
      <c r="AH128" s="21"/>
      <c r="AI128" s="21"/>
      <c r="AJ128" s="21"/>
    </row>
    <row r="129" spans="1:36" x14ac:dyDescent="0.25">
      <c r="A129" s="18" t="s">
        <v>276</v>
      </c>
      <c r="B129" s="21"/>
      <c r="C129" s="21"/>
      <c r="D129" s="21"/>
      <c r="E129" s="21"/>
      <c r="F129" s="21"/>
      <c r="G129" s="21"/>
      <c r="H129" s="21"/>
      <c r="I129" s="21"/>
      <c r="J129" s="21"/>
      <c r="K129" s="21"/>
      <c r="L129" s="21" t="s">
        <v>388</v>
      </c>
      <c r="M129" s="21" t="s">
        <v>1055</v>
      </c>
      <c r="N129" s="21"/>
      <c r="O129" s="21"/>
      <c r="P129" s="21"/>
      <c r="Q129" s="21"/>
      <c r="R129" s="21"/>
      <c r="S129" s="21"/>
      <c r="T129" s="21"/>
      <c r="U129" s="21"/>
      <c r="V129" s="21"/>
      <c r="W129" s="21"/>
      <c r="X129" s="21"/>
      <c r="Y129" s="21"/>
      <c r="Z129" s="21"/>
      <c r="AA129" s="21"/>
      <c r="AB129" s="21"/>
      <c r="AC129" s="21"/>
      <c r="AD129" s="21"/>
      <c r="AE129" s="21"/>
      <c r="AF129" s="21"/>
      <c r="AG129" s="21"/>
      <c r="AH129" s="21"/>
      <c r="AI129" s="21"/>
      <c r="AJ129" s="21"/>
    </row>
    <row r="130" spans="1:36" x14ac:dyDescent="0.25">
      <c r="A130" s="19" t="s">
        <v>278</v>
      </c>
      <c r="B130" s="21"/>
      <c r="C130" s="21"/>
      <c r="D130" s="21"/>
      <c r="E130" s="21"/>
      <c r="F130" s="21"/>
      <c r="G130" s="21"/>
      <c r="H130" s="21"/>
      <c r="I130" s="21"/>
      <c r="J130" s="21"/>
      <c r="K130" s="21"/>
      <c r="M130" s="21"/>
      <c r="N130" s="21"/>
      <c r="O130" s="21"/>
      <c r="P130" s="21"/>
      <c r="Q130" s="21"/>
      <c r="R130" s="21" t="s">
        <v>399</v>
      </c>
      <c r="S130" s="21"/>
      <c r="T130" s="21"/>
      <c r="U130" s="21" t="s">
        <v>398</v>
      </c>
      <c r="V130" s="21"/>
      <c r="W130" s="21"/>
      <c r="X130" s="21"/>
      <c r="Y130" s="21"/>
      <c r="Z130" s="21"/>
      <c r="AA130" s="21"/>
      <c r="AB130" s="21"/>
      <c r="AC130" s="21"/>
      <c r="AD130" s="21"/>
      <c r="AE130" s="21"/>
      <c r="AF130" s="21"/>
      <c r="AG130" s="21"/>
      <c r="AH130" s="20" t="s">
        <v>396</v>
      </c>
      <c r="AI130" s="21" t="s">
        <v>351</v>
      </c>
      <c r="AJ130" s="21" t="s">
        <v>1236</v>
      </c>
    </row>
    <row r="131" spans="1:36" x14ac:dyDescent="0.25">
      <c r="A131" s="19" t="s">
        <v>280</v>
      </c>
      <c r="C131" s="21"/>
      <c r="E131" s="21"/>
      <c r="F131" s="21"/>
      <c r="G131" s="21"/>
      <c r="H131" s="21"/>
      <c r="I131" s="21"/>
      <c r="J131" s="21"/>
      <c r="K131" s="21"/>
      <c r="L131" s="21" t="s">
        <v>1042</v>
      </c>
      <c r="M131" s="21"/>
      <c r="N131" s="21"/>
      <c r="O131" s="21"/>
      <c r="P131" s="21"/>
      <c r="Q131" s="21"/>
      <c r="R131" s="21"/>
      <c r="S131" s="21"/>
      <c r="T131" s="21"/>
      <c r="U131" s="21"/>
      <c r="V131" s="21"/>
      <c r="W131" s="21"/>
      <c r="X131" s="21"/>
      <c r="Y131" s="21"/>
      <c r="Z131" s="21"/>
      <c r="AA131" s="21"/>
      <c r="AB131" s="21"/>
      <c r="AC131" s="21" t="s">
        <v>395</v>
      </c>
      <c r="AD131" s="21"/>
      <c r="AE131" s="21"/>
      <c r="AF131" s="21"/>
      <c r="AG131" s="21"/>
      <c r="AH131" s="20" t="s">
        <v>396</v>
      </c>
      <c r="AI131" s="21" t="s">
        <v>351</v>
      </c>
      <c r="AJ131" s="21" t="s">
        <v>1236</v>
      </c>
    </row>
    <row r="132" spans="1:36" x14ac:dyDescent="0.25">
      <c r="A132" s="19" t="s">
        <v>282</v>
      </c>
      <c r="B132" s="21"/>
      <c r="C132" s="21"/>
      <c r="D132" s="21" t="s">
        <v>1188</v>
      </c>
      <c r="E132" s="21"/>
      <c r="F132" s="21"/>
      <c r="G132" s="21"/>
      <c r="H132" s="21"/>
      <c r="I132" s="21"/>
      <c r="J132" s="21"/>
      <c r="K132" s="21"/>
      <c r="L132" s="21"/>
      <c r="M132" s="21"/>
      <c r="N132" s="21"/>
      <c r="O132" s="102" t="s">
        <v>1329</v>
      </c>
      <c r="P132" s="105" t="s">
        <v>1497</v>
      </c>
      <c r="Q132" s="21"/>
      <c r="R132" s="21"/>
      <c r="S132" s="21"/>
      <c r="T132" s="21"/>
      <c r="U132" s="21" t="s">
        <v>398</v>
      </c>
      <c r="V132" s="21"/>
      <c r="W132" s="21"/>
      <c r="X132" s="21"/>
      <c r="Y132" s="21"/>
      <c r="Z132" s="21"/>
      <c r="AA132" s="21"/>
      <c r="AB132" s="21"/>
      <c r="AC132" s="21"/>
      <c r="AD132" s="21" t="s">
        <v>400</v>
      </c>
      <c r="AE132" s="21"/>
      <c r="AF132" s="21"/>
      <c r="AG132" s="21"/>
      <c r="AH132" s="20" t="s">
        <v>401</v>
      </c>
      <c r="AI132" s="21" t="s">
        <v>351</v>
      </c>
      <c r="AJ132" s="21" t="s">
        <v>1236</v>
      </c>
    </row>
    <row r="133" spans="1:36" x14ac:dyDescent="0.25">
      <c r="A133" s="19" t="s">
        <v>284</v>
      </c>
      <c r="B133" s="21"/>
      <c r="C133" s="21"/>
      <c r="D133" s="21"/>
      <c r="E133" s="21"/>
      <c r="F133" s="21"/>
      <c r="G133" s="21"/>
      <c r="H133" s="21"/>
      <c r="I133" s="21"/>
      <c r="J133" s="21"/>
      <c r="K133" s="21"/>
      <c r="L133" s="21"/>
      <c r="M133" s="21"/>
      <c r="N133" s="21"/>
      <c r="O133" s="21"/>
      <c r="P133" s="21"/>
      <c r="Q133" s="20" t="s">
        <v>352</v>
      </c>
      <c r="R133" s="21"/>
      <c r="S133" s="21"/>
      <c r="T133" s="21"/>
      <c r="U133" s="21"/>
      <c r="V133" s="21"/>
      <c r="W133" s="21"/>
      <c r="X133" s="21"/>
      <c r="Y133" s="21"/>
      <c r="Z133" s="21"/>
      <c r="AA133" s="21"/>
      <c r="AB133" s="21"/>
      <c r="AC133" s="21"/>
      <c r="AD133" s="21"/>
      <c r="AE133" s="21"/>
      <c r="AF133" s="21"/>
      <c r="AG133" s="21"/>
      <c r="AH133" s="20" t="s">
        <v>396</v>
      </c>
      <c r="AI133" s="21" t="s">
        <v>351</v>
      </c>
      <c r="AJ133" s="21" t="s">
        <v>1236</v>
      </c>
    </row>
    <row r="134" spans="1:36" x14ac:dyDescent="0.25">
      <c r="A134" s="18" t="s">
        <v>286</v>
      </c>
      <c r="B134" s="21"/>
      <c r="C134" s="21"/>
      <c r="D134" s="20" t="s">
        <v>355</v>
      </c>
      <c r="E134" s="21"/>
      <c r="F134" s="21"/>
      <c r="G134" s="21"/>
      <c r="H134" s="21"/>
      <c r="I134" s="21"/>
      <c r="J134" s="21"/>
      <c r="K134" s="21"/>
      <c r="L134" s="21"/>
      <c r="M134" s="21"/>
      <c r="N134" s="20" t="s">
        <v>354</v>
      </c>
      <c r="O134" s="20"/>
      <c r="P134" s="21"/>
      <c r="Q134" s="21"/>
      <c r="R134" s="21"/>
      <c r="S134" s="21"/>
      <c r="T134" s="21"/>
      <c r="U134" s="21"/>
      <c r="V134" s="21"/>
      <c r="W134" s="21"/>
      <c r="X134" s="21"/>
      <c r="Y134" s="21"/>
      <c r="Z134" s="21"/>
      <c r="AA134" s="21"/>
      <c r="AB134" s="21"/>
      <c r="AC134" s="21"/>
      <c r="AD134" s="21"/>
      <c r="AE134" s="21"/>
      <c r="AF134" s="21"/>
      <c r="AG134" s="21"/>
      <c r="AH134" s="21"/>
      <c r="AI134" s="21"/>
      <c r="AJ134" s="21"/>
    </row>
    <row r="135" spans="1:36" x14ac:dyDescent="0.25">
      <c r="A135" s="19" t="s">
        <v>288</v>
      </c>
      <c r="B135" s="21"/>
      <c r="C135" s="21"/>
      <c r="D135" s="21"/>
      <c r="E135" s="21"/>
      <c r="F135" s="21"/>
      <c r="G135" s="21"/>
      <c r="H135" s="21"/>
      <c r="I135" s="21"/>
      <c r="J135" s="21"/>
      <c r="K135" s="21"/>
      <c r="L135" s="21"/>
      <c r="M135" s="21"/>
      <c r="N135" s="21"/>
      <c r="O135" s="21"/>
      <c r="P135" s="21"/>
      <c r="Q135" s="21"/>
      <c r="R135" s="21"/>
      <c r="S135" s="21" t="s">
        <v>368</v>
      </c>
      <c r="T135" s="21"/>
      <c r="U135" s="21" t="s">
        <v>398</v>
      </c>
      <c r="V135" s="21"/>
      <c r="W135" s="21"/>
      <c r="X135" s="21"/>
      <c r="Y135" s="21"/>
      <c r="Z135" s="21"/>
      <c r="AA135" s="21"/>
      <c r="AB135" s="21"/>
      <c r="AC135" s="21"/>
      <c r="AD135" s="21"/>
      <c r="AE135" s="21"/>
      <c r="AF135" s="21"/>
      <c r="AG135" s="21"/>
      <c r="AH135" s="20" t="s">
        <v>396</v>
      </c>
      <c r="AI135" s="21" t="s">
        <v>351</v>
      </c>
      <c r="AJ135" s="21" t="s">
        <v>1236</v>
      </c>
    </row>
    <row r="136" spans="1:36" x14ac:dyDescent="0.25">
      <c r="A136" s="18" t="s">
        <v>290</v>
      </c>
      <c r="B136" s="21"/>
      <c r="C136" s="21"/>
      <c r="D136" s="21"/>
      <c r="E136" s="21"/>
      <c r="F136" s="21"/>
      <c r="G136" s="21"/>
      <c r="H136" s="21"/>
      <c r="I136" s="21"/>
      <c r="J136" s="21"/>
      <c r="K136" s="21"/>
      <c r="L136" s="21" t="s">
        <v>369</v>
      </c>
      <c r="M136" s="21"/>
      <c r="N136" s="21" t="s">
        <v>370</v>
      </c>
      <c r="O136" s="21"/>
      <c r="P136" s="21"/>
      <c r="Q136" s="21"/>
      <c r="R136" s="21"/>
      <c r="S136" s="21"/>
      <c r="U136" s="21"/>
      <c r="V136" s="21"/>
      <c r="W136" s="21"/>
      <c r="X136" s="21"/>
      <c r="Y136" s="21"/>
      <c r="Z136" s="21"/>
      <c r="AA136" s="21"/>
      <c r="AB136" s="21"/>
      <c r="AC136" s="21"/>
      <c r="AD136" s="21"/>
      <c r="AE136" s="21"/>
      <c r="AF136" s="21"/>
      <c r="AG136" s="21"/>
      <c r="AH136" s="21"/>
      <c r="AI136" s="21"/>
      <c r="AJ136" s="21"/>
    </row>
    <row r="137" spans="1:36" x14ac:dyDescent="0.25">
      <c r="A137" s="19" t="s">
        <v>292</v>
      </c>
      <c r="B137" s="21"/>
      <c r="C137" s="21"/>
      <c r="D137" s="21"/>
      <c r="E137" s="21"/>
      <c r="F137" s="21"/>
      <c r="G137" s="21"/>
      <c r="H137" s="21"/>
      <c r="I137" s="21"/>
      <c r="J137" s="21"/>
      <c r="K137" s="21"/>
      <c r="L137" s="21"/>
      <c r="M137" s="21"/>
      <c r="N137" s="21"/>
      <c r="O137" s="21"/>
      <c r="P137" s="21"/>
      <c r="Q137" s="21"/>
      <c r="R137" s="21"/>
      <c r="S137" s="21"/>
      <c r="T137" s="21"/>
      <c r="U137" s="21" t="s">
        <v>398</v>
      </c>
      <c r="V137" s="21"/>
      <c r="W137" s="21"/>
      <c r="X137" s="21"/>
      <c r="Y137" s="21"/>
      <c r="Z137" s="21"/>
      <c r="AA137" s="21"/>
      <c r="AB137" s="21"/>
      <c r="AC137" s="21"/>
      <c r="AD137" s="21"/>
      <c r="AE137" s="21" t="s">
        <v>395</v>
      </c>
      <c r="AF137" s="21"/>
      <c r="AG137" s="21"/>
      <c r="AH137" s="20" t="s">
        <v>396</v>
      </c>
      <c r="AI137" s="21" t="s">
        <v>351</v>
      </c>
      <c r="AJ137" s="21" t="s">
        <v>1236</v>
      </c>
    </row>
    <row r="138" spans="1:36" x14ac:dyDescent="0.25">
      <c r="A138" s="17" t="s">
        <v>294</v>
      </c>
      <c r="B138" s="21"/>
      <c r="C138" s="21"/>
      <c r="D138" s="21"/>
      <c r="E138" s="21"/>
      <c r="F138" s="21"/>
      <c r="G138" s="21"/>
      <c r="H138" s="21"/>
      <c r="I138" s="21"/>
      <c r="J138" s="21"/>
      <c r="K138" s="21"/>
      <c r="L138" s="21"/>
      <c r="M138" s="21"/>
      <c r="N138" s="21"/>
      <c r="O138" s="21"/>
      <c r="P138" s="21"/>
      <c r="Q138" s="21"/>
      <c r="R138" s="21"/>
      <c r="S138" s="21"/>
      <c r="T138" s="21"/>
      <c r="U138" s="21"/>
      <c r="V138" s="21" t="s">
        <v>402</v>
      </c>
      <c r="W138" s="21"/>
      <c r="X138" s="21"/>
      <c r="Y138" s="21"/>
      <c r="Z138" s="21"/>
      <c r="AA138" s="21"/>
      <c r="AB138" s="21"/>
      <c r="AC138" s="21"/>
      <c r="AD138" s="21"/>
      <c r="AE138" s="21"/>
      <c r="AF138" s="20" t="s">
        <v>403</v>
      </c>
      <c r="AG138" s="21"/>
      <c r="AH138" s="21"/>
      <c r="AI138" s="21" t="s">
        <v>351</v>
      </c>
      <c r="AJ138" s="21" t="s">
        <v>1236</v>
      </c>
    </row>
    <row r="139" spans="1:36" x14ac:dyDescent="0.25">
      <c r="A139" s="17" t="s">
        <v>296</v>
      </c>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c r="AA139" s="21"/>
      <c r="AB139" s="21"/>
      <c r="AC139" s="21"/>
      <c r="AD139" s="21"/>
      <c r="AE139" s="21"/>
      <c r="AF139" s="21"/>
      <c r="AG139" s="20" t="s">
        <v>404</v>
      </c>
      <c r="AH139" s="21"/>
      <c r="AI139" s="21" t="s">
        <v>351</v>
      </c>
      <c r="AJ139" s="21" t="s">
        <v>1236</v>
      </c>
    </row>
    <row r="141" spans="1:36" x14ac:dyDescent="0.25">
      <c r="A141" s="22"/>
      <c r="B141" s="19" t="s">
        <v>298</v>
      </c>
      <c r="C141" s="18" t="s">
        <v>304</v>
      </c>
      <c r="D141" s="19" t="s">
        <v>302</v>
      </c>
      <c r="E141" s="19" t="s">
        <v>306</v>
      </c>
      <c r="F141" s="18" t="s">
        <v>310</v>
      </c>
      <c r="G141" s="19" t="s">
        <v>308</v>
      </c>
      <c r="H141" s="19" t="s">
        <v>312</v>
      </c>
      <c r="I141" s="19" t="s">
        <v>314</v>
      </c>
      <c r="J141" s="18" t="s">
        <v>316</v>
      </c>
      <c r="K141" s="18" t="s">
        <v>318</v>
      </c>
      <c r="L141" s="19" t="s">
        <v>320</v>
      </c>
      <c r="M141" s="19" t="s">
        <v>322</v>
      </c>
      <c r="N141" s="19" t="s">
        <v>324</v>
      </c>
      <c r="O141" s="19" t="s">
        <v>1337</v>
      </c>
      <c r="P141" s="19" t="s">
        <v>326</v>
      </c>
      <c r="Q141" s="18" t="s">
        <v>328</v>
      </c>
      <c r="R141" s="19" t="s">
        <v>330</v>
      </c>
      <c r="S141" s="18" t="s">
        <v>332</v>
      </c>
      <c r="T141" s="19" t="s">
        <v>334</v>
      </c>
      <c r="U141" s="17" t="s">
        <v>336</v>
      </c>
      <c r="V141" s="17" t="s">
        <v>338</v>
      </c>
      <c r="W141" s="16" t="s">
        <v>346</v>
      </c>
      <c r="X141" s="16" t="s">
        <v>348</v>
      </c>
      <c r="Y141" s="89" t="s">
        <v>344</v>
      </c>
      <c r="Z141" s="89" t="s">
        <v>340</v>
      </c>
      <c r="AA141" s="89" t="s">
        <v>1244</v>
      </c>
    </row>
    <row r="142" spans="1:36" x14ac:dyDescent="0.25">
      <c r="A142" s="19" t="s">
        <v>298</v>
      </c>
      <c r="B142" s="20"/>
      <c r="C142" s="20" t="s">
        <v>379</v>
      </c>
      <c r="D142" s="20"/>
      <c r="E142" s="21"/>
      <c r="F142" s="20"/>
      <c r="G142" s="20" t="s">
        <v>380</v>
      </c>
      <c r="H142" s="21"/>
      <c r="I142" s="21"/>
      <c r="J142" s="21"/>
      <c r="K142" s="21"/>
      <c r="L142" s="21"/>
      <c r="M142" s="21"/>
      <c r="N142" s="21"/>
      <c r="O142" s="21"/>
      <c r="P142" s="21"/>
      <c r="Q142" s="21"/>
      <c r="R142" s="21"/>
      <c r="S142" s="21"/>
      <c r="T142" s="21"/>
      <c r="U142" s="21"/>
      <c r="V142" s="21"/>
      <c r="W142" s="21"/>
      <c r="X142" s="21"/>
      <c r="Y142" s="20" t="s">
        <v>405</v>
      </c>
      <c r="Z142" s="21" t="s">
        <v>351</v>
      </c>
      <c r="AA142" s="21" t="s">
        <v>1236</v>
      </c>
    </row>
    <row r="143" spans="1:36" x14ac:dyDescent="0.25">
      <c r="A143" s="19" t="s">
        <v>300</v>
      </c>
      <c r="B143" s="20"/>
      <c r="C143" s="20" t="s">
        <v>382</v>
      </c>
      <c r="D143" s="20"/>
      <c r="E143" s="21"/>
      <c r="F143" s="21"/>
      <c r="G143" s="21" t="s">
        <v>383</v>
      </c>
      <c r="H143" s="21"/>
      <c r="I143" s="21"/>
      <c r="J143" s="21"/>
      <c r="K143" s="21"/>
      <c r="L143" s="21"/>
      <c r="M143" s="21"/>
      <c r="N143" s="21"/>
      <c r="O143" s="21"/>
      <c r="P143" s="21"/>
      <c r="Q143" s="21"/>
      <c r="R143" s="21"/>
      <c r="S143" s="21"/>
      <c r="T143" s="21"/>
      <c r="U143" s="21"/>
      <c r="V143" s="21"/>
      <c r="W143" s="21"/>
      <c r="X143" s="21"/>
      <c r="Y143" s="20" t="s">
        <v>405</v>
      </c>
      <c r="Z143" s="21" t="s">
        <v>351</v>
      </c>
      <c r="AA143" s="21" t="s">
        <v>1236</v>
      </c>
    </row>
    <row r="144" spans="1:36" x14ac:dyDescent="0.25">
      <c r="A144" s="18" t="s">
        <v>304</v>
      </c>
      <c r="B144" s="21"/>
      <c r="C144" s="21"/>
      <c r="D144" s="21" t="s">
        <v>384</v>
      </c>
      <c r="E144" s="21" t="s">
        <v>1047</v>
      </c>
      <c r="F144" s="21"/>
      <c r="G144" s="21"/>
      <c r="H144" s="21"/>
      <c r="I144" s="21"/>
      <c r="J144" s="21"/>
      <c r="K144" s="21"/>
      <c r="L144" s="21"/>
      <c r="M144" s="21"/>
      <c r="N144" s="21"/>
      <c r="O144" s="21"/>
      <c r="P144" s="21"/>
      <c r="Q144" s="21"/>
      <c r="R144" s="21"/>
      <c r="S144" s="21"/>
      <c r="T144" s="21"/>
      <c r="U144" s="21"/>
      <c r="V144" s="21"/>
      <c r="W144" s="21"/>
      <c r="X144" s="21"/>
      <c r="Y144" s="21"/>
      <c r="Z144" s="21"/>
      <c r="AA144" s="21"/>
    </row>
    <row r="145" spans="1:27" x14ac:dyDescent="0.25">
      <c r="A145" s="19" t="s">
        <v>306</v>
      </c>
      <c r="C145" s="21"/>
      <c r="D145" s="21" t="s">
        <v>1038</v>
      </c>
      <c r="E145" s="21"/>
      <c r="F145" s="21" t="s">
        <v>1044</v>
      </c>
      <c r="G145" s="21"/>
      <c r="H145" s="21"/>
      <c r="I145" s="21"/>
      <c r="J145" s="21"/>
      <c r="K145" s="21"/>
      <c r="L145" s="21"/>
      <c r="M145" s="21"/>
      <c r="N145" s="21"/>
      <c r="O145" s="21"/>
      <c r="P145" s="21"/>
      <c r="Q145" s="21"/>
      <c r="R145" s="21"/>
      <c r="S145" s="21"/>
      <c r="T145" s="21"/>
      <c r="U145" s="21"/>
      <c r="V145" s="21"/>
      <c r="W145" s="21"/>
      <c r="X145" s="21"/>
      <c r="Y145" s="20" t="s">
        <v>405</v>
      </c>
      <c r="Z145" s="21" t="s">
        <v>351</v>
      </c>
      <c r="AA145" s="21" t="s">
        <v>1236</v>
      </c>
    </row>
    <row r="146" spans="1:27" x14ac:dyDescent="0.25">
      <c r="A146" s="19" t="s">
        <v>302</v>
      </c>
      <c r="B146" s="21"/>
      <c r="C146" s="21"/>
      <c r="D146" s="21"/>
      <c r="E146" s="21"/>
      <c r="F146" s="20" t="s">
        <v>385</v>
      </c>
      <c r="G146" s="21"/>
      <c r="H146" s="21"/>
      <c r="I146" s="21"/>
      <c r="J146" s="21"/>
      <c r="K146" s="21"/>
      <c r="L146" s="21"/>
      <c r="M146" s="21"/>
      <c r="N146" s="21"/>
      <c r="O146" s="21"/>
      <c r="P146" s="21"/>
      <c r="Q146" s="21"/>
      <c r="R146" s="21"/>
      <c r="S146" s="21"/>
      <c r="T146" s="21"/>
      <c r="U146" s="21"/>
      <c r="V146" s="21"/>
      <c r="W146" s="21"/>
      <c r="X146" s="21"/>
      <c r="Y146" s="20" t="s">
        <v>405</v>
      </c>
      <c r="Z146" s="21" t="s">
        <v>351</v>
      </c>
      <c r="AA146" s="21" t="s">
        <v>1236</v>
      </c>
    </row>
    <row r="147" spans="1:27" x14ac:dyDescent="0.25">
      <c r="A147" s="18" t="s">
        <v>310</v>
      </c>
      <c r="B147" s="21"/>
      <c r="C147" s="21"/>
      <c r="D147" s="21"/>
      <c r="E147" s="21"/>
      <c r="F147" s="21"/>
      <c r="G147" s="21" t="s">
        <v>386</v>
      </c>
      <c r="H147" s="21" t="s">
        <v>1049</v>
      </c>
      <c r="I147" s="21"/>
      <c r="J147" s="21"/>
      <c r="K147" s="21"/>
      <c r="L147" s="21"/>
      <c r="M147" s="21"/>
      <c r="N147" s="21"/>
      <c r="O147" s="21"/>
      <c r="P147" s="21"/>
      <c r="Q147" s="21"/>
      <c r="R147" s="21"/>
      <c r="S147" s="21"/>
      <c r="T147" s="21"/>
      <c r="U147" s="21"/>
      <c r="V147" s="21"/>
      <c r="W147" s="21"/>
      <c r="X147" s="21"/>
      <c r="Y147" s="21"/>
      <c r="Z147" s="21"/>
      <c r="AA147" s="21"/>
    </row>
    <row r="148" spans="1:27" x14ac:dyDescent="0.25">
      <c r="A148" s="19" t="s">
        <v>312</v>
      </c>
      <c r="B148" s="21"/>
      <c r="C148" s="21"/>
      <c r="E148" s="21"/>
      <c r="F148" s="21"/>
      <c r="G148" s="21" t="s">
        <v>1040</v>
      </c>
      <c r="H148" s="21"/>
      <c r="I148" s="21"/>
      <c r="J148" s="21"/>
      <c r="K148" s="21"/>
      <c r="L148" s="21"/>
      <c r="M148" s="21"/>
      <c r="N148" s="21"/>
      <c r="O148" s="21"/>
      <c r="P148" s="21"/>
      <c r="Q148" s="21"/>
      <c r="R148" s="21"/>
      <c r="S148" s="21"/>
      <c r="T148" s="21"/>
      <c r="U148" s="21"/>
      <c r="V148" s="21"/>
      <c r="W148" s="21"/>
      <c r="X148" s="21"/>
      <c r="Y148" s="20" t="s">
        <v>405</v>
      </c>
      <c r="Z148" s="21" t="s">
        <v>351</v>
      </c>
      <c r="AA148" s="21" t="s">
        <v>1236</v>
      </c>
    </row>
    <row r="149" spans="1:27" x14ac:dyDescent="0.25">
      <c r="A149" s="19" t="s">
        <v>308</v>
      </c>
      <c r="B149" s="21"/>
      <c r="C149" s="21"/>
      <c r="D149" s="21"/>
      <c r="E149" s="21"/>
      <c r="F149" s="21"/>
      <c r="G149" s="21"/>
      <c r="H149" s="21"/>
      <c r="I149" s="21" t="s">
        <v>406</v>
      </c>
      <c r="J149" s="21"/>
      <c r="K149" s="21"/>
      <c r="L149" s="21"/>
      <c r="M149" s="21"/>
      <c r="N149" s="21"/>
      <c r="O149" s="21"/>
      <c r="P149" s="21"/>
      <c r="Q149" s="21"/>
      <c r="R149" s="21"/>
      <c r="S149" s="21"/>
      <c r="T149" s="21"/>
      <c r="U149" s="21" t="s">
        <v>407</v>
      </c>
      <c r="V149" s="21"/>
      <c r="W149" s="21"/>
      <c r="X149" s="21"/>
      <c r="Y149" s="20" t="s">
        <v>405</v>
      </c>
      <c r="Z149" s="21" t="s">
        <v>351</v>
      </c>
      <c r="AA149" s="21" t="s">
        <v>1236</v>
      </c>
    </row>
    <row r="150" spans="1:27" x14ac:dyDescent="0.25">
      <c r="A150" s="19" t="s">
        <v>314</v>
      </c>
      <c r="B150" s="21"/>
      <c r="C150" s="21"/>
      <c r="D150" s="21"/>
      <c r="E150" s="21"/>
      <c r="F150" s="21"/>
      <c r="G150" s="21"/>
      <c r="H150" s="21"/>
      <c r="I150" s="21"/>
      <c r="J150" s="21" t="s">
        <v>368</v>
      </c>
      <c r="K150" s="21"/>
      <c r="L150" s="21"/>
      <c r="M150" s="21"/>
      <c r="N150" s="21"/>
      <c r="O150" s="21"/>
      <c r="P150" s="21"/>
      <c r="Q150" s="21"/>
      <c r="R150" s="21"/>
      <c r="S150" s="21"/>
      <c r="T150" s="21"/>
      <c r="U150" s="21" t="s">
        <v>407</v>
      </c>
      <c r="V150" s="21"/>
      <c r="W150" s="21"/>
      <c r="X150" s="21"/>
      <c r="Y150" s="20" t="s">
        <v>405</v>
      </c>
      <c r="Z150" s="21" t="s">
        <v>351</v>
      </c>
      <c r="AA150" s="21" t="s">
        <v>1236</v>
      </c>
    </row>
    <row r="151" spans="1:27" x14ac:dyDescent="0.25">
      <c r="A151" s="18" t="s">
        <v>316</v>
      </c>
      <c r="B151" s="21"/>
      <c r="C151" s="21"/>
      <c r="D151" s="21"/>
      <c r="E151" s="21"/>
      <c r="F151" s="21"/>
      <c r="G151" s="21" t="s">
        <v>369</v>
      </c>
      <c r="H151" s="21"/>
      <c r="I151" s="21"/>
      <c r="J151" s="21"/>
      <c r="L151" s="21"/>
      <c r="M151" s="21"/>
      <c r="N151" s="21" t="s">
        <v>370</v>
      </c>
      <c r="O151" s="21"/>
      <c r="P151" s="21"/>
      <c r="Q151" s="21"/>
      <c r="R151" s="21"/>
      <c r="S151" s="21"/>
      <c r="T151" s="21"/>
      <c r="U151" s="21"/>
      <c r="V151" s="21"/>
      <c r="W151" s="21"/>
      <c r="X151" s="21"/>
      <c r="Y151" s="21"/>
      <c r="Z151" s="21"/>
      <c r="AA151" s="21"/>
    </row>
    <row r="152" spans="1:27" x14ac:dyDescent="0.25">
      <c r="A152" s="18" t="s">
        <v>318</v>
      </c>
      <c r="B152" s="21"/>
      <c r="C152" s="21"/>
      <c r="D152" s="21"/>
      <c r="E152" s="21"/>
      <c r="F152" s="21"/>
      <c r="G152" s="21"/>
      <c r="H152" s="21"/>
      <c r="I152" s="21"/>
      <c r="J152" s="21"/>
      <c r="K152" s="21"/>
      <c r="L152" s="21" t="s">
        <v>388</v>
      </c>
      <c r="M152" s="21" t="s">
        <v>1055</v>
      </c>
      <c r="N152" s="21"/>
      <c r="O152" s="21"/>
      <c r="P152" s="21"/>
      <c r="Q152" s="21"/>
      <c r="S152" s="21"/>
      <c r="T152" s="21"/>
      <c r="U152" s="21"/>
      <c r="V152" s="21"/>
      <c r="W152" s="21"/>
      <c r="X152" s="21"/>
      <c r="Y152" s="21"/>
      <c r="Z152" s="21"/>
      <c r="AA152" s="21"/>
    </row>
    <row r="153" spans="1:27" x14ac:dyDescent="0.25">
      <c r="A153" s="19" t="s">
        <v>320</v>
      </c>
      <c r="B153" s="21"/>
      <c r="C153" s="21"/>
      <c r="D153" s="21"/>
      <c r="E153" s="21"/>
      <c r="F153" s="21"/>
      <c r="G153" s="21"/>
      <c r="H153" s="21"/>
      <c r="I153" s="21"/>
      <c r="J153" s="21"/>
      <c r="K153" s="21"/>
      <c r="L153" s="21"/>
      <c r="M153" s="21"/>
      <c r="N153" s="21"/>
      <c r="O153" s="21"/>
      <c r="P153" s="21"/>
      <c r="Q153" s="21"/>
      <c r="R153" s="21" t="s">
        <v>408</v>
      </c>
      <c r="S153" s="21"/>
      <c r="T153" s="21"/>
      <c r="U153" s="21" t="s">
        <v>407</v>
      </c>
      <c r="V153" s="21"/>
      <c r="W153" s="21"/>
      <c r="X153" s="21"/>
      <c r="Y153" s="20" t="s">
        <v>405</v>
      </c>
      <c r="Z153" s="21" t="s">
        <v>351</v>
      </c>
      <c r="AA153" s="21" t="s">
        <v>1236</v>
      </c>
    </row>
    <row r="154" spans="1:27" x14ac:dyDescent="0.25">
      <c r="A154" s="19" t="s">
        <v>322</v>
      </c>
      <c r="C154" s="21"/>
      <c r="E154" s="21"/>
      <c r="F154" s="21"/>
      <c r="G154" s="21"/>
      <c r="H154" s="21"/>
      <c r="I154" s="21"/>
      <c r="J154" s="21"/>
      <c r="K154" s="21"/>
      <c r="L154" s="21" t="s">
        <v>1042</v>
      </c>
      <c r="M154" s="21"/>
      <c r="N154" s="21"/>
      <c r="O154" s="21"/>
      <c r="P154" s="21"/>
      <c r="Q154" s="21"/>
      <c r="S154" s="21"/>
      <c r="T154" s="21"/>
      <c r="U154" s="21"/>
      <c r="V154" s="21"/>
      <c r="W154" s="21"/>
      <c r="X154" s="21"/>
      <c r="Y154" s="20" t="s">
        <v>405</v>
      </c>
      <c r="Z154" s="21" t="s">
        <v>351</v>
      </c>
      <c r="AA154" s="21" t="s">
        <v>1236</v>
      </c>
    </row>
    <row r="155" spans="1:27" x14ac:dyDescent="0.25">
      <c r="A155" s="19" t="s">
        <v>324</v>
      </c>
      <c r="B155" s="21"/>
      <c r="C155" s="21"/>
      <c r="D155" s="21" t="s">
        <v>1189</v>
      </c>
      <c r="E155" s="21"/>
      <c r="F155" s="21"/>
      <c r="G155" s="21"/>
      <c r="H155" s="21"/>
      <c r="I155" s="21"/>
      <c r="J155" s="21"/>
      <c r="K155" s="21"/>
      <c r="L155" s="21"/>
      <c r="M155" s="21"/>
      <c r="N155" s="21"/>
      <c r="O155" s="102" t="s">
        <v>1329</v>
      </c>
      <c r="P155" s="105" t="s">
        <v>1497</v>
      </c>
      <c r="Q155" s="21"/>
      <c r="R155" s="21"/>
      <c r="S155" s="21"/>
      <c r="T155" s="21"/>
      <c r="U155" s="21" t="s">
        <v>407</v>
      </c>
      <c r="V155" s="21"/>
      <c r="W155" s="21"/>
      <c r="X155" s="21"/>
      <c r="Y155" s="20" t="s">
        <v>409</v>
      </c>
      <c r="Z155" s="21" t="s">
        <v>351</v>
      </c>
      <c r="AA155" s="21" t="s">
        <v>1236</v>
      </c>
    </row>
    <row r="156" spans="1:27" x14ac:dyDescent="0.25">
      <c r="A156" s="19" t="s">
        <v>326</v>
      </c>
      <c r="B156" s="21"/>
      <c r="C156" s="21"/>
      <c r="D156" s="21"/>
      <c r="E156" s="21"/>
      <c r="F156" s="21"/>
      <c r="G156" s="21"/>
      <c r="H156" s="21"/>
      <c r="I156" s="21"/>
      <c r="J156" s="21"/>
      <c r="K156" s="21"/>
      <c r="L156" s="21"/>
      <c r="M156" s="21"/>
      <c r="N156" s="21"/>
      <c r="O156" s="21"/>
      <c r="P156" s="21"/>
      <c r="Q156" s="20" t="s">
        <v>352</v>
      </c>
      <c r="R156" s="21"/>
      <c r="S156" s="21"/>
      <c r="T156" s="21"/>
      <c r="U156" s="21"/>
      <c r="V156" s="21"/>
      <c r="W156" s="21"/>
      <c r="X156" s="21"/>
      <c r="Y156" s="20" t="s">
        <v>405</v>
      </c>
      <c r="Z156" s="21" t="s">
        <v>351</v>
      </c>
      <c r="AA156" s="21" t="s">
        <v>1236</v>
      </c>
    </row>
    <row r="157" spans="1:27" x14ac:dyDescent="0.25">
      <c r="A157" s="18" t="s">
        <v>328</v>
      </c>
      <c r="B157" s="21"/>
      <c r="C157" s="21"/>
      <c r="D157" s="20" t="s">
        <v>355</v>
      </c>
      <c r="E157" s="21"/>
      <c r="F157" s="21"/>
      <c r="G157" s="21"/>
      <c r="H157" s="21"/>
      <c r="I157" s="21"/>
      <c r="J157" s="21"/>
      <c r="K157" s="21"/>
      <c r="L157" s="21"/>
      <c r="M157" s="21"/>
      <c r="N157" s="20" t="s">
        <v>354</v>
      </c>
      <c r="O157" s="20"/>
      <c r="P157" s="21"/>
      <c r="Q157" s="21"/>
      <c r="R157" s="21"/>
      <c r="S157" s="21"/>
      <c r="T157" s="21"/>
      <c r="U157" s="21"/>
      <c r="V157" s="21"/>
      <c r="W157" s="21"/>
      <c r="X157" s="21"/>
      <c r="Y157" s="21"/>
      <c r="Z157" s="21"/>
      <c r="AA157" s="21"/>
    </row>
    <row r="158" spans="1:27" x14ac:dyDescent="0.25">
      <c r="A158" s="19" t="s">
        <v>330</v>
      </c>
      <c r="B158" s="21"/>
      <c r="C158" s="21"/>
      <c r="D158" s="21"/>
      <c r="E158" s="21"/>
      <c r="F158" s="21"/>
      <c r="G158" s="21"/>
      <c r="H158" s="21"/>
      <c r="I158" s="21"/>
      <c r="J158" s="21"/>
      <c r="K158" s="21"/>
      <c r="L158" s="21"/>
      <c r="M158" s="21"/>
      <c r="N158" s="21"/>
      <c r="O158" s="21"/>
      <c r="P158" s="21"/>
      <c r="Q158" s="21"/>
      <c r="R158" s="21"/>
      <c r="S158" s="21" t="s">
        <v>368</v>
      </c>
      <c r="T158" s="21"/>
      <c r="U158" s="21" t="s">
        <v>407</v>
      </c>
      <c r="V158" s="21"/>
      <c r="W158" s="21"/>
      <c r="X158" s="21"/>
      <c r="Y158" s="20" t="s">
        <v>405</v>
      </c>
      <c r="Z158" s="21" t="s">
        <v>351</v>
      </c>
      <c r="AA158" s="21" t="s">
        <v>1236</v>
      </c>
    </row>
    <row r="159" spans="1:27" x14ac:dyDescent="0.25">
      <c r="A159" s="18" t="s">
        <v>332</v>
      </c>
      <c r="B159" s="21"/>
      <c r="C159" s="21"/>
      <c r="D159" s="21"/>
      <c r="E159" s="21"/>
      <c r="F159" s="21"/>
      <c r="G159" s="21"/>
      <c r="H159" s="21"/>
      <c r="I159" s="21"/>
      <c r="J159" s="21"/>
      <c r="K159" s="21"/>
      <c r="L159" s="21" t="s">
        <v>369</v>
      </c>
      <c r="M159" s="21"/>
      <c r="N159" s="21" t="s">
        <v>370</v>
      </c>
      <c r="O159" s="21"/>
      <c r="P159" s="21"/>
      <c r="Q159" s="21"/>
      <c r="R159" s="21"/>
      <c r="S159" s="21"/>
      <c r="U159" s="21"/>
      <c r="V159" s="21"/>
      <c r="W159" s="21"/>
      <c r="X159" s="21"/>
      <c r="Y159" s="21"/>
      <c r="Z159" s="21"/>
      <c r="AA159" s="21"/>
    </row>
    <row r="160" spans="1:27" x14ac:dyDescent="0.25">
      <c r="A160" s="19" t="s">
        <v>334</v>
      </c>
      <c r="B160" s="21"/>
      <c r="C160" s="21"/>
      <c r="D160" s="21"/>
      <c r="E160" s="21"/>
      <c r="F160" s="21"/>
      <c r="G160" s="21"/>
      <c r="H160" s="21"/>
      <c r="I160" s="21"/>
      <c r="J160" s="21"/>
      <c r="K160" s="21"/>
      <c r="L160" s="21"/>
      <c r="M160" s="21"/>
      <c r="N160" s="21"/>
      <c r="O160" s="21"/>
      <c r="P160" s="21"/>
      <c r="Q160" s="21"/>
      <c r="R160" s="21"/>
      <c r="S160" s="21"/>
      <c r="T160" s="21"/>
      <c r="U160" s="21" t="s">
        <v>407</v>
      </c>
      <c r="V160" s="21"/>
      <c r="W160" s="21"/>
      <c r="X160" s="21"/>
      <c r="Y160" s="20" t="s">
        <v>405</v>
      </c>
      <c r="Z160" s="21" t="s">
        <v>351</v>
      </c>
      <c r="AA160" s="21" t="s">
        <v>1236</v>
      </c>
    </row>
    <row r="161" spans="1:37" x14ac:dyDescent="0.25">
      <c r="A161" s="17" t="s">
        <v>336</v>
      </c>
      <c r="B161" s="21"/>
      <c r="C161" s="21"/>
      <c r="D161" s="21"/>
      <c r="E161" s="21"/>
      <c r="F161" s="21"/>
      <c r="G161" s="21"/>
      <c r="H161" s="21"/>
      <c r="I161" s="21"/>
      <c r="J161" s="21"/>
      <c r="K161" s="21"/>
      <c r="L161" s="21"/>
      <c r="M161" s="21"/>
      <c r="N161" s="21"/>
      <c r="O161" s="21"/>
      <c r="P161" s="21"/>
      <c r="Q161" s="21"/>
      <c r="R161" s="21"/>
      <c r="S161" s="21"/>
      <c r="T161" s="21"/>
      <c r="U161" s="21"/>
      <c r="V161" s="21" t="s">
        <v>410</v>
      </c>
      <c r="W161" s="20" t="s">
        <v>403</v>
      </c>
      <c r="X161" s="21"/>
      <c r="Y161" s="21"/>
      <c r="Z161" s="21" t="s">
        <v>351</v>
      </c>
      <c r="AA161" s="21" t="s">
        <v>1236</v>
      </c>
    </row>
    <row r="162" spans="1:37" x14ac:dyDescent="0.25">
      <c r="A162" s="17" t="s">
        <v>338</v>
      </c>
      <c r="B162" s="21"/>
      <c r="C162" s="21"/>
      <c r="D162" s="21"/>
      <c r="E162" s="21"/>
      <c r="F162" s="21"/>
      <c r="G162" s="21"/>
      <c r="H162" s="21"/>
      <c r="I162" s="21"/>
      <c r="J162" s="21"/>
      <c r="K162" s="21"/>
      <c r="L162" s="21"/>
      <c r="M162" s="21"/>
      <c r="N162" s="21"/>
      <c r="O162" s="21"/>
      <c r="P162" s="21"/>
      <c r="Q162" s="21"/>
      <c r="R162" s="21"/>
      <c r="S162" s="21"/>
      <c r="T162" s="21"/>
      <c r="U162" s="21"/>
      <c r="V162" s="21"/>
      <c r="W162" s="21"/>
      <c r="X162" s="20" t="s">
        <v>404</v>
      </c>
      <c r="Y162" s="21"/>
      <c r="Z162" s="21" t="s">
        <v>351</v>
      </c>
      <c r="AA162" s="21" t="s">
        <v>1236</v>
      </c>
    </row>
    <row r="164" spans="1:37" x14ac:dyDescent="0.25">
      <c r="A164" s="99" t="s">
        <v>1325</v>
      </c>
      <c r="B164" s="100" t="s">
        <v>1326</v>
      </c>
    </row>
    <row r="166" spans="1:37" x14ac:dyDescent="0.25">
      <c r="A166" s="16"/>
      <c r="B166" s="17" t="str">
        <f>B1&amp;"_vax"</f>
        <v>s0_abneg_vax</v>
      </c>
      <c r="C166" s="17" t="str">
        <f t="shared" ref="C166:M166" si="0">C1&amp;"_vax"</f>
        <v>f0_acute_uw_vax</v>
      </c>
      <c r="D166" s="17" t="str">
        <f t="shared" si="0"/>
        <v>f0_uw_clear_j_vax</v>
      </c>
      <c r="E166" s="17" t="str">
        <f t="shared" si="0"/>
        <v>s0_uw_vax</v>
      </c>
      <c r="F166" s="17" t="str">
        <f t="shared" si="0"/>
        <v>f0_acute_aw_vax</v>
      </c>
      <c r="G166" s="17" t="str">
        <f t="shared" si="0"/>
        <v>f0_clear_j_vax</v>
      </c>
      <c r="H166" s="17" t="str">
        <f t="shared" si="0"/>
        <v>undiag_ltc_j_vax</v>
      </c>
      <c r="I166" s="17" t="str">
        <f t="shared" si="0"/>
        <v>s0_aw_vax</v>
      </c>
      <c r="J166" s="17" t="str">
        <f t="shared" si="0"/>
        <v>f0_ab_ud_vax</v>
      </c>
      <c r="K166" s="17" t="str">
        <f t="shared" si="0"/>
        <v>f0_ud_ltc_vax</v>
      </c>
      <c r="L166" s="17" t="str">
        <f t="shared" si="0"/>
        <v>f0_ab_d_vax</v>
      </c>
      <c r="M166" s="17" t="str">
        <f t="shared" si="0"/>
        <v>f0_acute_vax</v>
      </c>
      <c r="N166" s="89" t="s">
        <v>340</v>
      </c>
      <c r="O166" s="89" t="s">
        <v>1244</v>
      </c>
    </row>
    <row r="167" spans="1:37" x14ac:dyDescent="0.25">
      <c r="A167" s="17" t="str">
        <f t="shared" ref="A167:A174" si="1">A4&amp;"_vax"</f>
        <v>s0_abneg_vax</v>
      </c>
      <c r="B167" s="20"/>
      <c r="C167" s="104" t="s">
        <v>1573</v>
      </c>
      <c r="D167" s="20"/>
      <c r="E167" s="20"/>
      <c r="F167" s="20"/>
      <c r="G167" s="20"/>
      <c r="H167" s="20"/>
      <c r="I167" s="20"/>
      <c r="J167" s="20"/>
      <c r="K167" s="20"/>
      <c r="L167" s="20"/>
      <c r="M167" s="21"/>
      <c r="N167" s="21" t="s">
        <v>351</v>
      </c>
      <c r="O167" s="21" t="s">
        <v>1236</v>
      </c>
    </row>
    <row r="168" spans="1:37" x14ac:dyDescent="0.25">
      <c r="A168" s="17" t="str">
        <f t="shared" si="1"/>
        <v>f0_acute_uw_vax</v>
      </c>
      <c r="B168" s="20"/>
      <c r="C168" s="20"/>
      <c r="D168" s="103" t="s">
        <v>1437</v>
      </c>
      <c r="E168" s="20"/>
      <c r="F168" s="20" t="s">
        <v>353</v>
      </c>
      <c r="G168" s="20"/>
      <c r="H168" s="20"/>
      <c r="I168" s="20"/>
      <c r="J168" s="20"/>
      <c r="K168" s="20"/>
      <c r="L168" s="20"/>
      <c r="M168" s="21"/>
      <c r="N168" s="21" t="s">
        <v>351</v>
      </c>
      <c r="O168" s="21" t="s">
        <v>1236</v>
      </c>
    </row>
    <row r="169" spans="1:37" x14ac:dyDescent="0.25">
      <c r="A169" s="18" t="str">
        <f t="shared" si="1"/>
        <v>f0_uw_clear_j_vax</v>
      </c>
      <c r="B169" s="20"/>
      <c r="C169" s="20"/>
      <c r="D169" s="20"/>
      <c r="E169" s="103" t="s">
        <v>1633</v>
      </c>
      <c r="F169" s="20"/>
      <c r="G169" s="20"/>
      <c r="H169" s="103" t="s">
        <v>1634</v>
      </c>
      <c r="I169" s="20"/>
      <c r="J169" s="20"/>
      <c r="K169" s="20"/>
      <c r="L169" s="20"/>
      <c r="M169" s="21"/>
      <c r="N169" s="21"/>
      <c r="O169" s="21"/>
    </row>
    <row r="170" spans="1:37" x14ac:dyDescent="0.25">
      <c r="A170" s="17" t="str">
        <f t="shared" si="1"/>
        <v>s0_uw_vax</v>
      </c>
      <c r="B170" s="20"/>
      <c r="C170" s="104" t="s">
        <v>1573</v>
      </c>
      <c r="D170" s="20"/>
      <c r="E170" s="20"/>
      <c r="F170" s="20"/>
      <c r="G170" s="20"/>
      <c r="H170" s="20"/>
      <c r="I170" s="20" t="s">
        <v>356</v>
      </c>
      <c r="J170" s="20"/>
      <c r="K170" s="20"/>
      <c r="L170" s="20"/>
      <c r="M170" s="21"/>
      <c r="N170" s="21" t="s">
        <v>351</v>
      </c>
      <c r="O170" s="21" t="s">
        <v>1236</v>
      </c>
    </row>
    <row r="171" spans="1:37" x14ac:dyDescent="0.25">
      <c r="A171" s="17" t="str">
        <f t="shared" si="1"/>
        <v>s0_aw_vax</v>
      </c>
      <c r="B171" s="20"/>
      <c r="C171" s="20"/>
      <c r="D171" s="20"/>
      <c r="E171" s="20"/>
      <c r="F171" s="20"/>
      <c r="G171" s="20"/>
      <c r="H171" s="20"/>
      <c r="I171" s="20"/>
      <c r="J171" s="20"/>
      <c r="K171" s="20"/>
      <c r="L171" s="20"/>
      <c r="M171" s="104" t="s">
        <v>1573</v>
      </c>
      <c r="N171" s="21" t="s">
        <v>351</v>
      </c>
      <c r="O171" s="21" t="s">
        <v>1236</v>
      </c>
    </row>
    <row r="172" spans="1:37" x14ac:dyDescent="0.25">
      <c r="A172" s="17" t="str">
        <f t="shared" si="1"/>
        <v>f0_acute_aw_vax</v>
      </c>
      <c r="B172" s="20"/>
      <c r="C172" s="20"/>
      <c r="D172" s="20"/>
      <c r="E172" s="20"/>
      <c r="F172" s="20"/>
      <c r="G172" s="103" t="s">
        <v>1437</v>
      </c>
      <c r="H172" s="20"/>
      <c r="I172" s="20"/>
      <c r="J172" s="20"/>
      <c r="K172" s="20"/>
      <c r="L172" s="20"/>
      <c r="M172" s="21"/>
      <c r="N172" s="21" t="s">
        <v>351</v>
      </c>
      <c r="O172" s="21" t="s">
        <v>1236</v>
      </c>
    </row>
    <row r="173" spans="1:37" x14ac:dyDescent="0.25">
      <c r="A173" s="18" t="str">
        <f t="shared" si="1"/>
        <v>f0_clear_j_vax</v>
      </c>
      <c r="B173" s="20"/>
      <c r="C173" s="20"/>
      <c r="D173" s="20"/>
      <c r="E173" s="20"/>
      <c r="F173" s="20"/>
      <c r="G173" s="20"/>
      <c r="H173" s="20"/>
      <c r="I173" s="103" t="s">
        <v>1633</v>
      </c>
      <c r="J173" s="20"/>
      <c r="K173" s="20"/>
      <c r="L173" s="103" t="s">
        <v>1634</v>
      </c>
      <c r="M173" s="21"/>
      <c r="N173" s="21"/>
      <c r="O173" s="21"/>
    </row>
    <row r="174" spans="1:37" x14ac:dyDescent="0.25">
      <c r="A174" s="18" t="str">
        <f t="shared" si="1"/>
        <v>undiag_ltc_j_vax</v>
      </c>
      <c r="B174" s="20"/>
      <c r="C174" s="20"/>
      <c r="D174" s="20"/>
      <c r="E174" s="20"/>
      <c r="F174" s="20"/>
      <c r="G174" s="20"/>
      <c r="H174" s="20"/>
      <c r="I174" s="20"/>
      <c r="J174" s="20" t="s">
        <v>357</v>
      </c>
      <c r="K174" s="20" t="s">
        <v>358</v>
      </c>
      <c r="L174" s="20"/>
      <c r="M174" s="21"/>
      <c r="N174" s="21"/>
      <c r="O174" s="21"/>
    </row>
    <row r="176" spans="1:37" x14ac:dyDescent="0.25">
      <c r="A176" s="22"/>
      <c r="B176" s="19" t="str">
        <f>B13&amp;"_vax"</f>
        <v>f0_ab_ud_vax</v>
      </c>
      <c r="C176" s="19" t="str">
        <f t="shared" ref="C176:AA176" si="2">C13&amp;"_vax"</f>
        <v>f0_ab_ltfu_j_vax</v>
      </c>
      <c r="D176" s="19" t="str">
        <f t="shared" si="2"/>
        <v>f0_ab_d_vax</v>
      </c>
      <c r="E176" s="19" t="str">
        <f t="shared" si="2"/>
        <v>f0_ab_ltfu_vax</v>
      </c>
      <c r="F176" s="19" t="str">
        <f t="shared" si="2"/>
        <v>f0_pcr_ltfu_j_vax</v>
      </c>
      <c r="G176" s="19" t="str">
        <f t="shared" si="2"/>
        <v>f0_pcr_d_vax</v>
      </c>
      <c r="H176" s="19" t="str">
        <f t="shared" si="2"/>
        <v>f0_pcr_ltfu_vax</v>
      </c>
      <c r="I176" s="19" t="str">
        <f t="shared" si="2"/>
        <v>f0_t1_vax</v>
      </c>
      <c r="J176" s="19" t="str">
        <f t="shared" si="2"/>
        <v>f0_t1_j_vax</v>
      </c>
      <c r="K176" s="19" t="str">
        <f t="shared" si="2"/>
        <v>f0_t1ltf_j_vax</v>
      </c>
      <c r="L176" s="19" t="str">
        <f t="shared" si="2"/>
        <v>f0_ft1_vax</v>
      </c>
      <c r="M176" s="19" t="str">
        <f t="shared" si="2"/>
        <v>f0_ft1_ltfu_vax</v>
      </c>
      <c r="N176" s="19" t="str">
        <f t="shared" si="2"/>
        <v>s0_vax</v>
      </c>
      <c r="O176" s="19" t="str">
        <f t="shared" si="2"/>
        <v>f0_acute_vax</v>
      </c>
      <c r="P176" s="19" t="str">
        <f t="shared" si="2"/>
        <v>f0_clear_reinf_j_vax</v>
      </c>
      <c r="Q176" s="19" t="str">
        <f t="shared" si="2"/>
        <v>f0_t2_vax</v>
      </c>
      <c r="R176" s="19" t="str">
        <f t="shared" si="2"/>
        <v>f0_t2_j_vax</v>
      </c>
      <c r="S176" s="19" t="str">
        <f t="shared" si="2"/>
        <v>f0_ft2_vax</v>
      </c>
      <c r="T176" s="19" t="str">
        <f t="shared" si="2"/>
        <v>f1_ab_ud_vax</v>
      </c>
      <c r="U176" s="19" t="str">
        <f t="shared" si="2"/>
        <v>f1_ud_ltc_vax</v>
      </c>
      <c r="V176" s="19" t="str">
        <f t="shared" si="2"/>
        <v>f1_ab_d_vax</v>
      </c>
      <c r="W176" s="19" t="str">
        <f t="shared" si="2"/>
        <v>f1_ab_ltfu_vax</v>
      </c>
      <c r="X176" s="19" t="str">
        <f t="shared" si="2"/>
        <v>f1_pcr_d_vax</v>
      </c>
      <c r="Y176" s="19" t="str">
        <f t="shared" si="2"/>
        <v>f1_pcr_ltfu_vax</v>
      </c>
      <c r="Z176" s="19" t="str">
        <f t="shared" si="2"/>
        <v>f1_ft1_ltfu_vax</v>
      </c>
      <c r="AA176" s="19" t="str">
        <f t="shared" si="2"/>
        <v>f1_ft2_vax</v>
      </c>
      <c r="AB176" s="89" t="s">
        <v>340</v>
      </c>
      <c r="AC176" s="89" t="s">
        <v>1244</v>
      </c>
      <c r="AD176" s="3"/>
      <c r="AE176" s="3"/>
      <c r="AF176" s="3"/>
      <c r="AG176" s="3"/>
      <c r="AH176" s="3"/>
      <c r="AI176" s="3"/>
      <c r="AJ176" s="3"/>
      <c r="AK176" s="3"/>
    </row>
    <row r="177" spans="1:29" x14ac:dyDescent="0.25">
      <c r="A177" s="19" t="str">
        <f t="shared" ref="A177:A195" si="3">A14&amp;"_vax"</f>
        <v>f0_ab_ud_vax</v>
      </c>
      <c r="B177" s="20"/>
      <c r="C177" s="20" t="s">
        <v>359</v>
      </c>
      <c r="D177" s="20"/>
      <c r="E177" s="21"/>
      <c r="F177" s="21"/>
      <c r="G177" s="21" t="s">
        <v>360</v>
      </c>
      <c r="H177" s="21"/>
      <c r="I177" s="21"/>
      <c r="J177" s="21"/>
      <c r="K177" s="21"/>
      <c r="L177" s="21"/>
      <c r="M177" s="21"/>
      <c r="N177" s="21"/>
      <c r="O177" s="21"/>
      <c r="P177" s="21"/>
      <c r="Q177" s="21"/>
      <c r="R177" s="21"/>
      <c r="S177" s="21"/>
      <c r="T177" s="21" t="s">
        <v>361</v>
      </c>
      <c r="U177" s="21"/>
      <c r="V177" s="21"/>
      <c r="W177" s="21"/>
      <c r="X177" s="21"/>
      <c r="Y177" s="21"/>
      <c r="Z177" s="21"/>
      <c r="AA177" s="21"/>
      <c r="AB177" s="21" t="s">
        <v>351</v>
      </c>
      <c r="AC177" s="21" t="s">
        <v>1236</v>
      </c>
    </row>
    <row r="178" spans="1:29" x14ac:dyDescent="0.25">
      <c r="A178" s="19" t="str">
        <f t="shared" si="3"/>
        <v>f0_ud_ltc_vax</v>
      </c>
      <c r="B178" s="20"/>
      <c r="C178" s="20" t="s">
        <v>362</v>
      </c>
      <c r="D178" s="20"/>
      <c r="E178" s="21"/>
      <c r="F178" s="21"/>
      <c r="G178" s="21" t="s">
        <v>363</v>
      </c>
      <c r="H178" s="21"/>
      <c r="I178" s="21"/>
      <c r="J178" s="21"/>
      <c r="K178" s="21"/>
      <c r="L178" s="21"/>
      <c r="M178" s="21"/>
      <c r="N178" s="21"/>
      <c r="O178" s="21"/>
      <c r="P178" s="21"/>
      <c r="Q178" s="21"/>
      <c r="R178" s="21"/>
      <c r="S178" s="21"/>
      <c r="T178" s="21"/>
      <c r="U178" s="21" t="s">
        <v>361</v>
      </c>
      <c r="V178" s="21"/>
      <c r="W178" s="21"/>
      <c r="X178" s="21"/>
      <c r="Y178" s="21"/>
      <c r="Z178" s="21"/>
      <c r="AA178" s="21"/>
      <c r="AB178" s="21" t="s">
        <v>351</v>
      </c>
      <c r="AC178" s="21" t="s">
        <v>1236</v>
      </c>
    </row>
    <row r="179" spans="1:29" x14ac:dyDescent="0.25">
      <c r="A179" s="18" t="str">
        <f t="shared" si="3"/>
        <v>f0_ab_ltfu_j_vax</v>
      </c>
      <c r="B179" s="21"/>
      <c r="C179" s="21"/>
      <c r="D179" s="21" t="s">
        <v>364</v>
      </c>
      <c r="E179" s="21" t="s">
        <v>1045</v>
      </c>
      <c r="F179" s="21"/>
      <c r="G179" s="21"/>
      <c r="H179" s="21"/>
      <c r="I179" s="21"/>
      <c r="J179" s="21"/>
      <c r="K179" s="21"/>
      <c r="L179" s="21"/>
      <c r="M179" s="21"/>
      <c r="N179" s="21"/>
      <c r="O179" s="21"/>
      <c r="P179" s="21"/>
      <c r="Q179" s="21"/>
      <c r="R179" s="21"/>
      <c r="S179" s="21"/>
      <c r="T179" s="21"/>
      <c r="U179" s="21"/>
      <c r="V179" s="21"/>
      <c r="W179" s="21"/>
      <c r="X179" s="21"/>
      <c r="Y179" s="21"/>
      <c r="Z179" s="21"/>
      <c r="AA179" s="21"/>
      <c r="AB179" s="21"/>
      <c r="AC179" s="21"/>
    </row>
    <row r="180" spans="1:29" x14ac:dyDescent="0.25">
      <c r="A180" s="19" t="str">
        <f t="shared" si="3"/>
        <v>f0_ab_ltfu_vax</v>
      </c>
      <c r="C180" s="21"/>
      <c r="D180" s="21" t="s">
        <v>1037</v>
      </c>
      <c r="E180" s="21"/>
      <c r="F180" s="21" t="s">
        <v>1043</v>
      </c>
      <c r="G180" s="21"/>
      <c r="H180" s="21"/>
      <c r="I180" s="21"/>
      <c r="J180" s="21"/>
      <c r="K180" s="21"/>
      <c r="L180" s="21"/>
      <c r="M180" s="21"/>
      <c r="N180" s="21"/>
      <c r="O180" s="21"/>
      <c r="P180" s="21"/>
      <c r="Q180" s="21"/>
      <c r="R180" s="21"/>
      <c r="S180" s="21"/>
      <c r="T180" s="21"/>
      <c r="U180" s="21"/>
      <c r="V180" s="21"/>
      <c r="W180" s="21" t="s">
        <v>361</v>
      </c>
      <c r="X180" s="21"/>
      <c r="Y180" s="21"/>
      <c r="Z180" s="21"/>
      <c r="AA180" s="21"/>
      <c r="AB180" s="21" t="s">
        <v>351</v>
      </c>
      <c r="AC180" s="21" t="s">
        <v>1236</v>
      </c>
    </row>
    <row r="181" spans="1:29" x14ac:dyDescent="0.25">
      <c r="A181" s="19" t="str">
        <f t="shared" si="3"/>
        <v>f0_ab_d_vax</v>
      </c>
      <c r="B181" s="21"/>
      <c r="C181" s="21"/>
      <c r="D181" s="21"/>
      <c r="E181" s="21"/>
      <c r="F181" s="20" t="s">
        <v>365</v>
      </c>
      <c r="G181" s="21"/>
      <c r="H181" s="21"/>
      <c r="I181" s="21"/>
      <c r="J181" s="21"/>
      <c r="K181" s="21"/>
      <c r="L181" s="21"/>
      <c r="M181" s="21"/>
      <c r="N181" s="21"/>
      <c r="O181" s="21"/>
      <c r="P181" s="21"/>
      <c r="Q181" s="21"/>
      <c r="R181" s="21"/>
      <c r="S181" s="21"/>
      <c r="T181" s="21"/>
      <c r="U181" s="21"/>
      <c r="V181" s="21" t="s">
        <v>361</v>
      </c>
      <c r="W181" s="21"/>
      <c r="X181" s="21"/>
      <c r="Y181" s="21"/>
      <c r="Z181" s="21"/>
      <c r="AA181" s="21"/>
      <c r="AB181" s="21" t="s">
        <v>351</v>
      </c>
      <c r="AC181" s="21" t="s">
        <v>1236</v>
      </c>
    </row>
    <row r="182" spans="1:29" x14ac:dyDescent="0.25">
      <c r="A182" s="18" t="str">
        <f t="shared" si="3"/>
        <v>f0_pcr_ltfu_j_vax</v>
      </c>
      <c r="B182" s="21"/>
      <c r="C182" s="21"/>
      <c r="D182" s="21"/>
      <c r="E182" s="21"/>
      <c r="F182" s="21"/>
      <c r="G182" s="21" t="s">
        <v>366</v>
      </c>
      <c r="H182" s="21" t="s">
        <v>1051</v>
      </c>
      <c r="I182" s="21"/>
      <c r="J182" s="21"/>
      <c r="K182" s="21"/>
      <c r="L182" s="21"/>
      <c r="M182" s="21"/>
      <c r="N182" s="21"/>
      <c r="O182" s="21"/>
      <c r="P182" s="21"/>
      <c r="Q182" s="21"/>
      <c r="R182" s="21"/>
      <c r="S182" s="21"/>
      <c r="T182" s="21"/>
      <c r="U182" s="21"/>
      <c r="V182" s="21"/>
      <c r="W182" s="21"/>
      <c r="X182" s="21"/>
      <c r="Y182" s="21"/>
      <c r="Z182" s="21"/>
      <c r="AA182" s="21"/>
      <c r="AB182" s="21"/>
      <c r="AC182" s="21"/>
    </row>
    <row r="183" spans="1:29" x14ac:dyDescent="0.25">
      <c r="A183" s="19" t="str">
        <f t="shared" si="3"/>
        <v>f0_pcr_ltfu_vax</v>
      </c>
      <c r="B183" s="21"/>
      <c r="C183" s="21"/>
      <c r="E183" s="21"/>
      <c r="F183" s="21"/>
      <c r="G183" s="21" t="s">
        <v>1039</v>
      </c>
      <c r="H183" s="21"/>
      <c r="I183" s="21"/>
      <c r="J183" s="21"/>
      <c r="K183" s="21"/>
      <c r="L183" s="21"/>
      <c r="M183" s="21"/>
      <c r="N183" s="21"/>
      <c r="O183" s="21"/>
      <c r="P183" s="21"/>
      <c r="Q183" s="21"/>
      <c r="R183" s="21"/>
      <c r="S183" s="21"/>
      <c r="T183" s="21"/>
      <c r="U183" s="21"/>
      <c r="V183" s="21"/>
      <c r="W183" s="21"/>
      <c r="X183" s="21"/>
      <c r="Y183" s="21" t="s">
        <v>361</v>
      </c>
      <c r="Z183" s="21"/>
      <c r="AA183" s="21"/>
      <c r="AB183" s="21" t="s">
        <v>351</v>
      </c>
      <c r="AC183" s="21" t="s">
        <v>1236</v>
      </c>
    </row>
    <row r="184" spans="1:29" x14ac:dyDescent="0.25">
      <c r="A184" s="19" t="str">
        <f t="shared" si="3"/>
        <v>f0_pcr_d_vax</v>
      </c>
      <c r="B184" s="21"/>
      <c r="C184" s="21"/>
      <c r="D184" s="21"/>
      <c r="E184" s="21"/>
      <c r="F184" s="21"/>
      <c r="G184" s="21"/>
      <c r="H184" s="21"/>
      <c r="I184" s="21" t="s">
        <v>367</v>
      </c>
      <c r="J184" s="21"/>
      <c r="K184" s="21"/>
      <c r="L184" s="21"/>
      <c r="M184" s="21"/>
      <c r="N184" s="21"/>
      <c r="O184" s="21"/>
      <c r="P184" s="21"/>
      <c r="Q184" s="21"/>
      <c r="R184" s="21"/>
      <c r="S184" s="21"/>
      <c r="T184" s="21"/>
      <c r="U184" s="21"/>
      <c r="V184" s="21"/>
      <c r="W184" s="21"/>
      <c r="X184" s="21" t="s">
        <v>361</v>
      </c>
      <c r="Y184" s="21"/>
      <c r="Z184" s="21"/>
      <c r="AA184" s="21"/>
      <c r="AB184" s="21" t="s">
        <v>351</v>
      </c>
      <c r="AC184" s="21" t="s">
        <v>1236</v>
      </c>
    </row>
    <row r="185" spans="1:29" x14ac:dyDescent="0.25">
      <c r="A185" s="19" t="str">
        <f t="shared" si="3"/>
        <v>f0_t1_vax</v>
      </c>
      <c r="B185" s="21"/>
      <c r="C185" s="21"/>
      <c r="D185" s="21"/>
      <c r="E185" s="21"/>
      <c r="F185" s="21"/>
      <c r="G185" s="21"/>
      <c r="H185" s="21"/>
      <c r="I185" s="21"/>
      <c r="J185" s="21" t="s">
        <v>368</v>
      </c>
      <c r="K185" s="21"/>
      <c r="L185" s="21"/>
      <c r="M185" s="21"/>
      <c r="N185" s="21"/>
      <c r="O185" s="21"/>
      <c r="P185" s="21"/>
      <c r="Q185" s="21"/>
      <c r="R185" s="21"/>
      <c r="S185" s="21"/>
      <c r="T185" s="21"/>
      <c r="U185" s="21"/>
      <c r="V185" s="21"/>
      <c r="W185" s="21"/>
      <c r="X185" s="21"/>
      <c r="Y185" s="21"/>
      <c r="Z185" s="21"/>
      <c r="AA185" s="21"/>
      <c r="AB185" s="21" t="s">
        <v>351</v>
      </c>
      <c r="AC185" s="21" t="s">
        <v>1236</v>
      </c>
    </row>
    <row r="186" spans="1:29" x14ac:dyDescent="0.25">
      <c r="A186" s="18" t="str">
        <f t="shared" si="3"/>
        <v>f0_t1_j_vax</v>
      </c>
      <c r="B186" s="21"/>
      <c r="C186" s="21"/>
      <c r="D186" s="21"/>
      <c r="E186" s="21"/>
      <c r="F186" s="21"/>
      <c r="G186" s="21" t="s">
        <v>369</v>
      </c>
      <c r="H186" s="21"/>
      <c r="I186" s="21"/>
      <c r="J186" s="21"/>
      <c r="L186" s="21"/>
      <c r="M186" s="21"/>
      <c r="N186" s="21" t="s">
        <v>370</v>
      </c>
      <c r="O186" s="21"/>
      <c r="P186" s="21"/>
      <c r="Q186" s="21"/>
      <c r="R186" s="21"/>
      <c r="S186" s="21"/>
      <c r="T186" s="21"/>
      <c r="U186" s="21"/>
      <c r="V186" s="21"/>
      <c r="W186" s="21"/>
      <c r="X186" s="21"/>
      <c r="Y186" s="21"/>
      <c r="Z186" s="21"/>
      <c r="AA186" s="21"/>
      <c r="AB186" s="21"/>
      <c r="AC186" s="21"/>
    </row>
    <row r="187" spans="1:29" x14ac:dyDescent="0.25">
      <c r="A187" s="18" t="str">
        <f t="shared" si="3"/>
        <v>f0_t1ltf_j_vax</v>
      </c>
      <c r="B187" s="21"/>
      <c r="C187" s="21"/>
      <c r="D187" s="21"/>
      <c r="E187" s="21"/>
      <c r="F187" s="21"/>
      <c r="G187" s="21"/>
      <c r="H187" s="21"/>
      <c r="I187" s="21"/>
      <c r="J187" s="21"/>
      <c r="K187" s="21"/>
      <c r="L187" s="21" t="s">
        <v>371</v>
      </c>
      <c r="M187" s="21" t="s">
        <v>1053</v>
      </c>
      <c r="N187" s="21"/>
      <c r="O187" s="21"/>
      <c r="P187" s="21"/>
      <c r="Q187" s="21"/>
      <c r="R187" s="21"/>
      <c r="S187" s="21"/>
      <c r="T187" s="21"/>
      <c r="U187" s="21"/>
      <c r="V187" s="21"/>
      <c r="W187" s="21"/>
      <c r="X187" s="21"/>
      <c r="Y187" s="21"/>
      <c r="Z187" s="21"/>
      <c r="AA187" s="21"/>
      <c r="AB187" s="21"/>
      <c r="AC187" s="21"/>
    </row>
    <row r="188" spans="1:29" x14ac:dyDescent="0.25">
      <c r="A188" s="19" t="str">
        <f t="shared" si="3"/>
        <v>f0_ft1_vax</v>
      </c>
      <c r="B188" s="21"/>
      <c r="C188" s="21"/>
      <c r="D188" s="21"/>
      <c r="E188" s="21"/>
      <c r="F188" s="21"/>
      <c r="G188" s="21"/>
      <c r="H188" s="21"/>
      <c r="I188" s="21"/>
      <c r="J188" s="21"/>
      <c r="K188" s="21"/>
      <c r="L188" s="21"/>
      <c r="M188" s="21"/>
      <c r="N188" s="21"/>
      <c r="O188" s="21"/>
      <c r="P188" s="21"/>
      <c r="Q188" s="21" t="s">
        <v>372</v>
      </c>
      <c r="R188" s="21"/>
      <c r="S188" s="21"/>
      <c r="T188" s="21"/>
      <c r="U188" s="21"/>
      <c r="V188" s="21"/>
      <c r="W188" s="21"/>
      <c r="X188" s="21"/>
      <c r="Y188" s="21"/>
      <c r="Z188" s="21"/>
      <c r="AA188" s="21"/>
      <c r="AB188" s="21" t="s">
        <v>351</v>
      </c>
      <c r="AC188" s="21" t="s">
        <v>1236</v>
      </c>
    </row>
    <row r="189" spans="1:29" x14ac:dyDescent="0.25">
      <c r="A189" s="19" t="str">
        <f t="shared" si="3"/>
        <v>f0_ft1_ltfu_vax</v>
      </c>
      <c r="C189" s="21"/>
      <c r="E189" s="21"/>
      <c r="F189" s="21"/>
      <c r="G189" s="21"/>
      <c r="H189" s="21"/>
      <c r="I189" s="21"/>
      <c r="J189" s="21"/>
      <c r="K189" s="21"/>
      <c r="L189" s="21" t="s">
        <v>1041</v>
      </c>
      <c r="M189" s="21"/>
      <c r="N189" s="21"/>
      <c r="O189" s="21"/>
      <c r="P189" s="21"/>
      <c r="Q189" s="21"/>
      <c r="R189" s="21"/>
      <c r="S189" s="21"/>
      <c r="T189" s="21"/>
      <c r="U189" s="21"/>
      <c r="V189" s="21"/>
      <c r="W189" s="21"/>
      <c r="X189" s="21"/>
      <c r="Y189" s="21"/>
      <c r="Z189" s="21" t="s">
        <v>361</v>
      </c>
      <c r="AA189" s="21"/>
      <c r="AB189" s="21" t="s">
        <v>351</v>
      </c>
      <c r="AC189" s="21" t="s">
        <v>1236</v>
      </c>
    </row>
    <row r="190" spans="1:29" x14ac:dyDescent="0.25">
      <c r="A190" s="19" t="str">
        <f t="shared" si="3"/>
        <v>s0_vax</v>
      </c>
      <c r="B190" s="21"/>
      <c r="C190" s="21"/>
      <c r="D190" s="21"/>
      <c r="E190" s="21"/>
      <c r="F190" s="21"/>
      <c r="G190" s="21"/>
      <c r="H190" s="21"/>
      <c r="I190" s="21"/>
      <c r="J190" s="21"/>
      <c r="K190" s="21"/>
      <c r="L190" s="21"/>
      <c r="M190" s="21"/>
      <c r="N190" s="21"/>
      <c r="O190" s="104" t="s">
        <v>1573</v>
      </c>
      <c r="P190" s="21"/>
      <c r="Q190" s="21"/>
      <c r="R190" s="21"/>
      <c r="S190" s="21"/>
      <c r="T190" s="21"/>
      <c r="U190" s="21"/>
      <c r="V190" s="21"/>
      <c r="W190" s="21"/>
      <c r="X190" s="21"/>
      <c r="Y190" s="21"/>
      <c r="Z190" s="21"/>
      <c r="AA190" s="21"/>
      <c r="AB190" s="21" t="s">
        <v>351</v>
      </c>
      <c r="AC190" s="21" t="s">
        <v>1236</v>
      </c>
    </row>
    <row r="191" spans="1:29" x14ac:dyDescent="0.25">
      <c r="A191" s="19" t="str">
        <f t="shared" si="3"/>
        <v>f0_acute_vax</v>
      </c>
      <c r="B191" s="21"/>
      <c r="C191" s="21"/>
      <c r="D191" s="21"/>
      <c r="E191" s="21"/>
      <c r="F191" s="21"/>
      <c r="G191" s="21"/>
      <c r="H191" s="21"/>
      <c r="I191" s="21"/>
      <c r="J191" s="21"/>
      <c r="K191" s="21"/>
      <c r="L191" s="21"/>
      <c r="M191" s="21"/>
      <c r="N191" s="21"/>
      <c r="O191" s="21"/>
      <c r="P191" s="103" t="s">
        <v>1437</v>
      </c>
      <c r="Q191" s="21"/>
      <c r="R191" s="21"/>
      <c r="S191" s="21"/>
      <c r="T191" s="21"/>
      <c r="U191" s="21"/>
      <c r="V191" s="21"/>
      <c r="W191" s="21"/>
      <c r="X191" s="21"/>
      <c r="Y191" s="21"/>
      <c r="Z191" s="21"/>
      <c r="AA191" s="21"/>
      <c r="AB191" s="21" t="s">
        <v>351</v>
      </c>
      <c r="AC191" s="21" t="s">
        <v>1236</v>
      </c>
    </row>
    <row r="192" spans="1:29" x14ac:dyDescent="0.25">
      <c r="A192" s="23" t="str">
        <f t="shared" si="3"/>
        <v>f0_clear_reinf_j_vax</v>
      </c>
      <c r="B192" s="21"/>
      <c r="C192" s="21"/>
      <c r="D192" s="103" t="s">
        <v>1433</v>
      </c>
      <c r="E192" s="21"/>
      <c r="F192" s="21"/>
      <c r="G192" s="21"/>
      <c r="H192" s="21"/>
      <c r="I192" s="21"/>
      <c r="J192" s="21"/>
      <c r="K192" s="21"/>
      <c r="L192" s="21"/>
      <c r="M192" s="21"/>
      <c r="N192" s="103" t="s">
        <v>1432</v>
      </c>
      <c r="O192" s="21"/>
      <c r="P192" s="21"/>
      <c r="Q192" s="21"/>
      <c r="R192" s="21"/>
      <c r="S192" s="21"/>
      <c r="T192" s="21"/>
      <c r="U192" s="21"/>
      <c r="V192" s="21"/>
      <c r="W192" s="21"/>
      <c r="X192" s="21"/>
      <c r="Y192" s="21"/>
      <c r="Z192" s="21"/>
      <c r="AA192" s="21"/>
      <c r="AB192" s="21"/>
      <c r="AC192" s="21"/>
    </row>
    <row r="193" spans="1:37" x14ac:dyDescent="0.25">
      <c r="A193" s="19" t="str">
        <f t="shared" si="3"/>
        <v>f0_t2_vax</v>
      </c>
      <c r="B193" s="21"/>
      <c r="C193" s="21"/>
      <c r="D193" s="21"/>
      <c r="E193" s="21"/>
      <c r="F193" s="21"/>
      <c r="G193" s="21"/>
      <c r="H193" s="21"/>
      <c r="I193" s="21"/>
      <c r="J193" s="21"/>
      <c r="K193" s="21"/>
      <c r="L193" s="21"/>
      <c r="M193" s="21"/>
      <c r="N193" s="21"/>
      <c r="O193" s="21"/>
      <c r="P193" s="21"/>
      <c r="Q193" s="21"/>
      <c r="R193" s="21" t="s">
        <v>368</v>
      </c>
      <c r="S193" s="21"/>
      <c r="T193" s="21"/>
      <c r="U193" s="21"/>
      <c r="V193" s="21"/>
      <c r="W193" s="21"/>
      <c r="X193" s="21"/>
      <c r="Y193" s="21"/>
      <c r="Z193" s="21"/>
      <c r="AA193" s="21"/>
      <c r="AB193" s="21" t="s">
        <v>351</v>
      </c>
      <c r="AC193" s="21" t="s">
        <v>1236</v>
      </c>
    </row>
    <row r="194" spans="1:37" x14ac:dyDescent="0.25">
      <c r="A194" s="18" t="str">
        <f t="shared" si="3"/>
        <v>f0_t2_j_vax</v>
      </c>
      <c r="B194" s="21"/>
      <c r="C194" s="21"/>
      <c r="D194" s="21"/>
      <c r="E194" s="21"/>
      <c r="F194" s="21"/>
      <c r="G194" s="21"/>
      <c r="H194" s="21"/>
      <c r="I194" s="21"/>
      <c r="J194" s="21"/>
      <c r="K194" s="21"/>
      <c r="L194" s="21" t="s">
        <v>369</v>
      </c>
      <c r="M194" s="21"/>
      <c r="N194" s="21" t="s">
        <v>370</v>
      </c>
      <c r="O194" s="21"/>
      <c r="P194" s="21"/>
      <c r="Q194" s="21"/>
      <c r="R194" s="21"/>
      <c r="T194" s="21"/>
      <c r="U194" s="21"/>
      <c r="V194" s="21"/>
      <c r="W194" s="21"/>
      <c r="X194" s="21"/>
      <c r="Y194" s="21"/>
      <c r="Z194" s="21"/>
      <c r="AA194" s="21"/>
      <c r="AB194" s="21"/>
      <c r="AC194" s="21"/>
    </row>
    <row r="195" spans="1:37" x14ac:dyDescent="0.25">
      <c r="A195" s="19" t="str">
        <f t="shared" si="3"/>
        <v>f0_ft2_vax</v>
      </c>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c r="AA195" s="21" t="s">
        <v>361</v>
      </c>
      <c r="AB195" s="21" t="s">
        <v>351</v>
      </c>
      <c r="AC195" s="21" t="s">
        <v>1236</v>
      </c>
    </row>
    <row r="197" spans="1:37" x14ac:dyDescent="0.25">
      <c r="A197" s="22"/>
      <c r="B197" s="19" t="str">
        <f>B34&amp;"_vax"</f>
        <v>f1_ab_ud_vax</v>
      </c>
      <c r="C197" s="19" t="str">
        <f t="shared" ref="C197:AA197" si="4">C34&amp;"_vax"</f>
        <v>f1_ab_ltfu_j_vax</v>
      </c>
      <c r="D197" s="19" t="str">
        <f t="shared" si="4"/>
        <v>f1_ab_d_vax</v>
      </c>
      <c r="E197" s="19" t="str">
        <f t="shared" si="4"/>
        <v>f1_ab_ltfu_vax</v>
      </c>
      <c r="F197" s="19" t="str">
        <f t="shared" si="4"/>
        <v>f1_pcr_ltfu_j_vax</v>
      </c>
      <c r="G197" s="19" t="str">
        <f t="shared" si="4"/>
        <v>f1_pcr_d_vax</v>
      </c>
      <c r="H197" s="19" t="str">
        <f t="shared" si="4"/>
        <v>f1_pcr_ltfu_vax</v>
      </c>
      <c r="I197" s="19" t="str">
        <f t="shared" si="4"/>
        <v>f1_t1_vax</v>
      </c>
      <c r="J197" s="19" t="str">
        <f t="shared" si="4"/>
        <v>f1_t1_j_vax</v>
      </c>
      <c r="K197" s="19" t="str">
        <f t="shared" si="4"/>
        <v>f1_t1ltf_j_vax</v>
      </c>
      <c r="L197" s="19" t="str">
        <f t="shared" si="4"/>
        <v>f1_ft1_vax</v>
      </c>
      <c r="M197" s="19" t="str">
        <f t="shared" si="4"/>
        <v>f1_ft1_ltfu_vax</v>
      </c>
      <c r="N197" s="19" t="str">
        <f t="shared" si="4"/>
        <v>s1_vax</v>
      </c>
      <c r="O197" s="19" t="str">
        <f t="shared" si="4"/>
        <v>f1_acute_vax</v>
      </c>
      <c r="P197" s="19" t="str">
        <f t="shared" si="4"/>
        <v>f1_clear_j_vax</v>
      </c>
      <c r="Q197" s="19" t="str">
        <f t="shared" si="4"/>
        <v>f1_t2_vax</v>
      </c>
      <c r="R197" s="19" t="str">
        <f t="shared" si="4"/>
        <v>f1_t2_j_vax</v>
      </c>
      <c r="S197" s="19" t="str">
        <f t="shared" si="4"/>
        <v>f1_ft2_vax</v>
      </c>
      <c r="T197" s="19" t="str">
        <f t="shared" si="4"/>
        <v>f2_ab_ud_vax</v>
      </c>
      <c r="U197" s="19" t="str">
        <f t="shared" si="4"/>
        <v>f2_ud_ltc_vax</v>
      </c>
      <c r="V197" s="19" t="str">
        <f t="shared" si="4"/>
        <v>f2_ab_d_vax</v>
      </c>
      <c r="W197" s="19" t="str">
        <f t="shared" si="4"/>
        <v>f2_ab_ltfu_vax</v>
      </c>
      <c r="X197" s="19" t="str">
        <f t="shared" si="4"/>
        <v>f2_pcr_d_vax</v>
      </c>
      <c r="Y197" s="19" t="str">
        <f t="shared" si="4"/>
        <v>f2_pcr_ltfu_vax</v>
      </c>
      <c r="Z197" s="19" t="str">
        <f t="shared" si="4"/>
        <v>f2_ft1_ltfu_vax</v>
      </c>
      <c r="AA197" s="19" t="str">
        <f t="shared" si="4"/>
        <v>f2_ft2_vax</v>
      </c>
      <c r="AB197" s="89" t="s">
        <v>340</v>
      </c>
      <c r="AC197" s="89" t="s">
        <v>1244</v>
      </c>
      <c r="AD197" s="3"/>
      <c r="AE197" s="3"/>
      <c r="AF197" s="3"/>
      <c r="AG197" s="3"/>
      <c r="AH197" s="3"/>
      <c r="AI197" s="3"/>
      <c r="AJ197" s="3"/>
      <c r="AK197" s="3"/>
    </row>
    <row r="198" spans="1:37" x14ac:dyDescent="0.25">
      <c r="A198" s="19" t="str">
        <f t="shared" ref="A198:A216" si="5">A35&amp;"_vax"</f>
        <v>f1_ab_ud_vax</v>
      </c>
      <c r="B198" s="20"/>
      <c r="C198" s="20" t="s">
        <v>359</v>
      </c>
      <c r="D198" s="20"/>
      <c r="E198" s="21"/>
      <c r="F198" s="20"/>
      <c r="G198" s="20" t="s">
        <v>360</v>
      </c>
      <c r="H198" s="21"/>
      <c r="I198" s="21"/>
      <c r="J198" s="21"/>
      <c r="K198" s="21"/>
      <c r="L198" s="21"/>
      <c r="M198" s="21"/>
      <c r="N198" s="21"/>
      <c r="O198" s="21"/>
      <c r="P198" s="21"/>
      <c r="Q198" s="21"/>
      <c r="R198" s="21"/>
      <c r="S198" s="21"/>
      <c r="T198" s="21" t="s">
        <v>373</v>
      </c>
      <c r="U198" s="21"/>
      <c r="V198" s="21"/>
      <c r="W198" s="21"/>
      <c r="X198" s="21"/>
      <c r="Y198" s="21"/>
      <c r="Z198" s="21"/>
      <c r="AA198" s="21"/>
      <c r="AB198" s="21" t="s">
        <v>351</v>
      </c>
      <c r="AC198" s="21" t="s">
        <v>1236</v>
      </c>
    </row>
    <row r="199" spans="1:37" x14ac:dyDescent="0.25">
      <c r="A199" s="19" t="str">
        <f t="shared" si="5"/>
        <v>f1_ud_ltc_vax</v>
      </c>
      <c r="B199" s="20"/>
      <c r="C199" s="20" t="s">
        <v>362</v>
      </c>
      <c r="D199" s="20"/>
      <c r="E199" s="21"/>
      <c r="F199" s="21"/>
      <c r="G199" s="21" t="s">
        <v>363</v>
      </c>
      <c r="H199" s="21"/>
      <c r="I199" s="21"/>
      <c r="J199" s="21"/>
      <c r="K199" s="21"/>
      <c r="L199" s="21"/>
      <c r="M199" s="21"/>
      <c r="N199" s="21"/>
      <c r="O199" s="21"/>
      <c r="P199" s="21"/>
      <c r="Q199" s="21"/>
      <c r="R199" s="21"/>
      <c r="S199" s="21"/>
      <c r="T199" s="21"/>
      <c r="U199" s="21" t="s">
        <v>373</v>
      </c>
      <c r="V199" s="21"/>
      <c r="W199" s="21"/>
      <c r="X199" s="21"/>
      <c r="Y199" s="21"/>
      <c r="Z199" s="21"/>
      <c r="AA199" s="21"/>
      <c r="AB199" s="21" t="s">
        <v>351</v>
      </c>
      <c r="AC199" s="21" t="s">
        <v>1236</v>
      </c>
    </row>
    <row r="200" spans="1:37" x14ac:dyDescent="0.25">
      <c r="A200" s="18" t="str">
        <f t="shared" si="5"/>
        <v>f1_ab_ltfu_j_vax</v>
      </c>
      <c r="B200" s="21"/>
      <c r="C200" s="21"/>
      <c r="D200" s="21" t="s">
        <v>364</v>
      </c>
      <c r="E200" s="21" t="s">
        <v>1045</v>
      </c>
      <c r="F200" s="21"/>
      <c r="G200" s="21"/>
      <c r="H200" s="21"/>
      <c r="I200" s="21"/>
      <c r="J200" s="21"/>
      <c r="K200" s="21"/>
      <c r="L200" s="21"/>
      <c r="M200" s="21"/>
      <c r="N200" s="21"/>
      <c r="O200" s="21"/>
      <c r="P200" s="21"/>
      <c r="Q200" s="21"/>
      <c r="R200" s="21"/>
      <c r="S200" s="21"/>
      <c r="T200" s="21"/>
      <c r="U200" s="21"/>
      <c r="V200" s="21"/>
      <c r="W200" s="21"/>
      <c r="X200" s="21"/>
      <c r="Y200" s="21"/>
      <c r="Z200" s="21"/>
      <c r="AA200" s="21"/>
      <c r="AB200" s="21"/>
      <c r="AC200" s="21"/>
    </row>
    <row r="201" spans="1:37" x14ac:dyDescent="0.25">
      <c r="A201" s="19" t="str">
        <f t="shared" si="5"/>
        <v>f1_ab_ltfu_vax</v>
      </c>
      <c r="C201" s="21"/>
      <c r="D201" s="21" t="s">
        <v>1037</v>
      </c>
      <c r="E201" s="21"/>
      <c r="F201" s="21" t="s">
        <v>1043</v>
      </c>
      <c r="G201" s="21"/>
      <c r="H201" s="21"/>
      <c r="I201" s="21"/>
      <c r="J201" s="21"/>
      <c r="K201" s="21"/>
      <c r="L201" s="21"/>
      <c r="M201" s="21"/>
      <c r="N201" s="21"/>
      <c r="O201" s="21"/>
      <c r="P201" s="21"/>
      <c r="Q201" s="21"/>
      <c r="R201" s="21"/>
      <c r="S201" s="21"/>
      <c r="T201" s="21"/>
      <c r="U201" s="21"/>
      <c r="V201" s="21"/>
      <c r="W201" s="21" t="s">
        <v>373</v>
      </c>
      <c r="X201" s="21"/>
      <c r="Y201" s="21"/>
      <c r="Z201" s="21"/>
      <c r="AA201" s="21"/>
      <c r="AB201" s="21" t="s">
        <v>351</v>
      </c>
      <c r="AC201" s="21" t="s">
        <v>1236</v>
      </c>
    </row>
    <row r="202" spans="1:37" x14ac:dyDescent="0.25">
      <c r="A202" s="19" t="str">
        <f t="shared" si="5"/>
        <v>f1_ab_d_vax</v>
      </c>
      <c r="B202" s="21"/>
      <c r="C202" s="21"/>
      <c r="D202" s="21"/>
      <c r="E202" s="21"/>
      <c r="F202" s="20" t="s">
        <v>365</v>
      </c>
      <c r="G202" s="21"/>
      <c r="H202" s="21"/>
      <c r="I202" s="21"/>
      <c r="J202" s="21"/>
      <c r="K202" s="21"/>
      <c r="L202" s="21"/>
      <c r="M202" s="21"/>
      <c r="N202" s="21"/>
      <c r="O202" s="21"/>
      <c r="P202" s="21"/>
      <c r="Q202" s="21"/>
      <c r="R202" s="21"/>
      <c r="S202" s="21"/>
      <c r="T202" s="21"/>
      <c r="U202" s="21"/>
      <c r="V202" s="21" t="s">
        <v>373</v>
      </c>
      <c r="W202" s="21"/>
      <c r="X202" s="21"/>
      <c r="Y202" s="21"/>
      <c r="Z202" s="21"/>
      <c r="AA202" s="21"/>
      <c r="AB202" s="21" t="s">
        <v>351</v>
      </c>
      <c r="AC202" s="21" t="s">
        <v>1236</v>
      </c>
    </row>
    <row r="203" spans="1:37" x14ac:dyDescent="0.25">
      <c r="A203" s="18" t="str">
        <f t="shared" si="5"/>
        <v>f1_pcr_ltfu_j_vax</v>
      </c>
      <c r="B203" s="21"/>
      <c r="C203" s="21"/>
      <c r="D203" s="21"/>
      <c r="E203" s="21"/>
      <c r="F203" s="21"/>
      <c r="G203" s="21" t="s">
        <v>366</v>
      </c>
      <c r="H203" s="21" t="s">
        <v>1051</v>
      </c>
      <c r="I203" s="21"/>
      <c r="J203" s="21"/>
      <c r="K203" s="21"/>
      <c r="L203" s="21"/>
      <c r="M203" s="21"/>
      <c r="N203" s="21"/>
      <c r="O203" s="21"/>
      <c r="P203" s="21"/>
      <c r="Q203" s="21"/>
      <c r="R203" s="21"/>
      <c r="S203" s="21"/>
      <c r="T203" s="21"/>
      <c r="U203" s="21"/>
      <c r="V203" s="21"/>
      <c r="W203" s="21"/>
      <c r="X203" s="21"/>
      <c r="Y203" s="21"/>
      <c r="Z203" s="21"/>
      <c r="AA203" s="21"/>
      <c r="AB203" s="21"/>
      <c r="AC203" s="21"/>
    </row>
    <row r="204" spans="1:37" x14ac:dyDescent="0.25">
      <c r="A204" s="19" t="str">
        <f t="shared" si="5"/>
        <v>f1_pcr_ltfu_vax</v>
      </c>
      <c r="B204" s="21"/>
      <c r="C204" s="21"/>
      <c r="E204" s="21"/>
      <c r="F204" s="21"/>
      <c r="G204" s="21" t="s">
        <v>1039</v>
      </c>
      <c r="H204" s="21"/>
      <c r="I204" s="21"/>
      <c r="J204" s="21"/>
      <c r="K204" s="21"/>
      <c r="L204" s="21"/>
      <c r="M204" s="21"/>
      <c r="N204" s="21"/>
      <c r="O204" s="21"/>
      <c r="P204" s="21"/>
      <c r="Q204" s="21"/>
      <c r="R204" s="21"/>
      <c r="S204" s="21"/>
      <c r="T204" s="21"/>
      <c r="U204" s="21"/>
      <c r="V204" s="21"/>
      <c r="W204" s="21"/>
      <c r="X204" s="21"/>
      <c r="Y204" s="21" t="s">
        <v>373</v>
      </c>
      <c r="Z204" s="21"/>
      <c r="AA204" s="21"/>
      <c r="AB204" s="21" t="s">
        <v>351</v>
      </c>
      <c r="AC204" s="21" t="s">
        <v>1236</v>
      </c>
    </row>
    <row r="205" spans="1:37" x14ac:dyDescent="0.25">
      <c r="A205" s="19" t="str">
        <f t="shared" si="5"/>
        <v>f1_pcr_d_vax</v>
      </c>
      <c r="B205" s="21"/>
      <c r="C205" s="21"/>
      <c r="D205" s="21"/>
      <c r="E205" s="21"/>
      <c r="F205" s="21"/>
      <c r="G205" s="21"/>
      <c r="H205" s="21"/>
      <c r="I205" s="21" t="s">
        <v>374</v>
      </c>
      <c r="J205" s="21"/>
      <c r="K205" s="21"/>
      <c r="L205" s="21"/>
      <c r="M205" s="21"/>
      <c r="N205" s="21"/>
      <c r="O205" s="21"/>
      <c r="P205" s="21"/>
      <c r="Q205" s="21"/>
      <c r="R205" s="21"/>
      <c r="S205" s="21"/>
      <c r="T205" s="21"/>
      <c r="U205" s="21"/>
      <c r="V205" s="21"/>
      <c r="W205" s="21"/>
      <c r="X205" s="21" t="s">
        <v>373</v>
      </c>
      <c r="Y205" s="21"/>
      <c r="Z205" s="21"/>
      <c r="AA205" s="21"/>
      <c r="AB205" s="21" t="s">
        <v>351</v>
      </c>
      <c r="AC205" s="21" t="s">
        <v>1236</v>
      </c>
    </row>
    <row r="206" spans="1:37" x14ac:dyDescent="0.25">
      <c r="A206" s="19" t="str">
        <f t="shared" si="5"/>
        <v>f1_t1_vax</v>
      </c>
      <c r="B206" s="21"/>
      <c r="C206" s="21"/>
      <c r="D206" s="21"/>
      <c r="E206" s="21"/>
      <c r="F206" s="21"/>
      <c r="G206" s="21"/>
      <c r="H206" s="21"/>
      <c r="I206" s="21"/>
      <c r="J206" s="21" t="s">
        <v>368</v>
      </c>
      <c r="K206" s="21"/>
      <c r="L206" s="21"/>
      <c r="M206" s="21"/>
      <c r="N206" s="21"/>
      <c r="O206" s="21"/>
      <c r="P206" s="21"/>
      <c r="Q206" s="21"/>
      <c r="R206" s="21"/>
      <c r="S206" s="21"/>
      <c r="T206" s="21"/>
      <c r="U206" s="21"/>
      <c r="V206" s="21"/>
      <c r="W206" s="21"/>
      <c r="X206" s="21"/>
      <c r="Y206" s="21"/>
      <c r="Z206" s="21"/>
      <c r="AA206" s="21"/>
      <c r="AB206" s="21" t="s">
        <v>351</v>
      </c>
      <c r="AC206" s="21" t="s">
        <v>1236</v>
      </c>
    </row>
    <row r="207" spans="1:37" x14ac:dyDescent="0.25">
      <c r="A207" s="18" t="str">
        <f t="shared" si="5"/>
        <v>f1_t1_j_vax</v>
      </c>
      <c r="B207" s="21"/>
      <c r="C207" s="21"/>
      <c r="D207" s="21"/>
      <c r="E207" s="21"/>
      <c r="F207" s="21"/>
      <c r="G207" s="21" t="s">
        <v>369</v>
      </c>
      <c r="H207" s="21"/>
      <c r="I207" s="21"/>
      <c r="J207" s="21"/>
      <c r="L207" s="21"/>
      <c r="M207" s="21"/>
      <c r="N207" s="21" t="s">
        <v>370</v>
      </c>
      <c r="O207" s="21"/>
      <c r="P207" s="21"/>
      <c r="Q207" s="21"/>
      <c r="R207" s="21"/>
      <c r="S207" s="21"/>
      <c r="T207" s="21"/>
      <c r="U207" s="21"/>
      <c r="V207" s="21"/>
      <c r="W207" s="21"/>
      <c r="X207" s="21"/>
      <c r="Y207" s="21"/>
      <c r="Z207" s="21"/>
      <c r="AA207" s="21"/>
      <c r="AB207" s="21"/>
      <c r="AC207" s="21"/>
    </row>
    <row r="208" spans="1:37" x14ac:dyDescent="0.25">
      <c r="A208" s="18" t="str">
        <f t="shared" si="5"/>
        <v>f1_t1ltf_j_vax</v>
      </c>
      <c r="B208" s="21"/>
      <c r="C208" s="21"/>
      <c r="D208" s="21"/>
      <c r="E208" s="21"/>
      <c r="F208" s="21"/>
      <c r="G208" s="21"/>
      <c r="H208" s="21"/>
      <c r="I208" s="21"/>
      <c r="J208" s="21"/>
      <c r="K208" s="21"/>
      <c r="L208" s="21" t="s">
        <v>371</v>
      </c>
      <c r="M208" s="21" t="s">
        <v>1053</v>
      </c>
      <c r="N208" s="21"/>
      <c r="O208" s="21"/>
      <c r="P208" s="21"/>
      <c r="Q208" s="21"/>
      <c r="R208" s="21"/>
      <c r="S208" s="21"/>
      <c r="T208" s="21"/>
      <c r="U208" s="21"/>
      <c r="V208" s="21"/>
      <c r="W208" s="21"/>
      <c r="X208" s="21"/>
      <c r="Y208" s="21"/>
      <c r="Z208" s="21"/>
      <c r="AA208" s="21"/>
      <c r="AB208" s="21"/>
      <c r="AC208" s="21"/>
    </row>
    <row r="209" spans="1:37" x14ac:dyDescent="0.25">
      <c r="A209" s="19" t="str">
        <f t="shared" si="5"/>
        <v>f1_ft1_vax</v>
      </c>
      <c r="B209" s="21"/>
      <c r="C209" s="21"/>
      <c r="D209" s="21"/>
      <c r="E209" s="21"/>
      <c r="F209" s="21"/>
      <c r="G209" s="21"/>
      <c r="H209" s="21"/>
      <c r="I209" s="21"/>
      <c r="J209" s="21"/>
      <c r="K209" s="21"/>
      <c r="L209" s="21"/>
      <c r="M209" s="21"/>
      <c r="N209" s="21"/>
      <c r="O209" s="21"/>
      <c r="P209" s="21"/>
      <c r="Q209" s="21" t="s">
        <v>375</v>
      </c>
      <c r="R209" s="21"/>
      <c r="S209" s="21"/>
      <c r="T209" s="21"/>
      <c r="U209" s="21"/>
      <c r="V209" s="21"/>
      <c r="W209" s="21"/>
      <c r="X209" s="21"/>
      <c r="Y209" s="21"/>
      <c r="Z209" s="21"/>
      <c r="AA209" s="21"/>
      <c r="AB209" s="21" t="s">
        <v>351</v>
      </c>
      <c r="AC209" s="21" t="s">
        <v>1236</v>
      </c>
    </row>
    <row r="210" spans="1:37" x14ac:dyDescent="0.25">
      <c r="A210" s="19" t="str">
        <f t="shared" si="5"/>
        <v>f1_ft1_ltfu_vax</v>
      </c>
      <c r="C210" s="21"/>
      <c r="E210" s="21"/>
      <c r="F210" s="21"/>
      <c r="G210" s="21"/>
      <c r="H210" s="21"/>
      <c r="I210" s="21"/>
      <c r="J210" s="21"/>
      <c r="K210" s="21"/>
      <c r="L210" s="21" t="s">
        <v>1041</v>
      </c>
      <c r="M210" s="21"/>
      <c r="N210" s="21"/>
      <c r="O210" s="21"/>
      <c r="P210" s="21"/>
      <c r="Q210" s="21"/>
      <c r="R210" s="21"/>
      <c r="S210" s="21"/>
      <c r="T210" s="21"/>
      <c r="U210" s="21"/>
      <c r="V210" s="21"/>
      <c r="W210" s="21"/>
      <c r="X210" s="21"/>
      <c r="Y210" s="21"/>
      <c r="Z210" s="21" t="s">
        <v>373</v>
      </c>
      <c r="AA210" s="21"/>
      <c r="AB210" s="21" t="s">
        <v>351</v>
      </c>
      <c r="AC210" s="21" t="s">
        <v>1236</v>
      </c>
    </row>
    <row r="211" spans="1:37" x14ac:dyDescent="0.25">
      <c r="A211" s="19" t="str">
        <f t="shared" si="5"/>
        <v>s1_vax</v>
      </c>
      <c r="B211" s="21"/>
      <c r="C211" s="21"/>
      <c r="D211" s="21"/>
      <c r="E211" s="21"/>
      <c r="F211" s="21"/>
      <c r="G211" s="21"/>
      <c r="H211" s="21"/>
      <c r="I211" s="21"/>
      <c r="J211" s="21"/>
      <c r="K211" s="21"/>
      <c r="L211" s="21"/>
      <c r="M211" s="21"/>
      <c r="N211" s="21"/>
      <c r="O211" s="104" t="s">
        <v>1573</v>
      </c>
      <c r="P211" s="21"/>
      <c r="Q211" s="21"/>
      <c r="R211" s="21"/>
      <c r="S211" s="21"/>
      <c r="T211" s="21"/>
      <c r="U211" s="21"/>
      <c r="V211" s="21"/>
      <c r="W211" s="21"/>
      <c r="X211" s="21"/>
      <c r="Y211" s="21"/>
      <c r="Z211" s="21"/>
      <c r="AA211" s="21"/>
      <c r="AB211" s="21" t="s">
        <v>351</v>
      </c>
      <c r="AC211" s="21" t="s">
        <v>1236</v>
      </c>
    </row>
    <row r="212" spans="1:37" x14ac:dyDescent="0.25">
      <c r="A212" s="19" t="str">
        <f t="shared" si="5"/>
        <v>f1_acute_vax</v>
      </c>
      <c r="B212" s="21"/>
      <c r="C212" s="21"/>
      <c r="D212" s="21"/>
      <c r="E212" s="21"/>
      <c r="F212" s="21"/>
      <c r="G212" s="21"/>
      <c r="H212" s="21"/>
      <c r="I212" s="21"/>
      <c r="J212" s="21"/>
      <c r="K212" s="21"/>
      <c r="L212" s="21"/>
      <c r="M212" s="21"/>
      <c r="N212" s="21"/>
      <c r="O212" s="21"/>
      <c r="P212" s="103" t="s">
        <v>1437</v>
      </c>
      <c r="Q212" s="21"/>
      <c r="R212" s="21"/>
      <c r="S212" s="21"/>
      <c r="T212" s="21"/>
      <c r="U212" s="21"/>
      <c r="V212" s="21"/>
      <c r="W212" s="21"/>
      <c r="X212" s="21"/>
      <c r="Y212" s="21"/>
      <c r="Z212" s="21"/>
      <c r="AA212" s="21"/>
      <c r="AB212" s="21" t="s">
        <v>351</v>
      </c>
      <c r="AC212" s="21" t="s">
        <v>1236</v>
      </c>
    </row>
    <row r="213" spans="1:37" x14ac:dyDescent="0.25">
      <c r="A213" s="18" t="str">
        <f t="shared" si="5"/>
        <v>f1_clear_j_vax</v>
      </c>
      <c r="B213" s="21"/>
      <c r="C213" s="21"/>
      <c r="D213" s="103" t="s">
        <v>1433</v>
      </c>
      <c r="E213" s="21"/>
      <c r="F213" s="21"/>
      <c r="G213" s="21"/>
      <c r="H213" s="21"/>
      <c r="I213" s="21"/>
      <c r="J213" s="21"/>
      <c r="K213" s="21"/>
      <c r="L213" s="21"/>
      <c r="M213" s="21"/>
      <c r="N213" s="103" t="s">
        <v>1432</v>
      </c>
      <c r="O213" s="21"/>
      <c r="P213" s="21"/>
      <c r="Q213" s="21"/>
      <c r="R213" s="21"/>
      <c r="S213" s="21"/>
      <c r="T213" s="21"/>
      <c r="U213" s="21"/>
      <c r="V213" s="21"/>
      <c r="W213" s="21"/>
      <c r="X213" s="21"/>
      <c r="Y213" s="21"/>
      <c r="Z213" s="21"/>
      <c r="AA213" s="21"/>
      <c r="AB213" s="21"/>
      <c r="AC213" s="21"/>
    </row>
    <row r="214" spans="1:37" x14ac:dyDescent="0.25">
      <c r="A214" s="19" t="str">
        <f t="shared" si="5"/>
        <v>f1_t2_vax</v>
      </c>
      <c r="B214" s="21"/>
      <c r="C214" s="21"/>
      <c r="D214" s="21"/>
      <c r="E214" s="21"/>
      <c r="F214" s="21"/>
      <c r="G214" s="21"/>
      <c r="H214" s="21"/>
      <c r="I214" s="21"/>
      <c r="J214" s="21"/>
      <c r="K214" s="21"/>
      <c r="L214" s="21"/>
      <c r="M214" s="21"/>
      <c r="N214" s="21"/>
      <c r="O214" s="21"/>
      <c r="P214" s="21"/>
      <c r="Q214" s="21"/>
      <c r="R214" s="21" t="s">
        <v>368</v>
      </c>
      <c r="S214" s="21"/>
      <c r="T214" s="21"/>
      <c r="U214" s="21"/>
      <c r="V214" s="21"/>
      <c r="W214" s="21"/>
      <c r="X214" s="21"/>
      <c r="Y214" s="21"/>
      <c r="Z214" s="21"/>
      <c r="AA214" s="21"/>
      <c r="AB214" s="21" t="s">
        <v>351</v>
      </c>
      <c r="AC214" s="21" t="s">
        <v>1236</v>
      </c>
    </row>
    <row r="215" spans="1:37" x14ac:dyDescent="0.25">
      <c r="A215" s="18" t="str">
        <f t="shared" si="5"/>
        <v>f1_t2_j_vax</v>
      </c>
      <c r="B215" s="21"/>
      <c r="C215" s="21"/>
      <c r="D215" s="21"/>
      <c r="E215" s="21"/>
      <c r="F215" s="21"/>
      <c r="G215" s="21"/>
      <c r="H215" s="21"/>
      <c r="I215" s="21"/>
      <c r="J215" s="21"/>
      <c r="K215" s="21"/>
      <c r="L215" s="21" t="s">
        <v>369</v>
      </c>
      <c r="M215" s="21"/>
      <c r="N215" s="21" t="s">
        <v>370</v>
      </c>
      <c r="O215" s="21"/>
      <c r="P215" s="21"/>
      <c r="Q215" s="21"/>
      <c r="R215" s="21"/>
      <c r="T215" s="21"/>
      <c r="U215" s="21"/>
      <c r="V215" s="21"/>
      <c r="W215" s="21"/>
      <c r="X215" s="21"/>
      <c r="Y215" s="21"/>
      <c r="Z215" s="21"/>
      <c r="AA215" s="21"/>
      <c r="AB215" s="21"/>
      <c r="AC215" s="21"/>
    </row>
    <row r="216" spans="1:37" x14ac:dyDescent="0.25">
      <c r="A216" s="19" t="str">
        <f t="shared" si="5"/>
        <v>f1_ft2_vax</v>
      </c>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c r="AA216" s="21" t="s">
        <v>373</v>
      </c>
      <c r="AB216" s="21" t="s">
        <v>351</v>
      </c>
      <c r="AC216" s="21" t="s">
        <v>1236</v>
      </c>
    </row>
    <row r="218" spans="1:37" x14ac:dyDescent="0.25">
      <c r="A218" s="22"/>
      <c r="B218" s="19" t="str">
        <f>B55&amp;"_vax"</f>
        <v>f2_ab_ud_vax</v>
      </c>
      <c r="C218" s="18" t="str">
        <f t="shared" ref="C218:AA218" si="6">C55&amp;"_vax"</f>
        <v>f2_ab_ltfu_j_vax</v>
      </c>
      <c r="D218" s="19" t="str">
        <f t="shared" si="6"/>
        <v>f2_ab_d_vax</v>
      </c>
      <c r="E218" s="19" t="str">
        <f t="shared" si="6"/>
        <v>f2_ab_ltfu_vax</v>
      </c>
      <c r="F218" s="18" t="str">
        <f t="shared" si="6"/>
        <v>f2_pcr_ltfu_j_vax</v>
      </c>
      <c r="G218" s="19" t="str">
        <f t="shared" si="6"/>
        <v>f2_pcr_d_vax</v>
      </c>
      <c r="H218" s="19" t="str">
        <f t="shared" si="6"/>
        <v>f2_pcr_ltfu_vax</v>
      </c>
      <c r="I218" s="19" t="str">
        <f t="shared" si="6"/>
        <v>f2_t1_vax</v>
      </c>
      <c r="J218" s="18" t="str">
        <f t="shared" si="6"/>
        <v>f2_t1_j_vax</v>
      </c>
      <c r="K218" s="18" t="str">
        <f t="shared" si="6"/>
        <v>f2_t1ltf_j_vax</v>
      </c>
      <c r="L218" s="19" t="str">
        <f t="shared" si="6"/>
        <v>f2_ft1_vax</v>
      </c>
      <c r="M218" s="19" t="str">
        <f t="shared" si="6"/>
        <v>f2_ft1_ltfu_vax</v>
      </c>
      <c r="N218" s="19" t="str">
        <f t="shared" si="6"/>
        <v>s2_vax</v>
      </c>
      <c r="O218" s="19" t="str">
        <f t="shared" si="6"/>
        <v>f2_acute_vax</v>
      </c>
      <c r="P218" s="18" t="str">
        <f t="shared" si="6"/>
        <v>f2_clear_j_vax</v>
      </c>
      <c r="Q218" s="19" t="str">
        <f t="shared" si="6"/>
        <v>f2_t2_vax</v>
      </c>
      <c r="R218" s="18" t="str">
        <f t="shared" si="6"/>
        <v>f2_t2_j_vax</v>
      </c>
      <c r="S218" s="19" t="str">
        <f t="shared" si="6"/>
        <v>f2_ft2_vax</v>
      </c>
      <c r="T218" s="19" t="str">
        <f t="shared" si="6"/>
        <v>f3_ab_ud_vax</v>
      </c>
      <c r="U218" s="19" t="str">
        <f t="shared" si="6"/>
        <v>f3_ud_ltc_vax</v>
      </c>
      <c r="V218" s="19" t="str">
        <f t="shared" si="6"/>
        <v>f3_ab_d_vax</v>
      </c>
      <c r="W218" s="19" t="str">
        <f t="shared" si="6"/>
        <v>f3_ab_ltfu_vax</v>
      </c>
      <c r="X218" s="19" t="str">
        <f t="shared" si="6"/>
        <v>f3_pcr_d_vax</v>
      </c>
      <c r="Y218" s="19" t="str">
        <f t="shared" si="6"/>
        <v>f3_pcr_ltfu_vax</v>
      </c>
      <c r="Z218" s="19" t="str">
        <f t="shared" si="6"/>
        <v>f3_ft1_ltfu_vax</v>
      </c>
      <c r="AA218" s="19" t="str">
        <f t="shared" si="6"/>
        <v>f3_ft2_vax</v>
      </c>
      <c r="AB218" s="89" t="s">
        <v>340</v>
      </c>
      <c r="AC218" s="89" t="s">
        <v>1244</v>
      </c>
      <c r="AD218" s="3"/>
      <c r="AE218" s="3"/>
      <c r="AF218" s="3"/>
      <c r="AG218" s="3"/>
      <c r="AH218" s="3"/>
      <c r="AI218" s="3"/>
      <c r="AJ218" s="3"/>
      <c r="AK218" s="3"/>
    </row>
    <row r="219" spans="1:37" x14ac:dyDescent="0.25">
      <c r="A219" s="19" t="str">
        <f t="shared" ref="A219:A237" si="7">A56&amp;"_vax"</f>
        <v>f2_ab_ud_vax</v>
      </c>
      <c r="B219" s="20"/>
      <c r="C219" s="20" t="s">
        <v>359</v>
      </c>
      <c r="D219" s="20"/>
      <c r="E219" s="21"/>
      <c r="F219" s="20"/>
      <c r="G219" s="20" t="s">
        <v>360</v>
      </c>
      <c r="H219" s="21"/>
      <c r="I219" s="21"/>
      <c r="J219" s="21"/>
      <c r="K219" s="21"/>
      <c r="L219" s="21"/>
      <c r="M219" s="21"/>
      <c r="N219" s="21"/>
      <c r="O219" s="21"/>
      <c r="P219" s="21"/>
      <c r="Q219" s="21"/>
      <c r="R219" s="21"/>
      <c r="S219" s="21"/>
      <c r="T219" s="21" t="s">
        <v>376</v>
      </c>
      <c r="U219" s="21"/>
      <c r="V219" s="21"/>
      <c r="W219" s="21"/>
      <c r="X219" s="21"/>
      <c r="Y219" s="21"/>
      <c r="Z219" s="21"/>
      <c r="AA219" s="21"/>
      <c r="AB219" s="21" t="s">
        <v>351</v>
      </c>
      <c r="AC219" s="21" t="s">
        <v>1236</v>
      </c>
    </row>
    <row r="220" spans="1:37" x14ac:dyDescent="0.25">
      <c r="A220" s="19" t="str">
        <f t="shared" si="7"/>
        <v>f2_ud_ltc_vax</v>
      </c>
      <c r="B220" s="20"/>
      <c r="C220" s="20" t="s">
        <v>362</v>
      </c>
      <c r="D220" s="20"/>
      <c r="E220" s="21"/>
      <c r="F220" s="21"/>
      <c r="G220" s="21" t="s">
        <v>363</v>
      </c>
      <c r="H220" s="21"/>
      <c r="I220" s="21"/>
      <c r="J220" s="21"/>
      <c r="K220" s="21"/>
      <c r="L220" s="21"/>
      <c r="M220" s="21"/>
      <c r="N220" s="21"/>
      <c r="O220" s="21"/>
      <c r="P220" s="21"/>
      <c r="Q220" s="21"/>
      <c r="R220" s="21"/>
      <c r="S220" s="21"/>
      <c r="T220" s="21"/>
      <c r="U220" s="21" t="s">
        <v>376</v>
      </c>
      <c r="V220" s="21"/>
      <c r="W220" s="21"/>
      <c r="X220" s="21"/>
      <c r="Y220" s="21"/>
      <c r="Z220" s="21"/>
      <c r="AA220" s="21"/>
      <c r="AB220" s="21" t="s">
        <v>351</v>
      </c>
      <c r="AC220" s="21" t="s">
        <v>1236</v>
      </c>
    </row>
    <row r="221" spans="1:37" x14ac:dyDescent="0.25">
      <c r="A221" s="18" t="str">
        <f t="shared" si="7"/>
        <v>f2_ab_ltfu_j_vax</v>
      </c>
      <c r="B221" s="21"/>
      <c r="C221" s="21"/>
      <c r="D221" s="21" t="s">
        <v>364</v>
      </c>
      <c r="E221" s="21" t="s">
        <v>1045</v>
      </c>
      <c r="F221" s="21"/>
      <c r="G221" s="21"/>
      <c r="H221" s="21"/>
      <c r="I221" s="21"/>
      <c r="J221" s="21"/>
      <c r="K221" s="21"/>
      <c r="L221" s="21"/>
      <c r="M221" s="21"/>
      <c r="N221" s="21"/>
      <c r="O221" s="21"/>
      <c r="P221" s="21"/>
      <c r="Q221" s="21"/>
      <c r="R221" s="21"/>
      <c r="S221" s="21"/>
      <c r="T221" s="21"/>
      <c r="U221" s="21"/>
      <c r="V221" s="21"/>
      <c r="W221" s="21"/>
      <c r="X221" s="21"/>
      <c r="Y221" s="21"/>
      <c r="Z221" s="21"/>
      <c r="AA221" s="21"/>
      <c r="AB221" s="21"/>
      <c r="AC221" s="21"/>
    </row>
    <row r="222" spans="1:37" x14ac:dyDescent="0.25">
      <c r="A222" s="19" t="str">
        <f t="shared" si="7"/>
        <v>f2_ab_ltfu_vax</v>
      </c>
      <c r="B222" s="21"/>
      <c r="C222" s="21"/>
      <c r="D222" s="21" t="s">
        <v>1037</v>
      </c>
      <c r="E222" s="21"/>
      <c r="F222" s="21" t="s">
        <v>1043</v>
      </c>
      <c r="G222" s="21"/>
      <c r="H222" s="21"/>
      <c r="I222" s="21"/>
      <c r="J222" s="21"/>
      <c r="K222" s="21"/>
      <c r="L222" s="21"/>
      <c r="M222" s="21"/>
      <c r="N222" s="21"/>
      <c r="O222" s="21"/>
      <c r="P222" s="21"/>
      <c r="Q222" s="21"/>
      <c r="R222" s="21"/>
      <c r="S222" s="21"/>
      <c r="T222" s="21"/>
      <c r="U222" s="21"/>
      <c r="V222" s="21"/>
      <c r="W222" s="21" t="s">
        <v>376</v>
      </c>
      <c r="X222" s="21"/>
      <c r="Y222" s="21"/>
      <c r="Z222" s="21"/>
      <c r="AA222" s="21"/>
      <c r="AB222" s="21" t="s">
        <v>351</v>
      </c>
      <c r="AC222" s="21" t="s">
        <v>1236</v>
      </c>
    </row>
    <row r="223" spans="1:37" x14ac:dyDescent="0.25">
      <c r="A223" s="19" t="str">
        <f t="shared" si="7"/>
        <v>f2_ab_d_vax</v>
      </c>
      <c r="B223" s="21"/>
      <c r="C223" s="21"/>
      <c r="D223" s="21"/>
      <c r="E223" s="21"/>
      <c r="F223" s="20" t="s">
        <v>365</v>
      </c>
      <c r="G223" s="21"/>
      <c r="H223" s="21"/>
      <c r="I223" s="21"/>
      <c r="J223" s="21"/>
      <c r="K223" s="21"/>
      <c r="L223" s="21"/>
      <c r="M223" s="21"/>
      <c r="N223" s="21"/>
      <c r="O223" s="21"/>
      <c r="P223" s="21"/>
      <c r="Q223" s="21"/>
      <c r="R223" s="21"/>
      <c r="S223" s="21"/>
      <c r="T223" s="21"/>
      <c r="U223" s="21"/>
      <c r="V223" s="21" t="s">
        <v>376</v>
      </c>
      <c r="W223" s="21"/>
      <c r="X223" s="21"/>
      <c r="Y223" s="21"/>
      <c r="Z223" s="21"/>
      <c r="AA223" s="21"/>
      <c r="AB223" s="21" t="s">
        <v>351</v>
      </c>
      <c r="AC223" s="21" t="s">
        <v>1236</v>
      </c>
    </row>
    <row r="224" spans="1:37" x14ac:dyDescent="0.25">
      <c r="A224" s="18" t="str">
        <f t="shared" si="7"/>
        <v>f2_pcr_ltfu_j_vax</v>
      </c>
      <c r="B224" s="21"/>
      <c r="C224" s="21"/>
      <c r="D224" s="21"/>
      <c r="E224" s="21"/>
      <c r="F224" s="21"/>
      <c r="G224" s="21" t="s">
        <v>366</v>
      </c>
      <c r="H224" s="21" t="s">
        <v>1051</v>
      </c>
      <c r="I224" s="21"/>
      <c r="J224" s="21"/>
      <c r="K224" s="21"/>
      <c r="L224" s="21"/>
      <c r="M224" s="21"/>
      <c r="N224" s="21"/>
      <c r="O224" s="21"/>
      <c r="P224" s="21"/>
      <c r="Q224" s="21"/>
      <c r="R224" s="21"/>
      <c r="S224" s="21"/>
      <c r="T224" s="21"/>
      <c r="U224" s="21"/>
      <c r="V224" s="21"/>
      <c r="W224" s="21"/>
      <c r="X224" s="21"/>
      <c r="Y224" s="21"/>
      <c r="Z224" s="21"/>
      <c r="AA224" s="21"/>
      <c r="AB224" s="21"/>
      <c r="AC224" s="21"/>
    </row>
    <row r="225" spans="1:37" x14ac:dyDescent="0.25">
      <c r="A225" s="19" t="str">
        <f t="shared" si="7"/>
        <v>f2_pcr_ltfu_vax</v>
      </c>
      <c r="B225" s="21"/>
      <c r="C225" s="21"/>
      <c r="D225" s="21"/>
      <c r="E225" s="21"/>
      <c r="F225" s="21"/>
      <c r="G225" s="21" t="s">
        <v>1039</v>
      </c>
      <c r="H225" s="21"/>
      <c r="I225" s="21"/>
      <c r="J225" s="21"/>
      <c r="K225" s="21"/>
      <c r="L225" s="21"/>
      <c r="M225" s="21"/>
      <c r="N225" s="21"/>
      <c r="O225" s="21"/>
      <c r="P225" s="21"/>
      <c r="Q225" s="21"/>
      <c r="R225" s="21"/>
      <c r="S225" s="21"/>
      <c r="T225" s="21"/>
      <c r="U225" s="21"/>
      <c r="V225" s="21"/>
      <c r="W225" s="21"/>
      <c r="X225" s="21"/>
      <c r="Y225" s="21" t="s">
        <v>376</v>
      </c>
      <c r="Z225" s="21"/>
      <c r="AA225" s="21"/>
      <c r="AB225" s="21" t="s">
        <v>351</v>
      </c>
      <c r="AC225" s="21" t="s">
        <v>1236</v>
      </c>
    </row>
    <row r="226" spans="1:37" x14ac:dyDescent="0.25">
      <c r="A226" s="19" t="str">
        <f t="shared" si="7"/>
        <v>f2_pcr_d_vax</v>
      </c>
      <c r="B226" s="21"/>
      <c r="C226" s="21"/>
      <c r="D226" s="21"/>
      <c r="E226" s="21"/>
      <c r="F226" s="21"/>
      <c r="G226" s="21"/>
      <c r="H226" s="21"/>
      <c r="I226" s="21" t="s">
        <v>377</v>
      </c>
      <c r="J226" s="21"/>
      <c r="K226" s="21"/>
      <c r="L226" s="21"/>
      <c r="M226" s="21"/>
      <c r="N226" s="21"/>
      <c r="O226" s="21"/>
      <c r="P226" s="21"/>
      <c r="Q226" s="21"/>
      <c r="R226" s="21"/>
      <c r="S226" s="21"/>
      <c r="T226" s="21"/>
      <c r="U226" s="21"/>
      <c r="V226" s="21"/>
      <c r="W226" s="21"/>
      <c r="X226" s="21" t="s">
        <v>376</v>
      </c>
      <c r="Y226" s="21"/>
      <c r="Z226" s="21"/>
      <c r="AA226" s="21"/>
      <c r="AB226" s="21" t="s">
        <v>351</v>
      </c>
      <c r="AC226" s="21" t="s">
        <v>1236</v>
      </c>
    </row>
    <row r="227" spans="1:37" x14ac:dyDescent="0.25">
      <c r="A227" s="19" t="str">
        <f t="shared" si="7"/>
        <v>f2_t1_vax</v>
      </c>
      <c r="B227" s="21"/>
      <c r="C227" s="21"/>
      <c r="D227" s="21"/>
      <c r="E227" s="21"/>
      <c r="F227" s="21"/>
      <c r="G227" s="21"/>
      <c r="H227" s="21"/>
      <c r="I227" s="21"/>
      <c r="J227" s="21" t="s">
        <v>368</v>
      </c>
      <c r="K227" s="21"/>
      <c r="L227" s="21"/>
      <c r="M227" s="21"/>
      <c r="N227" s="21"/>
      <c r="O227" s="21"/>
      <c r="P227" s="21"/>
      <c r="Q227" s="21"/>
      <c r="R227" s="21"/>
      <c r="S227" s="21"/>
      <c r="T227" s="21"/>
      <c r="U227" s="21"/>
      <c r="V227" s="21"/>
      <c r="W227" s="21"/>
      <c r="X227" s="21"/>
      <c r="Y227" s="21"/>
      <c r="Z227" s="21"/>
      <c r="AA227" s="21"/>
      <c r="AB227" s="21" t="s">
        <v>351</v>
      </c>
      <c r="AC227" s="21" t="s">
        <v>1236</v>
      </c>
    </row>
    <row r="228" spans="1:37" x14ac:dyDescent="0.25">
      <c r="A228" s="18" t="str">
        <f t="shared" si="7"/>
        <v>f2_t1_j_vax</v>
      </c>
      <c r="B228" s="21"/>
      <c r="C228" s="21"/>
      <c r="D228" s="21"/>
      <c r="E228" s="21"/>
      <c r="F228" s="21"/>
      <c r="G228" s="21" t="s">
        <v>369</v>
      </c>
      <c r="H228" s="21"/>
      <c r="I228" s="21"/>
      <c r="J228" s="21"/>
      <c r="L228" s="21"/>
      <c r="M228" s="21"/>
      <c r="N228" s="21" t="s">
        <v>370</v>
      </c>
      <c r="O228" s="21"/>
      <c r="P228" s="21"/>
      <c r="Q228" s="21"/>
      <c r="R228" s="21"/>
      <c r="S228" s="21"/>
      <c r="T228" s="21"/>
      <c r="U228" s="21"/>
      <c r="V228" s="21"/>
      <c r="W228" s="21"/>
      <c r="X228" s="21"/>
      <c r="Y228" s="21"/>
      <c r="Z228" s="21"/>
      <c r="AA228" s="21"/>
      <c r="AB228" s="21"/>
      <c r="AC228" s="21"/>
    </row>
    <row r="229" spans="1:37" x14ac:dyDescent="0.25">
      <c r="A229" s="18" t="str">
        <f t="shared" si="7"/>
        <v>f2_t1ltf_j_vax</v>
      </c>
      <c r="B229" s="21"/>
      <c r="C229" s="21"/>
      <c r="D229" s="21"/>
      <c r="E229" s="21"/>
      <c r="F229" s="21"/>
      <c r="G229" s="21"/>
      <c r="H229" s="21"/>
      <c r="I229" s="21"/>
      <c r="J229" s="21"/>
      <c r="K229" s="21"/>
      <c r="L229" s="21" t="s">
        <v>371</v>
      </c>
      <c r="M229" s="21" t="s">
        <v>1053</v>
      </c>
      <c r="N229" s="21"/>
      <c r="O229" s="21"/>
      <c r="P229" s="21"/>
      <c r="Q229" s="21"/>
      <c r="R229" s="21"/>
      <c r="S229" s="21"/>
      <c r="T229" s="21"/>
      <c r="U229" s="21"/>
      <c r="V229" s="21"/>
      <c r="W229" s="21"/>
      <c r="X229" s="21"/>
      <c r="Y229" s="21"/>
      <c r="Z229" s="21"/>
      <c r="AA229" s="21"/>
      <c r="AB229" s="21"/>
      <c r="AC229" s="21"/>
    </row>
    <row r="230" spans="1:37" x14ac:dyDescent="0.25">
      <c r="A230" s="19" t="str">
        <f t="shared" si="7"/>
        <v>f2_ft1_vax</v>
      </c>
      <c r="B230" s="21"/>
      <c r="C230" s="21"/>
      <c r="D230" s="21"/>
      <c r="E230" s="21"/>
      <c r="F230" s="21"/>
      <c r="G230" s="21"/>
      <c r="H230" s="21"/>
      <c r="I230" s="21"/>
      <c r="J230" s="21"/>
      <c r="K230" s="21"/>
      <c r="L230" s="21"/>
      <c r="M230" s="21"/>
      <c r="N230" s="21"/>
      <c r="O230" s="21"/>
      <c r="P230" s="21"/>
      <c r="Q230" s="21" t="s">
        <v>378</v>
      </c>
      <c r="R230" s="21"/>
      <c r="S230" s="21"/>
      <c r="T230" s="21"/>
      <c r="U230" s="21"/>
      <c r="V230" s="21"/>
      <c r="W230" s="21"/>
      <c r="X230" s="21"/>
      <c r="Y230" s="21"/>
      <c r="Z230" s="21"/>
      <c r="AA230" s="21"/>
      <c r="AB230" s="21" t="s">
        <v>351</v>
      </c>
      <c r="AC230" s="21" t="s">
        <v>1236</v>
      </c>
    </row>
    <row r="231" spans="1:37" x14ac:dyDescent="0.25">
      <c r="A231" s="19" t="str">
        <f t="shared" si="7"/>
        <v>f2_ft1_ltfu_vax</v>
      </c>
      <c r="C231" s="21"/>
      <c r="E231" s="21"/>
      <c r="F231" s="21"/>
      <c r="G231" s="21"/>
      <c r="H231" s="21"/>
      <c r="I231" s="21"/>
      <c r="J231" s="21"/>
      <c r="K231" s="21"/>
      <c r="L231" s="21" t="s">
        <v>1041</v>
      </c>
      <c r="M231" s="21"/>
      <c r="N231" s="21"/>
      <c r="O231" s="21"/>
      <c r="P231" s="21"/>
      <c r="Q231" s="21"/>
      <c r="R231" s="21"/>
      <c r="S231" s="21"/>
      <c r="T231" s="21"/>
      <c r="U231" s="21"/>
      <c r="V231" s="21"/>
      <c r="W231" s="21"/>
      <c r="X231" s="21"/>
      <c r="Y231" s="21"/>
      <c r="Z231" s="21" t="s">
        <v>376</v>
      </c>
      <c r="AA231" s="21"/>
      <c r="AB231" s="21" t="s">
        <v>351</v>
      </c>
      <c r="AC231" s="21" t="s">
        <v>1236</v>
      </c>
    </row>
    <row r="232" spans="1:37" x14ac:dyDescent="0.25">
      <c r="A232" s="19" t="str">
        <f t="shared" si="7"/>
        <v>s2_vax</v>
      </c>
      <c r="B232" s="21"/>
      <c r="C232" s="21"/>
      <c r="D232" s="21"/>
      <c r="E232" s="21"/>
      <c r="F232" s="21"/>
      <c r="G232" s="21"/>
      <c r="H232" s="21"/>
      <c r="I232" s="21"/>
      <c r="J232" s="21"/>
      <c r="K232" s="21"/>
      <c r="M232" s="21"/>
      <c r="N232" s="21"/>
      <c r="O232" s="104" t="s">
        <v>1573</v>
      </c>
      <c r="P232" s="21"/>
      <c r="Q232" s="21"/>
      <c r="R232" s="21"/>
      <c r="S232" s="21"/>
      <c r="T232" s="21"/>
      <c r="U232" s="21"/>
      <c r="V232" s="21"/>
      <c r="W232" s="21"/>
      <c r="X232" s="21"/>
      <c r="Y232" s="21"/>
      <c r="Z232" s="21"/>
      <c r="AA232" s="21"/>
      <c r="AB232" s="21" t="s">
        <v>351</v>
      </c>
      <c r="AC232" s="21" t="s">
        <v>1236</v>
      </c>
    </row>
    <row r="233" spans="1:37" x14ac:dyDescent="0.25">
      <c r="A233" s="19" t="str">
        <f t="shared" si="7"/>
        <v>f2_acute_vax</v>
      </c>
      <c r="B233" s="21"/>
      <c r="C233" s="21"/>
      <c r="D233" s="21"/>
      <c r="E233" s="21"/>
      <c r="F233" s="21"/>
      <c r="G233" s="21"/>
      <c r="H233" s="21"/>
      <c r="I233" s="21"/>
      <c r="J233" s="21"/>
      <c r="K233" s="21"/>
      <c r="L233" s="21"/>
      <c r="M233" s="21"/>
      <c r="N233" s="21"/>
      <c r="O233" s="21"/>
      <c r="P233" s="103" t="s">
        <v>1437</v>
      </c>
      <c r="Q233" s="21"/>
      <c r="R233" s="21"/>
      <c r="S233" s="21"/>
      <c r="T233" s="21"/>
      <c r="U233" s="21"/>
      <c r="V233" s="21"/>
      <c r="W233" s="21"/>
      <c r="X233" s="21"/>
      <c r="Y233" s="21"/>
      <c r="Z233" s="21"/>
      <c r="AA233" s="21"/>
      <c r="AB233" s="21" t="s">
        <v>351</v>
      </c>
      <c r="AC233" s="21" t="s">
        <v>1236</v>
      </c>
    </row>
    <row r="234" spans="1:37" x14ac:dyDescent="0.25">
      <c r="A234" s="18" t="str">
        <f t="shared" si="7"/>
        <v>f2_clear_j_vax</v>
      </c>
      <c r="B234" s="21"/>
      <c r="C234" s="21"/>
      <c r="D234" s="103" t="s">
        <v>1433</v>
      </c>
      <c r="E234" s="21"/>
      <c r="F234" s="21"/>
      <c r="G234" s="21"/>
      <c r="H234" s="21"/>
      <c r="I234" s="21"/>
      <c r="J234" s="21"/>
      <c r="K234" s="21"/>
      <c r="L234" s="21"/>
      <c r="M234" s="21"/>
      <c r="N234" s="103" t="s">
        <v>1432</v>
      </c>
      <c r="O234" s="21"/>
      <c r="P234" s="21"/>
      <c r="Q234" s="21"/>
      <c r="R234" s="21"/>
      <c r="S234" s="21"/>
      <c r="T234" s="21"/>
      <c r="U234" s="21"/>
      <c r="V234" s="21"/>
      <c r="W234" s="21"/>
      <c r="X234" s="21"/>
      <c r="Y234" s="21"/>
      <c r="Z234" s="21"/>
      <c r="AA234" s="21"/>
      <c r="AB234" s="21"/>
      <c r="AC234" s="21"/>
    </row>
    <row r="235" spans="1:37" x14ac:dyDescent="0.25">
      <c r="A235" s="19" t="str">
        <f t="shared" si="7"/>
        <v>f2_t2_vax</v>
      </c>
      <c r="B235" s="21"/>
      <c r="C235" s="21"/>
      <c r="D235" s="21"/>
      <c r="E235" s="21"/>
      <c r="F235" s="21"/>
      <c r="G235" s="21"/>
      <c r="H235" s="21"/>
      <c r="I235" s="21"/>
      <c r="J235" s="21"/>
      <c r="K235" s="21"/>
      <c r="L235" s="21"/>
      <c r="M235" s="21"/>
      <c r="N235" s="21"/>
      <c r="O235" s="21"/>
      <c r="P235" s="21"/>
      <c r="Q235" s="21"/>
      <c r="R235" s="21" t="s">
        <v>368</v>
      </c>
      <c r="S235" s="21"/>
      <c r="T235" s="21"/>
      <c r="U235" s="21"/>
      <c r="V235" s="21"/>
      <c r="W235" s="21"/>
      <c r="X235" s="21"/>
      <c r="Y235" s="21"/>
      <c r="Z235" s="21"/>
      <c r="AA235" s="21"/>
      <c r="AB235" s="21" t="s">
        <v>351</v>
      </c>
      <c r="AC235" s="21" t="s">
        <v>1236</v>
      </c>
    </row>
    <row r="236" spans="1:37" x14ac:dyDescent="0.25">
      <c r="A236" s="18" t="str">
        <f t="shared" si="7"/>
        <v>f2_t2_j_vax</v>
      </c>
      <c r="B236" s="21"/>
      <c r="C236" s="21"/>
      <c r="D236" s="21"/>
      <c r="E236" s="21"/>
      <c r="F236" s="21"/>
      <c r="G236" s="21"/>
      <c r="H236" s="21"/>
      <c r="I236" s="21"/>
      <c r="J236" s="21"/>
      <c r="K236" s="21"/>
      <c r="L236" s="21" t="s">
        <v>369</v>
      </c>
      <c r="M236" s="21"/>
      <c r="N236" s="21" t="s">
        <v>370</v>
      </c>
      <c r="O236" s="21"/>
      <c r="P236" s="21"/>
      <c r="Q236" s="21"/>
      <c r="R236" s="21"/>
      <c r="T236" s="21"/>
      <c r="U236" s="21"/>
      <c r="V236" s="21"/>
      <c r="W236" s="21"/>
      <c r="X236" s="21"/>
      <c r="Y236" s="21"/>
      <c r="Z236" s="21"/>
      <c r="AA236" s="21"/>
      <c r="AB236" s="21"/>
      <c r="AC236" s="21"/>
    </row>
    <row r="237" spans="1:37" x14ac:dyDescent="0.25">
      <c r="A237" s="19" t="str">
        <f t="shared" si="7"/>
        <v>f2_ft2_vax</v>
      </c>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c r="AA237" s="21" t="s">
        <v>376</v>
      </c>
      <c r="AB237" s="21" t="s">
        <v>351</v>
      </c>
      <c r="AC237" s="21" t="s">
        <v>1236</v>
      </c>
    </row>
    <row r="238" spans="1:37" x14ac:dyDescent="0.25">
      <c r="M238" s="24"/>
      <c r="N238" s="24"/>
    </row>
    <row r="239" spans="1:37" x14ac:dyDescent="0.25">
      <c r="A239" s="22"/>
      <c r="B239" s="19" t="str">
        <f>B76&amp;"_vax"</f>
        <v>f3_ab_ud_vax</v>
      </c>
      <c r="C239" s="19" t="str">
        <f t="shared" ref="C239:AA239" si="8">C76&amp;"_vax"</f>
        <v>f3_ab_ltfu_j_vax</v>
      </c>
      <c r="D239" s="19" t="str">
        <f t="shared" si="8"/>
        <v>f3_ab_d_vax</v>
      </c>
      <c r="E239" s="19" t="str">
        <f t="shared" si="8"/>
        <v>f3_ab_ltfu_vax</v>
      </c>
      <c r="F239" s="19" t="str">
        <f t="shared" si="8"/>
        <v>f3_pcr_ltfu_j_vax</v>
      </c>
      <c r="G239" s="19" t="str">
        <f t="shared" si="8"/>
        <v>f3_pcr_d_vax</v>
      </c>
      <c r="H239" s="19" t="str">
        <f t="shared" si="8"/>
        <v>f3_pcr_ltfu_vax</v>
      </c>
      <c r="I239" s="19" t="str">
        <f t="shared" si="8"/>
        <v>f3_t1_vax</v>
      </c>
      <c r="J239" s="19" t="str">
        <f t="shared" si="8"/>
        <v>f3_t1_j_vax</v>
      </c>
      <c r="K239" s="19" t="str">
        <f t="shared" si="8"/>
        <v>f3_t1ltf_j_vax</v>
      </c>
      <c r="L239" s="19" t="str">
        <f t="shared" si="8"/>
        <v>f3_ft1_vax</v>
      </c>
      <c r="M239" s="19" t="str">
        <f t="shared" si="8"/>
        <v>f3_ft1_ltfu_vax</v>
      </c>
      <c r="N239" s="19" t="str">
        <f t="shared" si="8"/>
        <v>s3_vax</v>
      </c>
      <c r="O239" s="19" t="str">
        <f t="shared" si="8"/>
        <v>f3_acute_vax</v>
      </c>
      <c r="P239" s="19" t="str">
        <f t="shared" si="8"/>
        <v>f3_clear_j_vax</v>
      </c>
      <c r="Q239" s="19" t="str">
        <f t="shared" si="8"/>
        <v>f3_t2_vax</v>
      </c>
      <c r="R239" s="19" t="str">
        <f t="shared" si="8"/>
        <v>f3_t2_j_vax</v>
      </c>
      <c r="S239" s="19" t="str">
        <f t="shared" si="8"/>
        <v>f3_ft2_vax</v>
      </c>
      <c r="T239" s="19" t="str">
        <f t="shared" si="8"/>
        <v>f4_ab_ud_vax</v>
      </c>
      <c r="U239" s="19" t="str">
        <f t="shared" si="8"/>
        <v>f4_ud_ltc_vax</v>
      </c>
      <c r="V239" s="19" t="str">
        <f t="shared" si="8"/>
        <v>f4_ab_d_vax</v>
      </c>
      <c r="W239" s="19" t="str">
        <f t="shared" si="8"/>
        <v>f4_ab_ltfu_vax</v>
      </c>
      <c r="X239" s="19" t="str">
        <f t="shared" si="8"/>
        <v>f4_pcr_d_vax</v>
      </c>
      <c r="Y239" s="19" t="str">
        <f t="shared" si="8"/>
        <v>f4_pcr_ltfu_vax</v>
      </c>
      <c r="Z239" s="19" t="str">
        <f t="shared" si="8"/>
        <v>f4_ft1_ltfu_vax</v>
      </c>
      <c r="AA239" s="19" t="str">
        <f t="shared" si="8"/>
        <v>f4_ft2_vax</v>
      </c>
      <c r="AB239" s="89" t="s">
        <v>340</v>
      </c>
      <c r="AC239" s="89" t="s">
        <v>1244</v>
      </c>
      <c r="AD239" s="3"/>
      <c r="AE239" s="3"/>
      <c r="AF239" s="3"/>
      <c r="AG239" s="3"/>
      <c r="AH239" s="3"/>
      <c r="AI239" s="3"/>
      <c r="AJ239" s="3"/>
      <c r="AK239" s="3"/>
    </row>
    <row r="240" spans="1:37" x14ac:dyDescent="0.25">
      <c r="A240" s="19" t="str">
        <f t="shared" ref="A240:A258" si="9">A77&amp;"_vax"</f>
        <v>f3_ab_ud_vax</v>
      </c>
      <c r="B240" s="20"/>
      <c r="C240" s="20" t="s">
        <v>379</v>
      </c>
      <c r="D240" s="20"/>
      <c r="E240" s="21"/>
      <c r="F240" s="20"/>
      <c r="G240" s="20" t="s">
        <v>380</v>
      </c>
      <c r="H240" s="21"/>
      <c r="I240" s="21"/>
      <c r="J240" s="21"/>
      <c r="K240" s="21"/>
      <c r="L240" s="21"/>
      <c r="M240" s="21"/>
      <c r="N240" s="21"/>
      <c r="O240" s="21"/>
      <c r="P240" s="21"/>
      <c r="Q240" s="21"/>
      <c r="R240" s="21"/>
      <c r="S240" s="21"/>
      <c r="T240" s="21" t="s">
        <v>381</v>
      </c>
      <c r="U240" s="21"/>
      <c r="V240" s="21"/>
      <c r="W240" s="21"/>
      <c r="X240" s="21"/>
      <c r="Y240" s="21"/>
      <c r="Z240" s="21"/>
      <c r="AA240" s="21"/>
      <c r="AB240" s="21" t="s">
        <v>351</v>
      </c>
      <c r="AC240" s="21" t="s">
        <v>1236</v>
      </c>
    </row>
    <row r="241" spans="1:29" x14ac:dyDescent="0.25">
      <c r="A241" s="19" t="str">
        <f t="shared" si="9"/>
        <v>f3_ud_ltc_vax</v>
      </c>
      <c r="B241" s="20"/>
      <c r="C241" s="20" t="s">
        <v>382</v>
      </c>
      <c r="D241" s="20"/>
      <c r="E241" s="21"/>
      <c r="F241" s="21"/>
      <c r="G241" s="21" t="s">
        <v>383</v>
      </c>
      <c r="H241" s="21"/>
      <c r="I241" s="21"/>
      <c r="J241" s="21"/>
      <c r="K241" s="21"/>
      <c r="L241" s="21"/>
      <c r="M241" s="21"/>
      <c r="N241" s="21"/>
      <c r="O241" s="21"/>
      <c r="P241" s="21"/>
      <c r="Q241" s="21"/>
      <c r="R241" s="21"/>
      <c r="S241" s="21"/>
      <c r="T241" s="21"/>
      <c r="U241" s="21" t="s">
        <v>381</v>
      </c>
      <c r="V241" s="21"/>
      <c r="W241" s="21"/>
      <c r="X241" s="21"/>
      <c r="Y241" s="21"/>
      <c r="Z241" s="21"/>
      <c r="AA241" s="21"/>
      <c r="AB241" s="21" t="s">
        <v>351</v>
      </c>
      <c r="AC241" s="21" t="s">
        <v>1236</v>
      </c>
    </row>
    <row r="242" spans="1:29" x14ac:dyDescent="0.25">
      <c r="A242" s="18" t="str">
        <f t="shared" si="9"/>
        <v>f3_ab_ltfu_j_vax</v>
      </c>
      <c r="B242" s="21"/>
      <c r="C242" s="21"/>
      <c r="D242" s="21" t="s">
        <v>384</v>
      </c>
      <c r="E242" s="21" t="s">
        <v>1047</v>
      </c>
      <c r="F242" s="21"/>
      <c r="G242" s="21"/>
      <c r="H242" s="21"/>
      <c r="I242" s="21"/>
      <c r="J242" s="21"/>
      <c r="K242" s="21"/>
      <c r="L242" s="21"/>
      <c r="M242" s="21"/>
      <c r="N242" s="21"/>
      <c r="O242" s="21"/>
      <c r="P242" s="21"/>
      <c r="Q242" s="21"/>
      <c r="R242" s="21"/>
      <c r="S242" s="21"/>
      <c r="T242" s="21"/>
      <c r="U242" s="21"/>
      <c r="V242" s="21"/>
      <c r="W242" s="21"/>
      <c r="X242" s="21"/>
      <c r="Y242" s="21"/>
      <c r="Z242" s="21"/>
      <c r="AA242" s="21"/>
      <c r="AB242" s="21"/>
      <c r="AC242" s="21"/>
    </row>
    <row r="243" spans="1:29" x14ac:dyDescent="0.25">
      <c r="A243" s="19" t="str">
        <f t="shared" si="9"/>
        <v>f3_ab_ltfu_vax</v>
      </c>
      <c r="C243" s="21"/>
      <c r="D243" s="21" t="s">
        <v>1038</v>
      </c>
      <c r="E243" s="21"/>
      <c r="F243" s="21" t="s">
        <v>1044</v>
      </c>
      <c r="G243" s="21"/>
      <c r="H243" s="21"/>
      <c r="I243" s="21"/>
      <c r="J243" s="21"/>
      <c r="K243" s="21"/>
      <c r="L243" s="21"/>
      <c r="M243" s="21"/>
      <c r="N243" s="21"/>
      <c r="O243" s="21"/>
      <c r="P243" s="21"/>
      <c r="Q243" s="21"/>
      <c r="R243" s="21"/>
      <c r="S243" s="21"/>
      <c r="T243" s="21"/>
      <c r="U243" s="21"/>
      <c r="V243" s="21"/>
      <c r="W243" s="21" t="s">
        <v>381</v>
      </c>
      <c r="X243" s="21"/>
      <c r="Y243" s="21"/>
      <c r="Z243" s="21"/>
      <c r="AA243" s="21"/>
      <c r="AB243" s="21" t="s">
        <v>351</v>
      </c>
      <c r="AC243" s="21" t="s">
        <v>1236</v>
      </c>
    </row>
    <row r="244" spans="1:29" x14ac:dyDescent="0.25">
      <c r="A244" s="19" t="str">
        <f t="shared" si="9"/>
        <v>f3_ab_d_vax</v>
      </c>
      <c r="B244" s="21"/>
      <c r="C244" s="21"/>
      <c r="D244" s="21"/>
      <c r="E244" s="21"/>
      <c r="F244" s="20" t="s">
        <v>385</v>
      </c>
      <c r="G244" s="21"/>
      <c r="H244" s="21"/>
      <c r="I244" s="21"/>
      <c r="J244" s="21"/>
      <c r="K244" s="21"/>
      <c r="L244" s="21"/>
      <c r="M244" s="21"/>
      <c r="N244" s="21"/>
      <c r="O244" s="21"/>
      <c r="P244" s="21"/>
      <c r="Q244" s="21"/>
      <c r="R244" s="21"/>
      <c r="S244" s="21"/>
      <c r="T244" s="21"/>
      <c r="U244" s="21"/>
      <c r="V244" s="21" t="s">
        <v>381</v>
      </c>
      <c r="W244" s="21"/>
      <c r="X244" s="21"/>
      <c r="Y244" s="21"/>
      <c r="Z244" s="21"/>
      <c r="AA244" s="21"/>
      <c r="AB244" s="21" t="s">
        <v>351</v>
      </c>
      <c r="AC244" s="21" t="s">
        <v>1236</v>
      </c>
    </row>
    <row r="245" spans="1:29" x14ac:dyDescent="0.25">
      <c r="A245" s="18" t="str">
        <f t="shared" si="9"/>
        <v>f3_pcr_ltfu_j_vax</v>
      </c>
      <c r="B245" s="21"/>
      <c r="C245" s="21"/>
      <c r="D245" s="21"/>
      <c r="E245" s="21"/>
      <c r="F245" s="21"/>
      <c r="G245" s="21" t="s">
        <v>386</v>
      </c>
      <c r="H245" s="21" t="s">
        <v>1049</v>
      </c>
      <c r="I245" s="21"/>
      <c r="J245" s="21"/>
      <c r="K245" s="21"/>
      <c r="L245" s="21"/>
      <c r="M245" s="21"/>
      <c r="N245" s="21"/>
      <c r="O245" s="21"/>
      <c r="P245" s="21"/>
      <c r="Q245" s="21"/>
      <c r="R245" s="21"/>
      <c r="S245" s="21"/>
      <c r="T245" s="21"/>
      <c r="U245" s="21"/>
      <c r="V245" s="21"/>
      <c r="W245" s="21"/>
      <c r="X245" s="21"/>
      <c r="Y245" s="21"/>
      <c r="Z245" s="21"/>
      <c r="AA245" s="21"/>
      <c r="AB245" s="21"/>
      <c r="AC245" s="21"/>
    </row>
    <row r="246" spans="1:29" x14ac:dyDescent="0.25">
      <c r="A246" s="19" t="str">
        <f t="shared" si="9"/>
        <v>f3_pcr_ltfu_vax</v>
      </c>
      <c r="B246" s="21"/>
      <c r="C246" s="21"/>
      <c r="E246" s="21"/>
      <c r="F246" s="21"/>
      <c r="G246" s="21" t="s">
        <v>1040</v>
      </c>
      <c r="H246" s="21"/>
      <c r="I246" s="21"/>
      <c r="J246" s="21"/>
      <c r="K246" s="21"/>
      <c r="L246" s="21"/>
      <c r="M246" s="21"/>
      <c r="N246" s="21"/>
      <c r="O246" s="21"/>
      <c r="P246" s="21"/>
      <c r="Q246" s="21"/>
      <c r="R246" s="21"/>
      <c r="S246" s="21"/>
      <c r="T246" s="21"/>
      <c r="U246" s="21"/>
      <c r="V246" s="21"/>
      <c r="W246" s="21"/>
      <c r="X246" s="21"/>
      <c r="Y246" s="21" t="s">
        <v>381</v>
      </c>
      <c r="Z246" s="21"/>
      <c r="AA246" s="21"/>
      <c r="AB246" s="21" t="s">
        <v>351</v>
      </c>
      <c r="AC246" s="21" t="s">
        <v>1236</v>
      </c>
    </row>
    <row r="247" spans="1:29" x14ac:dyDescent="0.25">
      <c r="A247" s="19" t="str">
        <f t="shared" si="9"/>
        <v>f3_pcr_d_vax</v>
      </c>
      <c r="B247" s="21"/>
      <c r="C247" s="21"/>
      <c r="D247" s="21"/>
      <c r="E247" s="21"/>
      <c r="F247" s="21"/>
      <c r="G247" s="21"/>
      <c r="H247" s="21"/>
      <c r="I247" s="21" t="s">
        <v>387</v>
      </c>
      <c r="J247" s="21"/>
      <c r="K247" s="21"/>
      <c r="L247" s="21"/>
      <c r="M247" s="21"/>
      <c r="N247" s="21"/>
      <c r="O247" s="21"/>
      <c r="P247" s="21"/>
      <c r="Q247" s="21"/>
      <c r="R247" s="21"/>
      <c r="S247" s="21"/>
      <c r="T247" s="21"/>
      <c r="U247" s="21"/>
      <c r="V247" s="21"/>
      <c r="W247" s="21"/>
      <c r="X247" s="21" t="s">
        <v>381</v>
      </c>
      <c r="Y247" s="21"/>
      <c r="Z247" s="21"/>
      <c r="AA247" s="21"/>
      <c r="AB247" s="21" t="s">
        <v>351</v>
      </c>
      <c r="AC247" s="21" t="s">
        <v>1236</v>
      </c>
    </row>
    <row r="248" spans="1:29" x14ac:dyDescent="0.25">
      <c r="A248" s="19" t="str">
        <f t="shared" si="9"/>
        <v>f3_t1_vax</v>
      </c>
      <c r="B248" s="21"/>
      <c r="C248" s="21"/>
      <c r="D248" s="21"/>
      <c r="E248" s="21"/>
      <c r="F248" s="21"/>
      <c r="G248" s="21"/>
      <c r="H248" s="21"/>
      <c r="I248" s="21"/>
      <c r="J248" s="21" t="s">
        <v>368</v>
      </c>
      <c r="K248" s="21"/>
      <c r="L248" s="21"/>
      <c r="M248" s="21"/>
      <c r="N248" s="21"/>
      <c r="O248" s="21"/>
      <c r="P248" s="21"/>
      <c r="Q248" s="21"/>
      <c r="R248" s="21"/>
      <c r="S248" s="21"/>
      <c r="T248" s="21"/>
      <c r="U248" s="21"/>
      <c r="V248" s="21"/>
      <c r="W248" s="21"/>
      <c r="X248" s="21"/>
      <c r="Y248" s="21"/>
      <c r="Z248" s="21"/>
      <c r="AA248" s="21"/>
      <c r="AB248" s="21" t="s">
        <v>351</v>
      </c>
      <c r="AC248" s="21" t="s">
        <v>1236</v>
      </c>
    </row>
    <row r="249" spans="1:29" x14ac:dyDescent="0.25">
      <c r="A249" s="18" t="str">
        <f t="shared" si="9"/>
        <v>f3_t1_j_vax</v>
      </c>
      <c r="B249" s="21"/>
      <c r="C249" s="21"/>
      <c r="D249" s="21"/>
      <c r="E249" s="21"/>
      <c r="F249" s="21"/>
      <c r="G249" s="21" t="s">
        <v>369</v>
      </c>
      <c r="H249" s="21"/>
      <c r="I249" s="21"/>
      <c r="J249" s="21"/>
      <c r="L249" s="21"/>
      <c r="M249" s="21"/>
      <c r="N249" s="21" t="s">
        <v>370</v>
      </c>
      <c r="O249" s="21"/>
      <c r="P249" s="21"/>
      <c r="Q249" s="21"/>
      <c r="R249" s="21"/>
      <c r="S249" s="21"/>
      <c r="T249" s="21"/>
      <c r="U249" s="21"/>
      <c r="V249" s="21"/>
      <c r="W249" s="21"/>
      <c r="X249" s="21"/>
      <c r="Y249" s="21"/>
      <c r="Z249" s="21"/>
      <c r="AA249" s="21"/>
      <c r="AB249" s="21"/>
      <c r="AC249" s="21"/>
    </row>
    <row r="250" spans="1:29" x14ac:dyDescent="0.25">
      <c r="A250" s="18" t="str">
        <f t="shared" si="9"/>
        <v>f3_t1ltf_j_vax</v>
      </c>
      <c r="B250" s="21"/>
      <c r="C250" s="21"/>
      <c r="D250" s="21"/>
      <c r="E250" s="21"/>
      <c r="F250" s="21"/>
      <c r="G250" s="21"/>
      <c r="H250" s="21"/>
      <c r="I250" s="21"/>
      <c r="J250" s="21"/>
      <c r="K250" s="21"/>
      <c r="L250" s="21" t="s">
        <v>388</v>
      </c>
      <c r="M250" s="21" t="s">
        <v>1055</v>
      </c>
      <c r="N250" s="21"/>
      <c r="O250" s="21"/>
      <c r="P250" s="21"/>
      <c r="Q250" s="21"/>
      <c r="R250" s="21"/>
      <c r="S250" s="21"/>
      <c r="T250" s="21"/>
      <c r="U250" s="21"/>
      <c r="V250" s="21"/>
      <c r="W250" s="21"/>
      <c r="X250" s="21"/>
      <c r="Y250" s="21"/>
      <c r="Z250" s="21"/>
      <c r="AA250" s="21"/>
      <c r="AB250" s="21"/>
      <c r="AC250" s="21"/>
    </row>
    <row r="251" spans="1:29" x14ac:dyDescent="0.25">
      <c r="A251" s="19" t="str">
        <f t="shared" si="9"/>
        <v>f3_ft1_vax</v>
      </c>
      <c r="B251" s="21"/>
      <c r="C251" s="21"/>
      <c r="D251" s="21"/>
      <c r="E251" s="21"/>
      <c r="F251" s="21"/>
      <c r="G251" s="21"/>
      <c r="H251" s="21"/>
      <c r="I251" s="21"/>
      <c r="J251" s="21"/>
      <c r="K251" s="21"/>
      <c r="L251" s="21"/>
      <c r="M251" s="21"/>
      <c r="N251" s="21"/>
      <c r="O251" s="21"/>
      <c r="P251" s="21"/>
      <c r="Q251" s="21" t="s">
        <v>389</v>
      </c>
      <c r="R251" s="21"/>
      <c r="S251" s="21"/>
      <c r="T251" s="21"/>
      <c r="U251" s="21"/>
      <c r="V251" s="21"/>
      <c r="W251" s="21"/>
      <c r="X251" s="21"/>
      <c r="Y251" s="21"/>
      <c r="Z251" s="21"/>
      <c r="AA251" s="21"/>
      <c r="AB251" s="21" t="s">
        <v>351</v>
      </c>
      <c r="AC251" s="21" t="s">
        <v>1236</v>
      </c>
    </row>
    <row r="252" spans="1:29" x14ac:dyDescent="0.25">
      <c r="A252" s="19" t="str">
        <f t="shared" si="9"/>
        <v>f3_ft1_ltfu_vax</v>
      </c>
      <c r="C252" s="21"/>
      <c r="E252" s="21"/>
      <c r="F252" s="21"/>
      <c r="G252" s="21"/>
      <c r="H252" s="21"/>
      <c r="I252" s="21"/>
      <c r="J252" s="21"/>
      <c r="K252" s="21"/>
      <c r="L252" s="21" t="s">
        <v>1042</v>
      </c>
      <c r="M252" s="21"/>
      <c r="N252" s="21"/>
      <c r="O252" s="21"/>
      <c r="P252" s="21"/>
      <c r="Q252" s="21"/>
      <c r="R252" s="21"/>
      <c r="S252" s="21"/>
      <c r="T252" s="21"/>
      <c r="U252" s="21"/>
      <c r="V252" s="21"/>
      <c r="W252" s="21"/>
      <c r="X252" s="21"/>
      <c r="Y252" s="21"/>
      <c r="Z252" s="21" t="s">
        <v>381</v>
      </c>
      <c r="AA252" s="21"/>
      <c r="AB252" s="21" t="s">
        <v>351</v>
      </c>
      <c r="AC252" s="21" t="s">
        <v>1236</v>
      </c>
    </row>
    <row r="253" spans="1:29" x14ac:dyDescent="0.25">
      <c r="A253" s="19" t="str">
        <f t="shared" si="9"/>
        <v>s3_vax</v>
      </c>
      <c r="B253" s="21"/>
      <c r="C253" s="21"/>
      <c r="D253" s="21"/>
      <c r="E253" s="21"/>
      <c r="F253" s="21"/>
      <c r="G253" s="21"/>
      <c r="H253" s="21"/>
      <c r="I253" s="21"/>
      <c r="J253" s="21"/>
      <c r="K253" s="21"/>
      <c r="L253" s="21"/>
      <c r="M253" s="21"/>
      <c r="N253" s="21"/>
      <c r="O253" s="104" t="s">
        <v>1573</v>
      </c>
      <c r="P253" s="21"/>
      <c r="Q253" s="21"/>
      <c r="R253" s="21"/>
      <c r="S253" s="21"/>
      <c r="T253" s="21"/>
      <c r="U253" s="21"/>
      <c r="V253" s="21"/>
      <c r="W253" s="21"/>
      <c r="X253" s="21"/>
      <c r="Y253" s="21"/>
      <c r="Z253" s="21"/>
      <c r="AA253" s="21"/>
      <c r="AB253" s="21" t="s">
        <v>351</v>
      </c>
      <c r="AC253" s="21" t="s">
        <v>1236</v>
      </c>
    </row>
    <row r="254" spans="1:29" x14ac:dyDescent="0.25">
      <c r="A254" s="19" t="str">
        <f t="shared" si="9"/>
        <v>f3_acute_vax</v>
      </c>
      <c r="B254" s="21"/>
      <c r="C254" s="21"/>
      <c r="D254" s="21"/>
      <c r="E254" s="21"/>
      <c r="F254" s="21"/>
      <c r="G254" s="21"/>
      <c r="H254" s="21"/>
      <c r="I254" s="21"/>
      <c r="J254" s="21"/>
      <c r="K254" s="21"/>
      <c r="L254" s="21"/>
      <c r="M254" s="21"/>
      <c r="N254" s="21"/>
      <c r="O254" s="21"/>
      <c r="P254" s="103" t="s">
        <v>1437</v>
      </c>
      <c r="Q254" s="21"/>
      <c r="R254" s="21"/>
      <c r="S254" s="21"/>
      <c r="T254" s="21"/>
      <c r="U254" s="21"/>
      <c r="V254" s="21"/>
      <c r="W254" s="21"/>
      <c r="X254" s="21"/>
      <c r="Y254" s="21"/>
      <c r="Z254" s="21"/>
      <c r="AA254" s="21"/>
      <c r="AB254" s="21" t="s">
        <v>351</v>
      </c>
      <c r="AC254" s="21" t="s">
        <v>1236</v>
      </c>
    </row>
    <row r="255" spans="1:29" x14ac:dyDescent="0.25">
      <c r="A255" s="18" t="str">
        <f t="shared" si="9"/>
        <v>f3_clear_j_vax</v>
      </c>
      <c r="B255" s="21"/>
      <c r="C255" s="21"/>
      <c r="D255" s="103" t="s">
        <v>1433</v>
      </c>
      <c r="E255" s="21"/>
      <c r="F255" s="21"/>
      <c r="G255" s="21"/>
      <c r="H255" s="21"/>
      <c r="I255" s="21"/>
      <c r="J255" s="21"/>
      <c r="K255" s="21"/>
      <c r="L255" s="21"/>
      <c r="M255" s="21"/>
      <c r="N255" s="103" t="s">
        <v>1432</v>
      </c>
      <c r="O255" s="21"/>
      <c r="P255" s="21"/>
      <c r="Q255" s="21"/>
      <c r="R255" s="21"/>
      <c r="S255" s="21"/>
      <c r="T255" s="21"/>
      <c r="U255" s="21"/>
      <c r="V255" s="21"/>
      <c r="W255" s="21"/>
      <c r="X255" s="21"/>
      <c r="Y255" s="21"/>
      <c r="Z255" s="21"/>
      <c r="AA255" s="21"/>
      <c r="AB255" s="21"/>
      <c r="AC255" s="21"/>
    </row>
    <row r="256" spans="1:29" x14ac:dyDescent="0.25">
      <c r="A256" s="19" t="str">
        <f t="shared" si="9"/>
        <v>f3_t2_vax</v>
      </c>
      <c r="B256" s="21"/>
      <c r="C256" s="21"/>
      <c r="D256" s="21"/>
      <c r="E256" s="21"/>
      <c r="F256" s="21"/>
      <c r="G256" s="21"/>
      <c r="H256" s="21"/>
      <c r="I256" s="21"/>
      <c r="J256" s="21"/>
      <c r="K256" s="21"/>
      <c r="L256" s="21"/>
      <c r="M256" s="21"/>
      <c r="N256" s="21"/>
      <c r="O256" s="21"/>
      <c r="P256" s="21"/>
      <c r="Q256" s="21"/>
      <c r="R256" s="21" t="s">
        <v>368</v>
      </c>
      <c r="S256" s="21"/>
      <c r="T256" s="21"/>
      <c r="U256" s="21"/>
      <c r="V256" s="21"/>
      <c r="W256" s="21"/>
      <c r="X256" s="21"/>
      <c r="Y256" s="21"/>
      <c r="Z256" s="21"/>
      <c r="AA256" s="21"/>
      <c r="AB256" s="21" t="s">
        <v>351</v>
      </c>
      <c r="AC256" s="21" t="s">
        <v>1236</v>
      </c>
    </row>
    <row r="257" spans="1:39" x14ac:dyDescent="0.25">
      <c r="A257" s="18" t="str">
        <f t="shared" si="9"/>
        <v>f3_t2_j_vax</v>
      </c>
      <c r="B257" s="21"/>
      <c r="C257" s="21"/>
      <c r="D257" s="21"/>
      <c r="E257" s="21"/>
      <c r="F257" s="21"/>
      <c r="G257" s="21"/>
      <c r="H257" s="21"/>
      <c r="I257" s="21"/>
      <c r="J257" s="21"/>
      <c r="K257" s="21"/>
      <c r="L257" s="21" t="s">
        <v>369</v>
      </c>
      <c r="M257" s="21"/>
      <c r="N257" s="21" t="s">
        <v>370</v>
      </c>
      <c r="O257" s="21"/>
      <c r="P257" s="21"/>
      <c r="Q257" s="21"/>
      <c r="R257" s="21"/>
      <c r="T257" s="21"/>
      <c r="U257" s="21"/>
      <c r="V257" s="21"/>
      <c r="W257" s="21"/>
      <c r="X257" s="21"/>
      <c r="Y257" s="21"/>
      <c r="Z257" s="21"/>
      <c r="AA257" s="21"/>
      <c r="AB257" s="21"/>
      <c r="AC257" s="21"/>
    </row>
    <row r="258" spans="1:39" x14ac:dyDescent="0.25">
      <c r="A258" s="19" t="str">
        <f t="shared" si="9"/>
        <v>f3_ft2_vax</v>
      </c>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c r="AA258" s="21" t="s">
        <v>381</v>
      </c>
      <c r="AB258" s="21" t="s">
        <v>351</v>
      </c>
      <c r="AC258" s="21" t="s">
        <v>1236</v>
      </c>
    </row>
    <row r="260" spans="1:39" x14ac:dyDescent="0.25">
      <c r="A260" s="22"/>
      <c r="B260" s="19" t="str">
        <f>B97&amp;"_vax"</f>
        <v>f4_ab_ud_vax</v>
      </c>
      <c r="C260" s="19" t="str">
        <f t="shared" ref="C260:S260" si="10">C97&amp;"_vax"</f>
        <v>f4_ab_ltfu_j_vax</v>
      </c>
      <c r="D260" s="19" t="str">
        <f t="shared" si="10"/>
        <v>f4_ab_d_vax</v>
      </c>
      <c r="E260" s="19" t="str">
        <f t="shared" si="10"/>
        <v>f4_ab_ltfu_vax</v>
      </c>
      <c r="F260" s="19" t="str">
        <f t="shared" si="10"/>
        <v>f4_pcr_ltfu_j_vax</v>
      </c>
      <c r="G260" s="19" t="str">
        <f t="shared" si="10"/>
        <v>f4_pcr_d_vax</v>
      </c>
      <c r="H260" s="19" t="str">
        <f t="shared" si="10"/>
        <v>f4_pcr_ltfu_vax</v>
      </c>
      <c r="I260" s="19" t="str">
        <f t="shared" si="10"/>
        <v>f4_t1_vax</v>
      </c>
      <c r="J260" s="19" t="str">
        <f t="shared" si="10"/>
        <v>f4_t1_j_vax</v>
      </c>
      <c r="K260" s="19" t="str">
        <f t="shared" si="10"/>
        <v>f4_t1ltf_j_vax</v>
      </c>
      <c r="L260" s="19" t="str">
        <f t="shared" si="10"/>
        <v>f4_ft1_vax</v>
      </c>
      <c r="M260" s="19" t="str">
        <f t="shared" si="10"/>
        <v>f4_ft1_ltfu_vax</v>
      </c>
      <c r="N260" s="19" t="str">
        <f t="shared" si="10"/>
        <v>s4_vax</v>
      </c>
      <c r="O260" s="19" t="str">
        <f t="shared" si="10"/>
        <v>f4_acute_vax</v>
      </c>
      <c r="P260" s="19" t="str">
        <f t="shared" si="10"/>
        <v>f4_clear_j_vax</v>
      </c>
      <c r="Q260" s="19" t="str">
        <f t="shared" si="10"/>
        <v>f4_t2_vax</v>
      </c>
      <c r="R260" s="19" t="str">
        <f t="shared" si="10"/>
        <v>f4_t2_j_vax</v>
      </c>
      <c r="S260" s="19" t="str">
        <f t="shared" si="10"/>
        <v>f4_ft2_vax</v>
      </c>
      <c r="T260" s="19" t="str">
        <f t="shared" ref="T260:AJ260" si="11">U97&amp;"_vax"</f>
        <v>dc_ab_ud_vax</v>
      </c>
      <c r="U260" s="19" t="str">
        <f t="shared" si="11"/>
        <v>dc_ud_ltc_vax</v>
      </c>
      <c r="V260" s="19" t="str">
        <f t="shared" si="11"/>
        <v>dc_ab_d_vax</v>
      </c>
      <c r="W260" s="19" t="str">
        <f t="shared" si="11"/>
        <v>dc_ab_ltfu_vax</v>
      </c>
      <c r="X260" s="19" t="str">
        <f t="shared" si="11"/>
        <v>dc_pcr_d_vax</v>
      </c>
      <c r="Y260" s="19" t="str">
        <f t="shared" si="11"/>
        <v>dc_pcr_ltfu_vax</v>
      </c>
      <c r="Z260" s="19" t="str">
        <f t="shared" si="11"/>
        <v>dc_ft1_ltfu_vax</v>
      </c>
      <c r="AA260" s="19" t="str">
        <f t="shared" si="11"/>
        <v>sdc_vax</v>
      </c>
      <c r="AB260" s="19" t="str">
        <f t="shared" si="11"/>
        <v>dc_ft2_vax</v>
      </c>
      <c r="AC260" s="19" t="str">
        <f t="shared" si="11"/>
        <v>hcc_ab_ud_vax</v>
      </c>
      <c r="AD260" s="19" t="str">
        <f t="shared" si="11"/>
        <v>hcc_ud_ltc_vax</v>
      </c>
      <c r="AE260" s="19" t="str">
        <f t="shared" si="11"/>
        <v>hcc_ab_d_vax</v>
      </c>
      <c r="AF260" s="19" t="str">
        <f t="shared" si="11"/>
        <v>hcc_ab_ltfu_vax</v>
      </c>
      <c r="AG260" s="19" t="str">
        <f t="shared" si="11"/>
        <v>hcc_pcr_d_vax</v>
      </c>
      <c r="AH260" s="19" t="str">
        <f t="shared" si="11"/>
        <v>hcc_pcr_ltfu_vax</v>
      </c>
      <c r="AI260" s="19" t="str">
        <f t="shared" si="11"/>
        <v>hcc_ft1_ltfu_vax</v>
      </c>
      <c r="AJ260" s="19" t="str">
        <f t="shared" si="11"/>
        <v>hcc_ft2_vax</v>
      </c>
      <c r="AK260" s="89" t="s">
        <v>1184</v>
      </c>
      <c r="AL260" s="89" t="s">
        <v>340</v>
      </c>
      <c r="AM260" s="89" t="s">
        <v>1244</v>
      </c>
    </row>
    <row r="261" spans="1:39" x14ac:dyDescent="0.25">
      <c r="A261" s="19" t="str">
        <f t="shared" ref="A261:A279" si="12">A98&amp;"_vax"</f>
        <v>f4_ab_ud_vax</v>
      </c>
      <c r="B261" s="20"/>
      <c r="C261" s="20" t="s">
        <v>379</v>
      </c>
      <c r="D261" s="20"/>
      <c r="E261" s="21"/>
      <c r="F261" s="20"/>
      <c r="G261" s="20" t="s">
        <v>380</v>
      </c>
      <c r="H261" s="21"/>
      <c r="I261" s="21"/>
      <c r="J261" s="21"/>
      <c r="K261" s="21"/>
      <c r="L261" s="21"/>
      <c r="M261" s="21"/>
      <c r="N261" s="21"/>
      <c r="O261" s="21"/>
      <c r="P261" s="21"/>
      <c r="Q261" s="21"/>
      <c r="R261" s="21"/>
      <c r="S261" s="21"/>
      <c r="T261" s="21" t="s">
        <v>390</v>
      </c>
      <c r="U261" s="21"/>
      <c r="V261" s="21"/>
      <c r="W261" s="21"/>
      <c r="X261" s="21"/>
      <c r="Y261" s="21"/>
      <c r="Z261" s="21"/>
      <c r="AA261" s="21"/>
      <c r="AB261" s="21"/>
      <c r="AC261" s="21" t="s">
        <v>391</v>
      </c>
      <c r="AD261" s="21"/>
      <c r="AE261" s="21"/>
      <c r="AF261" s="21"/>
      <c r="AG261" s="21"/>
      <c r="AH261" s="21"/>
      <c r="AI261" s="21"/>
      <c r="AJ261" s="21"/>
      <c r="AK261" s="21" t="s">
        <v>1186</v>
      </c>
      <c r="AL261" s="21" t="s">
        <v>351</v>
      </c>
      <c r="AM261" s="21" t="s">
        <v>1236</v>
      </c>
    </row>
    <row r="262" spans="1:39" x14ac:dyDescent="0.25">
      <c r="A262" s="19" t="str">
        <f t="shared" si="12"/>
        <v>f4_ud_ltc_vax</v>
      </c>
      <c r="B262" s="20"/>
      <c r="C262" s="20" t="s">
        <v>382</v>
      </c>
      <c r="D262" s="20"/>
      <c r="E262" s="21"/>
      <c r="F262" s="21"/>
      <c r="G262" s="21" t="s">
        <v>383</v>
      </c>
      <c r="H262" s="21"/>
      <c r="I262" s="21"/>
      <c r="J262" s="21"/>
      <c r="K262" s="21"/>
      <c r="L262" s="21"/>
      <c r="M262" s="21"/>
      <c r="N262" s="21"/>
      <c r="O262" s="21"/>
      <c r="P262" s="21"/>
      <c r="Q262" s="21"/>
      <c r="R262" s="21"/>
      <c r="S262" s="21"/>
      <c r="T262" s="21"/>
      <c r="U262" s="21" t="s">
        <v>390</v>
      </c>
      <c r="V262" s="21"/>
      <c r="W262" s="21"/>
      <c r="X262" s="21"/>
      <c r="Y262" s="21"/>
      <c r="Z262" s="21"/>
      <c r="AA262" s="21"/>
      <c r="AB262" s="21"/>
      <c r="AC262" s="21"/>
      <c r="AD262" s="21" t="s">
        <v>391</v>
      </c>
      <c r="AE262" s="21"/>
      <c r="AF262" s="21"/>
      <c r="AG262" s="21"/>
      <c r="AH262" s="21"/>
      <c r="AI262" s="21"/>
      <c r="AJ262" s="21"/>
      <c r="AK262" s="21" t="s">
        <v>1186</v>
      </c>
      <c r="AL262" s="21" t="s">
        <v>351</v>
      </c>
      <c r="AM262" s="21" t="s">
        <v>1236</v>
      </c>
    </row>
    <row r="263" spans="1:39" x14ac:dyDescent="0.25">
      <c r="A263" s="18" t="str">
        <f t="shared" si="12"/>
        <v>f4_ab_ltfu_j_vax</v>
      </c>
      <c r="B263" s="21"/>
      <c r="C263" s="21"/>
      <c r="D263" s="21" t="s">
        <v>384</v>
      </c>
      <c r="E263" s="21" t="s">
        <v>1047</v>
      </c>
      <c r="F263" s="21"/>
      <c r="G263" s="21"/>
      <c r="H263" s="21"/>
      <c r="I263" s="21"/>
      <c r="J263" s="21"/>
      <c r="K263" s="21"/>
      <c r="L263" s="21"/>
      <c r="M263" s="21"/>
      <c r="N263" s="21"/>
      <c r="O263" s="21"/>
      <c r="P263" s="21"/>
      <c r="Q263" s="21"/>
      <c r="R263" s="21"/>
      <c r="S263" s="21"/>
      <c r="T263" s="21"/>
      <c r="U263" s="21"/>
      <c r="V263" s="21"/>
      <c r="W263" s="21"/>
      <c r="X263" s="21"/>
      <c r="Y263" s="21"/>
      <c r="Z263" s="21"/>
      <c r="AA263" s="21"/>
      <c r="AB263" s="21"/>
      <c r="AC263" s="21"/>
      <c r="AD263" s="21"/>
      <c r="AE263" s="21"/>
      <c r="AF263" s="21"/>
      <c r="AG263" s="21"/>
      <c r="AH263" s="21"/>
      <c r="AI263" s="21"/>
      <c r="AJ263" s="21"/>
      <c r="AK263" s="21"/>
      <c r="AL263" s="21"/>
      <c r="AM263" s="21"/>
    </row>
    <row r="264" spans="1:39" x14ac:dyDescent="0.25">
      <c r="A264" s="19" t="str">
        <f t="shared" si="12"/>
        <v>f4_ab_ltfu_vax</v>
      </c>
      <c r="C264" s="21"/>
      <c r="D264" s="21" t="s">
        <v>1038</v>
      </c>
      <c r="E264" s="21"/>
      <c r="F264" s="21" t="s">
        <v>1044</v>
      </c>
      <c r="G264" s="21"/>
      <c r="H264" s="21"/>
      <c r="I264" s="21"/>
      <c r="J264" s="21"/>
      <c r="K264" s="21"/>
      <c r="L264" s="21"/>
      <c r="M264" s="21"/>
      <c r="N264" s="21"/>
      <c r="O264" s="21"/>
      <c r="P264" s="21"/>
      <c r="Q264" s="21"/>
      <c r="R264" s="21"/>
      <c r="S264" s="21"/>
      <c r="T264" s="21"/>
      <c r="U264" s="21"/>
      <c r="V264" s="21"/>
      <c r="W264" s="21" t="s">
        <v>390</v>
      </c>
      <c r="X264" s="21"/>
      <c r="Y264" s="21"/>
      <c r="Z264" s="21"/>
      <c r="AA264" s="21"/>
      <c r="AB264" s="21"/>
      <c r="AC264" s="21"/>
      <c r="AD264" s="21"/>
      <c r="AE264" s="21"/>
      <c r="AF264" s="21" t="s">
        <v>391</v>
      </c>
      <c r="AG264" s="21"/>
      <c r="AH264" s="21"/>
      <c r="AI264" s="21"/>
      <c r="AJ264" s="21"/>
      <c r="AK264" s="21" t="s">
        <v>1186</v>
      </c>
      <c r="AL264" s="21" t="s">
        <v>351</v>
      </c>
      <c r="AM264" s="21" t="s">
        <v>1236</v>
      </c>
    </row>
    <row r="265" spans="1:39" x14ac:dyDescent="0.25">
      <c r="A265" s="19" t="str">
        <f t="shared" si="12"/>
        <v>f4_ab_d_vax</v>
      </c>
      <c r="B265" s="21"/>
      <c r="C265" s="21"/>
      <c r="D265" s="21"/>
      <c r="E265" s="21"/>
      <c r="F265" s="20" t="s">
        <v>385</v>
      </c>
      <c r="G265" s="21"/>
      <c r="H265" s="21"/>
      <c r="I265" s="21"/>
      <c r="J265" s="21"/>
      <c r="K265" s="21"/>
      <c r="L265" s="21"/>
      <c r="M265" s="21"/>
      <c r="N265" s="21"/>
      <c r="O265" s="21"/>
      <c r="P265" s="21"/>
      <c r="Q265" s="21"/>
      <c r="R265" s="21"/>
      <c r="S265" s="21"/>
      <c r="T265" s="21"/>
      <c r="U265" s="21"/>
      <c r="V265" s="21" t="s">
        <v>390</v>
      </c>
      <c r="W265" s="21"/>
      <c r="X265" s="21"/>
      <c r="Y265" s="21"/>
      <c r="Z265" s="21"/>
      <c r="AA265" s="21"/>
      <c r="AB265" s="21"/>
      <c r="AC265" s="21"/>
      <c r="AD265" s="21"/>
      <c r="AE265" s="21" t="s">
        <v>391</v>
      </c>
      <c r="AF265" s="21"/>
      <c r="AG265" s="21"/>
      <c r="AH265" s="21"/>
      <c r="AI265" s="21"/>
      <c r="AJ265" s="21"/>
      <c r="AK265" s="21" t="s">
        <v>1186</v>
      </c>
      <c r="AL265" s="21" t="s">
        <v>351</v>
      </c>
      <c r="AM265" s="21" t="s">
        <v>1236</v>
      </c>
    </row>
    <row r="266" spans="1:39" x14ac:dyDescent="0.25">
      <c r="A266" s="18" t="str">
        <f t="shared" si="12"/>
        <v>f4_pcr_ltfu_j_vax</v>
      </c>
      <c r="B266" s="21"/>
      <c r="C266" s="21"/>
      <c r="D266" s="21"/>
      <c r="E266" s="21"/>
      <c r="F266" s="21"/>
      <c r="G266" s="21" t="s">
        <v>386</v>
      </c>
      <c r="H266" s="21" t="s">
        <v>1049</v>
      </c>
      <c r="I266" s="21"/>
      <c r="J266" s="21"/>
      <c r="K266" s="21"/>
      <c r="L266" s="21"/>
      <c r="M266" s="21"/>
      <c r="N266" s="21"/>
      <c r="O266" s="21"/>
      <c r="P266" s="21"/>
      <c r="Q266" s="21"/>
      <c r="R266" s="21"/>
      <c r="S266" s="21"/>
      <c r="T266" s="21"/>
      <c r="U266" s="21"/>
      <c r="V266" s="21"/>
      <c r="W266" s="21"/>
      <c r="X266" s="21"/>
      <c r="Y266" s="21"/>
      <c r="Z266" s="21"/>
      <c r="AA266" s="21"/>
      <c r="AB266" s="21"/>
      <c r="AC266" s="21"/>
      <c r="AD266" s="21"/>
      <c r="AE266" s="21"/>
      <c r="AF266" s="21"/>
      <c r="AG266" s="21"/>
      <c r="AH266" s="21"/>
      <c r="AI266" s="21"/>
      <c r="AJ266" s="21"/>
      <c r="AK266" s="21"/>
      <c r="AL266" s="21"/>
      <c r="AM266" s="21"/>
    </row>
    <row r="267" spans="1:39" x14ac:dyDescent="0.25">
      <c r="A267" s="19" t="str">
        <f t="shared" si="12"/>
        <v>f4_pcr_ltfu_vax</v>
      </c>
      <c r="B267" s="21"/>
      <c r="C267" s="21"/>
      <c r="E267" s="21"/>
      <c r="F267" s="21"/>
      <c r="G267" s="21" t="s">
        <v>1040</v>
      </c>
      <c r="H267" s="21"/>
      <c r="I267" s="21"/>
      <c r="J267" s="21"/>
      <c r="K267" s="21"/>
      <c r="L267" s="21"/>
      <c r="M267" s="21"/>
      <c r="N267" s="21"/>
      <c r="O267" s="21"/>
      <c r="P267" s="21"/>
      <c r="Q267" s="21"/>
      <c r="R267" s="21"/>
      <c r="S267" s="21"/>
      <c r="T267" s="21"/>
      <c r="U267" s="21"/>
      <c r="V267" s="21"/>
      <c r="W267" s="21"/>
      <c r="X267" s="21"/>
      <c r="Y267" s="21" t="s">
        <v>390</v>
      </c>
      <c r="Z267" s="21"/>
      <c r="AA267" s="21"/>
      <c r="AB267" s="21"/>
      <c r="AC267" s="21"/>
      <c r="AD267" s="21"/>
      <c r="AE267" s="21"/>
      <c r="AF267" s="21"/>
      <c r="AG267" s="21"/>
      <c r="AH267" s="21" t="s">
        <v>391</v>
      </c>
      <c r="AI267" s="21"/>
      <c r="AJ267" s="21"/>
      <c r="AK267" s="21" t="s">
        <v>1186</v>
      </c>
      <c r="AL267" s="21" t="s">
        <v>351</v>
      </c>
      <c r="AM267" s="21" t="s">
        <v>1236</v>
      </c>
    </row>
    <row r="268" spans="1:39" x14ac:dyDescent="0.25">
      <c r="A268" s="19" t="str">
        <f t="shared" si="12"/>
        <v>f4_pcr_d_vax</v>
      </c>
      <c r="B268" s="21"/>
      <c r="C268" s="21"/>
      <c r="D268" s="21"/>
      <c r="E268" s="21"/>
      <c r="F268" s="21"/>
      <c r="G268" s="21"/>
      <c r="H268" s="21"/>
      <c r="I268" s="21" t="s">
        <v>392</v>
      </c>
      <c r="J268" s="21"/>
      <c r="K268" s="21"/>
      <c r="L268" s="21"/>
      <c r="M268" s="21"/>
      <c r="N268" s="21"/>
      <c r="O268" s="21"/>
      <c r="P268" s="21"/>
      <c r="Q268" s="21"/>
      <c r="R268" s="21"/>
      <c r="S268" s="21"/>
      <c r="T268" s="21"/>
      <c r="U268" s="21"/>
      <c r="V268" s="21"/>
      <c r="W268" s="21"/>
      <c r="X268" s="21" t="s">
        <v>390</v>
      </c>
      <c r="Y268" s="21"/>
      <c r="Z268" s="21"/>
      <c r="AA268" s="21"/>
      <c r="AB268" s="21"/>
      <c r="AC268" s="21"/>
      <c r="AD268" s="21"/>
      <c r="AE268" s="21"/>
      <c r="AF268" s="21"/>
      <c r="AG268" s="21" t="s">
        <v>391</v>
      </c>
      <c r="AH268" s="21"/>
      <c r="AI268" s="21"/>
      <c r="AJ268" s="21"/>
      <c r="AK268" s="21" t="s">
        <v>1186</v>
      </c>
      <c r="AL268" s="21" t="s">
        <v>351</v>
      </c>
      <c r="AM268" s="21" t="s">
        <v>1236</v>
      </c>
    </row>
    <row r="269" spans="1:39" x14ac:dyDescent="0.25">
      <c r="A269" s="19" t="str">
        <f t="shared" si="12"/>
        <v>f4_t1_vax</v>
      </c>
      <c r="B269" s="21"/>
      <c r="C269" s="21"/>
      <c r="D269" s="21"/>
      <c r="E269" s="21"/>
      <c r="F269" s="21"/>
      <c r="G269" s="21"/>
      <c r="H269" s="21"/>
      <c r="I269" s="21"/>
      <c r="J269" s="21" t="s">
        <v>368</v>
      </c>
      <c r="K269" s="21"/>
      <c r="L269" s="21"/>
      <c r="M269" s="21"/>
      <c r="N269" s="21"/>
      <c r="O269" s="21"/>
      <c r="P269" s="21"/>
      <c r="Q269" s="21"/>
      <c r="R269" s="21"/>
      <c r="S269" s="21"/>
      <c r="T269" s="21"/>
      <c r="U269" s="21"/>
      <c r="V269" s="21"/>
      <c r="W269" s="21"/>
      <c r="X269" s="21"/>
      <c r="Y269" s="21"/>
      <c r="Z269" s="21"/>
      <c r="AA269" s="21"/>
      <c r="AB269" s="21"/>
      <c r="AC269" s="21"/>
      <c r="AD269" s="21"/>
      <c r="AE269" s="21"/>
      <c r="AF269" s="21"/>
      <c r="AG269" s="21"/>
      <c r="AH269" s="21"/>
      <c r="AI269" s="21"/>
      <c r="AJ269" s="21"/>
      <c r="AK269" s="21" t="s">
        <v>1186</v>
      </c>
      <c r="AL269" s="21" t="s">
        <v>351</v>
      </c>
      <c r="AM269" s="21" t="s">
        <v>1236</v>
      </c>
    </row>
    <row r="270" spans="1:39" x14ac:dyDescent="0.25">
      <c r="A270" s="18" t="str">
        <f t="shared" si="12"/>
        <v>f4_t1_j_vax</v>
      </c>
      <c r="B270" s="21"/>
      <c r="C270" s="21"/>
      <c r="D270" s="21"/>
      <c r="E270" s="21"/>
      <c r="F270" s="21"/>
      <c r="G270" s="21" t="s">
        <v>369</v>
      </c>
      <c r="H270" s="21"/>
      <c r="I270" s="21"/>
      <c r="J270" s="21"/>
      <c r="L270" s="21"/>
      <c r="M270" s="21"/>
      <c r="N270" s="21" t="s">
        <v>370</v>
      </c>
      <c r="O270" s="21"/>
      <c r="P270" s="21"/>
      <c r="Q270" s="21"/>
      <c r="R270" s="21"/>
      <c r="S270" s="21"/>
      <c r="T270" s="21"/>
      <c r="U270" s="21"/>
      <c r="V270" s="21"/>
      <c r="W270" s="21"/>
      <c r="X270" s="21"/>
      <c r="Y270" s="21"/>
      <c r="Z270" s="21"/>
      <c r="AA270" s="21"/>
      <c r="AB270" s="21"/>
      <c r="AC270" s="21"/>
      <c r="AD270" s="21"/>
      <c r="AE270" s="21"/>
      <c r="AF270" s="21"/>
      <c r="AG270" s="21"/>
      <c r="AH270" s="21"/>
      <c r="AI270" s="21"/>
      <c r="AJ270" s="21"/>
      <c r="AK270" s="21"/>
      <c r="AL270" s="21"/>
      <c r="AM270" s="21"/>
    </row>
    <row r="271" spans="1:39" x14ac:dyDescent="0.25">
      <c r="A271" s="18" t="str">
        <f t="shared" si="12"/>
        <v>f4_t1ltf_j_vax</v>
      </c>
      <c r="B271" s="21"/>
      <c r="C271" s="21"/>
      <c r="D271" s="21"/>
      <c r="E271" s="21"/>
      <c r="F271" s="21"/>
      <c r="G271" s="21"/>
      <c r="H271" s="21"/>
      <c r="I271" s="21"/>
      <c r="J271" s="21"/>
      <c r="K271" s="21"/>
      <c r="L271" s="21" t="s">
        <v>388</v>
      </c>
      <c r="M271" s="21" t="s">
        <v>1055</v>
      </c>
      <c r="N271" s="21"/>
      <c r="O271" s="21"/>
      <c r="P271" s="21"/>
      <c r="Q271" s="21"/>
      <c r="R271" s="21"/>
      <c r="S271" s="21"/>
      <c r="T271" s="21"/>
      <c r="U271" s="21"/>
      <c r="V271" s="21"/>
      <c r="W271" s="21"/>
      <c r="X271" s="21"/>
      <c r="Y271" s="21"/>
      <c r="Z271" s="21"/>
      <c r="AA271" s="21"/>
      <c r="AB271" s="21"/>
      <c r="AC271" s="21"/>
      <c r="AD271" s="21"/>
      <c r="AE271" s="21"/>
      <c r="AF271" s="21"/>
      <c r="AG271" s="21"/>
      <c r="AH271" s="21"/>
      <c r="AI271" s="21"/>
      <c r="AJ271" s="21"/>
      <c r="AK271" s="21"/>
      <c r="AL271" s="21"/>
      <c r="AM271" s="21"/>
    </row>
    <row r="272" spans="1:39" x14ac:dyDescent="0.25">
      <c r="A272" s="19" t="str">
        <f t="shared" si="12"/>
        <v>f4_ft1_vax</v>
      </c>
      <c r="B272" s="21"/>
      <c r="C272" s="21"/>
      <c r="D272" s="21"/>
      <c r="E272" s="21"/>
      <c r="F272" s="21"/>
      <c r="G272" s="21"/>
      <c r="H272" s="21"/>
      <c r="I272" s="21"/>
      <c r="J272" s="21"/>
      <c r="K272" s="21"/>
      <c r="L272" s="21"/>
      <c r="M272" s="21"/>
      <c r="N272" s="21"/>
      <c r="O272" s="21"/>
      <c r="P272" s="21"/>
      <c r="Q272" s="21" t="s">
        <v>393</v>
      </c>
      <c r="R272" s="21"/>
      <c r="S272" s="21"/>
      <c r="T272" s="21"/>
      <c r="U272" s="21"/>
      <c r="V272" s="21"/>
      <c r="W272" s="21"/>
      <c r="X272" s="21"/>
      <c r="Y272" s="21"/>
      <c r="Z272" s="21"/>
      <c r="AA272" s="21"/>
      <c r="AB272" s="21"/>
      <c r="AC272" s="21"/>
      <c r="AD272" s="21"/>
      <c r="AE272" s="21"/>
      <c r="AF272" s="21"/>
      <c r="AG272" s="21"/>
      <c r="AH272" s="21"/>
      <c r="AI272" s="21"/>
      <c r="AJ272" s="21"/>
      <c r="AK272" s="21" t="s">
        <v>1186</v>
      </c>
      <c r="AL272" s="21" t="s">
        <v>351</v>
      </c>
      <c r="AM272" s="21" t="s">
        <v>1236</v>
      </c>
    </row>
    <row r="273" spans="1:39" x14ac:dyDescent="0.25">
      <c r="A273" s="19" t="str">
        <f t="shared" si="12"/>
        <v>f4_ft1_ltfu_vax</v>
      </c>
      <c r="C273" s="21"/>
      <c r="E273" s="21"/>
      <c r="F273" s="21"/>
      <c r="G273" s="21"/>
      <c r="H273" s="21"/>
      <c r="I273" s="21"/>
      <c r="J273" s="21"/>
      <c r="K273" s="21"/>
      <c r="L273" s="21" t="s">
        <v>1042</v>
      </c>
      <c r="M273" s="21"/>
      <c r="N273" s="21"/>
      <c r="O273" s="21"/>
      <c r="P273" s="21"/>
      <c r="Q273" s="21"/>
      <c r="R273" s="21"/>
      <c r="S273" s="21"/>
      <c r="T273" s="21"/>
      <c r="U273" s="21"/>
      <c r="V273" s="21"/>
      <c r="W273" s="21"/>
      <c r="X273" s="21"/>
      <c r="Y273" s="21"/>
      <c r="Z273" s="21" t="s">
        <v>390</v>
      </c>
      <c r="AA273" s="21"/>
      <c r="AB273" s="21"/>
      <c r="AC273" s="21"/>
      <c r="AD273" s="21"/>
      <c r="AE273" s="21"/>
      <c r="AF273" s="21"/>
      <c r="AG273" s="21"/>
      <c r="AH273" s="21"/>
      <c r="AI273" s="21" t="s">
        <v>391</v>
      </c>
      <c r="AJ273" s="21"/>
      <c r="AK273" s="21" t="s">
        <v>1186</v>
      </c>
      <c r="AL273" s="21" t="s">
        <v>351</v>
      </c>
      <c r="AM273" s="21" t="s">
        <v>1236</v>
      </c>
    </row>
    <row r="274" spans="1:39" x14ac:dyDescent="0.25">
      <c r="A274" s="19" t="str">
        <f t="shared" si="12"/>
        <v>s4_vax</v>
      </c>
      <c r="B274" s="21"/>
      <c r="C274" s="21"/>
      <c r="D274" s="21"/>
      <c r="E274" s="21"/>
      <c r="F274" s="21"/>
      <c r="G274" s="21"/>
      <c r="H274" s="21"/>
      <c r="I274" s="21"/>
      <c r="J274" s="21"/>
      <c r="K274" s="21"/>
      <c r="L274" s="21"/>
      <c r="M274" s="21"/>
      <c r="N274" s="21"/>
      <c r="O274" s="104" t="s">
        <v>1573</v>
      </c>
      <c r="P274" s="21"/>
      <c r="Q274" s="21"/>
      <c r="R274" s="21"/>
      <c r="S274" s="21"/>
      <c r="T274" s="21"/>
      <c r="U274" s="21"/>
      <c r="V274" s="21" t="s">
        <v>394</v>
      </c>
      <c r="W274" s="21"/>
      <c r="X274" s="21"/>
      <c r="Y274" s="21"/>
      <c r="Z274" s="21"/>
      <c r="AA274" s="21"/>
      <c r="AB274" s="21"/>
      <c r="AC274" s="21"/>
      <c r="AD274" s="21"/>
      <c r="AE274" s="21" t="s">
        <v>400</v>
      </c>
      <c r="AF274" s="21"/>
      <c r="AG274" s="21"/>
      <c r="AH274" s="21"/>
      <c r="AI274" s="21"/>
      <c r="AJ274" s="21"/>
      <c r="AK274" s="21"/>
      <c r="AL274" s="21" t="s">
        <v>351</v>
      </c>
      <c r="AM274" s="21" t="s">
        <v>1236</v>
      </c>
    </row>
    <row r="275" spans="1:39" x14ac:dyDescent="0.25">
      <c r="A275" s="19" t="str">
        <f t="shared" si="12"/>
        <v>f4_acute_vax</v>
      </c>
      <c r="B275" s="21"/>
      <c r="C275" s="21"/>
      <c r="D275" s="21"/>
      <c r="E275" s="21"/>
      <c r="F275" s="21"/>
      <c r="G275" s="21"/>
      <c r="H275" s="21"/>
      <c r="I275" s="21"/>
      <c r="J275" s="21"/>
      <c r="K275" s="21"/>
      <c r="L275" s="21"/>
      <c r="M275" s="21"/>
      <c r="N275" s="21"/>
      <c r="O275" s="21"/>
      <c r="P275" s="103" t="s">
        <v>1437</v>
      </c>
      <c r="Q275" s="21"/>
      <c r="R275" s="21"/>
      <c r="S275" s="21"/>
      <c r="T275" s="21"/>
      <c r="U275" s="21"/>
      <c r="V275" s="21"/>
      <c r="W275" s="21"/>
      <c r="X275" s="21"/>
      <c r="Y275" s="21"/>
      <c r="Z275" s="21"/>
      <c r="AA275" s="21"/>
      <c r="AB275" s="21"/>
      <c r="AC275" s="21"/>
      <c r="AD275" s="21"/>
      <c r="AE275" s="21"/>
      <c r="AF275" s="21"/>
      <c r="AG275" s="21"/>
      <c r="AH275" s="21"/>
      <c r="AI275" s="21"/>
      <c r="AJ275" s="21"/>
      <c r="AK275" s="21" t="s">
        <v>1186</v>
      </c>
      <c r="AL275" s="21" t="s">
        <v>351</v>
      </c>
      <c r="AM275" s="21" t="s">
        <v>1236</v>
      </c>
    </row>
    <row r="276" spans="1:39" x14ac:dyDescent="0.25">
      <c r="A276" s="18" t="str">
        <f t="shared" si="12"/>
        <v>f4_clear_j_vax</v>
      </c>
      <c r="B276" s="21"/>
      <c r="C276" s="21"/>
      <c r="D276" s="103" t="s">
        <v>1433</v>
      </c>
      <c r="E276" s="21"/>
      <c r="F276" s="21"/>
      <c r="G276" s="21"/>
      <c r="H276" s="21"/>
      <c r="I276" s="21"/>
      <c r="J276" s="21"/>
      <c r="K276" s="21"/>
      <c r="L276" s="21"/>
      <c r="M276" s="21"/>
      <c r="N276" s="103" t="s">
        <v>1432</v>
      </c>
      <c r="O276" s="21"/>
      <c r="P276" s="21"/>
      <c r="Q276" s="21"/>
      <c r="R276" s="21"/>
      <c r="S276" s="21"/>
      <c r="T276" s="21"/>
      <c r="U276" s="21"/>
      <c r="V276" s="21"/>
      <c r="W276" s="21"/>
      <c r="X276" s="21"/>
      <c r="Y276" s="21"/>
      <c r="Z276" s="21"/>
      <c r="AA276" s="21"/>
      <c r="AB276" s="21"/>
      <c r="AC276" s="21"/>
      <c r="AD276" s="21"/>
      <c r="AE276" s="21"/>
      <c r="AF276" s="21"/>
      <c r="AG276" s="21"/>
      <c r="AH276" s="21"/>
      <c r="AI276" s="21"/>
      <c r="AJ276" s="21"/>
      <c r="AK276" s="21"/>
      <c r="AL276" s="21"/>
      <c r="AM276" s="21"/>
    </row>
    <row r="277" spans="1:39" x14ac:dyDescent="0.25">
      <c r="A277" s="19" t="str">
        <f t="shared" si="12"/>
        <v>f4_t2_vax</v>
      </c>
      <c r="B277" s="21"/>
      <c r="C277" s="21"/>
      <c r="D277" s="21"/>
      <c r="E277" s="21"/>
      <c r="F277" s="21"/>
      <c r="G277" s="21"/>
      <c r="H277" s="21"/>
      <c r="I277" s="21"/>
      <c r="J277" s="21"/>
      <c r="K277" s="21"/>
      <c r="L277" s="21"/>
      <c r="M277" s="21"/>
      <c r="N277" s="21"/>
      <c r="O277" s="21"/>
      <c r="P277" s="21"/>
      <c r="Q277" s="21"/>
      <c r="R277" s="21" t="s">
        <v>368</v>
      </c>
      <c r="S277" s="21"/>
      <c r="T277" s="21"/>
      <c r="U277" s="21"/>
      <c r="V277" s="21"/>
      <c r="W277" s="21"/>
      <c r="X277" s="21"/>
      <c r="Y277" s="21"/>
      <c r="Z277" s="21"/>
      <c r="AA277" s="21"/>
      <c r="AB277" s="21"/>
      <c r="AC277" s="21"/>
      <c r="AD277" s="21"/>
      <c r="AE277" s="21"/>
      <c r="AF277" s="21"/>
      <c r="AG277" s="21"/>
      <c r="AH277" s="21"/>
      <c r="AI277" s="21"/>
      <c r="AJ277" s="21"/>
      <c r="AK277" s="21" t="s">
        <v>1186</v>
      </c>
      <c r="AL277" s="21" t="s">
        <v>351</v>
      </c>
      <c r="AM277" s="21" t="s">
        <v>1236</v>
      </c>
    </row>
    <row r="278" spans="1:39" x14ac:dyDescent="0.25">
      <c r="A278" s="18" t="str">
        <f t="shared" si="12"/>
        <v>f4_t2_j_vax</v>
      </c>
      <c r="B278" s="21"/>
      <c r="C278" s="21"/>
      <c r="D278" s="21"/>
      <c r="E278" s="21"/>
      <c r="F278" s="21"/>
      <c r="G278" s="21"/>
      <c r="H278" s="21"/>
      <c r="I278" s="21"/>
      <c r="J278" s="21"/>
      <c r="K278" s="21"/>
      <c r="L278" s="21" t="s">
        <v>369</v>
      </c>
      <c r="M278" s="21"/>
      <c r="N278" s="21" t="s">
        <v>370</v>
      </c>
      <c r="O278" s="21"/>
      <c r="P278" s="21"/>
      <c r="Q278" s="21"/>
      <c r="R278" s="21"/>
      <c r="T278" s="21"/>
      <c r="U278" s="21"/>
      <c r="V278" s="21"/>
      <c r="W278" s="21"/>
      <c r="X278" s="21"/>
      <c r="Y278" s="21"/>
      <c r="Z278" s="21"/>
      <c r="AA278" s="21"/>
      <c r="AB278" s="21"/>
      <c r="AC278" s="21"/>
      <c r="AD278" s="21"/>
      <c r="AE278" s="21"/>
      <c r="AF278" s="21"/>
      <c r="AG278" s="21"/>
      <c r="AH278" s="21"/>
      <c r="AI278" s="21"/>
      <c r="AJ278" s="21"/>
      <c r="AK278" s="21"/>
      <c r="AL278" s="21"/>
      <c r="AM278" s="21"/>
    </row>
    <row r="279" spans="1:39" x14ac:dyDescent="0.25">
      <c r="A279" s="19" t="str">
        <f t="shared" si="12"/>
        <v>f4_ft2_vax</v>
      </c>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c r="AA279" s="21"/>
      <c r="AB279" s="21" t="s">
        <v>390</v>
      </c>
      <c r="AC279" s="21"/>
      <c r="AD279" s="21"/>
      <c r="AE279" s="21"/>
      <c r="AF279" s="21"/>
      <c r="AG279" s="21"/>
      <c r="AH279" s="21"/>
      <c r="AI279" s="21"/>
      <c r="AJ279" s="21" t="s">
        <v>391</v>
      </c>
      <c r="AK279" s="21" t="s">
        <v>1186</v>
      </c>
      <c r="AL279" s="21" t="s">
        <v>351</v>
      </c>
      <c r="AM279" s="21" t="s">
        <v>1236</v>
      </c>
    </row>
    <row r="281" spans="1:39" x14ac:dyDescent="0.25">
      <c r="A281" s="22"/>
      <c r="B281" s="19" t="str">
        <f t="shared" ref="B281:N281" si="13">B118&amp;"_vax"</f>
        <v>dc_ab_ud_vax</v>
      </c>
      <c r="C281" s="19" t="str">
        <f t="shared" si="13"/>
        <v>dc_ab_ltfu_j_vax</v>
      </c>
      <c r="D281" s="19" t="str">
        <f t="shared" si="13"/>
        <v>dc_ab_d_vax</v>
      </c>
      <c r="E281" s="19" t="str">
        <f t="shared" si="13"/>
        <v>dc_ab_ltfu_vax</v>
      </c>
      <c r="F281" s="19" t="str">
        <f t="shared" si="13"/>
        <v>dc_pcr_ltfu_j_vax</v>
      </c>
      <c r="G281" s="19" t="str">
        <f t="shared" si="13"/>
        <v>dc_pcr_d_vax</v>
      </c>
      <c r="H281" s="19" t="str">
        <f t="shared" si="13"/>
        <v>dc_pcr_ltfu_vax</v>
      </c>
      <c r="I281" s="19" t="str">
        <f t="shared" si="13"/>
        <v>dc_t1_vax</v>
      </c>
      <c r="J281" s="19" t="str">
        <f t="shared" si="13"/>
        <v>dc_t1_j_vax</v>
      </c>
      <c r="K281" s="19" t="str">
        <f t="shared" si="13"/>
        <v>dc_t1ltf_j_vax</v>
      </c>
      <c r="L281" s="19" t="str">
        <f t="shared" si="13"/>
        <v>dc_ft1_vax</v>
      </c>
      <c r="M281" s="19" t="str">
        <f t="shared" si="13"/>
        <v>dc_ft1_ltfu_vax</v>
      </c>
      <c r="N281" s="19" t="str">
        <f t="shared" si="13"/>
        <v>sdc_vax</v>
      </c>
      <c r="O281" s="19" t="str">
        <f t="shared" ref="O281:AD281" si="14">P118&amp;"_vax"</f>
        <v>dc_acute_vax</v>
      </c>
      <c r="P281" s="19" t="str">
        <f t="shared" si="14"/>
        <v>dc_clear_j_vax</v>
      </c>
      <c r="Q281" s="19" t="str">
        <f t="shared" si="14"/>
        <v>dc_t2_vax</v>
      </c>
      <c r="R281" s="19" t="str">
        <f t="shared" si="14"/>
        <v>dc_t2_j_vax</v>
      </c>
      <c r="S281" s="19" t="str">
        <f t="shared" si="14"/>
        <v>dc_ft2_vax</v>
      </c>
      <c r="T281" s="19" t="str">
        <f t="shared" si="14"/>
        <v>dc_lt1_vax</v>
      </c>
      <c r="U281" s="19" t="str">
        <f t="shared" si="14"/>
        <v>dc_lt2_vax</v>
      </c>
      <c r="V281" s="19" t="str">
        <f t="shared" si="14"/>
        <v>hcc_ab_ud_vax</v>
      </c>
      <c r="W281" s="19" t="str">
        <f t="shared" si="14"/>
        <v>hcc_ud_ltc_vax</v>
      </c>
      <c r="X281" s="19" t="str">
        <f t="shared" si="14"/>
        <v>hcc_ab_d_vax</v>
      </c>
      <c r="Y281" s="19" t="str">
        <f t="shared" si="14"/>
        <v>hcc_ab_ltfu_vax</v>
      </c>
      <c r="Z281" s="19" t="str">
        <f t="shared" si="14"/>
        <v>hcc_pcr_d_vax</v>
      </c>
      <c r="AA281" s="19" t="str">
        <f t="shared" si="14"/>
        <v>hcc_pcr_ltfu_vax</v>
      </c>
      <c r="AB281" s="19" t="str">
        <f t="shared" si="14"/>
        <v>hcc_ft1_ltfu_vax</v>
      </c>
      <c r="AC281" s="19" t="str">
        <f t="shared" si="14"/>
        <v>shcc_vax</v>
      </c>
      <c r="AD281" s="19" t="str">
        <f t="shared" si="14"/>
        <v>hcc_ft2_vax</v>
      </c>
      <c r="AE281" s="19" t="s">
        <v>346</v>
      </c>
      <c r="AF281" s="19" t="s">
        <v>348</v>
      </c>
      <c r="AG281" s="89" t="s">
        <v>342</v>
      </c>
      <c r="AH281" s="89" t="s">
        <v>340</v>
      </c>
      <c r="AI281" s="89" t="s">
        <v>1244</v>
      </c>
    </row>
    <row r="282" spans="1:39" x14ac:dyDescent="0.25">
      <c r="A282" s="19" t="str">
        <f t="shared" ref="A282:A302" si="15">A119&amp;"_vax"</f>
        <v>dc_ab_ud_vax</v>
      </c>
      <c r="B282" s="20"/>
      <c r="C282" s="20" t="s">
        <v>379</v>
      </c>
      <c r="D282" s="20"/>
      <c r="E282" s="21"/>
      <c r="F282" s="20"/>
      <c r="G282" s="20" t="s">
        <v>380</v>
      </c>
      <c r="H282" s="21"/>
      <c r="I282" s="21"/>
      <c r="J282" s="21"/>
      <c r="K282" s="21"/>
      <c r="L282" s="21"/>
      <c r="M282" s="21"/>
      <c r="N282" s="21"/>
      <c r="O282" s="21"/>
      <c r="P282" s="21"/>
      <c r="Q282" s="21"/>
      <c r="R282" s="21"/>
      <c r="S282" s="21"/>
      <c r="T282" s="21"/>
      <c r="U282" s="21"/>
      <c r="V282" s="21" t="s">
        <v>395</v>
      </c>
      <c r="W282" s="21"/>
      <c r="X282" s="21"/>
      <c r="Y282" s="21"/>
      <c r="Z282" s="21"/>
      <c r="AA282" s="21"/>
      <c r="AB282" s="21"/>
      <c r="AC282" s="21"/>
      <c r="AD282" s="21"/>
      <c r="AE282" s="21"/>
      <c r="AF282" s="21"/>
      <c r="AG282" s="20" t="s">
        <v>396</v>
      </c>
      <c r="AH282" s="21" t="s">
        <v>351</v>
      </c>
      <c r="AI282" s="21" t="s">
        <v>1236</v>
      </c>
    </row>
    <row r="283" spans="1:39" x14ac:dyDescent="0.25">
      <c r="A283" s="19" t="str">
        <f t="shared" si="15"/>
        <v>dc_ud_ltc_vax</v>
      </c>
      <c r="B283" s="20"/>
      <c r="C283" s="20" t="s">
        <v>382</v>
      </c>
      <c r="D283" s="20"/>
      <c r="E283" s="21"/>
      <c r="F283" s="21"/>
      <c r="G283" s="21" t="s">
        <v>383</v>
      </c>
      <c r="H283" s="21"/>
      <c r="I283" s="21"/>
      <c r="J283" s="21"/>
      <c r="K283" s="21"/>
      <c r="L283" s="21"/>
      <c r="M283" s="21"/>
      <c r="N283" s="21"/>
      <c r="O283" s="21"/>
      <c r="P283" s="21"/>
      <c r="Q283" s="21"/>
      <c r="R283" s="21"/>
      <c r="S283" s="21"/>
      <c r="T283" s="21"/>
      <c r="U283" s="21"/>
      <c r="V283" s="21"/>
      <c r="W283" s="21" t="s">
        <v>395</v>
      </c>
      <c r="X283" s="21"/>
      <c r="Y283" s="21"/>
      <c r="Z283" s="21"/>
      <c r="AA283" s="21"/>
      <c r="AB283" s="21"/>
      <c r="AC283" s="21"/>
      <c r="AD283" s="21"/>
      <c r="AE283" s="21"/>
      <c r="AF283" s="21"/>
      <c r="AG283" s="20" t="s">
        <v>396</v>
      </c>
      <c r="AH283" s="21" t="s">
        <v>351</v>
      </c>
      <c r="AI283" s="21" t="s">
        <v>1236</v>
      </c>
    </row>
    <row r="284" spans="1:39" x14ac:dyDescent="0.25">
      <c r="A284" s="18" t="str">
        <f t="shared" si="15"/>
        <v>dc_ab_ltfu_j_vax</v>
      </c>
      <c r="B284" s="21"/>
      <c r="C284" s="21"/>
      <c r="D284" s="21" t="s">
        <v>384</v>
      </c>
      <c r="E284" s="21" t="s">
        <v>1047</v>
      </c>
      <c r="F284" s="21"/>
      <c r="G284" s="21"/>
      <c r="H284" s="21"/>
      <c r="I284" s="21"/>
      <c r="J284" s="21"/>
      <c r="K284" s="21"/>
      <c r="L284" s="21"/>
      <c r="M284" s="21"/>
      <c r="N284" s="21"/>
      <c r="O284" s="21"/>
      <c r="P284" s="21"/>
      <c r="Q284" s="21"/>
      <c r="R284" s="21"/>
      <c r="S284" s="21"/>
      <c r="T284" s="21"/>
      <c r="U284" s="21"/>
      <c r="V284" s="21"/>
      <c r="W284" s="21"/>
      <c r="X284" s="21"/>
      <c r="Y284" s="21"/>
      <c r="Z284" s="21"/>
      <c r="AA284" s="21"/>
      <c r="AB284" s="21"/>
      <c r="AC284" s="21"/>
      <c r="AD284" s="21"/>
      <c r="AE284" s="21"/>
      <c r="AF284" s="21"/>
      <c r="AG284" s="21"/>
      <c r="AH284" s="21"/>
      <c r="AI284" s="21"/>
    </row>
    <row r="285" spans="1:39" x14ac:dyDescent="0.25">
      <c r="A285" s="19" t="str">
        <f t="shared" si="15"/>
        <v>dc_ab_ltfu_vax</v>
      </c>
      <c r="C285" s="21"/>
      <c r="D285" s="21" t="s">
        <v>1038</v>
      </c>
      <c r="E285" s="21"/>
      <c r="F285" s="21" t="s">
        <v>1044</v>
      </c>
      <c r="G285" s="21"/>
      <c r="H285" s="21"/>
      <c r="I285" s="21"/>
      <c r="J285" s="21"/>
      <c r="K285" s="21"/>
      <c r="L285" s="21"/>
      <c r="M285" s="21"/>
      <c r="N285" s="21"/>
      <c r="O285" s="21"/>
      <c r="P285" s="21"/>
      <c r="Q285" s="21"/>
      <c r="R285" s="21"/>
      <c r="S285" s="21"/>
      <c r="T285" s="21"/>
      <c r="U285" s="21"/>
      <c r="V285" s="21"/>
      <c r="W285" s="21"/>
      <c r="X285" s="21"/>
      <c r="Y285" s="21" t="s">
        <v>395</v>
      </c>
      <c r="Z285" s="21"/>
      <c r="AA285" s="21"/>
      <c r="AB285" s="21"/>
      <c r="AC285" s="21"/>
      <c r="AD285" s="21"/>
      <c r="AE285" s="21"/>
      <c r="AF285" s="21"/>
      <c r="AG285" s="20" t="s">
        <v>396</v>
      </c>
      <c r="AH285" s="21" t="s">
        <v>351</v>
      </c>
      <c r="AI285" s="21" t="s">
        <v>1236</v>
      </c>
    </row>
    <row r="286" spans="1:39" x14ac:dyDescent="0.25">
      <c r="A286" s="19" t="str">
        <f t="shared" si="15"/>
        <v>dc_ab_d_vax</v>
      </c>
      <c r="B286" s="21"/>
      <c r="C286" s="21"/>
      <c r="D286" s="21"/>
      <c r="E286" s="21"/>
      <c r="F286" s="20" t="s">
        <v>385</v>
      </c>
      <c r="G286" s="21"/>
      <c r="H286" s="21"/>
      <c r="I286" s="21"/>
      <c r="J286" s="21"/>
      <c r="K286" s="21"/>
      <c r="L286" s="21"/>
      <c r="M286" s="21"/>
      <c r="N286" s="21"/>
      <c r="O286" s="21"/>
      <c r="P286" s="21"/>
      <c r="Q286" s="21"/>
      <c r="R286" s="21"/>
      <c r="S286" s="21"/>
      <c r="T286" s="21"/>
      <c r="U286" s="21"/>
      <c r="V286" s="21"/>
      <c r="W286" s="21"/>
      <c r="X286" s="21" t="s">
        <v>395</v>
      </c>
      <c r="Y286" s="21"/>
      <c r="Z286" s="21"/>
      <c r="AA286" s="21"/>
      <c r="AB286" s="21"/>
      <c r="AC286" s="21"/>
      <c r="AD286" s="21"/>
      <c r="AE286" s="21"/>
      <c r="AF286" s="21"/>
      <c r="AG286" s="20" t="s">
        <v>396</v>
      </c>
      <c r="AH286" s="21" t="s">
        <v>351</v>
      </c>
      <c r="AI286" s="21" t="s">
        <v>1236</v>
      </c>
    </row>
    <row r="287" spans="1:39" x14ac:dyDescent="0.25">
      <c r="A287" s="18" t="str">
        <f t="shared" si="15"/>
        <v>dc_pcr_ltfu_j_vax</v>
      </c>
      <c r="B287" s="21"/>
      <c r="C287" s="21"/>
      <c r="D287" s="21"/>
      <c r="E287" s="21"/>
      <c r="F287" s="21"/>
      <c r="G287" s="21" t="s">
        <v>386</v>
      </c>
      <c r="H287" s="21" t="s">
        <v>1049</v>
      </c>
      <c r="I287" s="21"/>
      <c r="J287" s="21"/>
      <c r="K287" s="21"/>
      <c r="L287" s="21"/>
      <c r="M287" s="21"/>
      <c r="N287" s="21"/>
      <c r="O287" s="21"/>
      <c r="P287" s="21"/>
      <c r="Q287" s="21"/>
      <c r="R287" s="21"/>
      <c r="S287" s="21"/>
      <c r="T287" s="21"/>
      <c r="U287" s="21"/>
      <c r="V287" s="21"/>
      <c r="W287" s="21"/>
      <c r="X287" s="21"/>
      <c r="Y287" s="21"/>
      <c r="Z287" s="21"/>
      <c r="AA287" s="21"/>
      <c r="AB287" s="21"/>
      <c r="AC287" s="21"/>
      <c r="AD287" s="21"/>
      <c r="AE287" s="21"/>
      <c r="AF287" s="21"/>
      <c r="AG287" s="21"/>
      <c r="AH287" s="21"/>
      <c r="AI287" s="21"/>
    </row>
    <row r="288" spans="1:39" x14ac:dyDescent="0.25">
      <c r="A288" s="19" t="str">
        <f t="shared" si="15"/>
        <v>dc_pcr_ltfu_vax</v>
      </c>
      <c r="B288" s="21"/>
      <c r="C288" s="21"/>
      <c r="E288" s="21"/>
      <c r="F288" s="21"/>
      <c r="G288" s="21" t="s">
        <v>1040</v>
      </c>
      <c r="H288" s="21"/>
      <c r="I288" s="21"/>
      <c r="J288" s="21"/>
      <c r="K288" s="21"/>
      <c r="L288" s="21"/>
      <c r="M288" s="21"/>
      <c r="N288" s="21"/>
      <c r="O288" s="21"/>
      <c r="P288" s="21"/>
      <c r="Q288" s="21"/>
      <c r="R288" s="21"/>
      <c r="S288" s="21"/>
      <c r="T288" s="21"/>
      <c r="U288" s="21"/>
      <c r="V288" s="21"/>
      <c r="W288" s="21"/>
      <c r="X288" s="21"/>
      <c r="Y288" s="21"/>
      <c r="Z288" s="21"/>
      <c r="AA288" s="21" t="s">
        <v>395</v>
      </c>
      <c r="AB288" s="21"/>
      <c r="AC288" s="21"/>
      <c r="AD288" s="21"/>
      <c r="AE288" s="21"/>
      <c r="AF288" s="21"/>
      <c r="AG288" s="20" t="s">
        <v>396</v>
      </c>
      <c r="AH288" s="21" t="s">
        <v>351</v>
      </c>
      <c r="AI288" s="21" t="s">
        <v>1236</v>
      </c>
    </row>
    <row r="289" spans="1:35" x14ac:dyDescent="0.25">
      <c r="A289" s="19" t="str">
        <f t="shared" si="15"/>
        <v>dc_pcr_d_vax</v>
      </c>
      <c r="B289" s="21"/>
      <c r="C289" s="21"/>
      <c r="D289" s="21"/>
      <c r="E289" s="21"/>
      <c r="F289" s="21"/>
      <c r="G289" s="21"/>
      <c r="H289" s="21"/>
      <c r="I289" s="21" t="s">
        <v>397</v>
      </c>
      <c r="J289" s="21"/>
      <c r="K289" s="21"/>
      <c r="L289" s="21"/>
      <c r="M289" s="21"/>
      <c r="N289" s="21"/>
      <c r="O289" s="21"/>
      <c r="P289" s="21"/>
      <c r="Q289" s="21"/>
      <c r="R289" s="21"/>
      <c r="S289" s="21"/>
      <c r="T289" s="21" t="s">
        <v>398</v>
      </c>
      <c r="U289" s="21"/>
      <c r="V289" s="21"/>
      <c r="W289" s="21"/>
      <c r="X289" s="21"/>
      <c r="Y289" s="21"/>
      <c r="Z289" s="21" t="s">
        <v>395</v>
      </c>
      <c r="AA289" s="21"/>
      <c r="AB289" s="21"/>
      <c r="AC289" s="21"/>
      <c r="AD289" s="21"/>
      <c r="AE289" s="21"/>
      <c r="AF289" s="21"/>
      <c r="AG289" s="20" t="s">
        <v>396</v>
      </c>
      <c r="AH289" s="21" t="s">
        <v>351</v>
      </c>
      <c r="AI289" s="21" t="s">
        <v>1236</v>
      </c>
    </row>
    <row r="290" spans="1:35" x14ac:dyDescent="0.25">
      <c r="A290" s="19" t="str">
        <f t="shared" si="15"/>
        <v>dc_t1_vax</v>
      </c>
      <c r="B290" s="21"/>
      <c r="C290" s="21"/>
      <c r="D290" s="21"/>
      <c r="E290" s="21"/>
      <c r="F290" s="21"/>
      <c r="G290" s="21"/>
      <c r="H290" s="21"/>
      <c r="I290" s="21"/>
      <c r="J290" s="21" t="s">
        <v>368</v>
      </c>
      <c r="K290" s="21"/>
      <c r="L290" s="21"/>
      <c r="M290" s="21"/>
      <c r="N290" s="21"/>
      <c r="O290" s="21"/>
      <c r="P290" s="21"/>
      <c r="Q290" s="21"/>
      <c r="R290" s="21"/>
      <c r="S290" s="21"/>
      <c r="T290" s="21" t="s">
        <v>398</v>
      </c>
      <c r="U290" s="21"/>
      <c r="V290" s="21"/>
      <c r="W290" s="21"/>
      <c r="X290" s="21"/>
      <c r="Y290" s="21"/>
      <c r="Z290" s="21"/>
      <c r="AA290" s="21"/>
      <c r="AB290" s="21"/>
      <c r="AC290" s="21"/>
      <c r="AD290" s="21"/>
      <c r="AE290" s="21"/>
      <c r="AF290" s="21"/>
      <c r="AG290" s="20" t="s">
        <v>396</v>
      </c>
      <c r="AH290" s="21" t="s">
        <v>351</v>
      </c>
      <c r="AI290" s="21" t="s">
        <v>1236</v>
      </c>
    </row>
    <row r="291" spans="1:35" x14ac:dyDescent="0.25">
      <c r="A291" s="18" t="str">
        <f t="shared" si="15"/>
        <v>dc_t1_j_vax</v>
      </c>
      <c r="B291" s="21"/>
      <c r="C291" s="21"/>
      <c r="D291" s="21"/>
      <c r="E291" s="21"/>
      <c r="F291" s="21"/>
      <c r="G291" s="21" t="s">
        <v>369</v>
      </c>
      <c r="H291" s="21"/>
      <c r="I291" s="21"/>
      <c r="J291" s="21"/>
      <c r="L291" s="21"/>
      <c r="M291" s="21"/>
      <c r="N291" s="21" t="s">
        <v>370</v>
      </c>
      <c r="O291" s="21"/>
      <c r="P291" s="21"/>
      <c r="Q291" s="21"/>
      <c r="R291" s="21"/>
      <c r="S291" s="21"/>
      <c r="T291" s="21"/>
      <c r="U291" s="21"/>
      <c r="V291" s="21"/>
      <c r="W291" s="21"/>
      <c r="X291" s="21"/>
      <c r="Y291" s="21"/>
      <c r="Z291" s="21"/>
      <c r="AA291" s="21"/>
      <c r="AB291" s="21"/>
      <c r="AC291" s="21"/>
      <c r="AD291" s="21"/>
      <c r="AE291" s="21"/>
      <c r="AF291" s="21"/>
      <c r="AG291" s="21"/>
      <c r="AH291" s="21"/>
      <c r="AI291" s="21"/>
    </row>
    <row r="292" spans="1:35" x14ac:dyDescent="0.25">
      <c r="A292" s="18" t="str">
        <f t="shared" si="15"/>
        <v>dc_t1ltf_j_vax</v>
      </c>
      <c r="B292" s="21"/>
      <c r="C292" s="21"/>
      <c r="D292" s="21"/>
      <c r="E292" s="21"/>
      <c r="F292" s="21"/>
      <c r="G292" s="21"/>
      <c r="H292" s="21"/>
      <c r="I292" s="21"/>
      <c r="J292" s="21"/>
      <c r="K292" s="21"/>
      <c r="L292" s="21" t="s">
        <v>388</v>
      </c>
      <c r="M292" s="21" t="s">
        <v>1055</v>
      </c>
      <c r="N292" s="21"/>
      <c r="O292" s="21"/>
      <c r="P292" s="21"/>
      <c r="Q292" s="21"/>
      <c r="R292" s="21"/>
      <c r="S292" s="21"/>
      <c r="T292" s="21"/>
      <c r="U292" s="21"/>
      <c r="V292" s="21"/>
      <c r="W292" s="21"/>
      <c r="X292" s="21"/>
      <c r="Y292" s="21"/>
      <c r="Z292" s="21"/>
      <c r="AA292" s="21"/>
      <c r="AB292" s="21"/>
      <c r="AC292" s="21"/>
      <c r="AD292" s="21"/>
      <c r="AE292" s="21"/>
      <c r="AF292" s="21"/>
      <c r="AG292" s="21"/>
      <c r="AH292" s="21"/>
      <c r="AI292" s="21"/>
    </row>
    <row r="293" spans="1:35" x14ac:dyDescent="0.25">
      <c r="A293" s="19" t="str">
        <f t="shared" si="15"/>
        <v>dc_ft1_vax</v>
      </c>
      <c r="B293" s="21"/>
      <c r="C293" s="21"/>
      <c r="D293" s="21"/>
      <c r="E293" s="21"/>
      <c r="F293" s="21"/>
      <c r="G293" s="21"/>
      <c r="H293" s="21"/>
      <c r="I293" s="21"/>
      <c r="J293" s="21"/>
      <c r="K293" s="21"/>
      <c r="M293" s="21"/>
      <c r="N293" s="21"/>
      <c r="O293" s="21"/>
      <c r="P293" s="21"/>
      <c r="Q293" s="21" t="s">
        <v>399</v>
      </c>
      <c r="R293" s="21"/>
      <c r="S293" s="21"/>
      <c r="T293" s="21" t="s">
        <v>398</v>
      </c>
      <c r="U293" s="21"/>
      <c r="V293" s="21"/>
      <c r="W293" s="21"/>
      <c r="X293" s="21"/>
      <c r="Y293" s="21"/>
      <c r="Z293" s="21"/>
      <c r="AA293" s="21"/>
      <c r="AB293" s="21"/>
      <c r="AC293" s="21"/>
      <c r="AD293" s="21"/>
      <c r="AE293" s="21"/>
      <c r="AF293" s="21"/>
      <c r="AG293" s="20" t="s">
        <v>396</v>
      </c>
      <c r="AH293" s="21" t="s">
        <v>351</v>
      </c>
      <c r="AI293" s="21" t="s">
        <v>1236</v>
      </c>
    </row>
    <row r="294" spans="1:35" x14ac:dyDescent="0.25">
      <c r="A294" s="19" t="str">
        <f t="shared" si="15"/>
        <v>dc_ft1_ltfu_vax</v>
      </c>
      <c r="C294" s="21"/>
      <c r="E294" s="21"/>
      <c r="F294" s="21"/>
      <c r="G294" s="21"/>
      <c r="H294" s="21"/>
      <c r="I294" s="21"/>
      <c r="J294" s="21"/>
      <c r="K294" s="21"/>
      <c r="L294" s="21" t="s">
        <v>1042</v>
      </c>
      <c r="M294" s="21"/>
      <c r="N294" s="21"/>
      <c r="O294" s="21"/>
      <c r="P294" s="21"/>
      <c r="Q294" s="21"/>
      <c r="R294" s="21"/>
      <c r="S294" s="21"/>
      <c r="T294" s="21"/>
      <c r="U294" s="21"/>
      <c r="V294" s="21"/>
      <c r="W294" s="21"/>
      <c r="X294" s="21"/>
      <c r="Y294" s="21"/>
      <c r="Z294" s="21"/>
      <c r="AA294" s="21"/>
      <c r="AB294" s="21" t="s">
        <v>395</v>
      </c>
      <c r="AC294" s="21"/>
      <c r="AD294" s="21"/>
      <c r="AE294" s="21"/>
      <c r="AF294" s="21"/>
      <c r="AG294" s="20" t="s">
        <v>396</v>
      </c>
      <c r="AH294" s="21" t="s">
        <v>351</v>
      </c>
      <c r="AI294" s="21" t="s">
        <v>1236</v>
      </c>
    </row>
    <row r="295" spans="1:35" x14ac:dyDescent="0.25">
      <c r="A295" s="19" t="str">
        <f t="shared" si="15"/>
        <v>sdc_vax</v>
      </c>
      <c r="B295" s="21"/>
      <c r="C295" s="21"/>
      <c r="D295" s="21" t="s">
        <v>1188</v>
      </c>
      <c r="E295" s="21"/>
      <c r="F295" s="21"/>
      <c r="G295" s="21"/>
      <c r="H295" s="21"/>
      <c r="I295" s="21"/>
      <c r="J295" s="21"/>
      <c r="K295" s="21"/>
      <c r="L295" s="21"/>
      <c r="M295" s="21"/>
      <c r="N295" s="21"/>
      <c r="O295" s="104" t="s">
        <v>1573</v>
      </c>
      <c r="P295" s="21"/>
      <c r="Q295" s="21"/>
      <c r="R295" s="21"/>
      <c r="S295" s="21"/>
      <c r="T295" s="21" t="s">
        <v>398</v>
      </c>
      <c r="U295" s="21"/>
      <c r="V295" s="21"/>
      <c r="W295" s="21"/>
      <c r="X295" s="21"/>
      <c r="Y295" s="21"/>
      <c r="Z295" s="21"/>
      <c r="AA295" s="21"/>
      <c r="AB295" s="21"/>
      <c r="AC295" s="21" t="s">
        <v>400</v>
      </c>
      <c r="AD295" s="21"/>
      <c r="AE295" s="21"/>
      <c r="AF295" s="21"/>
      <c r="AG295" s="20" t="s">
        <v>401</v>
      </c>
      <c r="AH295" s="21" t="s">
        <v>351</v>
      </c>
      <c r="AI295" s="21" t="s">
        <v>1236</v>
      </c>
    </row>
    <row r="296" spans="1:35" x14ac:dyDescent="0.25">
      <c r="A296" s="19" t="str">
        <f t="shared" si="15"/>
        <v>dc_acute_vax</v>
      </c>
      <c r="B296" s="21"/>
      <c r="C296" s="21"/>
      <c r="D296" s="21"/>
      <c r="E296" s="21"/>
      <c r="F296" s="21"/>
      <c r="G296" s="21"/>
      <c r="H296" s="21"/>
      <c r="I296" s="21"/>
      <c r="J296" s="21"/>
      <c r="K296" s="21"/>
      <c r="L296" s="21"/>
      <c r="M296" s="21"/>
      <c r="N296" s="21"/>
      <c r="O296" s="21"/>
      <c r="P296" s="103" t="s">
        <v>1437</v>
      </c>
      <c r="Q296" s="21"/>
      <c r="R296" s="21"/>
      <c r="S296" s="21"/>
      <c r="T296" s="21"/>
      <c r="U296" s="21"/>
      <c r="V296" s="21"/>
      <c r="W296" s="21"/>
      <c r="X296" s="21"/>
      <c r="Y296" s="21"/>
      <c r="Z296" s="21"/>
      <c r="AA296" s="21"/>
      <c r="AB296" s="21"/>
      <c r="AC296" s="21"/>
      <c r="AD296" s="21"/>
      <c r="AE296" s="21"/>
      <c r="AF296" s="21"/>
      <c r="AG296" s="20" t="s">
        <v>396</v>
      </c>
      <c r="AH296" s="21" t="s">
        <v>351</v>
      </c>
      <c r="AI296" s="21" t="s">
        <v>1236</v>
      </c>
    </row>
    <row r="297" spans="1:35" x14ac:dyDescent="0.25">
      <c r="A297" s="18" t="str">
        <f t="shared" si="15"/>
        <v>dc_clear_j_vax</v>
      </c>
      <c r="B297" s="21"/>
      <c r="C297" s="21"/>
      <c r="D297" s="103" t="s">
        <v>1433</v>
      </c>
      <c r="E297" s="21"/>
      <c r="F297" s="21"/>
      <c r="G297" s="21"/>
      <c r="H297" s="21"/>
      <c r="I297" s="21"/>
      <c r="J297" s="21"/>
      <c r="K297" s="21"/>
      <c r="L297" s="21"/>
      <c r="M297" s="21"/>
      <c r="N297" s="103" t="s">
        <v>1432</v>
      </c>
      <c r="O297" s="21"/>
      <c r="P297" s="21"/>
      <c r="Q297" s="21"/>
      <c r="R297" s="21"/>
      <c r="S297" s="21"/>
      <c r="T297" s="21"/>
      <c r="U297" s="21"/>
      <c r="V297" s="21"/>
      <c r="W297" s="21"/>
      <c r="X297" s="21"/>
      <c r="Y297" s="21"/>
      <c r="Z297" s="21"/>
      <c r="AA297" s="21"/>
      <c r="AB297" s="21"/>
      <c r="AC297" s="21"/>
      <c r="AD297" s="21"/>
      <c r="AE297" s="21"/>
      <c r="AF297" s="21"/>
      <c r="AG297" s="21"/>
      <c r="AH297" s="21"/>
      <c r="AI297" s="21"/>
    </row>
    <row r="298" spans="1:35" x14ac:dyDescent="0.25">
      <c r="A298" s="19" t="str">
        <f t="shared" si="15"/>
        <v>dc_t2_vax</v>
      </c>
      <c r="B298" s="21"/>
      <c r="C298" s="21"/>
      <c r="D298" s="21"/>
      <c r="E298" s="21"/>
      <c r="F298" s="21"/>
      <c r="G298" s="21"/>
      <c r="H298" s="21"/>
      <c r="I298" s="21"/>
      <c r="J298" s="21"/>
      <c r="K298" s="21"/>
      <c r="L298" s="21"/>
      <c r="M298" s="21"/>
      <c r="N298" s="21"/>
      <c r="O298" s="21"/>
      <c r="P298" s="21"/>
      <c r="Q298" s="21"/>
      <c r="R298" s="21" t="s">
        <v>368</v>
      </c>
      <c r="S298" s="21"/>
      <c r="T298" s="21" t="s">
        <v>398</v>
      </c>
      <c r="U298" s="21"/>
      <c r="V298" s="21"/>
      <c r="W298" s="21"/>
      <c r="X298" s="21"/>
      <c r="Y298" s="21"/>
      <c r="Z298" s="21"/>
      <c r="AA298" s="21"/>
      <c r="AB298" s="21"/>
      <c r="AC298" s="21"/>
      <c r="AD298" s="21"/>
      <c r="AE298" s="21"/>
      <c r="AF298" s="21"/>
      <c r="AG298" s="20" t="s">
        <v>396</v>
      </c>
      <c r="AH298" s="21" t="s">
        <v>351</v>
      </c>
      <c r="AI298" s="21" t="s">
        <v>1236</v>
      </c>
    </row>
    <row r="299" spans="1:35" x14ac:dyDescent="0.25">
      <c r="A299" s="18" t="str">
        <f t="shared" si="15"/>
        <v>dc_t2_j_vax</v>
      </c>
      <c r="B299" s="21"/>
      <c r="C299" s="21"/>
      <c r="D299" s="21"/>
      <c r="E299" s="21"/>
      <c r="F299" s="21"/>
      <c r="G299" s="21"/>
      <c r="H299" s="21"/>
      <c r="I299" s="21"/>
      <c r="J299" s="21"/>
      <c r="K299" s="21"/>
      <c r="L299" s="21" t="s">
        <v>369</v>
      </c>
      <c r="M299" s="21"/>
      <c r="N299" s="21" t="s">
        <v>370</v>
      </c>
      <c r="O299" s="21"/>
      <c r="P299" s="21"/>
      <c r="Q299" s="21"/>
      <c r="R299" s="21"/>
      <c r="T299" s="21"/>
      <c r="U299" s="21"/>
      <c r="V299" s="21"/>
      <c r="W299" s="21"/>
      <c r="X299" s="21"/>
      <c r="Y299" s="21"/>
      <c r="Z299" s="21"/>
      <c r="AA299" s="21"/>
      <c r="AB299" s="21"/>
      <c r="AC299" s="21"/>
      <c r="AD299" s="21"/>
      <c r="AE299" s="21"/>
      <c r="AF299" s="21"/>
      <c r="AG299" s="21"/>
      <c r="AH299" s="21"/>
      <c r="AI299" s="21"/>
    </row>
    <row r="300" spans="1:35" x14ac:dyDescent="0.25">
      <c r="A300" s="19" t="str">
        <f t="shared" si="15"/>
        <v>dc_ft2_vax</v>
      </c>
      <c r="B300" s="21"/>
      <c r="C300" s="21"/>
      <c r="D300" s="21"/>
      <c r="E300" s="21"/>
      <c r="F300" s="21"/>
      <c r="G300" s="21"/>
      <c r="H300" s="21"/>
      <c r="J300" s="21"/>
      <c r="K300" s="21"/>
      <c r="L300" s="21"/>
      <c r="M300" s="21"/>
      <c r="N300" s="21"/>
      <c r="O300" s="21"/>
      <c r="P300" s="21"/>
      <c r="Q300" s="21"/>
      <c r="R300" s="21"/>
      <c r="S300" s="21"/>
      <c r="T300" s="21" t="s">
        <v>398</v>
      </c>
      <c r="U300" s="21"/>
      <c r="V300" s="21"/>
      <c r="W300" s="21"/>
      <c r="X300" s="21"/>
      <c r="Y300" s="21"/>
      <c r="Z300" s="21"/>
      <c r="AA300" s="21"/>
      <c r="AB300" s="21"/>
      <c r="AC300" s="21"/>
      <c r="AD300" s="21" t="s">
        <v>395</v>
      </c>
      <c r="AE300" s="21"/>
      <c r="AF300" s="21"/>
      <c r="AG300" s="20" t="s">
        <v>396</v>
      </c>
      <c r="AH300" s="21" t="s">
        <v>351</v>
      </c>
      <c r="AI300" s="21" t="s">
        <v>1236</v>
      </c>
    </row>
    <row r="301" spans="1:35" x14ac:dyDescent="0.25">
      <c r="A301" s="17" t="str">
        <f t="shared" si="15"/>
        <v>dc_lt1_vax</v>
      </c>
      <c r="B301" s="21"/>
      <c r="C301" s="21"/>
      <c r="D301" s="21"/>
      <c r="E301" s="21"/>
      <c r="F301" s="21"/>
      <c r="G301" s="21"/>
      <c r="H301" s="21"/>
      <c r="I301" s="21"/>
      <c r="J301" s="21"/>
      <c r="K301" s="21"/>
      <c r="L301" s="21"/>
      <c r="M301" s="21"/>
      <c r="N301" s="21"/>
      <c r="O301" s="21"/>
      <c r="P301" s="21"/>
      <c r="Q301" s="21"/>
      <c r="R301" s="21"/>
      <c r="S301" s="21"/>
      <c r="T301" s="21"/>
      <c r="U301" s="21" t="s">
        <v>402</v>
      </c>
      <c r="V301" s="21"/>
      <c r="W301" s="21"/>
      <c r="X301" s="21"/>
      <c r="Y301" s="21"/>
      <c r="Z301" s="21"/>
      <c r="AA301" s="21"/>
      <c r="AB301" s="21"/>
      <c r="AC301" s="21"/>
      <c r="AD301" s="21"/>
      <c r="AE301" s="20" t="s">
        <v>403</v>
      </c>
      <c r="AF301" s="21"/>
      <c r="AG301" s="21"/>
      <c r="AH301" s="21" t="s">
        <v>351</v>
      </c>
      <c r="AI301" s="21" t="s">
        <v>1236</v>
      </c>
    </row>
    <row r="302" spans="1:35" x14ac:dyDescent="0.25">
      <c r="A302" s="17" t="str">
        <f t="shared" si="15"/>
        <v>dc_lt2_vax</v>
      </c>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c r="AA302" s="21"/>
      <c r="AB302" s="21"/>
      <c r="AC302" s="21"/>
      <c r="AD302" s="21"/>
      <c r="AE302" s="21"/>
      <c r="AF302" s="20" t="s">
        <v>404</v>
      </c>
      <c r="AG302" s="21"/>
      <c r="AH302" s="21" t="s">
        <v>351</v>
      </c>
      <c r="AI302" s="21" t="s">
        <v>1236</v>
      </c>
    </row>
    <row r="304" spans="1:35" x14ac:dyDescent="0.25">
      <c r="A304" s="22"/>
      <c r="B304" s="19" t="str">
        <f>B141&amp;"_vax"</f>
        <v>hcc_ab_ud_vax</v>
      </c>
      <c r="C304" s="19" t="str">
        <f t="shared" ref="C304:N304" si="16">C141&amp;"_vax"</f>
        <v>hcc_ab_ltfu_j_vax</v>
      </c>
      <c r="D304" s="19" t="str">
        <f t="shared" si="16"/>
        <v>hcc_ab_d_vax</v>
      </c>
      <c r="E304" s="19" t="str">
        <f t="shared" si="16"/>
        <v>hcc_ab_ltfu_vax</v>
      </c>
      <c r="F304" s="19" t="str">
        <f t="shared" si="16"/>
        <v>hcc_pcr_ltfu_j_vax</v>
      </c>
      <c r="G304" s="19" t="str">
        <f t="shared" si="16"/>
        <v>hcc_pcr_d_vax</v>
      </c>
      <c r="H304" s="19" t="str">
        <f t="shared" si="16"/>
        <v>hcc_pcr_ltfu_vax</v>
      </c>
      <c r="I304" s="19" t="str">
        <f t="shared" si="16"/>
        <v>hcc_t1_vax</v>
      </c>
      <c r="J304" s="19" t="str">
        <f t="shared" si="16"/>
        <v>hcc_t1_j_vax</v>
      </c>
      <c r="K304" s="19" t="str">
        <f t="shared" si="16"/>
        <v>hcc_t1ltf_j_vax</v>
      </c>
      <c r="L304" s="19" t="str">
        <f t="shared" si="16"/>
        <v>hcc_ft1_vax</v>
      </c>
      <c r="M304" s="19" t="str">
        <f t="shared" si="16"/>
        <v>hcc_ft1_ltfu_vax</v>
      </c>
      <c r="N304" s="19" t="str">
        <f t="shared" si="16"/>
        <v>shcc_vax</v>
      </c>
      <c r="O304" s="19" t="str">
        <f t="shared" ref="O304:U304" si="17">P141&amp;"_vax"</f>
        <v>hcc_acute_vax</v>
      </c>
      <c r="P304" s="19" t="str">
        <f t="shared" si="17"/>
        <v>hcc_clear_j_vax</v>
      </c>
      <c r="Q304" s="19" t="str">
        <f t="shared" si="17"/>
        <v>hcc_t2_vax</v>
      </c>
      <c r="R304" s="19" t="str">
        <f t="shared" si="17"/>
        <v>hcc_t2_j_vax</v>
      </c>
      <c r="S304" s="19" t="str">
        <f t="shared" si="17"/>
        <v>hcc_ft2_vax</v>
      </c>
      <c r="T304" s="19" t="str">
        <f t="shared" si="17"/>
        <v>hcc_lt1_vax</v>
      </c>
      <c r="U304" s="19" t="str">
        <f t="shared" si="17"/>
        <v>hcc_lt2_vax</v>
      </c>
      <c r="V304" s="16" t="s">
        <v>346</v>
      </c>
      <c r="W304" s="16" t="s">
        <v>348</v>
      </c>
      <c r="X304" s="89" t="s">
        <v>344</v>
      </c>
      <c r="Y304" s="89" t="s">
        <v>340</v>
      </c>
      <c r="Z304" s="89" t="s">
        <v>1244</v>
      </c>
    </row>
    <row r="305" spans="1:26" x14ac:dyDescent="0.25">
      <c r="A305" s="19" t="str">
        <f t="shared" ref="A305:A325" si="18">A142&amp;"_vax"</f>
        <v>hcc_ab_ud_vax</v>
      </c>
      <c r="B305" s="20"/>
      <c r="C305" s="20" t="s">
        <v>379</v>
      </c>
      <c r="D305" s="20"/>
      <c r="E305" s="21"/>
      <c r="F305" s="20"/>
      <c r="G305" s="20" t="s">
        <v>380</v>
      </c>
      <c r="H305" s="21"/>
      <c r="I305" s="21"/>
      <c r="J305" s="21"/>
      <c r="K305" s="21"/>
      <c r="L305" s="21"/>
      <c r="M305" s="21"/>
      <c r="N305" s="21"/>
      <c r="O305" s="21"/>
      <c r="P305" s="21"/>
      <c r="Q305" s="21"/>
      <c r="R305" s="21"/>
      <c r="S305" s="21"/>
      <c r="T305" s="21"/>
      <c r="U305" s="21"/>
      <c r="V305" s="21"/>
      <c r="W305" s="21"/>
      <c r="X305" s="20" t="s">
        <v>405</v>
      </c>
      <c r="Y305" s="21" t="s">
        <v>351</v>
      </c>
      <c r="Z305" s="21" t="s">
        <v>1236</v>
      </c>
    </row>
    <row r="306" spans="1:26" x14ac:dyDescent="0.25">
      <c r="A306" s="19" t="str">
        <f t="shared" si="18"/>
        <v>hcc_ud_ltc_vax</v>
      </c>
      <c r="B306" s="20"/>
      <c r="C306" s="20" t="s">
        <v>382</v>
      </c>
      <c r="D306" s="20"/>
      <c r="E306" s="21"/>
      <c r="F306" s="21"/>
      <c r="G306" s="21" t="s">
        <v>383</v>
      </c>
      <c r="H306" s="21"/>
      <c r="I306" s="21"/>
      <c r="J306" s="21"/>
      <c r="K306" s="21"/>
      <c r="L306" s="21"/>
      <c r="M306" s="21"/>
      <c r="N306" s="21"/>
      <c r="O306" s="21"/>
      <c r="P306" s="21"/>
      <c r="Q306" s="21"/>
      <c r="R306" s="21"/>
      <c r="S306" s="21"/>
      <c r="T306" s="21"/>
      <c r="U306" s="21"/>
      <c r="V306" s="21"/>
      <c r="W306" s="21"/>
      <c r="X306" s="20" t="s">
        <v>405</v>
      </c>
      <c r="Y306" s="21" t="s">
        <v>351</v>
      </c>
      <c r="Z306" s="21" t="s">
        <v>1236</v>
      </c>
    </row>
    <row r="307" spans="1:26" x14ac:dyDescent="0.25">
      <c r="A307" s="18" t="str">
        <f t="shared" si="18"/>
        <v>hcc_ab_ltfu_j_vax</v>
      </c>
      <c r="B307" s="21"/>
      <c r="C307" s="21"/>
      <c r="D307" s="21" t="s">
        <v>384</v>
      </c>
      <c r="E307" s="21" t="s">
        <v>1047</v>
      </c>
      <c r="F307" s="21"/>
      <c r="G307" s="21"/>
      <c r="H307" s="21"/>
      <c r="I307" s="21"/>
      <c r="J307" s="21"/>
      <c r="K307" s="21"/>
      <c r="L307" s="21"/>
      <c r="M307" s="21"/>
      <c r="N307" s="21"/>
      <c r="O307" s="21"/>
      <c r="P307" s="21"/>
      <c r="Q307" s="21"/>
      <c r="R307" s="21"/>
      <c r="S307" s="21"/>
      <c r="T307" s="21"/>
      <c r="U307" s="21"/>
      <c r="V307" s="21"/>
      <c r="W307" s="21"/>
      <c r="X307" s="21"/>
      <c r="Y307" s="21"/>
      <c r="Z307" s="21"/>
    </row>
    <row r="308" spans="1:26" x14ac:dyDescent="0.25">
      <c r="A308" s="19" t="str">
        <f t="shared" si="18"/>
        <v>hcc_ab_ltfu_vax</v>
      </c>
      <c r="C308" s="21"/>
      <c r="D308" s="21" t="s">
        <v>1038</v>
      </c>
      <c r="E308" s="21"/>
      <c r="F308" s="21" t="s">
        <v>1044</v>
      </c>
      <c r="G308" s="21"/>
      <c r="H308" s="21"/>
      <c r="I308" s="21"/>
      <c r="J308" s="21"/>
      <c r="K308" s="21"/>
      <c r="L308" s="21"/>
      <c r="M308" s="21"/>
      <c r="N308" s="21"/>
      <c r="O308" s="21"/>
      <c r="P308" s="21"/>
      <c r="Q308" s="21"/>
      <c r="R308" s="21"/>
      <c r="S308" s="21"/>
      <c r="T308" s="21"/>
      <c r="U308" s="21"/>
      <c r="V308" s="21"/>
      <c r="W308" s="21"/>
      <c r="X308" s="20" t="s">
        <v>405</v>
      </c>
      <c r="Y308" s="21" t="s">
        <v>351</v>
      </c>
      <c r="Z308" s="21" t="s">
        <v>1236</v>
      </c>
    </row>
    <row r="309" spans="1:26" x14ac:dyDescent="0.25">
      <c r="A309" s="19" t="str">
        <f t="shared" si="18"/>
        <v>hcc_ab_d_vax</v>
      </c>
      <c r="B309" s="21"/>
      <c r="C309" s="21"/>
      <c r="D309" s="21"/>
      <c r="E309" s="21"/>
      <c r="F309" s="20" t="s">
        <v>385</v>
      </c>
      <c r="G309" s="21"/>
      <c r="H309" s="21"/>
      <c r="I309" s="21"/>
      <c r="J309" s="21"/>
      <c r="K309" s="21"/>
      <c r="L309" s="21"/>
      <c r="M309" s="21"/>
      <c r="N309" s="21"/>
      <c r="O309" s="21"/>
      <c r="P309" s="21"/>
      <c r="Q309" s="21"/>
      <c r="R309" s="21"/>
      <c r="S309" s="21"/>
      <c r="T309" s="21"/>
      <c r="U309" s="21"/>
      <c r="V309" s="21"/>
      <c r="W309" s="21"/>
      <c r="X309" s="20" t="s">
        <v>405</v>
      </c>
      <c r="Y309" s="21" t="s">
        <v>351</v>
      </c>
      <c r="Z309" s="21" t="s">
        <v>1236</v>
      </c>
    </row>
    <row r="310" spans="1:26" x14ac:dyDescent="0.25">
      <c r="A310" s="18" t="str">
        <f t="shared" si="18"/>
        <v>hcc_pcr_ltfu_j_vax</v>
      </c>
      <c r="B310" s="21"/>
      <c r="C310" s="21"/>
      <c r="D310" s="21"/>
      <c r="E310" s="21"/>
      <c r="F310" s="21"/>
      <c r="G310" s="21" t="s">
        <v>386</v>
      </c>
      <c r="H310" s="21" t="s">
        <v>1049</v>
      </c>
      <c r="I310" s="21"/>
      <c r="J310" s="21"/>
      <c r="K310" s="21"/>
      <c r="L310" s="21"/>
      <c r="M310" s="21"/>
      <c r="N310" s="21"/>
      <c r="O310" s="21"/>
      <c r="P310" s="21"/>
      <c r="Q310" s="21"/>
      <c r="R310" s="21"/>
      <c r="S310" s="21"/>
      <c r="T310" s="21"/>
      <c r="U310" s="21"/>
      <c r="V310" s="21"/>
      <c r="W310" s="21"/>
      <c r="X310" s="21"/>
      <c r="Y310" s="21"/>
      <c r="Z310" s="21"/>
    </row>
    <row r="311" spans="1:26" x14ac:dyDescent="0.25">
      <c r="A311" s="19" t="str">
        <f t="shared" si="18"/>
        <v>hcc_pcr_ltfu_vax</v>
      </c>
      <c r="B311" s="21"/>
      <c r="C311" s="21"/>
      <c r="E311" s="21"/>
      <c r="F311" s="21"/>
      <c r="G311" s="21" t="s">
        <v>1040</v>
      </c>
      <c r="H311" s="21"/>
      <c r="I311" s="21"/>
      <c r="J311" s="21"/>
      <c r="K311" s="21"/>
      <c r="L311" s="21"/>
      <c r="M311" s="21"/>
      <c r="N311" s="21"/>
      <c r="O311" s="21"/>
      <c r="P311" s="21"/>
      <c r="Q311" s="21"/>
      <c r="R311" s="21"/>
      <c r="S311" s="21"/>
      <c r="T311" s="21"/>
      <c r="U311" s="21"/>
      <c r="V311" s="21"/>
      <c r="W311" s="21"/>
      <c r="X311" s="20" t="s">
        <v>405</v>
      </c>
      <c r="Y311" s="21" t="s">
        <v>351</v>
      </c>
      <c r="Z311" s="21" t="s">
        <v>1236</v>
      </c>
    </row>
    <row r="312" spans="1:26" x14ac:dyDescent="0.25">
      <c r="A312" s="19" t="str">
        <f t="shared" si="18"/>
        <v>hcc_pcr_d_vax</v>
      </c>
      <c r="B312" s="21"/>
      <c r="C312" s="21"/>
      <c r="D312" s="21"/>
      <c r="E312" s="21"/>
      <c r="F312" s="21"/>
      <c r="G312" s="21"/>
      <c r="H312" s="21"/>
      <c r="I312" s="21" t="s">
        <v>406</v>
      </c>
      <c r="J312" s="21"/>
      <c r="K312" s="21"/>
      <c r="L312" s="21"/>
      <c r="M312" s="21"/>
      <c r="N312" s="21"/>
      <c r="O312" s="21"/>
      <c r="P312" s="21"/>
      <c r="Q312" s="21"/>
      <c r="R312" s="21"/>
      <c r="S312" s="21"/>
      <c r="T312" s="21" t="s">
        <v>407</v>
      </c>
      <c r="U312" s="21"/>
      <c r="V312" s="21"/>
      <c r="W312" s="21"/>
      <c r="X312" s="20" t="s">
        <v>405</v>
      </c>
      <c r="Y312" s="21" t="s">
        <v>351</v>
      </c>
      <c r="Z312" s="21" t="s">
        <v>1236</v>
      </c>
    </row>
    <row r="313" spans="1:26" x14ac:dyDescent="0.25">
      <c r="A313" s="19" t="str">
        <f t="shared" si="18"/>
        <v>hcc_t1_vax</v>
      </c>
      <c r="B313" s="21"/>
      <c r="C313" s="21"/>
      <c r="D313" s="21"/>
      <c r="E313" s="21"/>
      <c r="F313" s="21"/>
      <c r="G313" s="21"/>
      <c r="H313" s="21"/>
      <c r="I313" s="21"/>
      <c r="J313" s="21" t="s">
        <v>368</v>
      </c>
      <c r="K313" s="21"/>
      <c r="L313" s="21"/>
      <c r="M313" s="21"/>
      <c r="N313" s="21"/>
      <c r="O313" s="21"/>
      <c r="P313" s="21"/>
      <c r="Q313" s="21"/>
      <c r="R313" s="21"/>
      <c r="S313" s="21"/>
      <c r="T313" s="21" t="s">
        <v>407</v>
      </c>
      <c r="U313" s="21"/>
      <c r="V313" s="21"/>
      <c r="W313" s="21"/>
      <c r="X313" s="20" t="s">
        <v>405</v>
      </c>
      <c r="Y313" s="21" t="s">
        <v>351</v>
      </c>
      <c r="Z313" s="21" t="s">
        <v>1236</v>
      </c>
    </row>
    <row r="314" spans="1:26" x14ac:dyDescent="0.25">
      <c r="A314" s="18" t="str">
        <f t="shared" si="18"/>
        <v>hcc_t1_j_vax</v>
      </c>
      <c r="B314" s="21"/>
      <c r="C314" s="21"/>
      <c r="D314" s="21"/>
      <c r="E314" s="21"/>
      <c r="F314" s="21"/>
      <c r="G314" s="21" t="s">
        <v>369</v>
      </c>
      <c r="H314" s="21"/>
      <c r="I314" s="21"/>
      <c r="J314" s="21"/>
      <c r="L314" s="21"/>
      <c r="M314" s="21"/>
      <c r="N314" s="21" t="s">
        <v>370</v>
      </c>
      <c r="O314" s="21"/>
      <c r="P314" s="21"/>
      <c r="Q314" s="21"/>
      <c r="R314" s="21"/>
      <c r="S314" s="21"/>
      <c r="T314" s="21"/>
      <c r="U314" s="21"/>
      <c r="V314" s="21"/>
      <c r="W314" s="21"/>
      <c r="X314" s="21"/>
      <c r="Y314" s="21"/>
      <c r="Z314" s="21"/>
    </row>
    <row r="315" spans="1:26" x14ac:dyDescent="0.25">
      <c r="A315" s="18" t="str">
        <f t="shared" si="18"/>
        <v>hcc_t1ltf_j_vax</v>
      </c>
      <c r="B315" s="21"/>
      <c r="C315" s="21"/>
      <c r="D315" s="21"/>
      <c r="E315" s="21"/>
      <c r="F315" s="21"/>
      <c r="G315" s="21"/>
      <c r="H315" s="21"/>
      <c r="I315" s="21"/>
      <c r="J315" s="21"/>
      <c r="K315" s="21"/>
      <c r="L315" s="21" t="s">
        <v>388</v>
      </c>
      <c r="M315" s="21" t="s">
        <v>1055</v>
      </c>
      <c r="N315" s="21"/>
      <c r="O315" s="21"/>
      <c r="P315" s="21"/>
      <c r="R315" s="21"/>
      <c r="S315" s="21"/>
      <c r="T315" s="21"/>
      <c r="U315" s="21"/>
      <c r="V315" s="21"/>
      <c r="W315" s="21"/>
      <c r="X315" s="21"/>
      <c r="Y315" s="21"/>
      <c r="Z315" s="21"/>
    </row>
    <row r="316" spans="1:26" x14ac:dyDescent="0.25">
      <c r="A316" s="19" t="str">
        <f t="shared" si="18"/>
        <v>hcc_ft1_vax</v>
      </c>
      <c r="B316" s="21"/>
      <c r="C316" s="21"/>
      <c r="D316" s="21"/>
      <c r="E316" s="21"/>
      <c r="F316" s="21"/>
      <c r="G316" s="21"/>
      <c r="H316" s="21"/>
      <c r="I316" s="21"/>
      <c r="J316" s="21"/>
      <c r="K316" s="21"/>
      <c r="L316" s="21"/>
      <c r="M316" s="21"/>
      <c r="N316" s="21"/>
      <c r="O316" s="21"/>
      <c r="P316" s="21"/>
      <c r="Q316" s="21" t="s">
        <v>408</v>
      </c>
      <c r="R316" s="21"/>
      <c r="S316" s="21"/>
      <c r="T316" s="21" t="s">
        <v>407</v>
      </c>
      <c r="U316" s="21"/>
      <c r="V316" s="21"/>
      <c r="W316" s="21"/>
      <c r="X316" s="20" t="s">
        <v>405</v>
      </c>
      <c r="Y316" s="21" t="s">
        <v>351</v>
      </c>
      <c r="Z316" s="21" t="s">
        <v>1236</v>
      </c>
    </row>
    <row r="317" spans="1:26" x14ac:dyDescent="0.25">
      <c r="A317" s="19" t="str">
        <f t="shared" si="18"/>
        <v>hcc_ft1_ltfu_vax</v>
      </c>
      <c r="C317" s="21"/>
      <c r="E317" s="21"/>
      <c r="F317" s="21"/>
      <c r="G317" s="21"/>
      <c r="H317" s="21"/>
      <c r="I317" s="21"/>
      <c r="J317" s="21"/>
      <c r="K317" s="21"/>
      <c r="L317" s="21" t="s">
        <v>1042</v>
      </c>
      <c r="M317" s="21"/>
      <c r="N317" s="21"/>
      <c r="O317" s="21"/>
      <c r="P317" s="21"/>
      <c r="R317" s="21"/>
      <c r="S317" s="21"/>
      <c r="T317" s="21"/>
      <c r="U317" s="21"/>
      <c r="V317" s="21"/>
      <c r="W317" s="21"/>
      <c r="X317" s="20" t="s">
        <v>405</v>
      </c>
      <c r="Y317" s="21" t="s">
        <v>351</v>
      </c>
      <c r="Z317" s="21" t="s">
        <v>1236</v>
      </c>
    </row>
    <row r="318" spans="1:26" x14ac:dyDescent="0.25">
      <c r="A318" s="19" t="str">
        <f t="shared" si="18"/>
        <v>shcc_vax</v>
      </c>
      <c r="B318" s="21"/>
      <c r="C318" s="21"/>
      <c r="D318" s="21" t="s">
        <v>1189</v>
      </c>
      <c r="E318" s="21"/>
      <c r="F318" s="21"/>
      <c r="G318" s="21"/>
      <c r="H318" s="21"/>
      <c r="I318" s="21"/>
      <c r="J318" s="21"/>
      <c r="K318" s="21"/>
      <c r="L318" s="21"/>
      <c r="M318" s="21"/>
      <c r="N318" s="21"/>
      <c r="O318" s="104" t="s">
        <v>1573</v>
      </c>
      <c r="P318" s="21"/>
      <c r="Q318" s="21"/>
      <c r="R318" s="21"/>
      <c r="S318" s="21"/>
      <c r="T318" s="21" t="s">
        <v>407</v>
      </c>
      <c r="U318" s="21"/>
      <c r="V318" s="21"/>
      <c r="W318" s="21"/>
      <c r="X318" s="20" t="s">
        <v>409</v>
      </c>
      <c r="Y318" s="21" t="s">
        <v>351</v>
      </c>
      <c r="Z318" s="21" t="s">
        <v>1236</v>
      </c>
    </row>
    <row r="319" spans="1:26" x14ac:dyDescent="0.25">
      <c r="A319" s="19" t="str">
        <f t="shared" si="18"/>
        <v>hcc_acute_vax</v>
      </c>
      <c r="B319" s="21"/>
      <c r="C319" s="21"/>
      <c r="D319" s="21"/>
      <c r="E319" s="21"/>
      <c r="F319" s="21"/>
      <c r="G319" s="21"/>
      <c r="H319" s="21"/>
      <c r="I319" s="21"/>
      <c r="J319" s="21"/>
      <c r="K319" s="21"/>
      <c r="L319" s="21"/>
      <c r="M319" s="21"/>
      <c r="N319" s="21"/>
      <c r="O319" s="21"/>
      <c r="P319" s="103" t="s">
        <v>1437</v>
      </c>
      <c r="Q319" s="21"/>
      <c r="R319" s="21"/>
      <c r="S319" s="21"/>
      <c r="T319" s="21"/>
      <c r="U319" s="21"/>
      <c r="V319" s="21"/>
      <c r="W319" s="21"/>
      <c r="X319" s="20" t="s">
        <v>405</v>
      </c>
      <c r="Y319" s="21" t="s">
        <v>351</v>
      </c>
      <c r="Z319" s="21" t="s">
        <v>1236</v>
      </c>
    </row>
    <row r="320" spans="1:26" x14ac:dyDescent="0.25">
      <c r="A320" s="18" t="str">
        <f t="shared" si="18"/>
        <v>hcc_clear_j_vax</v>
      </c>
      <c r="B320" s="21"/>
      <c r="C320" s="21"/>
      <c r="D320" s="103" t="s">
        <v>1433</v>
      </c>
      <c r="E320" s="21"/>
      <c r="F320" s="21"/>
      <c r="G320" s="21"/>
      <c r="H320" s="21"/>
      <c r="I320" s="21"/>
      <c r="J320" s="21"/>
      <c r="K320" s="21"/>
      <c r="L320" s="21"/>
      <c r="M320" s="21"/>
      <c r="N320" s="103" t="s">
        <v>1432</v>
      </c>
      <c r="O320" s="21"/>
      <c r="P320" s="21"/>
      <c r="Q320" s="21"/>
      <c r="R320" s="21"/>
      <c r="S320" s="21"/>
      <c r="T320" s="21"/>
      <c r="U320" s="21"/>
      <c r="V320" s="21"/>
      <c r="W320" s="21"/>
      <c r="X320" s="21"/>
      <c r="Y320" s="21"/>
      <c r="Z320" s="21"/>
    </row>
    <row r="321" spans="1:101" x14ac:dyDescent="0.25">
      <c r="A321" s="19" t="str">
        <f t="shared" si="18"/>
        <v>hcc_t2_vax</v>
      </c>
      <c r="B321" s="21"/>
      <c r="C321" s="21"/>
      <c r="D321" s="21"/>
      <c r="E321" s="21"/>
      <c r="F321" s="21"/>
      <c r="G321" s="21"/>
      <c r="H321" s="21"/>
      <c r="I321" s="21"/>
      <c r="J321" s="21"/>
      <c r="K321" s="21"/>
      <c r="L321" s="21"/>
      <c r="M321" s="21"/>
      <c r="N321" s="21"/>
      <c r="O321" s="21"/>
      <c r="P321" s="21"/>
      <c r="Q321" s="21"/>
      <c r="R321" s="21" t="s">
        <v>368</v>
      </c>
      <c r="S321" s="21"/>
      <c r="T321" s="21" t="s">
        <v>407</v>
      </c>
      <c r="U321" s="21"/>
      <c r="V321" s="21"/>
      <c r="W321" s="21"/>
      <c r="X321" s="20" t="s">
        <v>405</v>
      </c>
      <c r="Y321" s="21" t="s">
        <v>351</v>
      </c>
      <c r="Z321" s="21" t="s">
        <v>1236</v>
      </c>
    </row>
    <row r="322" spans="1:101" x14ac:dyDescent="0.25">
      <c r="A322" s="18" t="str">
        <f t="shared" si="18"/>
        <v>hcc_t2_j_vax</v>
      </c>
      <c r="B322" s="21"/>
      <c r="C322" s="21"/>
      <c r="D322" s="21"/>
      <c r="E322" s="21"/>
      <c r="F322" s="21"/>
      <c r="G322" s="21"/>
      <c r="H322" s="21"/>
      <c r="I322" s="21"/>
      <c r="J322" s="21"/>
      <c r="K322" s="21"/>
      <c r="L322" s="21" t="s">
        <v>369</v>
      </c>
      <c r="M322" s="21"/>
      <c r="N322" s="21" t="s">
        <v>370</v>
      </c>
      <c r="O322" s="21"/>
      <c r="P322" s="21"/>
      <c r="Q322" s="21"/>
      <c r="R322" s="21"/>
      <c r="T322" s="21"/>
      <c r="U322" s="21"/>
      <c r="V322" s="21"/>
      <c r="W322" s="21"/>
      <c r="X322" s="21"/>
      <c r="Y322" s="21"/>
      <c r="Z322" s="21"/>
    </row>
    <row r="323" spans="1:101" x14ac:dyDescent="0.25">
      <c r="A323" s="19" t="str">
        <f t="shared" si="18"/>
        <v>hcc_ft2_vax</v>
      </c>
      <c r="B323" s="21"/>
      <c r="C323" s="21"/>
      <c r="D323" s="21"/>
      <c r="E323" s="21"/>
      <c r="F323" s="21"/>
      <c r="G323" s="21"/>
      <c r="H323" s="21"/>
      <c r="I323" s="21"/>
      <c r="J323" s="21"/>
      <c r="K323" s="21"/>
      <c r="L323" s="21"/>
      <c r="M323" s="21"/>
      <c r="N323" s="21"/>
      <c r="O323" s="21"/>
      <c r="P323" s="21"/>
      <c r="Q323" s="21"/>
      <c r="R323" s="21"/>
      <c r="S323" s="21"/>
      <c r="T323" s="21" t="s">
        <v>407</v>
      </c>
      <c r="U323" s="21"/>
      <c r="V323" s="21"/>
      <c r="W323" s="21"/>
      <c r="X323" s="20" t="s">
        <v>405</v>
      </c>
      <c r="Y323" s="21" t="s">
        <v>351</v>
      </c>
      <c r="Z323" s="21" t="s">
        <v>1236</v>
      </c>
    </row>
    <row r="324" spans="1:101" x14ac:dyDescent="0.25">
      <c r="A324" s="17" t="str">
        <f t="shared" si="18"/>
        <v>hcc_lt1_vax</v>
      </c>
      <c r="B324" s="21"/>
      <c r="C324" s="21"/>
      <c r="D324" s="21"/>
      <c r="E324" s="21"/>
      <c r="F324" s="21"/>
      <c r="G324" s="21"/>
      <c r="H324" s="21"/>
      <c r="I324" s="21"/>
      <c r="J324" s="21"/>
      <c r="K324" s="21"/>
      <c r="L324" s="21"/>
      <c r="M324" s="21"/>
      <c r="N324" s="21"/>
      <c r="O324" s="21"/>
      <c r="P324" s="21"/>
      <c r="Q324" s="21"/>
      <c r="R324" s="21"/>
      <c r="S324" s="21"/>
      <c r="T324" s="21"/>
      <c r="U324" s="21" t="s">
        <v>410</v>
      </c>
      <c r="V324" s="20" t="s">
        <v>403</v>
      </c>
      <c r="W324" s="21"/>
      <c r="X324" s="21"/>
      <c r="Y324" s="21" t="s">
        <v>351</v>
      </c>
      <c r="Z324" s="21" t="s">
        <v>1236</v>
      </c>
    </row>
    <row r="325" spans="1:101" x14ac:dyDescent="0.25">
      <c r="A325" s="17" t="str">
        <f t="shared" si="18"/>
        <v>hcc_lt2_vax</v>
      </c>
      <c r="B325" s="21"/>
      <c r="C325" s="21"/>
      <c r="D325" s="21"/>
      <c r="E325" s="21"/>
      <c r="F325" s="21"/>
      <c r="G325" s="21"/>
      <c r="H325" s="21"/>
      <c r="I325" s="21"/>
      <c r="J325" s="21"/>
      <c r="K325" s="21"/>
      <c r="L325" s="21"/>
      <c r="M325" s="21"/>
      <c r="N325" s="21"/>
      <c r="O325" s="21"/>
      <c r="P325" s="21"/>
      <c r="Q325" s="21"/>
      <c r="R325" s="21"/>
      <c r="S325" s="21"/>
      <c r="T325" s="21"/>
      <c r="U325" s="21"/>
      <c r="V325" s="21"/>
      <c r="W325" s="20" t="s">
        <v>404</v>
      </c>
      <c r="X325" s="21"/>
      <c r="Y325" s="21" t="s">
        <v>351</v>
      </c>
      <c r="Z325" s="21" t="s">
        <v>1236</v>
      </c>
    </row>
    <row r="327" spans="1:101" x14ac:dyDescent="0.25">
      <c r="A327" s="99" t="s">
        <v>1325</v>
      </c>
      <c r="B327" s="100" t="s">
        <v>1338</v>
      </c>
    </row>
    <row r="329" spans="1:101" x14ac:dyDescent="0.25">
      <c r="A329" s="22"/>
      <c r="B329" s="19" t="s">
        <v>48</v>
      </c>
      <c r="C329" s="19" t="s">
        <v>50</v>
      </c>
      <c r="D329" s="19" t="s">
        <v>52</v>
      </c>
      <c r="E329" s="19" t="s">
        <v>54</v>
      </c>
      <c r="F329" s="19" t="s">
        <v>56</v>
      </c>
      <c r="G329" s="19" t="s">
        <v>67</v>
      </c>
      <c r="H329" s="19" t="s">
        <v>69</v>
      </c>
      <c r="I329" s="19" t="s">
        <v>72</v>
      </c>
      <c r="J329" s="19" t="s">
        <v>76</v>
      </c>
      <c r="K329" s="19" t="s">
        <v>78</v>
      </c>
      <c r="L329" s="19" t="s">
        <v>82</v>
      </c>
      <c r="M329" s="19" t="s">
        <v>84</v>
      </c>
      <c r="N329" s="19" t="s">
        <v>90</v>
      </c>
      <c r="O329" s="19" t="s">
        <v>92</v>
      </c>
      <c r="P329" s="19" t="s">
        <v>94</v>
      </c>
      <c r="Q329" s="19" t="s">
        <v>96</v>
      </c>
      <c r="R329" s="19" t="s">
        <v>98</v>
      </c>
      <c r="S329" s="19" t="s">
        <v>102</v>
      </c>
      <c r="T329" s="19" t="s">
        <v>104</v>
      </c>
      <c r="U329" s="19" t="s">
        <v>106</v>
      </c>
      <c r="V329" s="19" t="s">
        <v>108</v>
      </c>
      <c r="W329" s="19" t="s">
        <v>112</v>
      </c>
      <c r="X329" s="19" t="s">
        <v>114</v>
      </c>
      <c r="Y329" s="19" t="s">
        <v>118</v>
      </c>
      <c r="Z329" s="19" t="s">
        <v>120</v>
      </c>
      <c r="AA329" s="19" t="s">
        <v>126</v>
      </c>
      <c r="AB329" s="19" t="s">
        <v>128</v>
      </c>
      <c r="AC329" s="19" t="s">
        <v>130</v>
      </c>
      <c r="AD329" s="19" t="s">
        <v>132</v>
      </c>
      <c r="AE329" s="19" t="s">
        <v>136</v>
      </c>
      <c r="AF329" s="19" t="s">
        <v>140</v>
      </c>
      <c r="AG329" s="19" t="s">
        <v>142</v>
      </c>
      <c r="AH329" s="19" t="s">
        <v>144</v>
      </c>
      <c r="AI329" s="19" t="s">
        <v>146</v>
      </c>
      <c r="AJ329" s="19" t="s">
        <v>150</v>
      </c>
      <c r="AK329" s="19" t="s">
        <v>152</v>
      </c>
      <c r="AL329" s="19" t="s">
        <v>156</v>
      </c>
      <c r="AM329" s="19" t="s">
        <v>158</v>
      </c>
      <c r="AN329" s="19" t="s">
        <v>164</v>
      </c>
      <c r="AO329" s="19" t="s">
        <v>166</v>
      </c>
      <c r="AP329" s="19" t="s">
        <v>168</v>
      </c>
      <c r="AQ329" s="19" t="s">
        <v>170</v>
      </c>
      <c r="AR329" s="19" t="s">
        <v>174</v>
      </c>
      <c r="AS329" s="19" t="s">
        <v>178</v>
      </c>
      <c r="AT329" s="19" t="s">
        <v>180</v>
      </c>
      <c r="AU329" s="19" t="s">
        <v>182</v>
      </c>
      <c r="AV329" s="19" t="s">
        <v>184</v>
      </c>
      <c r="AW329" s="19" t="s">
        <v>188</v>
      </c>
      <c r="AX329" s="19" t="s">
        <v>190</v>
      </c>
      <c r="AY329" s="19" t="s">
        <v>194</v>
      </c>
      <c r="AZ329" s="19" t="s">
        <v>196</v>
      </c>
      <c r="BA329" s="19" t="s">
        <v>202</v>
      </c>
      <c r="BB329" s="19" t="s">
        <v>204</v>
      </c>
      <c r="BC329" s="19" t="s">
        <v>206</v>
      </c>
      <c r="BD329" s="19" t="s">
        <v>208</v>
      </c>
      <c r="BE329" s="19" t="s">
        <v>212</v>
      </c>
      <c r="BF329" s="19" t="s">
        <v>216</v>
      </c>
      <c r="BG329" s="19" t="s">
        <v>218</v>
      </c>
      <c r="BH329" s="19" t="s">
        <v>220</v>
      </c>
      <c r="BI329" s="19" t="s">
        <v>222</v>
      </c>
      <c r="BJ329" s="19" t="s">
        <v>226</v>
      </c>
      <c r="BK329" s="19" t="s">
        <v>228</v>
      </c>
      <c r="BL329" s="19" t="s">
        <v>232</v>
      </c>
      <c r="BM329" s="19" t="s">
        <v>234</v>
      </c>
      <c r="BN329" s="19" t="s">
        <v>240</v>
      </c>
      <c r="BO329" s="19" t="s">
        <v>242</v>
      </c>
      <c r="BP329" s="19" t="s">
        <v>244</v>
      </c>
      <c r="BQ329" s="19" t="s">
        <v>246</v>
      </c>
      <c r="BR329" s="19" t="s">
        <v>250</v>
      </c>
      <c r="BS329" s="19" t="s">
        <v>254</v>
      </c>
      <c r="BT329" s="19" t="s">
        <v>256</v>
      </c>
      <c r="BU329" s="19" t="s">
        <v>258</v>
      </c>
      <c r="BV329" s="19" t="s">
        <v>260</v>
      </c>
      <c r="BW329" s="19" t="s">
        <v>264</v>
      </c>
      <c r="BX329" s="19" t="s">
        <v>266</v>
      </c>
      <c r="BY329" s="19" t="s">
        <v>270</v>
      </c>
      <c r="BZ329" s="19" t="s">
        <v>272</v>
      </c>
      <c r="CA329" s="19" t="s">
        <v>278</v>
      </c>
      <c r="CB329" s="19" t="s">
        <v>280</v>
      </c>
      <c r="CC329" s="19" t="s">
        <v>282</v>
      </c>
      <c r="CD329" s="19" t="s">
        <v>284</v>
      </c>
      <c r="CE329" s="19" t="s">
        <v>288</v>
      </c>
      <c r="CF329" s="19" t="s">
        <v>292</v>
      </c>
      <c r="CG329" s="19" t="s">
        <v>294</v>
      </c>
      <c r="CH329" s="19" t="s">
        <v>296</v>
      </c>
      <c r="CI329" s="19" t="s">
        <v>298</v>
      </c>
      <c r="CJ329" s="19" t="s">
        <v>300</v>
      </c>
      <c r="CK329" s="19" t="s">
        <v>302</v>
      </c>
      <c r="CL329" s="19" t="s">
        <v>306</v>
      </c>
      <c r="CM329" s="19" t="s">
        <v>308</v>
      </c>
      <c r="CN329" s="19" t="s">
        <v>312</v>
      </c>
      <c r="CO329" s="19" t="s">
        <v>314</v>
      </c>
      <c r="CP329" s="19" t="s">
        <v>320</v>
      </c>
      <c r="CQ329" s="19" t="s">
        <v>322</v>
      </c>
      <c r="CR329" s="19" t="s">
        <v>324</v>
      </c>
      <c r="CS329" s="19" t="s">
        <v>326</v>
      </c>
      <c r="CT329" s="19" t="s">
        <v>330</v>
      </c>
      <c r="CU329" s="19" t="s">
        <v>334</v>
      </c>
      <c r="CV329" s="19" t="s">
        <v>336</v>
      </c>
      <c r="CW329" s="19" t="s">
        <v>338</v>
      </c>
    </row>
    <row r="330" spans="1:101" x14ac:dyDescent="0.25">
      <c r="A330" s="22" t="s">
        <v>1339</v>
      </c>
      <c r="B330" s="101" t="s">
        <v>1330</v>
      </c>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c r="AA330" s="21"/>
      <c r="AB330" s="21"/>
      <c r="AC330" s="21"/>
      <c r="AD330" s="21"/>
      <c r="AE330" s="21"/>
      <c r="AF330" s="21"/>
      <c r="AG330" s="21"/>
      <c r="AH330" s="21"/>
      <c r="AI330" s="21"/>
      <c r="AJ330" s="21"/>
      <c r="AK330" s="21"/>
      <c r="AL330" s="21"/>
      <c r="AM330" s="21"/>
      <c r="AN330" s="21"/>
      <c r="AO330" s="21"/>
      <c r="AP330" s="21"/>
      <c r="AQ330" s="21"/>
      <c r="AR330" s="21"/>
      <c r="AS330" s="21"/>
      <c r="AT330" s="21"/>
      <c r="AU330" s="21"/>
      <c r="AV330" s="21"/>
      <c r="AW330" s="21"/>
      <c r="AX330" s="21"/>
      <c r="AY330" s="21"/>
      <c r="AZ330" s="21"/>
      <c r="BA330" s="21"/>
      <c r="BB330" s="21"/>
      <c r="BC330" s="21"/>
      <c r="BD330" s="21"/>
      <c r="BE330" s="21"/>
      <c r="BF330" s="21"/>
      <c r="BG330" s="21"/>
      <c r="BH330" s="21"/>
      <c r="BI330" s="21"/>
      <c r="BJ330" s="21"/>
      <c r="BK330" s="21"/>
      <c r="BL330" s="21"/>
      <c r="BM330" s="21"/>
      <c r="BN330" s="21"/>
      <c r="BO330" s="21"/>
      <c r="BP330" s="21"/>
      <c r="BQ330" s="21"/>
      <c r="BR330" s="21"/>
      <c r="BS330" s="21"/>
      <c r="BT330" s="21"/>
      <c r="BU330" s="21"/>
      <c r="BV330" s="21"/>
      <c r="BW330" s="21"/>
      <c r="BX330" s="21"/>
      <c r="BY330" s="21"/>
      <c r="BZ330" s="21"/>
      <c r="CA330" s="21"/>
      <c r="CB330" s="21"/>
      <c r="CC330" s="21"/>
      <c r="CD330" s="21"/>
      <c r="CE330" s="21"/>
      <c r="CF330" s="21"/>
      <c r="CG330" s="21"/>
      <c r="CH330" s="21"/>
      <c r="CI330" s="21"/>
      <c r="CJ330" s="21"/>
      <c r="CK330" s="21"/>
      <c r="CL330" s="21"/>
      <c r="CM330" s="21"/>
      <c r="CN330" s="21"/>
      <c r="CO330" s="21"/>
      <c r="CP330" s="21"/>
      <c r="CQ330" s="21"/>
      <c r="CR330" s="21"/>
      <c r="CS330" s="21"/>
      <c r="CT330" s="21"/>
      <c r="CU330" s="21"/>
      <c r="CV330" s="21"/>
      <c r="CW330" s="21"/>
    </row>
    <row r="331" spans="1:101" x14ac:dyDescent="0.25">
      <c r="A331" s="22" t="s">
        <v>1341</v>
      </c>
      <c r="B331" s="101"/>
      <c r="C331" s="101" t="s">
        <v>1330</v>
      </c>
      <c r="D331" s="21"/>
      <c r="E331" s="21"/>
      <c r="F331" s="21"/>
      <c r="G331" s="21"/>
      <c r="H331" s="21"/>
      <c r="I331" s="21"/>
      <c r="J331" s="21"/>
      <c r="K331" s="21"/>
      <c r="L331" s="21"/>
      <c r="M331" s="21"/>
      <c r="N331" s="21"/>
      <c r="O331" s="21"/>
      <c r="P331" s="21"/>
      <c r="Q331" s="21"/>
      <c r="R331" s="21"/>
      <c r="S331" s="21"/>
      <c r="T331" s="21"/>
      <c r="U331" s="21"/>
      <c r="V331" s="21"/>
      <c r="W331" s="21"/>
      <c r="X331" s="21"/>
      <c r="Y331" s="21"/>
      <c r="Z331" s="21"/>
      <c r="AA331" s="21"/>
      <c r="AB331" s="21"/>
      <c r="AC331" s="21"/>
      <c r="AD331" s="21"/>
      <c r="AE331" s="21"/>
      <c r="AF331" s="21"/>
      <c r="AG331" s="21"/>
      <c r="AH331" s="21"/>
      <c r="AI331" s="21"/>
      <c r="AJ331" s="21"/>
      <c r="AK331" s="21"/>
      <c r="AL331" s="21"/>
      <c r="AM331" s="21"/>
      <c r="AN331" s="21"/>
      <c r="AO331" s="21"/>
      <c r="AP331" s="21"/>
      <c r="AQ331" s="21"/>
      <c r="AR331" s="21"/>
      <c r="AS331" s="21"/>
      <c r="AT331" s="21"/>
      <c r="AU331" s="21"/>
      <c r="AV331" s="21"/>
      <c r="AW331" s="21"/>
      <c r="AX331" s="21"/>
      <c r="AY331" s="21"/>
      <c r="AZ331" s="21"/>
      <c r="BA331" s="21"/>
      <c r="BB331" s="21"/>
      <c r="BC331" s="21"/>
      <c r="BD331" s="21"/>
      <c r="BE331" s="21"/>
      <c r="BF331" s="21"/>
      <c r="BG331" s="21"/>
      <c r="BH331" s="21"/>
      <c r="BI331" s="21"/>
      <c r="BJ331" s="21"/>
      <c r="BK331" s="21"/>
      <c r="BL331" s="21"/>
      <c r="BM331" s="21"/>
      <c r="BN331" s="21"/>
      <c r="BO331" s="21"/>
      <c r="BP331" s="21"/>
      <c r="BQ331" s="21"/>
      <c r="BR331" s="21"/>
      <c r="BS331" s="21"/>
      <c r="BT331" s="21"/>
      <c r="BU331" s="21"/>
      <c r="BV331" s="21"/>
      <c r="BW331" s="21"/>
      <c r="BX331" s="21"/>
      <c r="BY331" s="21"/>
      <c r="BZ331" s="21"/>
      <c r="CA331" s="21"/>
      <c r="CB331" s="21"/>
      <c r="CC331" s="21"/>
      <c r="CD331" s="21"/>
      <c r="CE331" s="21"/>
      <c r="CF331" s="21"/>
      <c r="CG331" s="21"/>
      <c r="CH331" s="21"/>
      <c r="CI331" s="21"/>
      <c r="CJ331" s="21"/>
      <c r="CK331" s="21"/>
      <c r="CL331" s="21"/>
      <c r="CM331" s="21"/>
      <c r="CN331" s="21"/>
      <c r="CO331" s="21"/>
      <c r="CP331" s="21"/>
      <c r="CQ331" s="21"/>
      <c r="CR331" s="21"/>
      <c r="CS331" s="21"/>
      <c r="CT331" s="21"/>
      <c r="CU331" s="21"/>
      <c r="CV331" s="21"/>
      <c r="CW331" s="21"/>
    </row>
    <row r="332" spans="1:101" x14ac:dyDescent="0.25">
      <c r="A332" s="22" t="s">
        <v>1342</v>
      </c>
      <c r="B332" s="101"/>
      <c r="C332" s="21"/>
      <c r="D332" s="101" t="s">
        <v>1330</v>
      </c>
      <c r="E332" s="21"/>
      <c r="F332" s="21"/>
      <c r="G332" s="21"/>
      <c r="H332" s="21"/>
      <c r="I332" s="21"/>
      <c r="J332" s="21"/>
      <c r="K332" s="21"/>
      <c r="L332" s="21"/>
      <c r="M332" s="21"/>
      <c r="N332" s="21"/>
      <c r="O332" s="21"/>
      <c r="P332" s="21"/>
      <c r="Q332" s="21"/>
      <c r="R332" s="21"/>
      <c r="S332" s="21"/>
      <c r="T332" s="21"/>
      <c r="U332" s="21"/>
      <c r="V332" s="21"/>
      <c r="W332" s="21"/>
      <c r="X332" s="21"/>
      <c r="Y332" s="21"/>
      <c r="Z332" s="21"/>
      <c r="AA332" s="21"/>
      <c r="AB332" s="21"/>
      <c r="AC332" s="21"/>
      <c r="AD332" s="21"/>
      <c r="AE332" s="21"/>
      <c r="AF332" s="21"/>
      <c r="AG332" s="21"/>
      <c r="AH332" s="21"/>
      <c r="AI332" s="21"/>
      <c r="AJ332" s="21"/>
      <c r="AK332" s="21"/>
      <c r="AL332" s="21"/>
      <c r="AM332" s="21"/>
      <c r="AN332" s="21"/>
      <c r="AO332" s="21"/>
      <c r="AP332" s="21"/>
      <c r="AQ332" s="21"/>
      <c r="AR332" s="21"/>
      <c r="AS332" s="21"/>
      <c r="AT332" s="21"/>
      <c r="AU332" s="21"/>
      <c r="AV332" s="21"/>
      <c r="AW332" s="21"/>
      <c r="AX332" s="21"/>
      <c r="AY332" s="21"/>
      <c r="AZ332" s="21"/>
      <c r="BA332" s="21"/>
      <c r="BB332" s="21"/>
      <c r="BC332" s="21"/>
      <c r="BD332" s="21"/>
      <c r="BE332" s="21"/>
      <c r="BF332" s="21"/>
      <c r="BG332" s="21"/>
      <c r="BH332" s="21"/>
      <c r="BI332" s="21"/>
      <c r="BJ332" s="21"/>
      <c r="BK332" s="21"/>
      <c r="BL332" s="21"/>
      <c r="BM332" s="21"/>
      <c r="BN332" s="21"/>
      <c r="BO332" s="21"/>
      <c r="BP332" s="21"/>
      <c r="BQ332" s="21"/>
      <c r="BR332" s="21"/>
      <c r="BS332" s="21"/>
      <c r="BT332" s="21"/>
      <c r="BU332" s="21"/>
      <c r="BV332" s="21"/>
      <c r="BW332" s="21"/>
      <c r="BX332" s="21"/>
      <c r="BY332" s="21"/>
      <c r="BZ332" s="21"/>
      <c r="CA332" s="21"/>
      <c r="CB332" s="21"/>
      <c r="CC332" s="21"/>
      <c r="CD332" s="21"/>
      <c r="CE332" s="21"/>
      <c r="CF332" s="21"/>
      <c r="CG332" s="21"/>
      <c r="CH332" s="21"/>
      <c r="CI332" s="21"/>
      <c r="CJ332" s="21"/>
      <c r="CK332" s="21"/>
      <c r="CL332" s="21"/>
      <c r="CM332" s="21"/>
      <c r="CN332" s="21"/>
      <c r="CO332" s="21"/>
      <c r="CP332" s="21"/>
      <c r="CQ332" s="21"/>
      <c r="CR332" s="21"/>
      <c r="CS332" s="21"/>
      <c r="CT332" s="21"/>
      <c r="CU332" s="21"/>
      <c r="CV332" s="21"/>
      <c r="CW332" s="21"/>
    </row>
    <row r="333" spans="1:101" x14ac:dyDescent="0.25">
      <c r="A333" s="22" t="s">
        <v>1340</v>
      </c>
      <c r="B333" s="101"/>
      <c r="C333" s="21"/>
      <c r="D333" s="21"/>
      <c r="E333" s="101" t="s">
        <v>1330</v>
      </c>
      <c r="F333" s="21"/>
      <c r="G333" s="21"/>
      <c r="H333" s="21"/>
      <c r="I333" s="21"/>
      <c r="J333" s="21"/>
      <c r="K333" s="21"/>
      <c r="L333" s="21"/>
      <c r="M333" s="21"/>
      <c r="N333" s="21"/>
      <c r="O333" s="21"/>
      <c r="P333" s="21"/>
      <c r="Q333" s="21"/>
      <c r="R333" s="21"/>
      <c r="S333" s="21"/>
      <c r="T333" s="21"/>
      <c r="U333" s="21"/>
      <c r="V333" s="21"/>
      <c r="W333" s="21"/>
      <c r="X333" s="21"/>
      <c r="Y333" s="21"/>
      <c r="Z333" s="21"/>
      <c r="AA333" s="21"/>
      <c r="AB333" s="21"/>
      <c r="AC333" s="21"/>
      <c r="AD333" s="21"/>
      <c r="AE333" s="21"/>
      <c r="AF333" s="21"/>
      <c r="AG333" s="21"/>
      <c r="AH333" s="21"/>
      <c r="AI333" s="21"/>
      <c r="AJ333" s="21"/>
      <c r="AK333" s="21"/>
      <c r="AL333" s="21"/>
      <c r="AM333" s="21"/>
      <c r="AN333" s="21"/>
      <c r="AO333" s="21"/>
      <c r="AP333" s="21"/>
      <c r="AQ333" s="21"/>
      <c r="AR333" s="21"/>
      <c r="AS333" s="21"/>
      <c r="AT333" s="21"/>
      <c r="AU333" s="21"/>
      <c r="AV333" s="21"/>
      <c r="AW333" s="21"/>
      <c r="AX333" s="21"/>
      <c r="AY333" s="21"/>
      <c r="AZ333" s="21"/>
      <c r="BA333" s="21"/>
      <c r="BB333" s="21"/>
      <c r="BC333" s="21"/>
      <c r="BD333" s="21"/>
      <c r="BE333" s="21"/>
      <c r="BF333" s="21"/>
      <c r="BG333" s="21"/>
      <c r="BH333" s="21"/>
      <c r="BI333" s="21"/>
      <c r="BJ333" s="21"/>
      <c r="BK333" s="21"/>
      <c r="BL333" s="21"/>
      <c r="BM333" s="21"/>
      <c r="BN333" s="21"/>
      <c r="BO333" s="21"/>
      <c r="BP333" s="21"/>
      <c r="BQ333" s="21"/>
      <c r="BR333" s="21"/>
      <c r="BS333" s="21"/>
      <c r="BT333" s="21"/>
      <c r="BU333" s="21"/>
      <c r="BV333" s="21"/>
      <c r="BW333" s="21"/>
      <c r="BX333" s="21"/>
      <c r="BY333" s="21"/>
      <c r="BZ333" s="21"/>
      <c r="CA333" s="21"/>
      <c r="CB333" s="21"/>
      <c r="CC333" s="21"/>
      <c r="CD333" s="21"/>
      <c r="CE333" s="21"/>
      <c r="CF333" s="21"/>
      <c r="CG333" s="21"/>
      <c r="CH333" s="21"/>
      <c r="CI333" s="21"/>
      <c r="CJ333" s="21"/>
      <c r="CK333" s="21"/>
      <c r="CL333" s="21"/>
      <c r="CM333" s="21"/>
      <c r="CN333" s="21"/>
      <c r="CO333" s="21"/>
      <c r="CP333" s="21"/>
      <c r="CQ333" s="21"/>
      <c r="CR333" s="21"/>
      <c r="CS333" s="21"/>
      <c r="CT333" s="21"/>
      <c r="CU333" s="21"/>
      <c r="CV333" s="21"/>
      <c r="CW333" s="21"/>
    </row>
    <row r="334" spans="1:101" x14ac:dyDescent="0.25">
      <c r="A334" s="22" t="s">
        <v>1343</v>
      </c>
      <c r="B334" s="101"/>
      <c r="C334" s="21"/>
      <c r="D334" s="21"/>
      <c r="E334" s="21"/>
      <c r="F334" s="101" t="s">
        <v>1330</v>
      </c>
      <c r="G334" s="21"/>
      <c r="H334" s="21"/>
      <c r="I334" s="21"/>
      <c r="J334" s="21"/>
      <c r="K334" s="21"/>
      <c r="L334" s="21"/>
      <c r="M334" s="21"/>
      <c r="N334" s="21"/>
      <c r="O334" s="21"/>
      <c r="P334" s="21"/>
      <c r="Q334" s="21"/>
      <c r="R334" s="21"/>
      <c r="S334" s="21"/>
      <c r="T334" s="21"/>
      <c r="U334" s="21"/>
      <c r="V334" s="21"/>
      <c r="W334" s="21"/>
      <c r="X334" s="21"/>
      <c r="Y334" s="21"/>
      <c r="Z334" s="21"/>
      <c r="AA334" s="21"/>
      <c r="AB334" s="21"/>
      <c r="AC334" s="21"/>
      <c r="AD334" s="21"/>
      <c r="AE334" s="21"/>
      <c r="AF334" s="21"/>
      <c r="AG334" s="21"/>
      <c r="AH334" s="21"/>
      <c r="AI334" s="21"/>
      <c r="AJ334" s="21"/>
      <c r="AK334" s="21"/>
      <c r="AL334" s="21"/>
      <c r="AM334" s="21"/>
      <c r="AN334" s="21"/>
      <c r="AO334" s="21"/>
      <c r="AP334" s="21"/>
      <c r="AQ334" s="21"/>
      <c r="AR334" s="21"/>
      <c r="AS334" s="21"/>
      <c r="AT334" s="21"/>
      <c r="AU334" s="21"/>
      <c r="AV334" s="21"/>
      <c r="AW334" s="21"/>
      <c r="AX334" s="21"/>
      <c r="AY334" s="21"/>
      <c r="AZ334" s="21"/>
      <c r="BA334" s="21"/>
      <c r="BB334" s="21"/>
      <c r="BC334" s="21"/>
      <c r="BD334" s="21"/>
      <c r="BE334" s="21"/>
      <c r="BF334" s="21"/>
      <c r="BG334" s="21"/>
      <c r="BH334" s="21"/>
      <c r="BI334" s="21"/>
      <c r="BJ334" s="21"/>
      <c r="BK334" s="21"/>
      <c r="BL334" s="21"/>
      <c r="BM334" s="21"/>
      <c r="BN334" s="21"/>
      <c r="BO334" s="21"/>
      <c r="BP334" s="21"/>
      <c r="BQ334" s="21"/>
      <c r="BR334" s="21"/>
      <c r="BS334" s="21"/>
      <c r="BT334" s="21"/>
      <c r="BU334" s="21"/>
      <c r="BV334" s="21"/>
      <c r="BW334" s="21"/>
      <c r="BX334" s="21"/>
      <c r="BY334" s="21"/>
      <c r="BZ334" s="21"/>
      <c r="CA334" s="21"/>
      <c r="CB334" s="21"/>
      <c r="CC334" s="21"/>
      <c r="CD334" s="21"/>
      <c r="CE334" s="21"/>
      <c r="CF334" s="21"/>
      <c r="CG334" s="21"/>
      <c r="CH334" s="21"/>
      <c r="CI334" s="21"/>
      <c r="CJ334" s="21"/>
      <c r="CK334" s="21"/>
      <c r="CL334" s="21"/>
      <c r="CM334" s="21"/>
      <c r="CN334" s="21"/>
      <c r="CO334" s="21"/>
      <c r="CP334" s="21"/>
      <c r="CQ334" s="21"/>
      <c r="CR334" s="21"/>
      <c r="CS334" s="21"/>
      <c r="CT334" s="21"/>
      <c r="CU334" s="21"/>
      <c r="CV334" s="21"/>
      <c r="CW334" s="21"/>
    </row>
    <row r="335" spans="1:101" x14ac:dyDescent="0.25">
      <c r="A335" s="22" t="s">
        <v>1344</v>
      </c>
      <c r="B335" s="101"/>
      <c r="C335" s="21"/>
      <c r="D335" s="21"/>
      <c r="E335" s="21"/>
      <c r="F335" s="21"/>
      <c r="G335" s="101" t="s">
        <v>1330</v>
      </c>
      <c r="H335" s="21"/>
      <c r="I335" s="21"/>
      <c r="J335" s="21"/>
      <c r="K335" s="21"/>
      <c r="L335" s="21"/>
      <c r="M335" s="21"/>
      <c r="N335" s="21"/>
      <c r="O335" s="21"/>
      <c r="P335" s="21"/>
      <c r="Q335" s="21"/>
      <c r="R335" s="21"/>
      <c r="S335" s="21"/>
      <c r="T335" s="21"/>
      <c r="U335" s="21"/>
      <c r="V335" s="21"/>
      <c r="W335" s="21"/>
      <c r="X335" s="21"/>
      <c r="Y335" s="21"/>
      <c r="Z335" s="21"/>
      <c r="AA335" s="21"/>
      <c r="AB335" s="21"/>
      <c r="AC335" s="21"/>
      <c r="AD335" s="21"/>
      <c r="AE335" s="21"/>
      <c r="AF335" s="21"/>
      <c r="AG335" s="21"/>
      <c r="AH335" s="21"/>
      <c r="AI335" s="21"/>
      <c r="AJ335" s="21"/>
      <c r="AK335" s="21"/>
      <c r="AL335" s="21"/>
      <c r="AM335" s="21"/>
      <c r="AN335" s="21"/>
      <c r="AO335" s="21"/>
      <c r="AP335" s="21"/>
      <c r="AQ335" s="21"/>
      <c r="AR335" s="21"/>
      <c r="AS335" s="21"/>
      <c r="AT335" s="21"/>
      <c r="AU335" s="21"/>
      <c r="AV335" s="21"/>
      <c r="AW335" s="21"/>
      <c r="AX335" s="21"/>
      <c r="AY335" s="21"/>
      <c r="AZ335" s="21"/>
      <c r="BA335" s="21"/>
      <c r="BB335" s="21"/>
      <c r="BC335" s="21"/>
      <c r="BD335" s="21"/>
      <c r="BE335" s="21"/>
      <c r="BF335" s="21"/>
      <c r="BG335" s="21"/>
      <c r="BH335" s="21"/>
      <c r="BI335" s="21"/>
      <c r="BJ335" s="21"/>
      <c r="BK335" s="21"/>
      <c r="BL335" s="21"/>
      <c r="BM335" s="21"/>
      <c r="BN335" s="21"/>
      <c r="BO335" s="21"/>
      <c r="BP335" s="21"/>
      <c r="BQ335" s="21"/>
      <c r="BR335" s="21"/>
      <c r="BS335" s="21"/>
      <c r="BT335" s="21"/>
      <c r="BU335" s="21"/>
      <c r="BV335" s="21"/>
      <c r="BW335" s="21"/>
      <c r="BX335" s="21"/>
      <c r="BY335" s="21"/>
      <c r="BZ335" s="21"/>
      <c r="CA335" s="21"/>
      <c r="CB335" s="21"/>
      <c r="CC335" s="21"/>
      <c r="CD335" s="21"/>
      <c r="CE335" s="21"/>
      <c r="CF335" s="21"/>
      <c r="CG335" s="21"/>
      <c r="CH335" s="21"/>
      <c r="CI335" s="21"/>
      <c r="CJ335" s="21"/>
      <c r="CK335" s="21"/>
      <c r="CL335" s="21"/>
      <c r="CM335" s="21"/>
      <c r="CN335" s="21"/>
      <c r="CO335" s="21"/>
      <c r="CP335" s="21"/>
      <c r="CQ335" s="21"/>
      <c r="CR335" s="21"/>
      <c r="CS335" s="21"/>
      <c r="CT335" s="21"/>
      <c r="CU335" s="21"/>
      <c r="CV335" s="21"/>
      <c r="CW335" s="21"/>
    </row>
    <row r="336" spans="1:101" x14ac:dyDescent="0.25">
      <c r="A336" s="22" t="s">
        <v>1345</v>
      </c>
      <c r="B336" s="101"/>
      <c r="C336" s="21"/>
      <c r="D336" s="21"/>
      <c r="E336" s="21"/>
      <c r="F336" s="21"/>
      <c r="G336" s="21"/>
      <c r="H336" s="101" t="s">
        <v>1330</v>
      </c>
      <c r="I336" s="21"/>
      <c r="J336" s="21"/>
      <c r="K336" s="21"/>
      <c r="L336" s="21"/>
      <c r="M336" s="21"/>
      <c r="N336" s="21"/>
      <c r="O336" s="21"/>
      <c r="P336" s="21"/>
      <c r="Q336" s="21"/>
      <c r="R336" s="21"/>
      <c r="S336" s="21"/>
      <c r="T336" s="21"/>
      <c r="U336" s="21"/>
      <c r="V336" s="21"/>
      <c r="W336" s="21"/>
      <c r="X336" s="21"/>
      <c r="Y336" s="21"/>
      <c r="Z336" s="21"/>
      <c r="AA336" s="21"/>
      <c r="AB336" s="21"/>
      <c r="AC336" s="21"/>
      <c r="AD336" s="21"/>
      <c r="AE336" s="21"/>
      <c r="AF336" s="21"/>
      <c r="AG336" s="21"/>
      <c r="AH336" s="21"/>
      <c r="AI336" s="21"/>
      <c r="AJ336" s="21"/>
      <c r="AK336" s="21"/>
      <c r="AL336" s="21"/>
      <c r="AM336" s="21"/>
      <c r="AN336" s="21"/>
      <c r="AO336" s="21"/>
      <c r="AP336" s="21"/>
      <c r="AQ336" s="21"/>
      <c r="AR336" s="21"/>
      <c r="AS336" s="21"/>
      <c r="AT336" s="21"/>
      <c r="AU336" s="21"/>
      <c r="AV336" s="21"/>
      <c r="AW336" s="21"/>
      <c r="AX336" s="21"/>
      <c r="AY336" s="21"/>
      <c r="AZ336" s="21"/>
      <c r="BA336" s="21"/>
      <c r="BB336" s="21"/>
      <c r="BC336" s="21"/>
      <c r="BD336" s="21"/>
      <c r="BE336" s="21"/>
      <c r="BF336" s="21"/>
      <c r="BG336" s="21"/>
      <c r="BH336" s="21"/>
      <c r="BI336" s="21"/>
      <c r="BJ336" s="21"/>
      <c r="BK336" s="21"/>
      <c r="BL336" s="21"/>
      <c r="BM336" s="21"/>
      <c r="BN336" s="21"/>
      <c r="BO336" s="21"/>
      <c r="BP336" s="21"/>
      <c r="BQ336" s="21"/>
      <c r="BR336" s="21"/>
      <c r="BS336" s="21"/>
      <c r="BT336" s="21"/>
      <c r="BU336" s="21"/>
      <c r="BV336" s="21"/>
      <c r="BW336" s="21"/>
      <c r="BX336" s="21"/>
      <c r="BY336" s="21"/>
      <c r="BZ336" s="21"/>
      <c r="CA336" s="21"/>
      <c r="CB336" s="21"/>
      <c r="CC336" s="21"/>
      <c r="CD336" s="21"/>
      <c r="CE336" s="21"/>
      <c r="CF336" s="21"/>
      <c r="CG336" s="21"/>
      <c r="CH336" s="21"/>
      <c r="CI336" s="21"/>
      <c r="CJ336" s="21"/>
      <c r="CK336" s="21"/>
      <c r="CL336" s="21"/>
      <c r="CM336" s="21"/>
      <c r="CN336" s="21"/>
      <c r="CO336" s="21"/>
      <c r="CP336" s="21"/>
      <c r="CQ336" s="21"/>
      <c r="CR336" s="21"/>
      <c r="CS336" s="21"/>
      <c r="CT336" s="21"/>
      <c r="CU336" s="21"/>
      <c r="CV336" s="21"/>
      <c r="CW336" s="21"/>
    </row>
    <row r="337" spans="1:101" x14ac:dyDescent="0.25">
      <c r="A337" s="22" t="s">
        <v>1347</v>
      </c>
      <c r="B337" s="101"/>
      <c r="C337" s="21"/>
      <c r="D337" s="21"/>
      <c r="E337" s="21"/>
      <c r="F337" s="21"/>
      <c r="G337" s="21"/>
      <c r="H337" s="21"/>
      <c r="I337" s="101" t="s">
        <v>1330</v>
      </c>
      <c r="J337" s="21"/>
      <c r="K337" s="21"/>
      <c r="L337" s="21"/>
      <c r="M337" s="21"/>
      <c r="N337" s="21"/>
      <c r="O337" s="21"/>
      <c r="P337" s="21"/>
      <c r="Q337" s="21"/>
      <c r="R337" s="21"/>
      <c r="S337" s="21"/>
      <c r="T337" s="21"/>
      <c r="U337" s="21"/>
      <c r="V337" s="21"/>
      <c r="W337" s="21"/>
      <c r="X337" s="21"/>
      <c r="Y337" s="21"/>
      <c r="Z337" s="21"/>
      <c r="AA337" s="21"/>
      <c r="AB337" s="21"/>
      <c r="AC337" s="21"/>
      <c r="AD337" s="21"/>
      <c r="AE337" s="21"/>
      <c r="AF337" s="21"/>
      <c r="AG337" s="21"/>
      <c r="AH337" s="21"/>
      <c r="AI337" s="21"/>
      <c r="AJ337" s="21"/>
      <c r="AK337" s="21"/>
      <c r="AL337" s="21"/>
      <c r="AM337" s="21"/>
      <c r="AN337" s="21"/>
      <c r="AO337" s="21"/>
      <c r="AP337" s="21"/>
      <c r="AQ337" s="21"/>
      <c r="AR337" s="21"/>
      <c r="AS337" s="21"/>
      <c r="AT337" s="21"/>
      <c r="AU337" s="21"/>
      <c r="AV337" s="21"/>
      <c r="AW337" s="21"/>
      <c r="AX337" s="21"/>
      <c r="AY337" s="21"/>
      <c r="AZ337" s="21"/>
      <c r="BA337" s="21"/>
      <c r="BB337" s="21"/>
      <c r="BC337" s="21"/>
      <c r="BD337" s="21"/>
      <c r="BE337" s="21"/>
      <c r="BF337" s="21"/>
      <c r="BG337" s="21"/>
      <c r="BH337" s="21"/>
      <c r="BI337" s="21"/>
      <c r="BJ337" s="21"/>
      <c r="BK337" s="21"/>
      <c r="BL337" s="21"/>
      <c r="BM337" s="21"/>
      <c r="BN337" s="21"/>
      <c r="BO337" s="21"/>
      <c r="BP337" s="21"/>
      <c r="BQ337" s="21"/>
      <c r="BR337" s="21"/>
      <c r="BS337" s="21"/>
      <c r="BT337" s="21"/>
      <c r="BU337" s="21"/>
      <c r="BV337" s="21"/>
      <c r="BW337" s="21"/>
      <c r="BX337" s="21"/>
      <c r="BY337" s="21"/>
      <c r="BZ337" s="21"/>
      <c r="CA337" s="21"/>
      <c r="CB337" s="21"/>
      <c r="CC337" s="21"/>
      <c r="CD337" s="21"/>
      <c r="CE337" s="21"/>
      <c r="CF337" s="21"/>
      <c r="CG337" s="21"/>
      <c r="CH337" s="21"/>
      <c r="CI337" s="21"/>
      <c r="CJ337" s="21"/>
      <c r="CK337" s="21"/>
      <c r="CL337" s="21"/>
      <c r="CM337" s="21"/>
      <c r="CN337" s="21"/>
      <c r="CO337" s="21"/>
      <c r="CP337" s="21"/>
      <c r="CQ337" s="21"/>
      <c r="CR337" s="21"/>
      <c r="CS337" s="21"/>
      <c r="CT337" s="21"/>
      <c r="CU337" s="21"/>
      <c r="CV337" s="21"/>
      <c r="CW337" s="21"/>
    </row>
    <row r="338" spans="1:101" x14ac:dyDescent="0.25">
      <c r="A338" s="22" t="s">
        <v>1346</v>
      </c>
      <c r="B338" s="101"/>
      <c r="C338" s="21"/>
      <c r="D338" s="21"/>
      <c r="E338" s="21"/>
      <c r="F338" s="21"/>
      <c r="G338" s="21"/>
      <c r="H338" s="21"/>
      <c r="I338" s="21"/>
      <c r="J338" s="101" t="s">
        <v>1330</v>
      </c>
      <c r="K338" s="21"/>
      <c r="L338" s="21"/>
      <c r="M338" s="21"/>
      <c r="N338" s="21"/>
      <c r="O338" s="21"/>
      <c r="P338" s="21"/>
      <c r="Q338" s="21"/>
      <c r="R338" s="21"/>
      <c r="S338" s="21"/>
      <c r="T338" s="21"/>
      <c r="U338" s="21"/>
      <c r="V338" s="21"/>
      <c r="W338" s="21"/>
      <c r="X338" s="21"/>
      <c r="Y338" s="21"/>
      <c r="Z338" s="21"/>
      <c r="AA338" s="21"/>
      <c r="AB338" s="21"/>
      <c r="AC338" s="21"/>
      <c r="AD338" s="21"/>
      <c r="AE338" s="21"/>
      <c r="AF338" s="21"/>
      <c r="AG338" s="21"/>
      <c r="AH338" s="21"/>
      <c r="AI338" s="21"/>
      <c r="AJ338" s="21"/>
      <c r="AK338" s="21"/>
      <c r="AL338" s="21"/>
      <c r="AM338" s="21"/>
      <c r="AN338" s="21"/>
      <c r="AO338" s="21"/>
      <c r="AP338" s="21"/>
      <c r="AQ338" s="21"/>
      <c r="AR338" s="21"/>
      <c r="AS338" s="21"/>
      <c r="AT338" s="21"/>
      <c r="AU338" s="21"/>
      <c r="AV338" s="21"/>
      <c r="AW338" s="21"/>
      <c r="AX338" s="21"/>
      <c r="AY338" s="21"/>
      <c r="AZ338" s="21"/>
      <c r="BA338" s="21"/>
      <c r="BB338" s="21"/>
      <c r="BC338" s="21"/>
      <c r="BD338" s="21"/>
      <c r="BE338" s="21"/>
      <c r="BF338" s="21"/>
      <c r="BG338" s="21"/>
      <c r="BH338" s="21"/>
      <c r="BI338" s="21"/>
      <c r="BJ338" s="21"/>
      <c r="BK338" s="21"/>
      <c r="BL338" s="21"/>
      <c r="BM338" s="21"/>
      <c r="BN338" s="21"/>
      <c r="BO338" s="21"/>
      <c r="BP338" s="21"/>
      <c r="BQ338" s="21"/>
      <c r="BR338" s="21"/>
      <c r="BS338" s="21"/>
      <c r="BT338" s="21"/>
      <c r="BU338" s="21"/>
      <c r="BV338" s="21"/>
      <c r="BW338" s="21"/>
      <c r="BX338" s="21"/>
      <c r="BY338" s="21"/>
      <c r="BZ338" s="21"/>
      <c r="CA338" s="21"/>
      <c r="CB338" s="21"/>
      <c r="CC338" s="21"/>
      <c r="CD338" s="21"/>
      <c r="CE338" s="21"/>
      <c r="CF338" s="21"/>
      <c r="CG338" s="21"/>
      <c r="CH338" s="21"/>
      <c r="CI338" s="21"/>
      <c r="CJ338" s="21"/>
      <c r="CK338" s="21"/>
      <c r="CL338" s="21"/>
      <c r="CM338" s="21"/>
      <c r="CN338" s="21"/>
      <c r="CO338" s="21"/>
      <c r="CP338" s="21"/>
      <c r="CQ338" s="21"/>
      <c r="CR338" s="21"/>
      <c r="CS338" s="21"/>
      <c r="CT338" s="21"/>
      <c r="CU338" s="21"/>
      <c r="CV338" s="21"/>
      <c r="CW338" s="21"/>
    </row>
    <row r="339" spans="1:101" x14ac:dyDescent="0.25">
      <c r="A339" s="22" t="s">
        <v>1349</v>
      </c>
      <c r="B339" s="101"/>
      <c r="C339" s="21"/>
      <c r="D339" s="21"/>
      <c r="E339" s="21"/>
      <c r="F339" s="21"/>
      <c r="G339" s="21"/>
      <c r="H339" s="21"/>
      <c r="I339" s="21"/>
      <c r="J339" s="21"/>
      <c r="K339" s="101" t="s">
        <v>1330</v>
      </c>
      <c r="L339" s="21"/>
      <c r="M339" s="21"/>
      <c r="N339" s="21"/>
      <c r="O339" s="21"/>
      <c r="P339" s="21"/>
      <c r="Q339" s="21"/>
      <c r="R339" s="21"/>
      <c r="S339" s="21"/>
      <c r="T339" s="21"/>
      <c r="U339" s="21"/>
      <c r="V339" s="21"/>
      <c r="W339" s="21"/>
      <c r="X339" s="21"/>
      <c r="Y339" s="21"/>
      <c r="Z339" s="21"/>
      <c r="AA339" s="21"/>
      <c r="AB339" s="21"/>
      <c r="AC339" s="21"/>
      <c r="AD339" s="21"/>
      <c r="AE339" s="21"/>
      <c r="AF339" s="21"/>
      <c r="AG339" s="21"/>
      <c r="AH339" s="21"/>
      <c r="AI339" s="21"/>
      <c r="AJ339" s="21"/>
      <c r="AK339" s="21"/>
      <c r="AL339" s="21"/>
      <c r="AM339" s="21"/>
      <c r="AN339" s="21"/>
      <c r="AO339" s="21"/>
      <c r="AP339" s="21"/>
      <c r="AQ339" s="21"/>
      <c r="AR339" s="21"/>
      <c r="AS339" s="21"/>
      <c r="AT339" s="21"/>
      <c r="AU339" s="21"/>
      <c r="AV339" s="21"/>
      <c r="AW339" s="21"/>
      <c r="AX339" s="21"/>
      <c r="AY339" s="21"/>
      <c r="AZ339" s="21"/>
      <c r="BA339" s="21"/>
      <c r="BB339" s="21"/>
      <c r="BC339" s="21"/>
      <c r="BD339" s="21"/>
      <c r="BE339" s="21"/>
      <c r="BF339" s="21"/>
      <c r="BG339" s="21"/>
      <c r="BH339" s="21"/>
      <c r="BI339" s="21"/>
      <c r="BJ339" s="21"/>
      <c r="BK339" s="21"/>
      <c r="BL339" s="21"/>
      <c r="BM339" s="21"/>
      <c r="BN339" s="21"/>
      <c r="BO339" s="21"/>
      <c r="BP339" s="21"/>
      <c r="BQ339" s="21"/>
      <c r="BR339" s="21"/>
      <c r="BS339" s="21"/>
      <c r="BT339" s="21"/>
      <c r="BU339" s="21"/>
      <c r="BV339" s="21"/>
      <c r="BW339" s="21"/>
      <c r="BX339" s="21"/>
      <c r="BY339" s="21"/>
      <c r="BZ339" s="21"/>
      <c r="CA339" s="21"/>
      <c r="CB339" s="21"/>
      <c r="CC339" s="21"/>
      <c r="CD339" s="21"/>
      <c r="CE339" s="21"/>
      <c r="CF339" s="21"/>
      <c r="CG339" s="21"/>
      <c r="CH339" s="21"/>
      <c r="CI339" s="21"/>
      <c r="CJ339" s="21"/>
      <c r="CK339" s="21"/>
      <c r="CL339" s="21"/>
      <c r="CM339" s="21"/>
      <c r="CN339" s="21"/>
      <c r="CO339" s="21"/>
      <c r="CP339" s="21"/>
      <c r="CQ339" s="21"/>
      <c r="CR339" s="21"/>
      <c r="CS339" s="21"/>
      <c r="CT339" s="21"/>
      <c r="CU339" s="21"/>
      <c r="CV339" s="21"/>
      <c r="CW339" s="21"/>
    </row>
    <row r="340" spans="1:101" x14ac:dyDescent="0.25">
      <c r="A340" s="22" t="s">
        <v>1348</v>
      </c>
      <c r="B340" s="101"/>
      <c r="C340" s="21"/>
      <c r="D340" s="21"/>
      <c r="E340" s="21"/>
      <c r="F340" s="21"/>
      <c r="G340" s="21"/>
      <c r="H340" s="21"/>
      <c r="I340" s="21"/>
      <c r="J340" s="21"/>
      <c r="K340" s="101"/>
      <c r="L340" s="101" t="s">
        <v>1330</v>
      </c>
      <c r="M340" s="21"/>
      <c r="N340" s="21"/>
      <c r="O340" s="21"/>
      <c r="P340" s="21"/>
      <c r="Q340" s="21"/>
      <c r="R340" s="21"/>
      <c r="S340" s="21"/>
      <c r="T340" s="21"/>
      <c r="U340" s="21"/>
      <c r="V340" s="21"/>
      <c r="W340" s="21"/>
      <c r="X340" s="21"/>
      <c r="Y340" s="21"/>
      <c r="Z340" s="21"/>
      <c r="AA340" s="21"/>
      <c r="AB340" s="21"/>
      <c r="AC340" s="21"/>
      <c r="AD340" s="21"/>
      <c r="AE340" s="21"/>
      <c r="AF340" s="21"/>
      <c r="AG340" s="21"/>
      <c r="AH340" s="21"/>
      <c r="AI340" s="21"/>
      <c r="AJ340" s="21"/>
      <c r="AK340" s="21"/>
      <c r="AL340" s="21"/>
      <c r="AM340" s="21"/>
      <c r="AN340" s="21"/>
      <c r="AO340" s="21"/>
      <c r="AP340" s="21"/>
      <c r="AQ340" s="21"/>
      <c r="AR340" s="21"/>
      <c r="AS340" s="21"/>
      <c r="AT340" s="21"/>
      <c r="AU340" s="21"/>
      <c r="AV340" s="21"/>
      <c r="AW340" s="21"/>
      <c r="AX340" s="21"/>
      <c r="AY340" s="21"/>
      <c r="AZ340" s="21"/>
      <c r="BA340" s="21"/>
      <c r="BB340" s="21"/>
      <c r="BC340" s="21"/>
      <c r="BD340" s="21"/>
      <c r="BE340" s="21"/>
      <c r="BF340" s="21"/>
      <c r="BG340" s="21"/>
      <c r="BH340" s="21"/>
      <c r="BI340" s="21"/>
      <c r="BJ340" s="21"/>
      <c r="BK340" s="21"/>
      <c r="BL340" s="21"/>
      <c r="BM340" s="21"/>
      <c r="BN340" s="21"/>
      <c r="BO340" s="21"/>
      <c r="BP340" s="21"/>
      <c r="BQ340" s="21"/>
      <c r="BR340" s="21"/>
      <c r="BS340" s="21"/>
      <c r="BT340" s="21"/>
      <c r="BU340" s="21"/>
      <c r="BV340" s="21"/>
      <c r="BW340" s="21"/>
      <c r="BX340" s="21"/>
      <c r="BY340" s="21"/>
      <c r="BZ340" s="21"/>
      <c r="CA340" s="21"/>
      <c r="CB340" s="21"/>
      <c r="CC340" s="21"/>
      <c r="CD340" s="21"/>
      <c r="CE340" s="21"/>
      <c r="CF340" s="21"/>
      <c r="CG340" s="21"/>
      <c r="CH340" s="21"/>
      <c r="CI340" s="21"/>
      <c r="CJ340" s="21"/>
      <c r="CK340" s="21"/>
      <c r="CL340" s="21"/>
      <c r="CM340" s="21"/>
      <c r="CN340" s="21"/>
      <c r="CO340" s="21"/>
      <c r="CP340" s="21"/>
      <c r="CQ340" s="21"/>
      <c r="CR340" s="21"/>
      <c r="CS340" s="21"/>
      <c r="CT340" s="21"/>
      <c r="CU340" s="21"/>
      <c r="CV340" s="21"/>
      <c r="CW340" s="21"/>
    </row>
    <row r="341" spans="1:101" x14ac:dyDescent="0.25">
      <c r="A341" s="22" t="s">
        <v>1350</v>
      </c>
      <c r="B341" s="101"/>
      <c r="C341" s="21"/>
      <c r="D341" s="21"/>
      <c r="E341" s="21"/>
      <c r="F341" s="21"/>
      <c r="G341" s="21"/>
      <c r="H341" s="21"/>
      <c r="I341" s="21"/>
      <c r="J341" s="21"/>
      <c r="K341" s="101"/>
      <c r="L341" s="21"/>
      <c r="M341" s="101" t="s">
        <v>1330</v>
      </c>
      <c r="N341" s="21"/>
      <c r="O341" s="21"/>
      <c r="P341" s="21"/>
      <c r="Q341" s="21"/>
      <c r="R341" s="21"/>
      <c r="S341" s="21"/>
      <c r="T341" s="21"/>
      <c r="U341" s="21"/>
      <c r="V341" s="21"/>
      <c r="W341" s="21"/>
      <c r="X341" s="21"/>
      <c r="Y341" s="21"/>
      <c r="Z341" s="21"/>
      <c r="AA341" s="21"/>
      <c r="AB341" s="21"/>
      <c r="AC341" s="21"/>
      <c r="AD341" s="21"/>
      <c r="AE341" s="21"/>
      <c r="AF341" s="21"/>
      <c r="AG341" s="21"/>
      <c r="AH341" s="21"/>
      <c r="AI341" s="21"/>
      <c r="AJ341" s="21"/>
      <c r="AK341" s="21"/>
      <c r="AL341" s="21"/>
      <c r="AM341" s="21"/>
      <c r="AN341" s="21"/>
      <c r="AO341" s="21"/>
      <c r="AP341" s="21"/>
      <c r="AQ341" s="21"/>
      <c r="AR341" s="21"/>
      <c r="AS341" s="21"/>
      <c r="AT341" s="21"/>
      <c r="AU341" s="21"/>
      <c r="AV341" s="21"/>
      <c r="AW341" s="21"/>
      <c r="AX341" s="21"/>
      <c r="AY341" s="21"/>
      <c r="AZ341" s="21"/>
      <c r="BA341" s="21"/>
      <c r="BB341" s="21"/>
      <c r="BC341" s="21"/>
      <c r="BD341" s="21"/>
      <c r="BE341" s="21"/>
      <c r="BF341" s="21"/>
      <c r="BG341" s="21"/>
      <c r="BH341" s="21"/>
      <c r="BI341" s="21"/>
      <c r="BJ341" s="21"/>
      <c r="BK341" s="21"/>
      <c r="BL341" s="21"/>
      <c r="BM341" s="21"/>
      <c r="BN341" s="21"/>
      <c r="BO341" s="21"/>
      <c r="BP341" s="21"/>
      <c r="BQ341" s="21"/>
      <c r="BR341" s="21"/>
      <c r="BS341" s="21"/>
      <c r="BT341" s="21"/>
      <c r="BU341" s="21"/>
      <c r="BV341" s="21"/>
      <c r="BW341" s="21"/>
      <c r="BX341" s="21"/>
      <c r="BY341" s="21"/>
      <c r="BZ341" s="21"/>
      <c r="CA341" s="21"/>
      <c r="CB341" s="21"/>
      <c r="CC341" s="21"/>
      <c r="CD341" s="21"/>
      <c r="CE341" s="21"/>
      <c r="CF341" s="21"/>
      <c r="CG341" s="21"/>
      <c r="CH341" s="21"/>
      <c r="CI341" s="21"/>
      <c r="CJ341" s="21"/>
      <c r="CK341" s="21"/>
      <c r="CL341" s="21"/>
      <c r="CM341" s="21"/>
      <c r="CN341" s="21"/>
      <c r="CO341" s="21"/>
      <c r="CP341" s="21"/>
      <c r="CQ341" s="21"/>
      <c r="CR341" s="21"/>
      <c r="CS341" s="21"/>
      <c r="CT341" s="21"/>
      <c r="CU341" s="21"/>
      <c r="CV341" s="21"/>
      <c r="CW341" s="21"/>
    </row>
    <row r="342" spans="1:101" x14ac:dyDescent="0.25">
      <c r="A342" s="22" t="s">
        <v>1351</v>
      </c>
      <c r="B342" s="101"/>
      <c r="C342" s="21"/>
      <c r="D342" s="21"/>
      <c r="E342" s="21"/>
      <c r="F342" s="21"/>
      <c r="G342" s="21"/>
      <c r="H342" s="21"/>
      <c r="I342" s="21"/>
      <c r="J342" s="21"/>
      <c r="K342" s="101"/>
      <c r="L342" s="21"/>
      <c r="M342" s="21"/>
      <c r="N342" s="101" t="s">
        <v>1330</v>
      </c>
      <c r="O342" s="21"/>
      <c r="P342" s="21"/>
      <c r="Q342" s="21"/>
      <c r="R342" s="21"/>
      <c r="S342" s="21"/>
      <c r="T342" s="21"/>
      <c r="U342" s="21"/>
      <c r="V342" s="21"/>
      <c r="W342" s="21"/>
      <c r="X342" s="21"/>
      <c r="Y342" s="21"/>
      <c r="Z342" s="21"/>
      <c r="AA342" s="21"/>
      <c r="AB342" s="21"/>
      <c r="AC342" s="21"/>
      <c r="AD342" s="21"/>
      <c r="AE342" s="21"/>
      <c r="AF342" s="21"/>
      <c r="AG342" s="21"/>
      <c r="AH342" s="21"/>
      <c r="AI342" s="21"/>
      <c r="AJ342" s="21"/>
      <c r="AK342" s="21"/>
      <c r="AL342" s="21"/>
      <c r="AM342" s="21"/>
      <c r="AN342" s="21"/>
      <c r="AO342" s="21"/>
      <c r="AP342" s="21"/>
      <c r="AQ342" s="21"/>
      <c r="AR342" s="21"/>
      <c r="AS342" s="21"/>
      <c r="AT342" s="21"/>
      <c r="AU342" s="21"/>
      <c r="AV342" s="21"/>
      <c r="AW342" s="21"/>
      <c r="AX342" s="21"/>
      <c r="AY342" s="21"/>
      <c r="AZ342" s="21"/>
      <c r="BA342" s="21"/>
      <c r="BB342" s="21"/>
      <c r="BC342" s="21"/>
      <c r="BD342" s="21"/>
      <c r="BE342" s="21"/>
      <c r="BF342" s="21"/>
      <c r="BG342" s="21"/>
      <c r="BH342" s="21"/>
      <c r="BI342" s="21"/>
      <c r="BJ342" s="21"/>
      <c r="BK342" s="21"/>
      <c r="BL342" s="21"/>
      <c r="BM342" s="21"/>
      <c r="BN342" s="21"/>
      <c r="BO342" s="21"/>
      <c r="BP342" s="21"/>
      <c r="BQ342" s="21"/>
      <c r="BR342" s="21"/>
      <c r="BS342" s="21"/>
      <c r="BT342" s="21"/>
      <c r="BU342" s="21"/>
      <c r="BV342" s="21"/>
      <c r="BW342" s="21"/>
      <c r="BX342" s="21"/>
      <c r="BY342" s="21"/>
      <c r="BZ342" s="21"/>
      <c r="CA342" s="21"/>
      <c r="CB342" s="21"/>
      <c r="CC342" s="21"/>
      <c r="CD342" s="21"/>
      <c r="CE342" s="21"/>
      <c r="CF342" s="21"/>
      <c r="CG342" s="21"/>
      <c r="CH342" s="21"/>
      <c r="CI342" s="21"/>
      <c r="CJ342" s="21"/>
      <c r="CK342" s="21"/>
      <c r="CL342" s="21"/>
      <c r="CM342" s="21"/>
      <c r="CN342" s="21"/>
      <c r="CO342" s="21"/>
      <c r="CP342" s="21"/>
      <c r="CQ342" s="21"/>
      <c r="CR342" s="21"/>
      <c r="CS342" s="21"/>
      <c r="CT342" s="21"/>
      <c r="CU342" s="21"/>
      <c r="CV342" s="21"/>
      <c r="CW342" s="21"/>
    </row>
    <row r="343" spans="1:101" x14ac:dyDescent="0.25">
      <c r="A343" s="22" t="s">
        <v>1352</v>
      </c>
      <c r="B343" s="101"/>
      <c r="C343" s="21"/>
      <c r="D343" s="21"/>
      <c r="E343" s="21"/>
      <c r="F343" s="21"/>
      <c r="G343" s="21"/>
      <c r="H343" s="21"/>
      <c r="I343" s="21"/>
      <c r="J343" s="21"/>
      <c r="K343" s="101"/>
      <c r="L343" s="21"/>
      <c r="M343" s="21"/>
      <c r="N343" s="21"/>
      <c r="O343" s="101" t="s">
        <v>1330</v>
      </c>
      <c r="P343" s="21"/>
      <c r="Q343" s="21"/>
      <c r="R343" s="21"/>
      <c r="S343" s="21"/>
      <c r="T343" s="21"/>
      <c r="U343" s="21"/>
      <c r="V343" s="21"/>
      <c r="W343" s="21"/>
      <c r="X343" s="21"/>
      <c r="Y343" s="21"/>
      <c r="Z343" s="21"/>
      <c r="AA343" s="21"/>
      <c r="AB343" s="21"/>
      <c r="AC343" s="21"/>
      <c r="AD343" s="21"/>
      <c r="AE343" s="21"/>
      <c r="AF343" s="21"/>
      <c r="AG343" s="21"/>
      <c r="AH343" s="21"/>
      <c r="AI343" s="21"/>
      <c r="AJ343" s="21"/>
      <c r="AK343" s="21"/>
      <c r="AL343" s="21"/>
      <c r="AM343" s="21"/>
      <c r="AN343" s="21"/>
      <c r="AO343" s="21"/>
      <c r="AP343" s="21"/>
      <c r="AQ343" s="21"/>
      <c r="AR343" s="21"/>
      <c r="AS343" s="21"/>
      <c r="AT343" s="21"/>
      <c r="AU343" s="21"/>
      <c r="AV343" s="21"/>
      <c r="AW343" s="21"/>
      <c r="AX343" s="21"/>
      <c r="AY343" s="21"/>
      <c r="AZ343" s="21"/>
      <c r="BA343" s="21"/>
      <c r="BB343" s="21"/>
      <c r="BC343" s="21"/>
      <c r="BD343" s="21"/>
      <c r="BE343" s="21"/>
      <c r="BF343" s="21"/>
      <c r="BG343" s="21"/>
      <c r="BH343" s="21"/>
      <c r="BI343" s="21"/>
      <c r="BJ343" s="21"/>
      <c r="BK343" s="21"/>
      <c r="BL343" s="21"/>
      <c r="BM343" s="21"/>
      <c r="BN343" s="21"/>
      <c r="BO343" s="21"/>
      <c r="BP343" s="21"/>
      <c r="BQ343" s="21"/>
      <c r="BR343" s="21"/>
      <c r="BS343" s="21"/>
      <c r="BT343" s="21"/>
      <c r="BU343" s="21"/>
      <c r="BV343" s="21"/>
      <c r="BW343" s="21"/>
      <c r="BX343" s="21"/>
      <c r="BY343" s="21"/>
      <c r="BZ343" s="21"/>
      <c r="CA343" s="21"/>
      <c r="CB343" s="21"/>
      <c r="CC343" s="21"/>
      <c r="CD343" s="21"/>
      <c r="CE343" s="21"/>
      <c r="CF343" s="21"/>
      <c r="CG343" s="21"/>
      <c r="CH343" s="21"/>
      <c r="CI343" s="21"/>
      <c r="CJ343" s="21"/>
      <c r="CK343" s="21"/>
      <c r="CL343" s="21"/>
      <c r="CM343" s="21"/>
      <c r="CN343" s="21"/>
      <c r="CO343" s="21"/>
      <c r="CP343" s="21"/>
      <c r="CQ343" s="21"/>
      <c r="CR343" s="21"/>
      <c r="CS343" s="21"/>
      <c r="CT343" s="21"/>
      <c r="CU343" s="21"/>
      <c r="CV343" s="21"/>
      <c r="CW343" s="21"/>
    </row>
    <row r="344" spans="1:101" x14ac:dyDescent="0.25">
      <c r="A344" s="22" t="s">
        <v>1331</v>
      </c>
      <c r="B344" s="101"/>
      <c r="C344" s="21"/>
      <c r="D344" s="21"/>
      <c r="E344" s="21"/>
      <c r="F344" s="21"/>
      <c r="G344" s="21"/>
      <c r="H344" s="21"/>
      <c r="I344" s="21"/>
      <c r="J344" s="21"/>
      <c r="K344" s="101"/>
      <c r="L344" s="21"/>
      <c r="M344" s="21"/>
      <c r="N344" s="21"/>
      <c r="O344" s="21"/>
      <c r="P344" s="101" t="s">
        <v>1330</v>
      </c>
      <c r="Q344" s="21"/>
      <c r="R344" s="21"/>
      <c r="S344" s="21"/>
      <c r="T344" s="21"/>
      <c r="U344" s="21"/>
      <c r="V344" s="21"/>
      <c r="W344" s="21"/>
      <c r="X344" s="21"/>
      <c r="Y344" s="21"/>
      <c r="Z344" s="21"/>
      <c r="AA344" s="21"/>
      <c r="AB344" s="21"/>
      <c r="AC344" s="21"/>
      <c r="AD344" s="21"/>
      <c r="AE344" s="21"/>
      <c r="AF344" s="21"/>
      <c r="AG344" s="21"/>
      <c r="AH344" s="21"/>
      <c r="AI344" s="21"/>
      <c r="AJ344" s="21"/>
      <c r="AK344" s="21"/>
      <c r="AL344" s="21"/>
      <c r="AM344" s="21"/>
      <c r="AN344" s="21"/>
      <c r="AO344" s="21"/>
      <c r="AP344" s="21"/>
      <c r="AQ344" s="21"/>
      <c r="AR344" s="21"/>
      <c r="AS344" s="21"/>
      <c r="AT344" s="21"/>
      <c r="AU344" s="21"/>
      <c r="AV344" s="21"/>
      <c r="AW344" s="21"/>
      <c r="AX344" s="21"/>
      <c r="AY344" s="21"/>
      <c r="AZ344" s="21"/>
      <c r="BA344" s="21"/>
      <c r="BB344" s="21"/>
      <c r="BC344" s="21"/>
      <c r="BD344" s="21"/>
      <c r="BE344" s="21"/>
      <c r="BF344" s="21"/>
      <c r="BG344" s="21"/>
      <c r="BH344" s="21"/>
      <c r="BI344" s="21"/>
      <c r="BJ344" s="21"/>
      <c r="BK344" s="21"/>
      <c r="BL344" s="21"/>
      <c r="BM344" s="21"/>
      <c r="BN344" s="21"/>
      <c r="BO344" s="21"/>
      <c r="BP344" s="21"/>
      <c r="BQ344" s="21"/>
      <c r="BR344" s="21"/>
      <c r="BS344" s="21"/>
      <c r="BT344" s="21"/>
      <c r="BU344" s="21"/>
      <c r="BV344" s="21"/>
      <c r="BW344" s="21"/>
      <c r="BX344" s="21"/>
      <c r="BY344" s="21"/>
      <c r="BZ344" s="21"/>
      <c r="CA344" s="21"/>
      <c r="CB344" s="21"/>
      <c r="CC344" s="21"/>
      <c r="CD344" s="21"/>
      <c r="CE344" s="21"/>
      <c r="CF344" s="21"/>
      <c r="CG344" s="21"/>
      <c r="CH344" s="21"/>
      <c r="CI344" s="21"/>
      <c r="CJ344" s="21"/>
      <c r="CK344" s="21"/>
      <c r="CL344" s="21"/>
      <c r="CM344" s="21"/>
      <c r="CN344" s="21"/>
      <c r="CO344" s="21"/>
      <c r="CP344" s="21"/>
      <c r="CQ344" s="21"/>
      <c r="CR344" s="21"/>
      <c r="CS344" s="21"/>
      <c r="CT344" s="21"/>
      <c r="CU344" s="21"/>
      <c r="CV344" s="21"/>
      <c r="CW344" s="21"/>
    </row>
    <row r="345" spans="1:101" x14ac:dyDescent="0.25">
      <c r="A345" s="22" t="s">
        <v>1353</v>
      </c>
      <c r="B345" s="101"/>
      <c r="C345" s="21"/>
      <c r="D345" s="21"/>
      <c r="E345" s="21"/>
      <c r="F345" s="21"/>
      <c r="G345" s="21"/>
      <c r="H345" s="21"/>
      <c r="I345" s="21"/>
      <c r="J345" s="21"/>
      <c r="K345" s="101"/>
      <c r="L345" s="21"/>
      <c r="M345" s="21"/>
      <c r="N345" s="21"/>
      <c r="O345" s="21"/>
      <c r="P345" s="21"/>
      <c r="Q345" s="101" t="s">
        <v>1330</v>
      </c>
      <c r="R345" s="21"/>
      <c r="S345" s="21"/>
      <c r="T345" s="21"/>
      <c r="U345" s="21"/>
      <c r="V345" s="21"/>
      <c r="W345" s="21"/>
      <c r="X345" s="21"/>
      <c r="Y345" s="21"/>
      <c r="Z345" s="21"/>
      <c r="AA345" s="21"/>
      <c r="AB345" s="21"/>
      <c r="AC345" s="21"/>
      <c r="AD345" s="21"/>
      <c r="AE345" s="21"/>
      <c r="AF345" s="21"/>
      <c r="AG345" s="21"/>
      <c r="AH345" s="21"/>
      <c r="AI345" s="21"/>
      <c r="AJ345" s="21"/>
      <c r="AK345" s="21"/>
      <c r="AL345" s="21"/>
      <c r="AM345" s="21"/>
      <c r="AN345" s="21"/>
      <c r="AO345" s="21"/>
      <c r="AP345" s="21"/>
      <c r="AQ345" s="21"/>
      <c r="AR345" s="21"/>
      <c r="AS345" s="21"/>
      <c r="AT345" s="21"/>
      <c r="AU345" s="21"/>
      <c r="AV345" s="21"/>
      <c r="AW345" s="21"/>
      <c r="AX345" s="21"/>
      <c r="AY345" s="21"/>
      <c r="AZ345" s="21"/>
      <c r="BA345" s="21"/>
      <c r="BB345" s="21"/>
      <c r="BC345" s="21"/>
      <c r="BD345" s="21"/>
      <c r="BE345" s="21"/>
      <c r="BF345" s="21"/>
      <c r="BG345" s="21"/>
      <c r="BH345" s="21"/>
      <c r="BI345" s="21"/>
      <c r="BJ345" s="21"/>
      <c r="BK345" s="21"/>
      <c r="BL345" s="21"/>
      <c r="BM345" s="21"/>
      <c r="BN345" s="21"/>
      <c r="BO345" s="21"/>
      <c r="BP345" s="21"/>
      <c r="BQ345" s="21"/>
      <c r="BR345" s="21"/>
      <c r="BS345" s="21"/>
      <c r="BT345" s="21"/>
      <c r="BU345" s="21"/>
      <c r="BV345" s="21"/>
      <c r="BW345" s="21"/>
      <c r="BX345" s="21"/>
      <c r="BY345" s="21"/>
      <c r="BZ345" s="21"/>
      <c r="CA345" s="21"/>
      <c r="CB345" s="21"/>
      <c r="CC345" s="21"/>
      <c r="CD345" s="21"/>
      <c r="CE345" s="21"/>
      <c r="CF345" s="21"/>
      <c r="CG345" s="21"/>
      <c r="CH345" s="21"/>
      <c r="CI345" s="21"/>
      <c r="CJ345" s="21"/>
      <c r="CK345" s="21"/>
      <c r="CL345" s="21"/>
      <c r="CM345" s="21"/>
      <c r="CN345" s="21"/>
      <c r="CO345" s="21"/>
      <c r="CP345" s="21"/>
      <c r="CQ345" s="21"/>
      <c r="CR345" s="21"/>
      <c r="CS345" s="21"/>
      <c r="CT345" s="21"/>
      <c r="CU345" s="21"/>
      <c r="CV345" s="21"/>
      <c r="CW345" s="21"/>
    </row>
    <row r="346" spans="1:101" x14ac:dyDescent="0.25">
      <c r="A346" s="22" t="s">
        <v>1354</v>
      </c>
      <c r="B346" s="101"/>
      <c r="C346" s="21"/>
      <c r="D346" s="21"/>
      <c r="E346" s="21"/>
      <c r="F346" s="21"/>
      <c r="G346" s="21"/>
      <c r="H346" s="21"/>
      <c r="I346" s="21"/>
      <c r="J346" s="21"/>
      <c r="K346" s="101"/>
      <c r="L346" s="21"/>
      <c r="M346" s="21"/>
      <c r="N346" s="21"/>
      <c r="O346" s="21"/>
      <c r="P346" s="21"/>
      <c r="Q346" s="21"/>
      <c r="R346" s="101" t="s">
        <v>1330</v>
      </c>
      <c r="S346" s="21"/>
      <c r="T346" s="21"/>
      <c r="U346" s="21"/>
      <c r="V346" s="21"/>
      <c r="W346" s="21"/>
      <c r="X346" s="21"/>
      <c r="Y346" s="21"/>
      <c r="Z346" s="21"/>
      <c r="AA346" s="21"/>
      <c r="AB346" s="21"/>
      <c r="AC346" s="21"/>
      <c r="AD346" s="21"/>
      <c r="AE346" s="21"/>
      <c r="AF346" s="21"/>
      <c r="AG346" s="21"/>
      <c r="AH346" s="21"/>
      <c r="AI346" s="21"/>
      <c r="AJ346" s="21"/>
      <c r="AK346" s="21"/>
      <c r="AL346" s="21"/>
      <c r="AM346" s="21"/>
      <c r="AN346" s="21"/>
      <c r="AO346" s="21"/>
      <c r="AP346" s="21"/>
      <c r="AQ346" s="21"/>
      <c r="AR346" s="21"/>
      <c r="AS346" s="21"/>
      <c r="AT346" s="21"/>
      <c r="AU346" s="21"/>
      <c r="AV346" s="21"/>
      <c r="AW346" s="21"/>
      <c r="AX346" s="21"/>
      <c r="AY346" s="21"/>
      <c r="AZ346" s="21"/>
      <c r="BA346" s="21"/>
      <c r="BB346" s="21"/>
      <c r="BC346" s="21"/>
      <c r="BD346" s="21"/>
      <c r="BE346" s="21"/>
      <c r="BF346" s="21"/>
      <c r="BG346" s="21"/>
      <c r="BH346" s="21"/>
      <c r="BI346" s="21"/>
      <c r="BJ346" s="21"/>
      <c r="BK346" s="21"/>
      <c r="BL346" s="21"/>
      <c r="BM346" s="21"/>
      <c r="BN346" s="21"/>
      <c r="BO346" s="21"/>
      <c r="BP346" s="21"/>
      <c r="BQ346" s="21"/>
      <c r="BR346" s="21"/>
      <c r="BS346" s="21"/>
      <c r="BT346" s="21"/>
      <c r="BU346" s="21"/>
      <c r="BV346" s="21"/>
      <c r="BW346" s="21"/>
      <c r="BX346" s="21"/>
      <c r="BY346" s="21"/>
      <c r="BZ346" s="21"/>
      <c r="CA346" s="21"/>
      <c r="CB346" s="21"/>
      <c r="CC346" s="21"/>
      <c r="CD346" s="21"/>
      <c r="CE346" s="21"/>
      <c r="CF346" s="21"/>
      <c r="CG346" s="21"/>
      <c r="CH346" s="21"/>
      <c r="CI346" s="21"/>
      <c r="CJ346" s="21"/>
      <c r="CK346" s="21"/>
      <c r="CL346" s="21"/>
      <c r="CM346" s="21"/>
      <c r="CN346" s="21"/>
      <c r="CO346" s="21"/>
      <c r="CP346" s="21"/>
      <c r="CQ346" s="21"/>
      <c r="CR346" s="21"/>
      <c r="CS346" s="21"/>
      <c r="CT346" s="21"/>
      <c r="CU346" s="21"/>
      <c r="CV346" s="21"/>
      <c r="CW346" s="21"/>
    </row>
    <row r="347" spans="1:101" x14ac:dyDescent="0.25">
      <c r="A347" s="22" t="s">
        <v>1355</v>
      </c>
      <c r="B347" s="101"/>
      <c r="C347" s="21"/>
      <c r="D347" s="21"/>
      <c r="E347" s="21"/>
      <c r="F347" s="21"/>
      <c r="G347" s="21"/>
      <c r="H347" s="21"/>
      <c r="I347" s="21"/>
      <c r="J347" s="21"/>
      <c r="K347" s="101"/>
      <c r="L347" s="21"/>
      <c r="M347" s="21"/>
      <c r="N347" s="21"/>
      <c r="O347" s="21"/>
      <c r="P347" s="21"/>
      <c r="Q347" s="21"/>
      <c r="R347" s="21"/>
      <c r="S347" s="101" t="s">
        <v>1330</v>
      </c>
      <c r="T347" s="21"/>
      <c r="U347" s="21"/>
      <c r="V347" s="21"/>
      <c r="W347" s="21"/>
      <c r="X347" s="21"/>
      <c r="Y347" s="21"/>
      <c r="Z347" s="21"/>
      <c r="AA347" s="21"/>
      <c r="AB347" s="21"/>
      <c r="AC347" s="21"/>
      <c r="AD347" s="21"/>
      <c r="AE347" s="21"/>
      <c r="AF347" s="21"/>
      <c r="AG347" s="21"/>
      <c r="AH347" s="21"/>
      <c r="AI347" s="21"/>
      <c r="AJ347" s="21"/>
      <c r="AK347" s="21"/>
      <c r="AL347" s="21"/>
      <c r="AM347" s="21"/>
      <c r="AN347" s="21"/>
      <c r="AO347" s="21"/>
      <c r="AP347" s="21"/>
      <c r="AQ347" s="21"/>
      <c r="AR347" s="21"/>
      <c r="AS347" s="21"/>
      <c r="AT347" s="21"/>
      <c r="AU347" s="21"/>
      <c r="AV347" s="21"/>
      <c r="AW347" s="21"/>
      <c r="AX347" s="21"/>
      <c r="AY347" s="21"/>
      <c r="AZ347" s="21"/>
      <c r="BA347" s="21"/>
      <c r="BB347" s="21"/>
      <c r="BC347" s="21"/>
      <c r="BD347" s="21"/>
      <c r="BE347" s="21"/>
      <c r="BF347" s="21"/>
      <c r="BG347" s="21"/>
      <c r="BH347" s="21"/>
      <c r="BI347" s="21"/>
      <c r="BJ347" s="21"/>
      <c r="BK347" s="21"/>
      <c r="BL347" s="21"/>
      <c r="BM347" s="21"/>
      <c r="BN347" s="21"/>
      <c r="BO347" s="21"/>
      <c r="BP347" s="21"/>
      <c r="BQ347" s="21"/>
      <c r="BR347" s="21"/>
      <c r="BS347" s="21"/>
      <c r="BT347" s="21"/>
      <c r="BU347" s="21"/>
      <c r="BV347" s="21"/>
      <c r="BW347" s="21"/>
      <c r="BX347" s="21"/>
      <c r="BY347" s="21"/>
      <c r="BZ347" s="21"/>
      <c r="CA347" s="21"/>
      <c r="CB347" s="21"/>
      <c r="CC347" s="21"/>
      <c r="CD347" s="21"/>
      <c r="CE347" s="21"/>
      <c r="CF347" s="21"/>
      <c r="CG347" s="21"/>
      <c r="CH347" s="21"/>
      <c r="CI347" s="21"/>
      <c r="CJ347" s="21"/>
      <c r="CK347" s="21"/>
      <c r="CL347" s="21"/>
      <c r="CM347" s="21"/>
      <c r="CN347" s="21"/>
      <c r="CO347" s="21"/>
      <c r="CP347" s="21"/>
      <c r="CQ347" s="21"/>
      <c r="CR347" s="21"/>
      <c r="CS347" s="21"/>
      <c r="CT347" s="21"/>
      <c r="CU347" s="21"/>
      <c r="CV347" s="21"/>
      <c r="CW347" s="21"/>
    </row>
    <row r="348" spans="1:101" x14ac:dyDescent="0.25">
      <c r="A348" s="22" t="s">
        <v>1356</v>
      </c>
      <c r="B348" s="101"/>
      <c r="C348" s="21"/>
      <c r="D348" s="21"/>
      <c r="E348" s="21"/>
      <c r="F348" s="21"/>
      <c r="G348" s="21"/>
      <c r="H348" s="21"/>
      <c r="I348" s="21"/>
      <c r="J348" s="21"/>
      <c r="K348" s="21"/>
      <c r="L348" s="21"/>
      <c r="M348" s="21"/>
      <c r="N348" s="21"/>
      <c r="O348" s="21"/>
      <c r="P348" s="21"/>
      <c r="Q348" s="21"/>
      <c r="R348" s="21"/>
      <c r="S348" s="21"/>
      <c r="T348" s="101" t="s">
        <v>1330</v>
      </c>
      <c r="U348" s="21"/>
      <c r="V348" s="21"/>
      <c r="W348" s="21"/>
      <c r="X348" s="21"/>
      <c r="Y348" s="21"/>
      <c r="Z348" s="21"/>
      <c r="AA348" s="21"/>
      <c r="AB348" s="21"/>
      <c r="AC348" s="21"/>
      <c r="AD348" s="21"/>
      <c r="AE348" s="21"/>
      <c r="AF348" s="21"/>
      <c r="AG348" s="21"/>
      <c r="AH348" s="21"/>
      <c r="AI348" s="21"/>
      <c r="AJ348" s="21"/>
      <c r="AK348" s="21"/>
      <c r="AL348" s="21"/>
      <c r="AM348" s="21"/>
      <c r="AN348" s="21"/>
      <c r="AO348" s="21"/>
      <c r="AP348" s="21"/>
      <c r="AQ348" s="21"/>
      <c r="AR348" s="21"/>
      <c r="AS348" s="21"/>
      <c r="AT348" s="21"/>
      <c r="AU348" s="21"/>
      <c r="AV348" s="21"/>
      <c r="AW348" s="21"/>
      <c r="AX348" s="21"/>
      <c r="AY348" s="21"/>
      <c r="AZ348" s="21"/>
      <c r="BA348" s="21"/>
      <c r="BB348" s="21"/>
      <c r="BC348" s="21"/>
      <c r="BD348" s="21"/>
      <c r="BE348" s="21"/>
      <c r="BF348" s="21"/>
      <c r="BG348" s="21"/>
      <c r="BH348" s="21"/>
      <c r="BI348" s="21"/>
      <c r="BJ348" s="21"/>
      <c r="BK348" s="21"/>
      <c r="BL348" s="21"/>
      <c r="BM348" s="21"/>
      <c r="BN348" s="21"/>
      <c r="BO348" s="21"/>
      <c r="BP348" s="21"/>
      <c r="BQ348" s="21"/>
      <c r="BR348" s="21"/>
      <c r="BS348" s="21"/>
      <c r="BT348" s="21"/>
      <c r="BU348" s="21"/>
      <c r="BV348" s="21"/>
      <c r="BW348" s="21"/>
      <c r="BX348" s="21"/>
      <c r="BY348" s="21"/>
      <c r="BZ348" s="21"/>
      <c r="CA348" s="21"/>
      <c r="CB348" s="21"/>
      <c r="CC348" s="21"/>
      <c r="CD348" s="21"/>
      <c r="CE348" s="21"/>
      <c r="CF348" s="21"/>
      <c r="CG348" s="21"/>
      <c r="CH348" s="21"/>
      <c r="CI348" s="21"/>
      <c r="CJ348" s="21"/>
      <c r="CK348" s="21"/>
      <c r="CL348" s="21"/>
      <c r="CM348" s="21"/>
      <c r="CN348" s="21"/>
      <c r="CO348" s="21"/>
      <c r="CP348" s="21"/>
      <c r="CQ348" s="21"/>
      <c r="CR348" s="21"/>
      <c r="CS348" s="21"/>
      <c r="CT348" s="21"/>
      <c r="CU348" s="21"/>
      <c r="CV348" s="21"/>
      <c r="CW348" s="21"/>
    </row>
    <row r="349" spans="1:101" x14ac:dyDescent="0.25">
      <c r="A349" s="22" t="s">
        <v>1357</v>
      </c>
      <c r="B349" s="101"/>
      <c r="C349" s="21"/>
      <c r="D349" s="21"/>
      <c r="E349" s="21"/>
      <c r="F349" s="21"/>
      <c r="G349" s="21"/>
      <c r="H349" s="21"/>
      <c r="I349" s="21"/>
      <c r="J349" s="21"/>
      <c r="K349" s="21"/>
      <c r="L349" s="21"/>
      <c r="M349" s="21"/>
      <c r="N349" s="21"/>
      <c r="O349" s="21"/>
      <c r="P349" s="21"/>
      <c r="Q349" s="21"/>
      <c r="R349" s="21"/>
      <c r="S349" s="21"/>
      <c r="T349" s="101"/>
      <c r="U349" s="101" t="s">
        <v>1330</v>
      </c>
      <c r="V349" s="21"/>
      <c r="W349" s="21"/>
      <c r="X349" s="21"/>
      <c r="Y349" s="21"/>
      <c r="Z349" s="21"/>
      <c r="AA349" s="21"/>
      <c r="AB349" s="21"/>
      <c r="AC349" s="21"/>
      <c r="AD349" s="21"/>
      <c r="AE349" s="21"/>
      <c r="AF349" s="21"/>
      <c r="AG349" s="21"/>
      <c r="AH349" s="21"/>
      <c r="AI349" s="21"/>
      <c r="AJ349" s="21"/>
      <c r="AK349" s="21"/>
      <c r="AL349" s="21"/>
      <c r="AM349" s="21"/>
      <c r="AN349" s="21"/>
      <c r="AO349" s="21"/>
      <c r="AP349" s="21"/>
      <c r="AQ349" s="21"/>
      <c r="AR349" s="21"/>
      <c r="AS349" s="21"/>
      <c r="AT349" s="21"/>
      <c r="AU349" s="21"/>
      <c r="AV349" s="21"/>
      <c r="AW349" s="21"/>
      <c r="AX349" s="21"/>
      <c r="AY349" s="21"/>
      <c r="AZ349" s="21"/>
      <c r="BA349" s="21"/>
      <c r="BB349" s="21"/>
      <c r="BC349" s="21"/>
      <c r="BD349" s="21"/>
      <c r="BE349" s="21"/>
      <c r="BF349" s="21"/>
      <c r="BG349" s="21"/>
      <c r="BH349" s="21"/>
      <c r="BI349" s="21"/>
      <c r="BJ349" s="21"/>
      <c r="BK349" s="21"/>
      <c r="BL349" s="21"/>
      <c r="BM349" s="21"/>
      <c r="BN349" s="21"/>
      <c r="BO349" s="21"/>
      <c r="BP349" s="21"/>
      <c r="BQ349" s="21"/>
      <c r="BR349" s="21"/>
      <c r="BS349" s="21"/>
      <c r="BT349" s="21"/>
      <c r="BU349" s="21"/>
      <c r="BV349" s="21"/>
      <c r="BW349" s="21"/>
      <c r="BX349" s="21"/>
      <c r="BY349" s="21"/>
      <c r="BZ349" s="21"/>
      <c r="CA349" s="21"/>
      <c r="CB349" s="21"/>
      <c r="CC349" s="21"/>
      <c r="CD349" s="21"/>
      <c r="CE349" s="21"/>
      <c r="CF349" s="21"/>
      <c r="CG349" s="21"/>
      <c r="CH349" s="21"/>
      <c r="CI349" s="21"/>
      <c r="CJ349" s="21"/>
      <c r="CK349" s="21"/>
      <c r="CL349" s="21"/>
      <c r="CM349" s="21"/>
      <c r="CN349" s="21"/>
      <c r="CO349" s="21"/>
      <c r="CP349" s="21"/>
      <c r="CQ349" s="21"/>
      <c r="CR349" s="21"/>
      <c r="CS349" s="21"/>
      <c r="CT349" s="21"/>
      <c r="CU349" s="21"/>
      <c r="CV349" s="21"/>
      <c r="CW349" s="21"/>
    </row>
    <row r="350" spans="1:101" x14ac:dyDescent="0.25">
      <c r="A350" s="22" t="s">
        <v>1359</v>
      </c>
      <c r="B350" s="101"/>
      <c r="C350" s="21"/>
      <c r="D350" s="21"/>
      <c r="E350" s="21"/>
      <c r="F350" s="21"/>
      <c r="G350" s="21"/>
      <c r="H350" s="21"/>
      <c r="I350" s="21"/>
      <c r="J350" s="21"/>
      <c r="K350" s="21"/>
      <c r="L350" s="21"/>
      <c r="M350" s="21"/>
      <c r="N350" s="21"/>
      <c r="O350" s="21"/>
      <c r="P350" s="21"/>
      <c r="Q350" s="21"/>
      <c r="R350" s="21"/>
      <c r="S350" s="21"/>
      <c r="T350" s="101"/>
      <c r="U350" s="21"/>
      <c r="V350" s="101" t="s">
        <v>1330</v>
      </c>
      <c r="W350" s="21"/>
      <c r="X350" s="21"/>
      <c r="Y350" s="21"/>
      <c r="Z350" s="21"/>
      <c r="AA350" s="21"/>
      <c r="AB350" s="21"/>
      <c r="AC350" s="21"/>
      <c r="AD350" s="21"/>
      <c r="AE350" s="21"/>
      <c r="AF350" s="21"/>
      <c r="AG350" s="21"/>
      <c r="AH350" s="21"/>
      <c r="AI350" s="21"/>
      <c r="AJ350" s="21"/>
      <c r="AK350" s="21"/>
      <c r="AL350" s="21"/>
      <c r="AM350" s="21"/>
      <c r="AN350" s="21"/>
      <c r="AO350" s="21"/>
      <c r="AP350" s="21"/>
      <c r="AQ350" s="21"/>
      <c r="AR350" s="21"/>
      <c r="AS350" s="21"/>
      <c r="AT350" s="21"/>
      <c r="AU350" s="21"/>
      <c r="AV350" s="21"/>
      <c r="AW350" s="21"/>
      <c r="AX350" s="21"/>
      <c r="AY350" s="21"/>
      <c r="AZ350" s="21"/>
      <c r="BA350" s="21"/>
      <c r="BB350" s="21"/>
      <c r="BC350" s="21"/>
      <c r="BD350" s="21"/>
      <c r="BE350" s="21"/>
      <c r="BF350" s="21"/>
      <c r="BG350" s="21"/>
      <c r="BH350" s="21"/>
      <c r="BI350" s="21"/>
      <c r="BJ350" s="21"/>
      <c r="BK350" s="21"/>
      <c r="BL350" s="21"/>
      <c r="BM350" s="21"/>
      <c r="BN350" s="21"/>
      <c r="BO350" s="21"/>
      <c r="BP350" s="21"/>
      <c r="BQ350" s="21"/>
      <c r="BR350" s="21"/>
      <c r="BS350" s="21"/>
      <c r="BT350" s="21"/>
      <c r="BU350" s="21"/>
      <c r="BV350" s="21"/>
      <c r="BW350" s="21"/>
      <c r="BX350" s="21"/>
      <c r="BY350" s="21"/>
      <c r="BZ350" s="21"/>
      <c r="CA350" s="21"/>
      <c r="CB350" s="21"/>
      <c r="CC350" s="21"/>
      <c r="CD350" s="21"/>
      <c r="CE350" s="21"/>
      <c r="CF350" s="21"/>
      <c r="CG350" s="21"/>
      <c r="CH350" s="21"/>
      <c r="CI350" s="21"/>
      <c r="CJ350" s="21"/>
      <c r="CK350" s="21"/>
      <c r="CL350" s="21"/>
      <c r="CM350" s="21"/>
      <c r="CN350" s="21"/>
      <c r="CO350" s="21"/>
      <c r="CP350" s="21"/>
      <c r="CQ350" s="21"/>
      <c r="CR350" s="21"/>
      <c r="CS350" s="21"/>
      <c r="CT350" s="21"/>
      <c r="CU350" s="21"/>
      <c r="CV350" s="21"/>
      <c r="CW350" s="21"/>
    </row>
    <row r="351" spans="1:101" x14ac:dyDescent="0.25">
      <c r="A351" s="22" t="s">
        <v>1358</v>
      </c>
      <c r="B351" s="101"/>
      <c r="C351" s="21"/>
      <c r="D351" s="21"/>
      <c r="E351" s="21"/>
      <c r="F351" s="21"/>
      <c r="G351" s="21"/>
      <c r="H351" s="21"/>
      <c r="I351" s="21"/>
      <c r="J351" s="21"/>
      <c r="K351" s="21"/>
      <c r="L351" s="21"/>
      <c r="M351" s="21"/>
      <c r="N351" s="21"/>
      <c r="O351" s="21"/>
      <c r="P351" s="21"/>
      <c r="Q351" s="21"/>
      <c r="R351" s="21"/>
      <c r="S351" s="21"/>
      <c r="T351" s="101"/>
      <c r="U351" s="21"/>
      <c r="V351" s="21"/>
      <c r="W351" s="101" t="s">
        <v>1330</v>
      </c>
      <c r="X351" s="21"/>
      <c r="Y351" s="21"/>
      <c r="Z351" s="21"/>
      <c r="AA351" s="21"/>
      <c r="AB351" s="21"/>
      <c r="AC351" s="21"/>
      <c r="AD351" s="21"/>
      <c r="AE351" s="21"/>
      <c r="AF351" s="21"/>
      <c r="AG351" s="21"/>
      <c r="AH351" s="21"/>
      <c r="AI351" s="21"/>
      <c r="AJ351" s="21"/>
      <c r="AK351" s="21"/>
      <c r="AL351" s="21"/>
      <c r="AM351" s="21"/>
      <c r="AN351" s="21"/>
      <c r="AO351" s="21"/>
      <c r="AP351" s="21"/>
      <c r="AQ351" s="21"/>
      <c r="AR351" s="21"/>
      <c r="AS351" s="21"/>
      <c r="AT351" s="21"/>
      <c r="AU351" s="21"/>
      <c r="AV351" s="21"/>
      <c r="AW351" s="21"/>
      <c r="AX351" s="21"/>
      <c r="AY351" s="21"/>
      <c r="AZ351" s="21"/>
      <c r="BA351" s="21"/>
      <c r="BB351" s="21"/>
      <c r="BC351" s="21"/>
      <c r="BD351" s="21"/>
      <c r="BE351" s="21"/>
      <c r="BF351" s="21"/>
      <c r="BG351" s="21"/>
      <c r="BH351" s="21"/>
      <c r="BI351" s="21"/>
      <c r="BJ351" s="21"/>
      <c r="BK351" s="21"/>
      <c r="BL351" s="21"/>
      <c r="BM351" s="21"/>
      <c r="BN351" s="21"/>
      <c r="BO351" s="21"/>
      <c r="BP351" s="21"/>
      <c r="BQ351" s="21"/>
      <c r="BR351" s="21"/>
      <c r="BS351" s="21"/>
      <c r="BT351" s="21"/>
      <c r="BU351" s="21"/>
      <c r="BV351" s="21"/>
      <c r="BW351" s="21"/>
      <c r="BX351" s="21"/>
      <c r="BY351" s="21"/>
      <c r="BZ351" s="21"/>
      <c r="CA351" s="21"/>
      <c r="CB351" s="21"/>
      <c r="CC351" s="21"/>
      <c r="CD351" s="21"/>
      <c r="CE351" s="21"/>
      <c r="CF351" s="21"/>
      <c r="CG351" s="21"/>
      <c r="CH351" s="21"/>
      <c r="CI351" s="21"/>
      <c r="CJ351" s="21"/>
      <c r="CK351" s="21"/>
      <c r="CL351" s="21"/>
      <c r="CM351" s="21"/>
      <c r="CN351" s="21"/>
      <c r="CO351" s="21"/>
      <c r="CP351" s="21"/>
      <c r="CQ351" s="21"/>
      <c r="CR351" s="21"/>
      <c r="CS351" s="21"/>
      <c r="CT351" s="21"/>
      <c r="CU351" s="21"/>
      <c r="CV351" s="21"/>
      <c r="CW351" s="21"/>
    </row>
    <row r="352" spans="1:101" x14ac:dyDescent="0.25">
      <c r="A352" s="22" t="s">
        <v>1361</v>
      </c>
      <c r="B352" s="101"/>
      <c r="C352" s="21"/>
      <c r="D352" s="21"/>
      <c r="E352" s="21"/>
      <c r="F352" s="21"/>
      <c r="G352" s="21"/>
      <c r="H352" s="21"/>
      <c r="I352" s="21"/>
      <c r="J352" s="21"/>
      <c r="K352" s="21"/>
      <c r="L352" s="21"/>
      <c r="M352" s="21"/>
      <c r="N352" s="21"/>
      <c r="O352" s="21"/>
      <c r="P352" s="21"/>
      <c r="Q352" s="21"/>
      <c r="R352" s="21"/>
      <c r="S352" s="21"/>
      <c r="T352" s="101"/>
      <c r="U352" s="21"/>
      <c r="V352" s="21"/>
      <c r="W352" s="21"/>
      <c r="X352" s="101" t="s">
        <v>1330</v>
      </c>
      <c r="Y352" s="21"/>
      <c r="Z352" s="21"/>
      <c r="AA352" s="21"/>
      <c r="AB352" s="21"/>
      <c r="AC352" s="21"/>
      <c r="AD352" s="21"/>
      <c r="AE352" s="21"/>
      <c r="AF352" s="21"/>
      <c r="AG352" s="21"/>
      <c r="AH352" s="21"/>
      <c r="AI352" s="21"/>
      <c r="AJ352" s="21"/>
      <c r="AK352" s="21"/>
      <c r="AL352" s="21"/>
      <c r="AM352" s="21"/>
      <c r="AN352" s="21"/>
      <c r="AO352" s="21"/>
      <c r="AP352" s="21"/>
      <c r="AQ352" s="21"/>
      <c r="AR352" s="21"/>
      <c r="AS352" s="21"/>
      <c r="AT352" s="21"/>
      <c r="AU352" s="21"/>
      <c r="AV352" s="21"/>
      <c r="AW352" s="21"/>
      <c r="AX352" s="21"/>
      <c r="AY352" s="21"/>
      <c r="AZ352" s="21"/>
      <c r="BA352" s="21"/>
      <c r="BB352" s="21"/>
      <c r="BC352" s="21"/>
      <c r="BD352" s="21"/>
      <c r="BE352" s="21"/>
      <c r="BF352" s="21"/>
      <c r="BG352" s="21"/>
      <c r="BH352" s="21"/>
      <c r="BI352" s="21"/>
      <c r="BJ352" s="21"/>
      <c r="BK352" s="21"/>
      <c r="BL352" s="21"/>
      <c r="BM352" s="21"/>
      <c r="BN352" s="21"/>
      <c r="BO352" s="21"/>
      <c r="BP352" s="21"/>
      <c r="BQ352" s="21"/>
      <c r="BR352" s="21"/>
      <c r="BS352" s="21"/>
      <c r="BT352" s="21"/>
      <c r="BU352" s="21"/>
      <c r="BV352" s="21"/>
      <c r="BW352" s="21"/>
      <c r="BX352" s="21"/>
      <c r="BY352" s="21"/>
      <c r="BZ352" s="21"/>
      <c r="CA352" s="21"/>
      <c r="CB352" s="21"/>
      <c r="CC352" s="21"/>
      <c r="CD352" s="21"/>
      <c r="CE352" s="21"/>
      <c r="CF352" s="21"/>
      <c r="CG352" s="21"/>
      <c r="CH352" s="21"/>
      <c r="CI352" s="21"/>
      <c r="CJ352" s="21"/>
      <c r="CK352" s="21"/>
      <c r="CL352" s="21"/>
      <c r="CM352" s="21"/>
      <c r="CN352" s="21"/>
      <c r="CO352" s="21"/>
      <c r="CP352" s="21"/>
      <c r="CQ352" s="21"/>
      <c r="CR352" s="21"/>
      <c r="CS352" s="21"/>
      <c r="CT352" s="21"/>
      <c r="CU352" s="21"/>
      <c r="CV352" s="21"/>
      <c r="CW352" s="21"/>
    </row>
    <row r="353" spans="1:101" x14ac:dyDescent="0.25">
      <c r="A353" s="22" t="s">
        <v>1360</v>
      </c>
      <c r="B353" s="101"/>
      <c r="C353" s="21"/>
      <c r="D353" s="21"/>
      <c r="E353" s="21"/>
      <c r="F353" s="21"/>
      <c r="G353" s="21"/>
      <c r="H353" s="21"/>
      <c r="I353" s="21"/>
      <c r="J353" s="21"/>
      <c r="K353" s="21"/>
      <c r="L353" s="21"/>
      <c r="M353" s="21"/>
      <c r="N353" s="21"/>
      <c r="O353" s="21"/>
      <c r="P353" s="21"/>
      <c r="Q353" s="21"/>
      <c r="R353" s="21"/>
      <c r="S353" s="21"/>
      <c r="T353" s="101"/>
      <c r="U353" s="21"/>
      <c r="V353" s="21"/>
      <c r="W353" s="21"/>
      <c r="X353" s="21"/>
      <c r="Y353" s="101" t="s">
        <v>1330</v>
      </c>
      <c r="Z353" s="21"/>
      <c r="AA353" s="21"/>
      <c r="AB353" s="21"/>
      <c r="AC353" s="21"/>
      <c r="AD353" s="21"/>
      <c r="AE353" s="21"/>
      <c r="AF353" s="21"/>
      <c r="AG353" s="21"/>
      <c r="AH353" s="21"/>
      <c r="AI353" s="21"/>
      <c r="AJ353" s="21"/>
      <c r="AK353" s="21"/>
      <c r="AL353" s="21"/>
      <c r="AM353" s="21"/>
      <c r="AN353" s="21"/>
      <c r="AO353" s="21"/>
      <c r="AP353" s="21"/>
      <c r="AQ353" s="21"/>
      <c r="AR353" s="21"/>
      <c r="AS353" s="21"/>
      <c r="AT353" s="21"/>
      <c r="AU353" s="21"/>
      <c r="AV353" s="21"/>
      <c r="AW353" s="21"/>
      <c r="AX353" s="21"/>
      <c r="AY353" s="21"/>
      <c r="AZ353" s="21"/>
      <c r="BA353" s="21"/>
      <c r="BB353" s="21"/>
      <c r="BC353" s="21"/>
      <c r="BD353" s="21"/>
      <c r="BE353" s="21"/>
      <c r="BF353" s="21"/>
      <c r="BG353" s="21"/>
      <c r="BH353" s="21"/>
      <c r="BI353" s="21"/>
      <c r="BJ353" s="21"/>
      <c r="BK353" s="21"/>
      <c r="BL353" s="21"/>
      <c r="BM353" s="21"/>
      <c r="BN353" s="21"/>
      <c r="BO353" s="21"/>
      <c r="BP353" s="21"/>
      <c r="BQ353" s="21"/>
      <c r="BR353" s="21"/>
      <c r="BS353" s="21"/>
      <c r="BT353" s="21"/>
      <c r="BU353" s="21"/>
      <c r="BV353" s="21"/>
      <c r="BW353" s="21"/>
      <c r="BX353" s="21"/>
      <c r="BY353" s="21"/>
      <c r="BZ353" s="21"/>
      <c r="CA353" s="21"/>
      <c r="CB353" s="21"/>
      <c r="CC353" s="21"/>
      <c r="CD353" s="21"/>
      <c r="CE353" s="21"/>
      <c r="CF353" s="21"/>
      <c r="CG353" s="21"/>
      <c r="CH353" s="21"/>
      <c r="CI353" s="21"/>
      <c r="CJ353" s="21"/>
      <c r="CK353" s="21"/>
      <c r="CL353" s="21"/>
      <c r="CM353" s="21"/>
      <c r="CN353" s="21"/>
      <c r="CO353" s="21"/>
      <c r="CP353" s="21"/>
      <c r="CQ353" s="21"/>
      <c r="CR353" s="21"/>
      <c r="CS353" s="21"/>
      <c r="CT353" s="21"/>
      <c r="CU353" s="21"/>
      <c r="CV353" s="21"/>
      <c r="CW353" s="21"/>
    </row>
    <row r="354" spans="1:101" x14ac:dyDescent="0.25">
      <c r="A354" s="22" t="s">
        <v>1362</v>
      </c>
      <c r="B354" s="101"/>
      <c r="C354" s="21"/>
      <c r="D354" s="21"/>
      <c r="E354" s="21"/>
      <c r="F354" s="21"/>
      <c r="G354" s="21"/>
      <c r="H354" s="21"/>
      <c r="I354" s="21"/>
      <c r="J354" s="21"/>
      <c r="K354" s="21"/>
      <c r="L354" s="21"/>
      <c r="M354" s="21"/>
      <c r="N354" s="21"/>
      <c r="O354" s="21"/>
      <c r="P354" s="21"/>
      <c r="Q354" s="21"/>
      <c r="R354" s="21"/>
      <c r="S354" s="21"/>
      <c r="T354" s="101"/>
      <c r="U354" s="21"/>
      <c r="V354" s="21"/>
      <c r="W354" s="21"/>
      <c r="X354" s="21"/>
      <c r="Y354" s="21"/>
      <c r="Z354" s="101" t="s">
        <v>1330</v>
      </c>
      <c r="AA354" s="21"/>
      <c r="AB354" s="21"/>
      <c r="AC354" s="21"/>
      <c r="AD354" s="21"/>
      <c r="AE354" s="21"/>
      <c r="AF354" s="21"/>
      <c r="AG354" s="21"/>
      <c r="AH354" s="21"/>
      <c r="AI354" s="21"/>
      <c r="AJ354" s="21"/>
      <c r="AK354" s="21"/>
      <c r="AL354" s="21"/>
      <c r="AM354" s="21"/>
      <c r="AN354" s="21"/>
      <c r="AO354" s="21"/>
      <c r="AP354" s="21"/>
      <c r="AQ354" s="21"/>
      <c r="AR354" s="21"/>
      <c r="AS354" s="21"/>
      <c r="AT354" s="21"/>
      <c r="AU354" s="21"/>
      <c r="AV354" s="21"/>
      <c r="AW354" s="21"/>
      <c r="AX354" s="21"/>
      <c r="AY354" s="21"/>
      <c r="AZ354" s="21"/>
      <c r="BA354" s="21"/>
      <c r="BB354" s="21"/>
      <c r="BC354" s="21"/>
      <c r="BD354" s="21"/>
      <c r="BE354" s="21"/>
      <c r="BF354" s="21"/>
      <c r="BG354" s="21"/>
      <c r="BH354" s="21"/>
      <c r="BI354" s="21"/>
      <c r="BJ354" s="21"/>
      <c r="BK354" s="21"/>
      <c r="BL354" s="21"/>
      <c r="BM354" s="21"/>
      <c r="BN354" s="21"/>
      <c r="BO354" s="21"/>
      <c r="BP354" s="21"/>
      <c r="BQ354" s="21"/>
      <c r="BR354" s="21"/>
      <c r="BS354" s="21"/>
      <c r="BT354" s="21"/>
      <c r="BU354" s="21"/>
      <c r="BV354" s="21"/>
      <c r="BW354" s="21"/>
      <c r="BX354" s="21"/>
      <c r="BY354" s="21"/>
      <c r="BZ354" s="21"/>
      <c r="CA354" s="21"/>
      <c r="CB354" s="21"/>
      <c r="CC354" s="21"/>
      <c r="CD354" s="21"/>
      <c r="CE354" s="21"/>
      <c r="CF354" s="21"/>
      <c r="CG354" s="21"/>
      <c r="CH354" s="21"/>
      <c r="CI354" s="21"/>
      <c r="CJ354" s="21"/>
      <c r="CK354" s="21"/>
      <c r="CL354" s="21"/>
      <c r="CM354" s="21"/>
      <c r="CN354" s="21"/>
      <c r="CO354" s="21"/>
      <c r="CP354" s="21"/>
      <c r="CQ354" s="21"/>
      <c r="CR354" s="21"/>
      <c r="CS354" s="21"/>
      <c r="CT354" s="21"/>
      <c r="CU354" s="21"/>
      <c r="CV354" s="21"/>
      <c r="CW354" s="21"/>
    </row>
    <row r="355" spans="1:101" x14ac:dyDescent="0.25">
      <c r="A355" s="22" t="s">
        <v>1363</v>
      </c>
      <c r="B355" s="101"/>
      <c r="C355" s="21"/>
      <c r="D355" s="21"/>
      <c r="E355" s="21"/>
      <c r="F355" s="21"/>
      <c r="G355" s="21"/>
      <c r="H355" s="21"/>
      <c r="I355" s="21"/>
      <c r="J355" s="21"/>
      <c r="K355" s="21"/>
      <c r="L355" s="21"/>
      <c r="M355" s="21"/>
      <c r="N355" s="21"/>
      <c r="O355" s="21"/>
      <c r="P355" s="21"/>
      <c r="Q355" s="21"/>
      <c r="R355" s="21"/>
      <c r="S355" s="21"/>
      <c r="T355" s="101"/>
      <c r="U355" s="21"/>
      <c r="V355" s="21"/>
      <c r="W355" s="21"/>
      <c r="X355" s="21"/>
      <c r="Y355" s="21"/>
      <c r="Z355" s="21"/>
      <c r="AA355" s="101" t="s">
        <v>1330</v>
      </c>
      <c r="AB355" s="21"/>
      <c r="AC355" s="21"/>
      <c r="AD355" s="21"/>
      <c r="AE355" s="21"/>
      <c r="AF355" s="21"/>
      <c r="AG355" s="21"/>
      <c r="AH355" s="21"/>
      <c r="AI355" s="21"/>
      <c r="AJ355" s="21"/>
      <c r="AK355" s="21"/>
      <c r="AL355" s="21"/>
      <c r="AM355" s="21"/>
      <c r="AN355" s="21"/>
      <c r="AO355" s="21"/>
      <c r="AP355" s="21"/>
      <c r="AQ355" s="21"/>
      <c r="AR355" s="21"/>
      <c r="AS355" s="21"/>
      <c r="AT355" s="21"/>
      <c r="AU355" s="21"/>
      <c r="AV355" s="21"/>
      <c r="AW355" s="21"/>
      <c r="AX355" s="21"/>
      <c r="AY355" s="21"/>
      <c r="AZ355" s="21"/>
      <c r="BA355" s="21"/>
      <c r="BB355" s="21"/>
      <c r="BC355" s="21"/>
      <c r="BD355" s="21"/>
      <c r="BE355" s="21"/>
      <c r="BF355" s="21"/>
      <c r="BG355" s="21"/>
      <c r="BH355" s="21"/>
      <c r="BI355" s="21"/>
      <c r="BJ355" s="21"/>
      <c r="BK355" s="21"/>
      <c r="BL355" s="21"/>
      <c r="BM355" s="21"/>
      <c r="BN355" s="21"/>
      <c r="BO355" s="21"/>
      <c r="BP355" s="21"/>
      <c r="BQ355" s="21"/>
      <c r="BR355" s="21"/>
      <c r="BS355" s="21"/>
      <c r="BT355" s="21"/>
      <c r="BU355" s="21"/>
      <c r="BV355" s="21"/>
      <c r="BW355" s="21"/>
      <c r="BX355" s="21"/>
      <c r="BY355" s="21"/>
      <c r="BZ355" s="21"/>
      <c r="CA355" s="21"/>
      <c r="CB355" s="21"/>
      <c r="CC355" s="21"/>
      <c r="CD355" s="21"/>
      <c r="CE355" s="21"/>
      <c r="CF355" s="21"/>
      <c r="CG355" s="21"/>
      <c r="CH355" s="21"/>
      <c r="CI355" s="21"/>
      <c r="CJ355" s="21"/>
      <c r="CK355" s="21"/>
      <c r="CL355" s="21"/>
      <c r="CM355" s="21"/>
      <c r="CN355" s="21"/>
      <c r="CO355" s="21"/>
      <c r="CP355" s="21"/>
      <c r="CQ355" s="21"/>
      <c r="CR355" s="21"/>
      <c r="CS355" s="21"/>
      <c r="CT355" s="21"/>
      <c r="CU355" s="21"/>
      <c r="CV355" s="21"/>
      <c r="CW355" s="21"/>
    </row>
    <row r="356" spans="1:101" x14ac:dyDescent="0.25">
      <c r="A356" s="22" t="s">
        <v>1364</v>
      </c>
      <c r="B356" s="101"/>
      <c r="C356" s="21"/>
      <c r="D356" s="21"/>
      <c r="E356" s="21"/>
      <c r="F356" s="21"/>
      <c r="G356" s="21"/>
      <c r="H356" s="21"/>
      <c r="I356" s="21"/>
      <c r="J356" s="21"/>
      <c r="K356" s="21"/>
      <c r="L356" s="21"/>
      <c r="M356" s="21"/>
      <c r="N356" s="21"/>
      <c r="O356" s="21"/>
      <c r="P356" s="21"/>
      <c r="Q356" s="21"/>
      <c r="R356" s="21"/>
      <c r="S356" s="21"/>
      <c r="T356" s="101"/>
      <c r="U356" s="21"/>
      <c r="V356" s="21"/>
      <c r="W356" s="21"/>
      <c r="X356" s="21"/>
      <c r="Y356" s="21"/>
      <c r="Z356" s="21"/>
      <c r="AA356" s="21"/>
      <c r="AB356" s="101" t="s">
        <v>1330</v>
      </c>
      <c r="AC356" s="21"/>
      <c r="AD356" s="21"/>
      <c r="AE356" s="21"/>
      <c r="AF356" s="21"/>
      <c r="AG356" s="21"/>
      <c r="AH356" s="21"/>
      <c r="AI356" s="21"/>
      <c r="AJ356" s="21"/>
      <c r="AK356" s="21"/>
      <c r="AL356" s="21"/>
      <c r="AM356" s="21"/>
      <c r="AN356" s="21"/>
      <c r="AO356" s="21"/>
      <c r="AP356" s="21"/>
      <c r="AQ356" s="21"/>
      <c r="AR356" s="21"/>
      <c r="AS356" s="21"/>
      <c r="AT356" s="21"/>
      <c r="AU356" s="21"/>
      <c r="AV356" s="21"/>
      <c r="AW356" s="21"/>
      <c r="AX356" s="21"/>
      <c r="AY356" s="21"/>
      <c r="AZ356" s="21"/>
      <c r="BA356" s="21"/>
      <c r="BB356" s="21"/>
      <c r="BC356" s="21"/>
      <c r="BD356" s="21"/>
      <c r="BE356" s="21"/>
      <c r="BF356" s="21"/>
      <c r="BG356" s="21"/>
      <c r="BH356" s="21"/>
      <c r="BI356" s="21"/>
      <c r="BJ356" s="21"/>
      <c r="BK356" s="21"/>
      <c r="BL356" s="21"/>
      <c r="BM356" s="21"/>
      <c r="BN356" s="21"/>
      <c r="BO356" s="21"/>
      <c r="BP356" s="21"/>
      <c r="BQ356" s="21"/>
      <c r="BR356" s="21"/>
      <c r="BS356" s="21"/>
      <c r="BT356" s="21"/>
      <c r="BU356" s="21"/>
      <c r="BV356" s="21"/>
      <c r="BW356" s="21"/>
      <c r="BX356" s="21"/>
      <c r="BY356" s="21"/>
      <c r="BZ356" s="21"/>
      <c r="CA356" s="21"/>
      <c r="CB356" s="21"/>
      <c r="CC356" s="21"/>
      <c r="CD356" s="21"/>
      <c r="CE356" s="21"/>
      <c r="CF356" s="21"/>
      <c r="CG356" s="21"/>
      <c r="CH356" s="21"/>
      <c r="CI356" s="21"/>
      <c r="CJ356" s="21"/>
      <c r="CK356" s="21"/>
      <c r="CL356" s="21"/>
      <c r="CM356" s="21"/>
      <c r="CN356" s="21"/>
      <c r="CO356" s="21"/>
      <c r="CP356" s="21"/>
      <c r="CQ356" s="21"/>
      <c r="CR356" s="21"/>
      <c r="CS356" s="21"/>
      <c r="CT356" s="21"/>
      <c r="CU356" s="21"/>
      <c r="CV356" s="21"/>
      <c r="CW356" s="21"/>
    </row>
    <row r="357" spans="1:101" x14ac:dyDescent="0.25">
      <c r="A357" s="22" t="s">
        <v>1332</v>
      </c>
      <c r="B357" s="10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c r="AA357" s="21"/>
      <c r="AB357" s="21"/>
      <c r="AC357" s="101" t="s">
        <v>1330</v>
      </c>
      <c r="AD357" s="21"/>
      <c r="AE357" s="21"/>
      <c r="AF357" s="21"/>
      <c r="AG357" s="21"/>
      <c r="AH357" s="21"/>
      <c r="AI357" s="21"/>
      <c r="AJ357" s="21"/>
      <c r="AK357" s="21"/>
      <c r="AL357" s="21"/>
      <c r="AM357" s="21"/>
      <c r="AN357" s="21"/>
      <c r="AO357" s="21"/>
      <c r="AP357" s="21"/>
      <c r="AQ357" s="21"/>
      <c r="AR357" s="21"/>
      <c r="AS357" s="21"/>
      <c r="AT357" s="21"/>
      <c r="AU357" s="21"/>
      <c r="AV357" s="21"/>
      <c r="AW357" s="21"/>
      <c r="AX357" s="21"/>
      <c r="AY357" s="21"/>
      <c r="AZ357" s="21"/>
      <c r="BA357" s="21"/>
      <c r="BB357" s="21"/>
      <c r="BC357" s="21"/>
      <c r="BD357" s="21"/>
      <c r="BE357" s="21"/>
      <c r="BF357" s="21"/>
      <c r="BG357" s="21"/>
      <c r="BH357" s="21"/>
      <c r="BI357" s="21"/>
      <c r="BJ357" s="21"/>
      <c r="BK357" s="21"/>
      <c r="BL357" s="21"/>
      <c r="BM357" s="21"/>
      <c r="BN357" s="21"/>
      <c r="BO357" s="21"/>
      <c r="BP357" s="21"/>
      <c r="BQ357" s="21"/>
      <c r="BR357" s="21"/>
      <c r="BS357" s="21"/>
      <c r="BT357" s="21"/>
      <c r="BU357" s="21"/>
      <c r="BV357" s="21"/>
      <c r="BW357" s="21"/>
      <c r="BX357" s="21"/>
      <c r="BY357" s="21"/>
      <c r="BZ357" s="21"/>
      <c r="CA357" s="21"/>
      <c r="CB357" s="21"/>
      <c r="CC357" s="21"/>
      <c r="CD357" s="21"/>
      <c r="CE357" s="21"/>
      <c r="CF357" s="21"/>
      <c r="CG357" s="21"/>
      <c r="CH357" s="21"/>
      <c r="CI357" s="21"/>
      <c r="CJ357" s="21"/>
      <c r="CK357" s="21"/>
      <c r="CL357" s="21"/>
      <c r="CM357" s="21"/>
      <c r="CN357" s="21"/>
      <c r="CO357" s="21"/>
      <c r="CP357" s="21"/>
      <c r="CQ357" s="21"/>
      <c r="CR357" s="21"/>
      <c r="CS357" s="21"/>
      <c r="CT357" s="21"/>
      <c r="CU357" s="21"/>
      <c r="CV357" s="21"/>
      <c r="CW357" s="21"/>
    </row>
    <row r="358" spans="1:101" x14ac:dyDescent="0.25">
      <c r="A358" s="22" t="s">
        <v>1365</v>
      </c>
      <c r="B358" s="10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c r="AA358" s="21"/>
      <c r="AB358" s="21"/>
      <c r="AC358" s="101"/>
      <c r="AD358" s="101" t="s">
        <v>1330</v>
      </c>
      <c r="AE358" s="21"/>
      <c r="AF358" s="21"/>
      <c r="AG358" s="21"/>
      <c r="AH358" s="21"/>
      <c r="AI358" s="21"/>
      <c r="AJ358" s="21"/>
      <c r="AK358" s="21"/>
      <c r="AL358" s="21"/>
      <c r="AM358" s="21"/>
      <c r="AN358" s="21"/>
      <c r="AO358" s="21"/>
      <c r="AP358" s="21"/>
      <c r="AQ358" s="21"/>
      <c r="AR358" s="21"/>
      <c r="AS358" s="21"/>
      <c r="AT358" s="21"/>
      <c r="AU358" s="21"/>
      <c r="AV358" s="21"/>
      <c r="AW358" s="21"/>
      <c r="AX358" s="21"/>
      <c r="AY358" s="21"/>
      <c r="AZ358" s="21"/>
      <c r="BA358" s="21"/>
      <c r="BB358" s="21"/>
      <c r="BC358" s="21"/>
      <c r="BD358" s="21"/>
      <c r="BE358" s="21"/>
      <c r="BF358" s="21"/>
      <c r="BG358" s="21"/>
      <c r="BH358" s="21"/>
      <c r="BI358" s="21"/>
      <c r="BJ358" s="21"/>
      <c r="BK358" s="21"/>
      <c r="BL358" s="21"/>
      <c r="BM358" s="21"/>
      <c r="BN358" s="21"/>
      <c r="BO358" s="21"/>
      <c r="BP358" s="21"/>
      <c r="BQ358" s="21"/>
      <c r="BR358" s="21"/>
      <c r="BS358" s="21"/>
      <c r="BT358" s="21"/>
      <c r="BU358" s="21"/>
      <c r="BV358" s="21"/>
      <c r="BW358" s="21"/>
      <c r="BX358" s="21"/>
      <c r="BY358" s="21"/>
      <c r="BZ358" s="21"/>
      <c r="CA358" s="21"/>
      <c r="CB358" s="21"/>
      <c r="CC358" s="21"/>
      <c r="CD358" s="21"/>
      <c r="CE358" s="21"/>
      <c r="CF358" s="21"/>
      <c r="CG358" s="21"/>
      <c r="CH358" s="21"/>
      <c r="CI358" s="21"/>
      <c r="CJ358" s="21"/>
      <c r="CK358" s="21"/>
      <c r="CL358" s="21"/>
      <c r="CM358" s="21"/>
      <c r="CN358" s="21"/>
      <c r="CO358" s="21"/>
      <c r="CP358" s="21"/>
      <c r="CQ358" s="21"/>
      <c r="CR358" s="21"/>
      <c r="CS358" s="21"/>
      <c r="CT358" s="21"/>
      <c r="CU358" s="21"/>
      <c r="CV358" s="21"/>
      <c r="CW358" s="21"/>
    </row>
    <row r="359" spans="1:101" x14ac:dyDescent="0.25">
      <c r="A359" s="22" t="s">
        <v>1366</v>
      </c>
      <c r="B359" s="10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c r="AA359" s="21"/>
      <c r="AB359" s="21"/>
      <c r="AC359" s="101"/>
      <c r="AD359" s="21"/>
      <c r="AE359" s="101" t="s">
        <v>1330</v>
      </c>
      <c r="AF359" s="21"/>
      <c r="AG359" s="21"/>
      <c r="AH359" s="21"/>
      <c r="AI359" s="21"/>
      <c r="AJ359" s="21"/>
      <c r="AK359" s="21"/>
      <c r="AL359" s="21"/>
      <c r="AM359" s="21"/>
      <c r="AN359" s="21"/>
      <c r="AO359" s="21"/>
      <c r="AP359" s="21"/>
      <c r="AQ359" s="21"/>
      <c r="AR359" s="21"/>
      <c r="AS359" s="21"/>
      <c r="AT359" s="21"/>
      <c r="AU359" s="21"/>
      <c r="AV359" s="21"/>
      <c r="AW359" s="21"/>
      <c r="AX359" s="21"/>
      <c r="AY359" s="21"/>
      <c r="AZ359" s="21"/>
      <c r="BA359" s="21"/>
      <c r="BB359" s="21"/>
      <c r="BC359" s="21"/>
      <c r="BD359" s="21"/>
      <c r="BE359" s="21"/>
      <c r="BF359" s="21"/>
      <c r="BG359" s="21"/>
      <c r="BH359" s="21"/>
      <c r="BI359" s="21"/>
      <c r="BJ359" s="21"/>
      <c r="BK359" s="21"/>
      <c r="BL359" s="21"/>
      <c r="BM359" s="21"/>
      <c r="BN359" s="21"/>
      <c r="BO359" s="21"/>
      <c r="BP359" s="21"/>
      <c r="BQ359" s="21"/>
      <c r="BR359" s="21"/>
      <c r="BS359" s="21"/>
      <c r="BT359" s="21"/>
      <c r="BU359" s="21"/>
      <c r="BV359" s="21"/>
      <c r="BW359" s="21"/>
      <c r="BX359" s="21"/>
      <c r="BY359" s="21"/>
      <c r="BZ359" s="21"/>
      <c r="CA359" s="21"/>
      <c r="CB359" s="21"/>
      <c r="CC359" s="21"/>
      <c r="CD359" s="21"/>
      <c r="CE359" s="21"/>
      <c r="CF359" s="21"/>
      <c r="CG359" s="21"/>
      <c r="CH359" s="21"/>
      <c r="CI359" s="21"/>
      <c r="CJ359" s="21"/>
      <c r="CK359" s="21"/>
      <c r="CL359" s="21"/>
      <c r="CM359" s="21"/>
      <c r="CN359" s="21"/>
      <c r="CO359" s="21"/>
      <c r="CP359" s="21"/>
      <c r="CQ359" s="21"/>
      <c r="CR359" s="21"/>
      <c r="CS359" s="21"/>
      <c r="CT359" s="21"/>
      <c r="CU359" s="21"/>
      <c r="CV359" s="21"/>
      <c r="CW359" s="21"/>
    </row>
    <row r="360" spans="1:101" x14ac:dyDescent="0.25">
      <c r="A360" s="22" t="s">
        <v>1367</v>
      </c>
      <c r="B360" s="10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c r="AA360" s="21"/>
      <c r="AB360" s="21"/>
      <c r="AC360" s="101"/>
      <c r="AD360" s="21"/>
      <c r="AE360" s="21"/>
      <c r="AF360" s="101" t="s">
        <v>1330</v>
      </c>
      <c r="AG360" s="21"/>
      <c r="AH360" s="21"/>
      <c r="AI360" s="21"/>
      <c r="AJ360" s="21"/>
      <c r="AK360" s="21"/>
      <c r="AL360" s="21"/>
      <c r="AM360" s="21"/>
      <c r="AN360" s="21"/>
      <c r="AO360" s="21"/>
      <c r="AP360" s="21"/>
      <c r="AQ360" s="21"/>
      <c r="AR360" s="21"/>
      <c r="AS360" s="21"/>
      <c r="AT360" s="21"/>
      <c r="AU360" s="21"/>
      <c r="AV360" s="21"/>
      <c r="AW360" s="21"/>
      <c r="AX360" s="21"/>
      <c r="AY360" s="21"/>
      <c r="AZ360" s="21"/>
      <c r="BA360" s="21"/>
      <c r="BB360" s="21"/>
      <c r="BC360" s="21"/>
      <c r="BD360" s="21"/>
      <c r="BE360" s="21"/>
      <c r="BF360" s="21"/>
      <c r="BG360" s="21"/>
      <c r="BH360" s="21"/>
      <c r="BI360" s="21"/>
      <c r="BJ360" s="21"/>
      <c r="BK360" s="21"/>
      <c r="BL360" s="21"/>
      <c r="BM360" s="21"/>
      <c r="BN360" s="21"/>
      <c r="BO360" s="21"/>
      <c r="BP360" s="21"/>
      <c r="BQ360" s="21"/>
      <c r="BR360" s="21"/>
      <c r="BS360" s="21"/>
      <c r="BT360" s="21"/>
      <c r="BU360" s="21"/>
      <c r="BV360" s="21"/>
      <c r="BW360" s="21"/>
      <c r="BX360" s="21"/>
      <c r="BY360" s="21"/>
      <c r="BZ360" s="21"/>
      <c r="CA360" s="21"/>
      <c r="CB360" s="21"/>
      <c r="CC360" s="21"/>
      <c r="CD360" s="21"/>
      <c r="CE360" s="21"/>
      <c r="CF360" s="21"/>
      <c r="CG360" s="21"/>
      <c r="CH360" s="21"/>
      <c r="CI360" s="21"/>
      <c r="CJ360" s="21"/>
      <c r="CK360" s="21"/>
      <c r="CL360" s="21"/>
      <c r="CM360" s="21"/>
      <c r="CN360" s="21"/>
      <c r="CO360" s="21"/>
      <c r="CP360" s="21"/>
      <c r="CQ360" s="21"/>
      <c r="CR360" s="21"/>
      <c r="CS360" s="21"/>
      <c r="CT360" s="21"/>
      <c r="CU360" s="21"/>
      <c r="CV360" s="21"/>
      <c r="CW360" s="21"/>
    </row>
    <row r="361" spans="1:101" x14ac:dyDescent="0.25">
      <c r="A361" s="22" t="s">
        <v>1368</v>
      </c>
      <c r="B361" s="10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c r="AA361" s="21"/>
      <c r="AB361" s="21"/>
      <c r="AC361" s="101"/>
      <c r="AD361" s="21"/>
      <c r="AE361" s="21"/>
      <c r="AF361" s="21"/>
      <c r="AG361" s="101" t="s">
        <v>1330</v>
      </c>
      <c r="AH361" s="21"/>
      <c r="AI361" s="21"/>
      <c r="AJ361" s="21"/>
      <c r="AK361" s="21"/>
      <c r="AL361" s="21"/>
      <c r="AM361" s="21"/>
      <c r="AN361" s="21"/>
      <c r="AO361" s="21"/>
      <c r="AP361" s="21"/>
      <c r="AQ361" s="21"/>
      <c r="AR361" s="21"/>
      <c r="AS361" s="21"/>
      <c r="AT361" s="21"/>
      <c r="AU361" s="21"/>
      <c r="AV361" s="21"/>
      <c r="AW361" s="21"/>
      <c r="AX361" s="21"/>
      <c r="AY361" s="21"/>
      <c r="AZ361" s="21"/>
      <c r="BA361" s="21"/>
      <c r="BB361" s="21"/>
      <c r="BC361" s="21"/>
      <c r="BD361" s="21"/>
      <c r="BE361" s="21"/>
      <c r="BF361" s="21"/>
      <c r="BG361" s="21"/>
      <c r="BH361" s="21"/>
      <c r="BI361" s="21"/>
      <c r="BJ361" s="21"/>
      <c r="BK361" s="21"/>
      <c r="BL361" s="21"/>
      <c r="BM361" s="21"/>
      <c r="BN361" s="21"/>
      <c r="BO361" s="21"/>
      <c r="BP361" s="21"/>
      <c r="BQ361" s="21"/>
      <c r="BR361" s="21"/>
      <c r="BS361" s="21"/>
      <c r="BT361" s="21"/>
      <c r="BU361" s="21"/>
      <c r="BV361" s="21"/>
      <c r="BW361" s="21"/>
      <c r="BX361" s="21"/>
      <c r="BY361" s="21"/>
      <c r="BZ361" s="21"/>
      <c r="CA361" s="21"/>
      <c r="CB361" s="21"/>
      <c r="CC361" s="21"/>
      <c r="CD361" s="21"/>
      <c r="CE361" s="21"/>
      <c r="CF361" s="21"/>
      <c r="CG361" s="21"/>
      <c r="CH361" s="21"/>
      <c r="CI361" s="21"/>
      <c r="CJ361" s="21"/>
      <c r="CK361" s="21"/>
      <c r="CL361" s="21"/>
      <c r="CM361" s="21"/>
      <c r="CN361" s="21"/>
      <c r="CO361" s="21"/>
      <c r="CP361" s="21"/>
      <c r="CQ361" s="21"/>
      <c r="CR361" s="21"/>
      <c r="CS361" s="21"/>
      <c r="CT361" s="21"/>
      <c r="CU361" s="21"/>
      <c r="CV361" s="21"/>
      <c r="CW361" s="21"/>
    </row>
    <row r="362" spans="1:101" x14ac:dyDescent="0.25">
      <c r="A362" s="22" t="s">
        <v>1369</v>
      </c>
      <c r="B362" s="10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c r="AA362" s="21"/>
      <c r="AB362" s="21"/>
      <c r="AC362" s="101"/>
      <c r="AD362" s="21"/>
      <c r="AE362" s="21"/>
      <c r="AF362" s="21"/>
      <c r="AG362" s="21"/>
      <c r="AH362" s="101" t="s">
        <v>1330</v>
      </c>
      <c r="AI362" s="21"/>
      <c r="AJ362" s="21"/>
      <c r="AK362" s="21"/>
      <c r="AL362" s="21"/>
      <c r="AM362" s="21"/>
      <c r="AN362" s="21"/>
      <c r="AO362" s="21"/>
      <c r="AP362" s="21"/>
      <c r="AQ362" s="21"/>
      <c r="AR362" s="21"/>
      <c r="AS362" s="21"/>
      <c r="AT362" s="21"/>
      <c r="AU362" s="21"/>
      <c r="AV362" s="21"/>
      <c r="AW362" s="21"/>
      <c r="AX362" s="21"/>
      <c r="AY362" s="21"/>
      <c r="AZ362" s="21"/>
      <c r="BA362" s="21"/>
      <c r="BB362" s="21"/>
      <c r="BC362" s="21"/>
      <c r="BD362" s="21"/>
      <c r="BE362" s="21"/>
      <c r="BF362" s="21"/>
      <c r="BG362" s="21"/>
      <c r="BH362" s="21"/>
      <c r="BI362" s="21"/>
      <c r="BJ362" s="21"/>
      <c r="BK362" s="21"/>
      <c r="BL362" s="21"/>
      <c r="BM362" s="21"/>
      <c r="BN362" s="21"/>
      <c r="BO362" s="21"/>
      <c r="BP362" s="21"/>
      <c r="BQ362" s="21"/>
      <c r="BR362" s="21"/>
      <c r="BS362" s="21"/>
      <c r="BT362" s="21"/>
      <c r="BU362" s="21"/>
      <c r="BV362" s="21"/>
      <c r="BW362" s="21"/>
      <c r="BX362" s="21"/>
      <c r="BY362" s="21"/>
      <c r="BZ362" s="21"/>
      <c r="CA362" s="21"/>
      <c r="CB362" s="21"/>
      <c r="CC362" s="21"/>
      <c r="CD362" s="21"/>
      <c r="CE362" s="21"/>
      <c r="CF362" s="21"/>
      <c r="CG362" s="21"/>
      <c r="CH362" s="21"/>
      <c r="CI362" s="21"/>
      <c r="CJ362" s="21"/>
      <c r="CK362" s="21"/>
      <c r="CL362" s="21"/>
      <c r="CM362" s="21"/>
      <c r="CN362" s="21"/>
      <c r="CO362" s="21"/>
      <c r="CP362" s="21"/>
      <c r="CQ362" s="21"/>
      <c r="CR362" s="21"/>
      <c r="CS362" s="21"/>
      <c r="CT362" s="21"/>
      <c r="CU362" s="21"/>
      <c r="CV362" s="21"/>
      <c r="CW362" s="21"/>
    </row>
    <row r="363" spans="1:101" x14ac:dyDescent="0.25">
      <c r="A363" s="22" t="s">
        <v>1371</v>
      </c>
      <c r="B363" s="10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c r="AA363" s="21"/>
      <c r="AB363" s="21"/>
      <c r="AC363" s="101"/>
      <c r="AD363" s="21"/>
      <c r="AE363" s="21"/>
      <c r="AF363" s="21"/>
      <c r="AG363" s="21"/>
      <c r="AH363" s="21"/>
      <c r="AI363" s="101" t="s">
        <v>1330</v>
      </c>
      <c r="AJ363" s="21"/>
      <c r="AK363" s="21"/>
      <c r="AL363" s="21"/>
      <c r="AM363" s="21"/>
      <c r="AN363" s="21"/>
      <c r="AO363" s="21"/>
      <c r="AP363" s="21"/>
      <c r="AQ363" s="21"/>
      <c r="AR363" s="21"/>
      <c r="AS363" s="21"/>
      <c r="AT363" s="21"/>
      <c r="AU363" s="21"/>
      <c r="AV363" s="21"/>
      <c r="AW363" s="21"/>
      <c r="AX363" s="21"/>
      <c r="AY363" s="21"/>
      <c r="AZ363" s="21"/>
      <c r="BA363" s="21"/>
      <c r="BB363" s="21"/>
      <c r="BC363" s="21"/>
      <c r="BD363" s="21"/>
      <c r="BE363" s="21"/>
      <c r="BF363" s="21"/>
      <c r="BG363" s="21"/>
      <c r="BH363" s="21"/>
      <c r="BI363" s="21"/>
      <c r="BJ363" s="21"/>
      <c r="BK363" s="21"/>
      <c r="BL363" s="21"/>
      <c r="BM363" s="21"/>
      <c r="BN363" s="21"/>
      <c r="BO363" s="21"/>
      <c r="BP363" s="21"/>
      <c r="BQ363" s="21"/>
      <c r="BR363" s="21"/>
      <c r="BS363" s="21"/>
      <c r="BT363" s="21"/>
      <c r="BU363" s="21"/>
      <c r="BV363" s="21"/>
      <c r="BW363" s="21"/>
      <c r="BX363" s="21"/>
      <c r="BY363" s="21"/>
      <c r="BZ363" s="21"/>
      <c r="CA363" s="21"/>
      <c r="CB363" s="21"/>
      <c r="CC363" s="21"/>
      <c r="CD363" s="21"/>
      <c r="CE363" s="21"/>
      <c r="CF363" s="21"/>
      <c r="CG363" s="21"/>
      <c r="CH363" s="21"/>
      <c r="CI363" s="21"/>
      <c r="CJ363" s="21"/>
      <c r="CK363" s="21"/>
      <c r="CL363" s="21"/>
      <c r="CM363" s="21"/>
      <c r="CN363" s="21"/>
      <c r="CO363" s="21"/>
      <c r="CP363" s="21"/>
      <c r="CQ363" s="21"/>
      <c r="CR363" s="21"/>
      <c r="CS363" s="21"/>
      <c r="CT363" s="21"/>
      <c r="CU363" s="21"/>
      <c r="CV363" s="21"/>
      <c r="CW363" s="21"/>
    </row>
    <row r="364" spans="1:101" x14ac:dyDescent="0.25">
      <c r="A364" s="22" t="s">
        <v>1370</v>
      </c>
      <c r="B364" s="10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c r="AA364" s="21"/>
      <c r="AB364" s="21"/>
      <c r="AC364" s="101"/>
      <c r="AD364" s="21"/>
      <c r="AE364" s="21"/>
      <c r="AF364" s="21"/>
      <c r="AG364" s="21"/>
      <c r="AH364" s="21"/>
      <c r="AI364" s="21"/>
      <c r="AJ364" s="101" t="s">
        <v>1330</v>
      </c>
      <c r="AK364" s="21"/>
      <c r="AL364" s="21"/>
      <c r="AM364" s="21"/>
      <c r="AN364" s="21"/>
      <c r="AO364" s="21"/>
      <c r="AP364" s="21"/>
      <c r="AQ364" s="21"/>
      <c r="AR364" s="21"/>
      <c r="AS364" s="21"/>
      <c r="AT364" s="21"/>
      <c r="AU364" s="21"/>
      <c r="AV364" s="21"/>
      <c r="AW364" s="21"/>
      <c r="AX364" s="21"/>
      <c r="AY364" s="21"/>
      <c r="AZ364" s="21"/>
      <c r="BA364" s="21"/>
      <c r="BB364" s="21"/>
      <c r="BC364" s="21"/>
      <c r="BD364" s="21"/>
      <c r="BE364" s="21"/>
      <c r="BF364" s="21"/>
      <c r="BG364" s="21"/>
      <c r="BH364" s="21"/>
      <c r="BI364" s="21"/>
      <c r="BJ364" s="21"/>
      <c r="BK364" s="21"/>
      <c r="BL364" s="21"/>
      <c r="BM364" s="21"/>
      <c r="BN364" s="21"/>
      <c r="BO364" s="21"/>
      <c r="BP364" s="21"/>
      <c r="BQ364" s="21"/>
      <c r="BR364" s="21"/>
      <c r="BS364" s="21"/>
      <c r="BT364" s="21"/>
      <c r="BU364" s="21"/>
      <c r="BV364" s="21"/>
      <c r="BW364" s="21"/>
      <c r="BX364" s="21"/>
      <c r="BY364" s="21"/>
      <c r="BZ364" s="21"/>
      <c r="CA364" s="21"/>
      <c r="CB364" s="21"/>
      <c r="CC364" s="21"/>
      <c r="CD364" s="21"/>
      <c r="CE364" s="21"/>
      <c r="CF364" s="21"/>
      <c r="CG364" s="21"/>
      <c r="CH364" s="21"/>
      <c r="CI364" s="21"/>
      <c r="CJ364" s="21"/>
      <c r="CK364" s="21"/>
      <c r="CL364" s="21"/>
      <c r="CM364" s="21"/>
      <c r="CN364" s="21"/>
      <c r="CO364" s="21"/>
      <c r="CP364" s="21"/>
      <c r="CQ364" s="21"/>
      <c r="CR364" s="21"/>
      <c r="CS364" s="21"/>
      <c r="CT364" s="21"/>
      <c r="CU364" s="21"/>
      <c r="CV364" s="21"/>
      <c r="CW364" s="21"/>
    </row>
    <row r="365" spans="1:101" x14ac:dyDescent="0.25">
      <c r="A365" s="22" t="s">
        <v>1373</v>
      </c>
      <c r="B365" s="10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c r="AA365" s="21"/>
      <c r="AB365" s="21"/>
      <c r="AC365" s="101"/>
      <c r="AD365" s="21"/>
      <c r="AE365" s="21"/>
      <c r="AF365" s="21"/>
      <c r="AG365" s="21"/>
      <c r="AH365" s="21"/>
      <c r="AI365" s="21"/>
      <c r="AJ365" s="21"/>
      <c r="AK365" s="101" t="s">
        <v>1330</v>
      </c>
      <c r="AL365" s="21"/>
      <c r="AM365" s="21"/>
      <c r="AN365" s="21"/>
      <c r="AO365" s="21"/>
      <c r="AP365" s="21"/>
      <c r="AQ365" s="21"/>
      <c r="AR365" s="21"/>
      <c r="AS365" s="21"/>
      <c r="AT365" s="21"/>
      <c r="AU365" s="21"/>
      <c r="AV365" s="21"/>
      <c r="AW365" s="21"/>
      <c r="AX365" s="21"/>
      <c r="AY365" s="21"/>
      <c r="AZ365" s="21"/>
      <c r="BA365" s="21"/>
      <c r="BB365" s="21"/>
      <c r="BC365" s="21"/>
      <c r="BD365" s="21"/>
      <c r="BE365" s="21"/>
      <c r="BF365" s="21"/>
      <c r="BG365" s="21"/>
      <c r="BH365" s="21"/>
      <c r="BI365" s="21"/>
      <c r="BJ365" s="21"/>
      <c r="BK365" s="21"/>
      <c r="BL365" s="21"/>
      <c r="BM365" s="21"/>
      <c r="BN365" s="21"/>
      <c r="BO365" s="21"/>
      <c r="BP365" s="21"/>
      <c r="BQ365" s="21"/>
      <c r="BR365" s="21"/>
      <c r="BS365" s="21"/>
      <c r="BT365" s="21"/>
      <c r="BU365" s="21"/>
      <c r="BV365" s="21"/>
      <c r="BW365" s="21"/>
      <c r="BX365" s="21"/>
      <c r="BY365" s="21"/>
      <c r="BZ365" s="21"/>
      <c r="CA365" s="21"/>
      <c r="CB365" s="21"/>
      <c r="CC365" s="21"/>
      <c r="CD365" s="21"/>
      <c r="CE365" s="21"/>
      <c r="CF365" s="21"/>
      <c r="CG365" s="21"/>
      <c r="CH365" s="21"/>
      <c r="CI365" s="21"/>
      <c r="CJ365" s="21"/>
      <c r="CK365" s="21"/>
      <c r="CL365" s="21"/>
      <c r="CM365" s="21"/>
      <c r="CN365" s="21"/>
      <c r="CO365" s="21"/>
      <c r="CP365" s="21"/>
      <c r="CQ365" s="21"/>
      <c r="CR365" s="21"/>
      <c r="CS365" s="21"/>
      <c r="CT365" s="21"/>
      <c r="CU365" s="21"/>
      <c r="CV365" s="21"/>
      <c r="CW365" s="21"/>
    </row>
    <row r="366" spans="1:101" x14ac:dyDescent="0.25">
      <c r="A366" s="22" t="s">
        <v>1372</v>
      </c>
      <c r="B366" s="10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c r="AA366" s="21"/>
      <c r="AB366" s="21"/>
      <c r="AC366" s="21"/>
      <c r="AD366" s="21"/>
      <c r="AE366" s="21"/>
      <c r="AF366" s="21"/>
      <c r="AG366" s="21"/>
      <c r="AH366" s="21"/>
      <c r="AI366" s="21"/>
      <c r="AJ366" s="21"/>
      <c r="AK366" s="21"/>
      <c r="AL366" s="101" t="s">
        <v>1330</v>
      </c>
      <c r="AM366" s="21"/>
      <c r="AN366" s="21"/>
      <c r="AO366" s="21"/>
      <c r="AP366" s="21"/>
      <c r="AQ366" s="21"/>
      <c r="AR366" s="21"/>
      <c r="AS366" s="21"/>
      <c r="AT366" s="21"/>
      <c r="AU366" s="21"/>
      <c r="AV366" s="21"/>
      <c r="AW366" s="21"/>
      <c r="AX366" s="21"/>
      <c r="AY366" s="21"/>
      <c r="AZ366" s="21"/>
      <c r="BA366" s="21"/>
      <c r="BB366" s="21"/>
      <c r="BC366" s="21"/>
      <c r="BD366" s="21"/>
      <c r="BE366" s="21"/>
      <c r="BF366" s="21"/>
      <c r="BG366" s="21"/>
      <c r="BH366" s="21"/>
      <c r="BI366" s="21"/>
      <c r="BJ366" s="21"/>
      <c r="BK366" s="21"/>
      <c r="BL366" s="21"/>
      <c r="BM366" s="21"/>
      <c r="BN366" s="21"/>
      <c r="BO366" s="21"/>
      <c r="BP366" s="21"/>
      <c r="BQ366" s="21"/>
      <c r="BR366" s="21"/>
      <c r="BS366" s="21"/>
      <c r="BT366" s="21"/>
      <c r="BU366" s="21"/>
      <c r="BV366" s="21"/>
      <c r="BW366" s="21"/>
      <c r="BX366" s="21"/>
      <c r="BY366" s="21"/>
      <c r="BZ366" s="21"/>
      <c r="CA366" s="21"/>
      <c r="CB366" s="21"/>
      <c r="CC366" s="21"/>
      <c r="CD366" s="21"/>
      <c r="CE366" s="21"/>
      <c r="CF366" s="21"/>
      <c r="CG366" s="21"/>
      <c r="CH366" s="21"/>
      <c r="CI366" s="21"/>
      <c r="CJ366" s="21"/>
      <c r="CK366" s="21"/>
      <c r="CL366" s="21"/>
      <c r="CM366" s="21"/>
      <c r="CN366" s="21"/>
      <c r="CO366" s="21"/>
      <c r="CP366" s="21"/>
      <c r="CQ366" s="21"/>
      <c r="CR366" s="21"/>
      <c r="CS366" s="21"/>
      <c r="CT366" s="21"/>
      <c r="CU366" s="21"/>
      <c r="CV366" s="21"/>
      <c r="CW366" s="21"/>
    </row>
    <row r="367" spans="1:101" x14ac:dyDescent="0.25">
      <c r="A367" s="22" t="s">
        <v>1374</v>
      </c>
      <c r="B367" s="10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c r="AA367" s="21"/>
      <c r="AB367" s="21"/>
      <c r="AC367" s="21"/>
      <c r="AD367" s="21"/>
      <c r="AE367" s="21"/>
      <c r="AF367" s="21"/>
      <c r="AG367" s="21"/>
      <c r="AH367" s="21"/>
      <c r="AI367" s="21"/>
      <c r="AJ367" s="21"/>
      <c r="AK367" s="21"/>
      <c r="AL367" s="101"/>
      <c r="AM367" s="101" t="s">
        <v>1330</v>
      </c>
      <c r="AN367" s="21"/>
      <c r="AO367" s="21"/>
      <c r="AP367" s="21"/>
      <c r="AQ367" s="21"/>
      <c r="AR367" s="21"/>
      <c r="AS367" s="21"/>
      <c r="AT367" s="21"/>
      <c r="AU367" s="21"/>
      <c r="AV367" s="21"/>
      <c r="AW367" s="21"/>
      <c r="AX367" s="21"/>
      <c r="AY367" s="21"/>
      <c r="AZ367" s="21"/>
      <c r="BA367" s="21"/>
      <c r="BB367" s="21"/>
      <c r="BC367" s="21"/>
      <c r="BD367" s="21"/>
      <c r="BE367" s="21"/>
      <c r="BF367" s="21"/>
      <c r="BG367" s="21"/>
      <c r="BH367" s="21"/>
      <c r="BI367" s="21"/>
      <c r="BJ367" s="21"/>
      <c r="BK367" s="21"/>
      <c r="BL367" s="21"/>
      <c r="BM367" s="21"/>
      <c r="BN367" s="21"/>
      <c r="BO367" s="21"/>
      <c r="BP367" s="21"/>
      <c r="BQ367" s="21"/>
      <c r="BR367" s="21"/>
      <c r="BS367" s="21"/>
      <c r="BT367" s="21"/>
      <c r="BU367" s="21"/>
      <c r="BV367" s="21"/>
      <c r="BW367" s="21"/>
      <c r="BX367" s="21"/>
      <c r="BY367" s="21"/>
      <c r="BZ367" s="21"/>
      <c r="CA367" s="21"/>
      <c r="CB367" s="21"/>
      <c r="CC367" s="21"/>
      <c r="CD367" s="21"/>
      <c r="CE367" s="21"/>
      <c r="CF367" s="21"/>
      <c r="CG367" s="21"/>
      <c r="CH367" s="21"/>
      <c r="CI367" s="21"/>
      <c r="CJ367" s="21"/>
      <c r="CK367" s="21"/>
      <c r="CL367" s="21"/>
      <c r="CM367" s="21"/>
      <c r="CN367" s="21"/>
      <c r="CO367" s="21"/>
      <c r="CP367" s="21"/>
      <c r="CQ367" s="21"/>
      <c r="CR367" s="21"/>
      <c r="CS367" s="21"/>
      <c r="CT367" s="21"/>
      <c r="CU367" s="21"/>
      <c r="CV367" s="21"/>
      <c r="CW367" s="21"/>
    </row>
    <row r="368" spans="1:101" x14ac:dyDescent="0.25">
      <c r="A368" s="22" t="s">
        <v>1375</v>
      </c>
      <c r="B368" s="10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c r="AA368" s="21"/>
      <c r="AB368" s="21"/>
      <c r="AC368" s="21"/>
      <c r="AD368" s="21"/>
      <c r="AE368" s="21"/>
      <c r="AF368" s="21"/>
      <c r="AG368" s="21"/>
      <c r="AH368" s="21"/>
      <c r="AI368" s="21"/>
      <c r="AJ368" s="21"/>
      <c r="AK368" s="21"/>
      <c r="AL368" s="101"/>
      <c r="AM368" s="21"/>
      <c r="AN368" s="101" t="s">
        <v>1330</v>
      </c>
      <c r="AO368" s="21"/>
      <c r="AP368" s="21"/>
      <c r="AQ368" s="21"/>
      <c r="AR368" s="21"/>
      <c r="AS368" s="21"/>
      <c r="AT368" s="21"/>
      <c r="AU368" s="21"/>
      <c r="AV368" s="21"/>
      <c r="AW368" s="21"/>
      <c r="AX368" s="21"/>
      <c r="AY368" s="21"/>
      <c r="AZ368" s="21"/>
      <c r="BA368" s="21"/>
      <c r="BB368" s="21"/>
      <c r="BC368" s="21"/>
      <c r="BD368" s="21"/>
      <c r="BE368" s="21"/>
      <c r="BF368" s="21"/>
      <c r="BG368" s="21"/>
      <c r="BH368" s="21"/>
      <c r="BI368" s="21"/>
      <c r="BJ368" s="21"/>
      <c r="BK368" s="21"/>
      <c r="BL368" s="21"/>
      <c r="BM368" s="21"/>
      <c r="BN368" s="21"/>
      <c r="BO368" s="21"/>
      <c r="BP368" s="21"/>
      <c r="BQ368" s="21"/>
      <c r="BR368" s="21"/>
      <c r="BS368" s="21"/>
      <c r="BT368" s="21"/>
      <c r="BU368" s="21"/>
      <c r="BV368" s="21"/>
      <c r="BW368" s="21"/>
      <c r="BX368" s="21"/>
      <c r="BY368" s="21"/>
      <c r="BZ368" s="21"/>
      <c r="CA368" s="21"/>
      <c r="CB368" s="21"/>
      <c r="CC368" s="21"/>
      <c r="CD368" s="21"/>
      <c r="CE368" s="21"/>
      <c r="CF368" s="21"/>
      <c r="CG368" s="21"/>
      <c r="CH368" s="21"/>
      <c r="CI368" s="21"/>
      <c r="CJ368" s="21"/>
      <c r="CK368" s="21"/>
      <c r="CL368" s="21"/>
      <c r="CM368" s="21"/>
      <c r="CN368" s="21"/>
      <c r="CO368" s="21"/>
      <c r="CP368" s="21"/>
      <c r="CQ368" s="21"/>
      <c r="CR368" s="21"/>
      <c r="CS368" s="21"/>
      <c r="CT368" s="21"/>
      <c r="CU368" s="21"/>
      <c r="CV368" s="21"/>
      <c r="CW368" s="21"/>
    </row>
    <row r="369" spans="1:101" x14ac:dyDescent="0.25">
      <c r="A369" s="22" t="s">
        <v>1376</v>
      </c>
      <c r="B369" s="10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c r="AA369" s="21"/>
      <c r="AB369" s="21"/>
      <c r="AC369" s="21"/>
      <c r="AD369" s="21"/>
      <c r="AE369" s="21"/>
      <c r="AF369" s="21"/>
      <c r="AG369" s="21"/>
      <c r="AH369" s="21"/>
      <c r="AI369" s="21"/>
      <c r="AJ369" s="21"/>
      <c r="AK369" s="21"/>
      <c r="AL369" s="101"/>
      <c r="AM369" s="21"/>
      <c r="AN369" s="21"/>
      <c r="AO369" s="101" t="s">
        <v>1330</v>
      </c>
      <c r="AP369" s="21"/>
      <c r="AQ369" s="21"/>
      <c r="AR369" s="21"/>
      <c r="AS369" s="21"/>
      <c r="AT369" s="21"/>
      <c r="AU369" s="21"/>
      <c r="AV369" s="21"/>
      <c r="AW369" s="21"/>
      <c r="AX369" s="21"/>
      <c r="AY369" s="21"/>
      <c r="AZ369" s="21"/>
      <c r="BA369" s="21"/>
      <c r="BB369" s="21"/>
      <c r="BC369" s="21"/>
      <c r="BD369" s="21"/>
      <c r="BE369" s="21"/>
      <c r="BF369" s="21"/>
      <c r="BG369" s="21"/>
      <c r="BH369" s="21"/>
      <c r="BI369" s="21"/>
      <c r="BJ369" s="21"/>
      <c r="BK369" s="21"/>
      <c r="BL369" s="21"/>
      <c r="BM369" s="21"/>
      <c r="BN369" s="21"/>
      <c r="BO369" s="21"/>
      <c r="BP369" s="21"/>
      <c r="BQ369" s="21"/>
      <c r="BR369" s="21"/>
      <c r="BS369" s="21"/>
      <c r="BT369" s="21"/>
      <c r="BU369" s="21"/>
      <c r="BV369" s="21"/>
      <c r="BW369" s="21"/>
      <c r="BX369" s="21"/>
      <c r="BY369" s="21"/>
      <c r="BZ369" s="21"/>
      <c r="CA369" s="21"/>
      <c r="CB369" s="21"/>
      <c r="CC369" s="21"/>
      <c r="CD369" s="21"/>
      <c r="CE369" s="21"/>
      <c r="CF369" s="21"/>
      <c r="CG369" s="21"/>
      <c r="CH369" s="21"/>
      <c r="CI369" s="21"/>
      <c r="CJ369" s="21"/>
      <c r="CK369" s="21"/>
      <c r="CL369" s="21"/>
      <c r="CM369" s="21"/>
      <c r="CN369" s="21"/>
      <c r="CO369" s="21"/>
      <c r="CP369" s="21"/>
      <c r="CQ369" s="21"/>
      <c r="CR369" s="21"/>
      <c r="CS369" s="21"/>
      <c r="CT369" s="21"/>
      <c r="CU369" s="21"/>
      <c r="CV369" s="21"/>
      <c r="CW369" s="21"/>
    </row>
    <row r="370" spans="1:101" x14ac:dyDescent="0.25">
      <c r="A370" s="22" t="s">
        <v>1333</v>
      </c>
      <c r="B370" s="10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c r="AA370" s="21"/>
      <c r="AB370" s="21"/>
      <c r="AC370" s="21"/>
      <c r="AD370" s="21"/>
      <c r="AE370" s="21"/>
      <c r="AF370" s="21"/>
      <c r="AG370" s="21"/>
      <c r="AH370" s="21"/>
      <c r="AI370" s="21"/>
      <c r="AJ370" s="21"/>
      <c r="AK370" s="21"/>
      <c r="AL370" s="101"/>
      <c r="AM370" s="21"/>
      <c r="AN370" s="21"/>
      <c r="AO370" s="21"/>
      <c r="AP370" s="101" t="s">
        <v>1330</v>
      </c>
      <c r="AQ370" s="21"/>
      <c r="AR370" s="21"/>
      <c r="AS370" s="21"/>
      <c r="AT370" s="21"/>
      <c r="AU370" s="21"/>
      <c r="AV370" s="21"/>
      <c r="AW370" s="21"/>
      <c r="AX370" s="21"/>
      <c r="AY370" s="21"/>
      <c r="AZ370" s="21"/>
      <c r="BA370" s="21"/>
      <c r="BB370" s="21"/>
      <c r="BC370" s="21"/>
      <c r="BD370" s="21"/>
      <c r="BE370" s="21"/>
      <c r="BF370" s="21"/>
      <c r="BG370" s="21"/>
      <c r="BH370" s="21"/>
      <c r="BI370" s="21"/>
      <c r="BJ370" s="21"/>
      <c r="BK370" s="21"/>
      <c r="BL370" s="21"/>
      <c r="BM370" s="21"/>
      <c r="BN370" s="21"/>
      <c r="BO370" s="21"/>
      <c r="BP370" s="21"/>
      <c r="BQ370" s="21"/>
      <c r="BR370" s="21"/>
      <c r="BS370" s="21"/>
      <c r="BT370" s="21"/>
      <c r="BU370" s="21"/>
      <c r="BV370" s="21"/>
      <c r="BW370" s="21"/>
      <c r="BX370" s="21"/>
      <c r="BY370" s="21"/>
      <c r="BZ370" s="21"/>
      <c r="CA370" s="21"/>
      <c r="CB370" s="21"/>
      <c r="CC370" s="21"/>
      <c r="CD370" s="21"/>
      <c r="CE370" s="21"/>
      <c r="CF370" s="21"/>
      <c r="CG370" s="21"/>
      <c r="CH370" s="21"/>
      <c r="CI370" s="21"/>
      <c r="CJ370" s="21"/>
      <c r="CK370" s="21"/>
      <c r="CL370" s="21"/>
      <c r="CM370" s="21"/>
      <c r="CN370" s="21"/>
      <c r="CO370" s="21"/>
      <c r="CP370" s="21"/>
      <c r="CQ370" s="21"/>
      <c r="CR370" s="21"/>
      <c r="CS370" s="21"/>
      <c r="CT370" s="21"/>
      <c r="CU370" s="21"/>
      <c r="CV370" s="21"/>
      <c r="CW370" s="21"/>
    </row>
    <row r="371" spans="1:101" x14ac:dyDescent="0.25">
      <c r="A371" s="22" t="s">
        <v>1377</v>
      </c>
      <c r="B371" s="10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c r="AA371" s="21"/>
      <c r="AB371" s="21"/>
      <c r="AC371" s="21"/>
      <c r="AD371" s="21"/>
      <c r="AE371" s="21"/>
      <c r="AF371" s="21"/>
      <c r="AG371" s="21"/>
      <c r="AH371" s="21"/>
      <c r="AI371" s="21"/>
      <c r="AJ371" s="21"/>
      <c r="AK371" s="21"/>
      <c r="AL371" s="101"/>
      <c r="AM371" s="21"/>
      <c r="AN371" s="21"/>
      <c r="AO371" s="21"/>
      <c r="AP371" s="21"/>
      <c r="AQ371" s="101" t="s">
        <v>1330</v>
      </c>
      <c r="AR371" s="21"/>
      <c r="AS371" s="21"/>
      <c r="AT371" s="21"/>
      <c r="AU371" s="21"/>
      <c r="AV371" s="21"/>
      <c r="AW371" s="21"/>
      <c r="AX371" s="21"/>
      <c r="AY371" s="21"/>
      <c r="AZ371" s="21"/>
      <c r="BA371" s="21"/>
      <c r="BB371" s="21"/>
      <c r="BC371" s="21"/>
      <c r="BD371" s="21"/>
      <c r="BE371" s="21"/>
      <c r="BF371" s="21"/>
      <c r="BG371" s="21"/>
      <c r="BH371" s="21"/>
      <c r="BI371" s="21"/>
      <c r="BJ371" s="21"/>
      <c r="BK371" s="21"/>
      <c r="BL371" s="21"/>
      <c r="BM371" s="21"/>
      <c r="BN371" s="21"/>
      <c r="BO371" s="21"/>
      <c r="BP371" s="21"/>
      <c r="BQ371" s="21"/>
      <c r="BR371" s="21"/>
      <c r="BS371" s="21"/>
      <c r="BT371" s="21"/>
      <c r="BU371" s="21"/>
      <c r="BV371" s="21"/>
      <c r="BW371" s="21"/>
      <c r="BX371" s="21"/>
      <c r="BY371" s="21"/>
      <c r="BZ371" s="21"/>
      <c r="CA371" s="21"/>
      <c r="CB371" s="21"/>
      <c r="CC371" s="21"/>
      <c r="CD371" s="21"/>
      <c r="CE371" s="21"/>
      <c r="CF371" s="21"/>
      <c r="CG371" s="21"/>
      <c r="CH371" s="21"/>
      <c r="CI371" s="21"/>
      <c r="CJ371" s="21"/>
      <c r="CK371" s="21"/>
      <c r="CL371" s="21"/>
      <c r="CM371" s="21"/>
      <c r="CN371" s="21"/>
      <c r="CO371" s="21"/>
      <c r="CP371" s="21"/>
      <c r="CQ371" s="21"/>
      <c r="CR371" s="21"/>
      <c r="CS371" s="21"/>
      <c r="CT371" s="21"/>
      <c r="CU371" s="21"/>
      <c r="CV371" s="21"/>
      <c r="CW371" s="21"/>
    </row>
    <row r="372" spans="1:101" x14ac:dyDescent="0.25">
      <c r="A372" s="22" t="s">
        <v>1378</v>
      </c>
      <c r="B372" s="10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c r="AA372" s="21"/>
      <c r="AB372" s="21"/>
      <c r="AC372" s="21"/>
      <c r="AD372" s="21"/>
      <c r="AE372" s="21"/>
      <c r="AF372" s="21"/>
      <c r="AG372" s="21"/>
      <c r="AH372" s="21"/>
      <c r="AI372" s="21"/>
      <c r="AJ372" s="21"/>
      <c r="AK372" s="21"/>
      <c r="AL372" s="101"/>
      <c r="AM372" s="21"/>
      <c r="AN372" s="21"/>
      <c r="AO372" s="21"/>
      <c r="AP372" s="21"/>
      <c r="AQ372" s="21"/>
      <c r="AR372" s="101" t="s">
        <v>1330</v>
      </c>
      <c r="AS372" s="21"/>
      <c r="AT372" s="21"/>
      <c r="AU372" s="21"/>
      <c r="AV372" s="21"/>
      <c r="AW372" s="21"/>
      <c r="AX372" s="21"/>
      <c r="AY372" s="21"/>
      <c r="AZ372" s="21"/>
      <c r="BA372" s="21"/>
      <c r="BB372" s="21"/>
      <c r="BC372" s="21"/>
      <c r="BD372" s="21"/>
      <c r="BE372" s="21"/>
      <c r="BF372" s="21"/>
      <c r="BG372" s="21"/>
      <c r="BH372" s="21"/>
      <c r="BI372" s="21"/>
      <c r="BJ372" s="21"/>
      <c r="BK372" s="21"/>
      <c r="BL372" s="21"/>
      <c r="BM372" s="21"/>
      <c r="BN372" s="21"/>
      <c r="BO372" s="21"/>
      <c r="BP372" s="21"/>
      <c r="BQ372" s="21"/>
      <c r="BR372" s="21"/>
      <c r="BS372" s="21"/>
      <c r="BT372" s="21"/>
      <c r="BU372" s="21"/>
      <c r="BV372" s="21"/>
      <c r="BW372" s="21"/>
      <c r="BX372" s="21"/>
      <c r="BY372" s="21"/>
      <c r="BZ372" s="21"/>
      <c r="CA372" s="21"/>
      <c r="CB372" s="21"/>
      <c r="CC372" s="21"/>
      <c r="CD372" s="21"/>
      <c r="CE372" s="21"/>
      <c r="CF372" s="21"/>
      <c r="CG372" s="21"/>
      <c r="CH372" s="21"/>
      <c r="CI372" s="21"/>
      <c r="CJ372" s="21"/>
      <c r="CK372" s="21"/>
      <c r="CL372" s="21"/>
      <c r="CM372" s="21"/>
      <c r="CN372" s="21"/>
      <c r="CO372" s="21"/>
      <c r="CP372" s="21"/>
      <c r="CQ372" s="21"/>
      <c r="CR372" s="21"/>
      <c r="CS372" s="21"/>
      <c r="CT372" s="21"/>
      <c r="CU372" s="21"/>
      <c r="CV372" s="21"/>
      <c r="CW372" s="21"/>
    </row>
    <row r="373" spans="1:101" x14ac:dyDescent="0.25">
      <c r="A373" s="22" t="s">
        <v>1379</v>
      </c>
      <c r="B373" s="10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c r="AA373" s="21"/>
      <c r="AB373" s="21"/>
      <c r="AC373" s="21"/>
      <c r="AD373" s="21"/>
      <c r="AE373" s="21"/>
      <c r="AF373" s="21"/>
      <c r="AG373" s="21"/>
      <c r="AH373" s="21"/>
      <c r="AI373" s="21"/>
      <c r="AJ373" s="21"/>
      <c r="AK373" s="21"/>
      <c r="AL373" s="101"/>
      <c r="AM373" s="21"/>
      <c r="AN373" s="21"/>
      <c r="AO373" s="21"/>
      <c r="AP373" s="21"/>
      <c r="AQ373" s="21"/>
      <c r="AR373" s="21"/>
      <c r="AS373" s="101" t="s">
        <v>1330</v>
      </c>
      <c r="AT373" s="21"/>
      <c r="AU373" s="21"/>
      <c r="AV373" s="21"/>
      <c r="AW373" s="21"/>
      <c r="AX373" s="21"/>
      <c r="AY373" s="21"/>
      <c r="AZ373" s="21"/>
      <c r="BA373" s="21"/>
      <c r="BB373" s="21"/>
      <c r="BC373" s="21"/>
      <c r="BD373" s="21"/>
      <c r="BE373" s="21"/>
      <c r="BF373" s="21"/>
      <c r="BG373" s="21"/>
      <c r="BH373" s="21"/>
      <c r="BI373" s="21"/>
      <c r="BJ373" s="21"/>
      <c r="BK373" s="21"/>
      <c r="BL373" s="21"/>
      <c r="BM373" s="21"/>
      <c r="BN373" s="21"/>
      <c r="BO373" s="21"/>
      <c r="BP373" s="21"/>
      <c r="BQ373" s="21"/>
      <c r="BR373" s="21"/>
      <c r="BS373" s="21"/>
      <c r="BT373" s="21"/>
      <c r="BU373" s="21"/>
      <c r="BV373" s="21"/>
      <c r="BW373" s="21"/>
      <c r="BX373" s="21"/>
      <c r="BY373" s="21"/>
      <c r="BZ373" s="21"/>
      <c r="CA373" s="21"/>
      <c r="CB373" s="21"/>
      <c r="CC373" s="21"/>
      <c r="CD373" s="21"/>
      <c r="CE373" s="21"/>
      <c r="CF373" s="21"/>
      <c r="CG373" s="21"/>
      <c r="CH373" s="21"/>
      <c r="CI373" s="21"/>
      <c r="CJ373" s="21"/>
      <c r="CK373" s="21"/>
      <c r="CL373" s="21"/>
      <c r="CM373" s="21"/>
      <c r="CN373" s="21"/>
      <c r="CO373" s="21"/>
      <c r="CP373" s="21"/>
      <c r="CQ373" s="21"/>
      <c r="CR373" s="21"/>
      <c r="CS373" s="21"/>
      <c r="CT373" s="21"/>
      <c r="CU373" s="21"/>
      <c r="CV373" s="21"/>
      <c r="CW373" s="21"/>
    </row>
    <row r="374" spans="1:101" x14ac:dyDescent="0.25">
      <c r="A374" s="22" t="s">
        <v>1380</v>
      </c>
      <c r="B374" s="10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c r="AA374" s="21"/>
      <c r="AB374" s="21"/>
      <c r="AC374" s="21"/>
      <c r="AD374" s="21"/>
      <c r="AE374" s="21"/>
      <c r="AF374" s="21"/>
      <c r="AG374" s="21"/>
      <c r="AH374" s="21"/>
      <c r="AI374" s="21"/>
      <c r="AJ374" s="21"/>
      <c r="AK374" s="21"/>
      <c r="AL374" s="101"/>
      <c r="AM374" s="21"/>
      <c r="AN374" s="21"/>
      <c r="AO374" s="21"/>
      <c r="AP374" s="21"/>
      <c r="AQ374" s="21"/>
      <c r="AR374" s="21"/>
      <c r="AS374" s="21"/>
      <c r="AT374" s="101" t="s">
        <v>1330</v>
      </c>
      <c r="AU374" s="21"/>
      <c r="AV374" s="21"/>
      <c r="AW374" s="21"/>
      <c r="AX374" s="21"/>
      <c r="AY374" s="21"/>
      <c r="AZ374" s="21"/>
      <c r="BA374" s="21"/>
      <c r="BB374" s="21"/>
      <c r="BC374" s="21"/>
      <c r="BD374" s="21"/>
      <c r="BE374" s="21"/>
      <c r="BF374" s="21"/>
      <c r="BG374" s="21"/>
      <c r="BH374" s="21"/>
      <c r="BI374" s="21"/>
      <c r="BJ374" s="21"/>
      <c r="BK374" s="21"/>
      <c r="BL374" s="21"/>
      <c r="BM374" s="21"/>
      <c r="BN374" s="21"/>
      <c r="BO374" s="21"/>
      <c r="BP374" s="21"/>
      <c r="BQ374" s="21"/>
      <c r="BR374" s="21"/>
      <c r="BS374" s="21"/>
      <c r="BT374" s="21"/>
      <c r="BU374" s="21"/>
      <c r="BV374" s="21"/>
      <c r="BW374" s="21"/>
      <c r="BX374" s="21"/>
      <c r="BY374" s="21"/>
      <c r="BZ374" s="21"/>
      <c r="CA374" s="21"/>
      <c r="CB374" s="21"/>
      <c r="CC374" s="21"/>
      <c r="CD374" s="21"/>
      <c r="CE374" s="21"/>
      <c r="CF374" s="21"/>
      <c r="CG374" s="21"/>
      <c r="CH374" s="21"/>
      <c r="CI374" s="21"/>
      <c r="CJ374" s="21"/>
      <c r="CK374" s="21"/>
      <c r="CL374" s="21"/>
      <c r="CM374" s="21"/>
      <c r="CN374" s="21"/>
      <c r="CO374" s="21"/>
      <c r="CP374" s="21"/>
      <c r="CQ374" s="21"/>
      <c r="CR374" s="21"/>
      <c r="CS374" s="21"/>
      <c r="CT374" s="21"/>
      <c r="CU374" s="21"/>
      <c r="CV374" s="21"/>
      <c r="CW374" s="21"/>
    </row>
    <row r="375" spans="1:101" x14ac:dyDescent="0.25">
      <c r="A375" s="22" t="s">
        <v>1381</v>
      </c>
      <c r="B375" s="10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c r="AA375" s="21"/>
      <c r="AB375" s="21"/>
      <c r="AC375" s="21"/>
      <c r="AD375" s="21"/>
      <c r="AE375" s="21"/>
      <c r="AF375" s="21"/>
      <c r="AG375" s="21"/>
      <c r="AH375" s="21"/>
      <c r="AI375" s="21"/>
      <c r="AJ375" s="21"/>
      <c r="AK375" s="21"/>
      <c r="AL375" s="21"/>
      <c r="AM375" s="21"/>
      <c r="AN375" s="21"/>
      <c r="AO375" s="21"/>
      <c r="AP375" s="21"/>
      <c r="AQ375" s="21"/>
      <c r="AR375" s="21"/>
      <c r="AS375" s="21"/>
      <c r="AT375" s="21"/>
      <c r="AU375" s="101" t="s">
        <v>1330</v>
      </c>
      <c r="AV375" s="21"/>
      <c r="AW375" s="21"/>
      <c r="AX375" s="21"/>
      <c r="AY375" s="21"/>
      <c r="AZ375" s="21"/>
      <c r="BA375" s="21"/>
      <c r="BB375" s="21"/>
      <c r="BC375" s="21"/>
      <c r="BD375" s="21"/>
      <c r="BE375" s="21"/>
      <c r="BF375" s="21"/>
      <c r="BG375" s="21"/>
      <c r="BH375" s="21"/>
      <c r="BI375" s="21"/>
      <c r="BJ375" s="21"/>
      <c r="BK375" s="21"/>
      <c r="BL375" s="21"/>
      <c r="BM375" s="21"/>
      <c r="BN375" s="21"/>
      <c r="BO375" s="21"/>
      <c r="BP375" s="21"/>
      <c r="BQ375" s="21"/>
      <c r="BR375" s="21"/>
      <c r="BS375" s="21"/>
      <c r="BT375" s="21"/>
      <c r="BU375" s="21"/>
      <c r="BV375" s="21"/>
      <c r="BW375" s="21"/>
      <c r="BX375" s="21"/>
      <c r="BY375" s="21"/>
      <c r="BZ375" s="21"/>
      <c r="CA375" s="21"/>
      <c r="CB375" s="21"/>
      <c r="CC375" s="21"/>
      <c r="CD375" s="21"/>
      <c r="CE375" s="21"/>
      <c r="CF375" s="21"/>
      <c r="CG375" s="21"/>
      <c r="CH375" s="21"/>
      <c r="CI375" s="21"/>
      <c r="CJ375" s="21"/>
      <c r="CK375" s="21"/>
      <c r="CL375" s="21"/>
      <c r="CM375" s="21"/>
      <c r="CN375" s="21"/>
      <c r="CO375" s="21"/>
      <c r="CP375" s="21"/>
      <c r="CQ375" s="21"/>
      <c r="CR375" s="21"/>
      <c r="CS375" s="21"/>
      <c r="CT375" s="21"/>
      <c r="CU375" s="21"/>
      <c r="CV375" s="21"/>
      <c r="CW375" s="21"/>
    </row>
    <row r="376" spans="1:101" x14ac:dyDescent="0.25">
      <c r="A376" s="22" t="s">
        <v>1383</v>
      </c>
      <c r="B376" s="10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c r="AA376" s="21"/>
      <c r="AB376" s="21"/>
      <c r="AC376" s="21"/>
      <c r="AD376" s="21"/>
      <c r="AE376" s="21"/>
      <c r="AF376" s="21"/>
      <c r="AG376" s="21"/>
      <c r="AH376" s="21"/>
      <c r="AI376" s="21"/>
      <c r="AJ376" s="21"/>
      <c r="AK376" s="21"/>
      <c r="AL376" s="21"/>
      <c r="AM376" s="21"/>
      <c r="AN376" s="21"/>
      <c r="AO376" s="21"/>
      <c r="AP376" s="21"/>
      <c r="AQ376" s="21"/>
      <c r="AR376" s="21"/>
      <c r="AS376" s="21"/>
      <c r="AT376" s="21"/>
      <c r="AU376" s="101"/>
      <c r="AV376" s="101" t="s">
        <v>1330</v>
      </c>
      <c r="AW376" s="21"/>
      <c r="AX376" s="21"/>
      <c r="AY376" s="21"/>
      <c r="AZ376" s="21"/>
      <c r="BA376" s="21"/>
      <c r="BB376" s="21"/>
      <c r="BC376" s="21"/>
      <c r="BD376" s="21"/>
      <c r="BE376" s="21"/>
      <c r="BF376" s="21"/>
      <c r="BG376" s="21"/>
      <c r="BH376" s="21"/>
      <c r="BI376" s="21"/>
      <c r="BJ376" s="21"/>
      <c r="BK376" s="21"/>
      <c r="BL376" s="21"/>
      <c r="BM376" s="21"/>
      <c r="BN376" s="21"/>
      <c r="BO376" s="21"/>
      <c r="BP376" s="21"/>
      <c r="BQ376" s="21"/>
      <c r="BR376" s="21"/>
      <c r="BS376" s="21"/>
      <c r="BT376" s="21"/>
      <c r="BU376" s="21"/>
      <c r="BV376" s="21"/>
      <c r="BW376" s="21"/>
      <c r="BX376" s="21"/>
      <c r="BY376" s="21"/>
      <c r="BZ376" s="21"/>
      <c r="CA376" s="21"/>
      <c r="CB376" s="21"/>
      <c r="CC376" s="21"/>
      <c r="CD376" s="21"/>
      <c r="CE376" s="21"/>
      <c r="CF376" s="21"/>
      <c r="CG376" s="21"/>
      <c r="CH376" s="21"/>
      <c r="CI376" s="21"/>
      <c r="CJ376" s="21"/>
      <c r="CK376" s="21"/>
      <c r="CL376" s="21"/>
      <c r="CM376" s="21"/>
      <c r="CN376" s="21"/>
      <c r="CO376" s="21"/>
      <c r="CP376" s="21"/>
      <c r="CQ376" s="21"/>
      <c r="CR376" s="21"/>
      <c r="CS376" s="21"/>
      <c r="CT376" s="21"/>
      <c r="CU376" s="21"/>
      <c r="CV376" s="21"/>
      <c r="CW376" s="21"/>
    </row>
    <row r="377" spans="1:101" x14ac:dyDescent="0.25">
      <c r="A377" s="22" t="s">
        <v>1382</v>
      </c>
      <c r="B377" s="10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c r="AA377" s="21"/>
      <c r="AB377" s="21"/>
      <c r="AC377" s="21"/>
      <c r="AD377" s="21"/>
      <c r="AE377" s="21"/>
      <c r="AF377" s="21"/>
      <c r="AG377" s="21"/>
      <c r="AH377" s="21"/>
      <c r="AI377" s="21"/>
      <c r="AJ377" s="21"/>
      <c r="AK377" s="21"/>
      <c r="AL377" s="21"/>
      <c r="AM377" s="21"/>
      <c r="AN377" s="21"/>
      <c r="AO377" s="21"/>
      <c r="AP377" s="21"/>
      <c r="AQ377" s="21"/>
      <c r="AR377" s="21"/>
      <c r="AS377" s="21"/>
      <c r="AT377" s="21"/>
      <c r="AU377" s="101"/>
      <c r="AV377" s="21"/>
      <c r="AW377" s="101" t="s">
        <v>1330</v>
      </c>
      <c r="AX377" s="21"/>
      <c r="AY377" s="21"/>
      <c r="AZ377" s="21"/>
      <c r="BA377" s="21"/>
      <c r="BB377" s="21"/>
      <c r="BC377" s="21"/>
      <c r="BD377" s="21"/>
      <c r="BE377" s="21"/>
      <c r="BF377" s="21"/>
      <c r="BG377" s="21"/>
      <c r="BH377" s="21"/>
      <c r="BI377" s="21"/>
      <c r="BJ377" s="21"/>
      <c r="BK377" s="21"/>
      <c r="BL377" s="21"/>
      <c r="BM377" s="21"/>
      <c r="BN377" s="21"/>
      <c r="BO377" s="21"/>
      <c r="BP377" s="21"/>
      <c r="BQ377" s="21"/>
      <c r="BR377" s="21"/>
      <c r="BS377" s="21"/>
      <c r="BT377" s="21"/>
      <c r="BU377" s="21"/>
      <c r="BV377" s="21"/>
      <c r="BW377" s="21"/>
      <c r="BX377" s="21"/>
      <c r="BY377" s="21"/>
      <c r="BZ377" s="21"/>
      <c r="CA377" s="21"/>
      <c r="CB377" s="21"/>
      <c r="CC377" s="21"/>
      <c r="CD377" s="21"/>
      <c r="CE377" s="21"/>
      <c r="CF377" s="21"/>
      <c r="CG377" s="21"/>
      <c r="CH377" s="21"/>
      <c r="CI377" s="21"/>
      <c r="CJ377" s="21"/>
      <c r="CK377" s="21"/>
      <c r="CL377" s="21"/>
      <c r="CM377" s="21"/>
      <c r="CN377" s="21"/>
      <c r="CO377" s="21"/>
      <c r="CP377" s="21"/>
      <c r="CQ377" s="21"/>
      <c r="CR377" s="21"/>
      <c r="CS377" s="21"/>
      <c r="CT377" s="21"/>
      <c r="CU377" s="21"/>
      <c r="CV377" s="21"/>
      <c r="CW377" s="21"/>
    </row>
    <row r="378" spans="1:101" x14ac:dyDescent="0.25">
      <c r="A378" s="22" t="s">
        <v>1385</v>
      </c>
      <c r="B378" s="10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c r="AA378" s="21"/>
      <c r="AB378" s="21"/>
      <c r="AC378" s="21"/>
      <c r="AD378" s="21"/>
      <c r="AE378" s="21"/>
      <c r="AF378" s="21"/>
      <c r="AG378" s="21"/>
      <c r="AH378" s="21"/>
      <c r="AI378" s="21"/>
      <c r="AJ378" s="21"/>
      <c r="AK378" s="21"/>
      <c r="AL378" s="21"/>
      <c r="AM378" s="21"/>
      <c r="AN378" s="21"/>
      <c r="AO378" s="21"/>
      <c r="AP378" s="21"/>
      <c r="AQ378" s="21"/>
      <c r="AR378" s="21"/>
      <c r="AS378" s="21"/>
      <c r="AT378" s="21"/>
      <c r="AU378" s="101"/>
      <c r="AV378" s="21"/>
      <c r="AW378" s="21"/>
      <c r="AX378" s="101" t="s">
        <v>1330</v>
      </c>
      <c r="AY378" s="21"/>
      <c r="AZ378" s="21"/>
      <c r="BA378" s="21"/>
      <c r="BB378" s="21"/>
      <c r="BC378" s="21"/>
      <c r="BD378" s="21"/>
      <c r="BE378" s="21"/>
      <c r="BF378" s="21"/>
      <c r="BG378" s="21"/>
      <c r="BH378" s="21"/>
      <c r="BI378" s="21"/>
      <c r="BJ378" s="21"/>
      <c r="BK378" s="21"/>
      <c r="BL378" s="21"/>
      <c r="BM378" s="21"/>
      <c r="BN378" s="21"/>
      <c r="BO378" s="21"/>
      <c r="BP378" s="21"/>
      <c r="BQ378" s="21"/>
      <c r="BR378" s="21"/>
      <c r="BS378" s="21"/>
      <c r="BT378" s="21"/>
      <c r="BU378" s="21"/>
      <c r="BV378" s="21"/>
      <c r="BW378" s="21"/>
      <c r="BX378" s="21"/>
      <c r="BY378" s="21"/>
      <c r="BZ378" s="21"/>
      <c r="CA378" s="21"/>
      <c r="CB378" s="21"/>
      <c r="CC378" s="21"/>
      <c r="CD378" s="21"/>
      <c r="CE378" s="21"/>
      <c r="CF378" s="21"/>
      <c r="CG378" s="21"/>
      <c r="CH378" s="21"/>
      <c r="CI378" s="21"/>
      <c r="CJ378" s="21"/>
      <c r="CK378" s="21"/>
      <c r="CL378" s="21"/>
      <c r="CM378" s="21"/>
      <c r="CN378" s="21"/>
      <c r="CO378" s="21"/>
      <c r="CP378" s="21"/>
      <c r="CQ378" s="21"/>
      <c r="CR378" s="21"/>
      <c r="CS378" s="21"/>
      <c r="CT378" s="21"/>
      <c r="CU378" s="21"/>
      <c r="CV378" s="21"/>
      <c r="CW378" s="21"/>
    </row>
    <row r="379" spans="1:101" x14ac:dyDescent="0.25">
      <c r="A379" s="22" t="s">
        <v>1384</v>
      </c>
      <c r="B379" s="10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c r="AA379" s="21"/>
      <c r="AB379" s="21"/>
      <c r="AC379" s="21"/>
      <c r="AD379" s="21"/>
      <c r="AE379" s="21"/>
      <c r="AF379" s="21"/>
      <c r="AG379" s="21"/>
      <c r="AH379" s="21"/>
      <c r="AI379" s="21"/>
      <c r="AJ379" s="21"/>
      <c r="AK379" s="21"/>
      <c r="AL379" s="21"/>
      <c r="AM379" s="21"/>
      <c r="AN379" s="21"/>
      <c r="AO379" s="21"/>
      <c r="AP379" s="21"/>
      <c r="AQ379" s="21"/>
      <c r="AR379" s="21"/>
      <c r="AS379" s="21"/>
      <c r="AT379" s="21"/>
      <c r="AU379" s="101"/>
      <c r="AV379" s="21"/>
      <c r="AW379" s="21"/>
      <c r="AX379" s="21"/>
      <c r="AY379" s="101" t="s">
        <v>1330</v>
      </c>
      <c r="AZ379" s="21"/>
      <c r="BA379" s="21"/>
      <c r="BB379" s="21"/>
      <c r="BC379" s="21"/>
      <c r="BD379" s="21"/>
      <c r="BE379" s="21"/>
      <c r="BF379" s="21"/>
      <c r="BG379" s="21"/>
      <c r="BH379" s="21"/>
      <c r="BI379" s="21"/>
      <c r="BJ379" s="21"/>
      <c r="BK379" s="21"/>
      <c r="BL379" s="21"/>
      <c r="BM379" s="21"/>
      <c r="BN379" s="21"/>
      <c r="BO379" s="21"/>
      <c r="BP379" s="21"/>
      <c r="BQ379" s="21"/>
      <c r="BR379" s="21"/>
      <c r="BS379" s="21"/>
      <c r="BT379" s="21"/>
      <c r="BU379" s="21"/>
      <c r="BV379" s="21"/>
      <c r="BW379" s="21"/>
      <c r="BX379" s="21"/>
      <c r="BY379" s="21"/>
      <c r="BZ379" s="21"/>
      <c r="CA379" s="21"/>
      <c r="CB379" s="21"/>
      <c r="CC379" s="21"/>
      <c r="CD379" s="21"/>
      <c r="CE379" s="21"/>
      <c r="CF379" s="21"/>
      <c r="CG379" s="21"/>
      <c r="CH379" s="21"/>
      <c r="CI379" s="21"/>
      <c r="CJ379" s="21"/>
      <c r="CK379" s="21"/>
      <c r="CL379" s="21"/>
      <c r="CM379" s="21"/>
      <c r="CN379" s="21"/>
      <c r="CO379" s="21"/>
      <c r="CP379" s="21"/>
      <c r="CQ379" s="21"/>
      <c r="CR379" s="21"/>
      <c r="CS379" s="21"/>
      <c r="CT379" s="21"/>
      <c r="CU379" s="21"/>
      <c r="CV379" s="21"/>
      <c r="CW379" s="21"/>
    </row>
    <row r="380" spans="1:101" x14ac:dyDescent="0.25">
      <c r="A380" s="22" t="s">
        <v>1386</v>
      </c>
      <c r="B380" s="10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c r="AA380" s="21"/>
      <c r="AB380" s="21"/>
      <c r="AC380" s="21"/>
      <c r="AD380" s="21"/>
      <c r="AE380" s="21"/>
      <c r="AF380" s="21"/>
      <c r="AG380" s="21"/>
      <c r="AH380" s="21"/>
      <c r="AI380" s="21"/>
      <c r="AJ380" s="21"/>
      <c r="AK380" s="21"/>
      <c r="AL380" s="21"/>
      <c r="AM380" s="21"/>
      <c r="AN380" s="21"/>
      <c r="AO380" s="21"/>
      <c r="AP380" s="21"/>
      <c r="AQ380" s="21"/>
      <c r="AR380" s="21"/>
      <c r="AS380" s="21"/>
      <c r="AT380" s="21"/>
      <c r="AU380" s="101"/>
      <c r="AV380" s="21"/>
      <c r="AW380" s="21"/>
      <c r="AX380" s="21"/>
      <c r="AY380" s="21"/>
      <c r="AZ380" s="101" t="s">
        <v>1330</v>
      </c>
      <c r="BA380" s="21"/>
      <c r="BB380" s="21"/>
      <c r="BC380" s="21"/>
      <c r="BD380" s="21"/>
      <c r="BE380" s="21"/>
      <c r="BF380" s="21"/>
      <c r="BG380" s="21"/>
      <c r="BH380" s="21"/>
      <c r="BI380" s="21"/>
      <c r="BJ380" s="21"/>
      <c r="BK380" s="21"/>
      <c r="BL380" s="21"/>
      <c r="BM380" s="21"/>
      <c r="BN380" s="21"/>
      <c r="BO380" s="21"/>
      <c r="BP380" s="21"/>
      <c r="BQ380" s="21"/>
      <c r="BR380" s="21"/>
      <c r="BS380" s="21"/>
      <c r="BT380" s="21"/>
      <c r="BU380" s="21"/>
      <c r="BV380" s="21"/>
      <c r="BW380" s="21"/>
      <c r="BX380" s="21"/>
      <c r="BY380" s="21"/>
      <c r="BZ380" s="21"/>
      <c r="CA380" s="21"/>
      <c r="CB380" s="21"/>
      <c r="CC380" s="21"/>
      <c r="CD380" s="21"/>
      <c r="CE380" s="21"/>
      <c r="CF380" s="21"/>
      <c r="CG380" s="21"/>
      <c r="CH380" s="21"/>
      <c r="CI380" s="21"/>
      <c r="CJ380" s="21"/>
      <c r="CK380" s="21"/>
      <c r="CL380" s="21"/>
      <c r="CM380" s="21"/>
      <c r="CN380" s="21"/>
      <c r="CO380" s="21"/>
      <c r="CP380" s="21"/>
      <c r="CQ380" s="21"/>
      <c r="CR380" s="21"/>
      <c r="CS380" s="21"/>
      <c r="CT380" s="21"/>
      <c r="CU380" s="21"/>
      <c r="CV380" s="21"/>
      <c r="CW380" s="21"/>
    </row>
    <row r="381" spans="1:101" x14ac:dyDescent="0.25">
      <c r="A381" s="22" t="s">
        <v>1387</v>
      </c>
      <c r="B381" s="10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c r="AA381" s="21"/>
      <c r="AB381" s="21"/>
      <c r="AC381" s="21"/>
      <c r="AD381" s="21"/>
      <c r="AE381" s="21"/>
      <c r="AF381" s="21"/>
      <c r="AG381" s="21"/>
      <c r="AH381" s="21"/>
      <c r="AI381" s="21"/>
      <c r="AJ381" s="21"/>
      <c r="AK381" s="21"/>
      <c r="AL381" s="21"/>
      <c r="AM381" s="21"/>
      <c r="AN381" s="21"/>
      <c r="AO381" s="21"/>
      <c r="AP381" s="21"/>
      <c r="AQ381" s="21"/>
      <c r="AR381" s="21"/>
      <c r="AS381" s="21"/>
      <c r="AT381" s="21"/>
      <c r="AU381" s="101"/>
      <c r="AV381" s="21"/>
      <c r="AW381" s="21"/>
      <c r="AX381" s="21"/>
      <c r="AY381" s="21"/>
      <c r="AZ381" s="21"/>
      <c r="BA381" s="101" t="s">
        <v>1330</v>
      </c>
      <c r="BB381" s="21"/>
      <c r="BC381" s="21"/>
      <c r="BD381" s="21"/>
      <c r="BE381" s="21"/>
      <c r="BF381" s="21"/>
      <c r="BG381" s="21"/>
      <c r="BH381" s="21"/>
      <c r="BI381" s="21"/>
      <c r="BJ381" s="21"/>
      <c r="BK381" s="21"/>
      <c r="BL381" s="21"/>
      <c r="BM381" s="21"/>
      <c r="BN381" s="21"/>
      <c r="BO381" s="21"/>
      <c r="BP381" s="21"/>
      <c r="BQ381" s="21"/>
      <c r="BR381" s="21"/>
      <c r="BS381" s="21"/>
      <c r="BT381" s="21"/>
      <c r="BU381" s="21"/>
      <c r="BV381" s="21"/>
      <c r="BW381" s="21"/>
      <c r="BX381" s="21"/>
      <c r="BY381" s="21"/>
      <c r="BZ381" s="21"/>
      <c r="CA381" s="21"/>
      <c r="CB381" s="21"/>
      <c r="CC381" s="21"/>
      <c r="CD381" s="21"/>
      <c r="CE381" s="21"/>
      <c r="CF381" s="21"/>
      <c r="CG381" s="21"/>
      <c r="CH381" s="21"/>
      <c r="CI381" s="21"/>
      <c r="CJ381" s="21"/>
      <c r="CK381" s="21"/>
      <c r="CL381" s="21"/>
      <c r="CM381" s="21"/>
      <c r="CN381" s="21"/>
      <c r="CO381" s="21"/>
      <c r="CP381" s="21"/>
      <c r="CQ381" s="21"/>
      <c r="CR381" s="21"/>
      <c r="CS381" s="21"/>
      <c r="CT381" s="21"/>
      <c r="CU381" s="21"/>
      <c r="CV381" s="21"/>
      <c r="CW381" s="21"/>
    </row>
    <row r="382" spans="1:101" x14ac:dyDescent="0.25">
      <c r="A382" s="22" t="s">
        <v>1388</v>
      </c>
      <c r="B382" s="10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c r="AA382" s="21"/>
      <c r="AB382" s="21"/>
      <c r="AC382" s="21"/>
      <c r="AD382" s="21"/>
      <c r="AE382" s="21"/>
      <c r="AF382" s="21"/>
      <c r="AG382" s="21"/>
      <c r="AH382" s="21"/>
      <c r="AI382" s="21"/>
      <c r="AJ382" s="21"/>
      <c r="AK382" s="21"/>
      <c r="AL382" s="21"/>
      <c r="AM382" s="21"/>
      <c r="AN382" s="21"/>
      <c r="AO382" s="21"/>
      <c r="AP382" s="21"/>
      <c r="AQ382" s="21"/>
      <c r="AR382" s="21"/>
      <c r="AS382" s="21"/>
      <c r="AT382" s="21"/>
      <c r="AU382" s="101"/>
      <c r="AV382" s="21"/>
      <c r="AW382" s="21"/>
      <c r="AX382" s="21"/>
      <c r="AY382" s="21"/>
      <c r="AZ382" s="21"/>
      <c r="BA382" s="21"/>
      <c r="BB382" s="101" t="s">
        <v>1330</v>
      </c>
      <c r="BC382" s="21"/>
      <c r="BD382" s="21"/>
      <c r="BE382" s="21"/>
      <c r="BF382" s="21"/>
      <c r="BG382" s="21"/>
      <c r="BH382" s="21"/>
      <c r="BI382" s="21"/>
      <c r="BJ382" s="21"/>
      <c r="BK382" s="21"/>
      <c r="BL382" s="21"/>
      <c r="BM382" s="21"/>
      <c r="BN382" s="21"/>
      <c r="BO382" s="21"/>
      <c r="BP382" s="21"/>
      <c r="BQ382" s="21"/>
      <c r="BR382" s="21"/>
      <c r="BS382" s="21"/>
      <c r="BT382" s="21"/>
      <c r="BU382" s="21"/>
      <c r="BV382" s="21"/>
      <c r="BW382" s="21"/>
      <c r="BX382" s="21"/>
      <c r="BY382" s="21"/>
      <c r="BZ382" s="21"/>
      <c r="CA382" s="21"/>
      <c r="CB382" s="21"/>
      <c r="CC382" s="21"/>
      <c r="CD382" s="21"/>
      <c r="CE382" s="21"/>
      <c r="CF382" s="21"/>
      <c r="CG382" s="21"/>
      <c r="CH382" s="21"/>
      <c r="CI382" s="21"/>
      <c r="CJ382" s="21"/>
      <c r="CK382" s="21"/>
      <c r="CL382" s="21"/>
      <c r="CM382" s="21"/>
      <c r="CN382" s="21"/>
      <c r="CO382" s="21"/>
      <c r="CP382" s="21"/>
      <c r="CQ382" s="21"/>
      <c r="CR382" s="21"/>
      <c r="CS382" s="21"/>
      <c r="CT382" s="21"/>
      <c r="CU382" s="21"/>
      <c r="CV382" s="21"/>
      <c r="CW382" s="21"/>
    </row>
    <row r="383" spans="1:101" x14ac:dyDescent="0.25">
      <c r="A383" s="22" t="s">
        <v>1335</v>
      </c>
      <c r="B383" s="10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c r="AA383" s="21"/>
      <c r="AB383" s="21"/>
      <c r="AC383" s="21"/>
      <c r="AD383" s="21"/>
      <c r="AE383" s="21"/>
      <c r="AF383" s="21"/>
      <c r="AG383" s="21"/>
      <c r="AH383" s="21"/>
      <c r="AI383" s="21"/>
      <c r="AJ383" s="21"/>
      <c r="AK383" s="21"/>
      <c r="AL383" s="21"/>
      <c r="AM383" s="21"/>
      <c r="AN383" s="21"/>
      <c r="AO383" s="21"/>
      <c r="AP383" s="21"/>
      <c r="AQ383" s="21"/>
      <c r="AR383" s="21"/>
      <c r="AS383" s="21"/>
      <c r="AT383" s="21"/>
      <c r="AU383" s="101"/>
      <c r="AV383" s="21"/>
      <c r="AW383" s="21"/>
      <c r="AX383" s="21"/>
      <c r="AY383" s="21"/>
      <c r="AZ383" s="21"/>
      <c r="BA383" s="21"/>
      <c r="BB383" s="21"/>
      <c r="BC383" s="101" t="s">
        <v>1330</v>
      </c>
      <c r="BD383" s="21"/>
      <c r="BE383" s="21"/>
      <c r="BF383" s="21"/>
      <c r="BG383" s="21"/>
      <c r="BH383" s="21"/>
      <c r="BI383" s="21"/>
      <c r="BJ383" s="21"/>
      <c r="BK383" s="21"/>
      <c r="BL383" s="21"/>
      <c r="BM383" s="21"/>
      <c r="BN383" s="21"/>
      <c r="BO383" s="21"/>
      <c r="BP383" s="21"/>
      <c r="BQ383" s="21"/>
      <c r="BR383" s="21"/>
      <c r="BS383" s="21"/>
      <c r="BT383" s="21"/>
      <c r="BU383" s="21"/>
      <c r="BV383" s="21"/>
      <c r="BW383" s="21"/>
      <c r="BX383" s="21"/>
      <c r="BY383" s="21"/>
      <c r="BZ383" s="21"/>
      <c r="CA383" s="21"/>
      <c r="CB383" s="21"/>
      <c r="CC383" s="21"/>
      <c r="CD383" s="21"/>
      <c r="CE383" s="21"/>
      <c r="CF383" s="21"/>
      <c r="CG383" s="21"/>
      <c r="CH383" s="21"/>
      <c r="CI383" s="21"/>
      <c r="CJ383" s="21"/>
      <c r="CK383" s="21"/>
      <c r="CL383" s="21"/>
      <c r="CM383" s="21"/>
      <c r="CN383" s="21"/>
      <c r="CO383" s="21"/>
      <c r="CP383" s="21"/>
      <c r="CQ383" s="21"/>
      <c r="CR383" s="21"/>
      <c r="CS383" s="21"/>
      <c r="CT383" s="21"/>
      <c r="CU383" s="21"/>
      <c r="CV383" s="21"/>
      <c r="CW383" s="21"/>
    </row>
    <row r="384" spans="1:101" x14ac:dyDescent="0.25">
      <c r="A384" s="22" t="s">
        <v>1389</v>
      </c>
      <c r="B384" s="10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c r="AA384" s="21"/>
      <c r="AB384" s="21"/>
      <c r="AC384" s="21"/>
      <c r="AD384" s="21"/>
      <c r="AE384" s="21"/>
      <c r="AF384" s="21"/>
      <c r="AG384" s="21"/>
      <c r="AH384" s="21"/>
      <c r="AI384" s="21"/>
      <c r="AJ384" s="21"/>
      <c r="AK384" s="21"/>
      <c r="AL384" s="21"/>
      <c r="AM384" s="21"/>
      <c r="AN384" s="21"/>
      <c r="AO384" s="21"/>
      <c r="AP384" s="21"/>
      <c r="AQ384" s="21"/>
      <c r="AR384" s="21"/>
      <c r="AS384" s="21"/>
      <c r="AT384" s="21"/>
      <c r="AU384" s="21"/>
      <c r="AV384" s="21"/>
      <c r="AW384" s="21"/>
      <c r="AX384" s="21"/>
      <c r="AY384" s="21"/>
      <c r="AZ384" s="21"/>
      <c r="BA384" s="21"/>
      <c r="BB384" s="21"/>
      <c r="BC384" s="21"/>
      <c r="BD384" s="101" t="s">
        <v>1330</v>
      </c>
      <c r="BE384" s="21"/>
      <c r="BF384" s="21"/>
      <c r="BG384" s="21"/>
      <c r="BH384" s="21"/>
      <c r="BI384" s="21"/>
      <c r="BJ384" s="21"/>
      <c r="BK384" s="21"/>
      <c r="BL384" s="21"/>
      <c r="BM384" s="21"/>
      <c r="BN384" s="21"/>
      <c r="BO384" s="21"/>
      <c r="BP384" s="21"/>
      <c r="BQ384" s="21"/>
      <c r="BR384" s="21"/>
      <c r="BS384" s="21"/>
      <c r="BT384" s="21"/>
      <c r="BU384" s="21"/>
      <c r="BV384" s="21"/>
      <c r="BW384" s="21"/>
      <c r="BX384" s="21"/>
      <c r="BY384" s="21"/>
      <c r="BZ384" s="21"/>
      <c r="CA384" s="21"/>
      <c r="CB384" s="21"/>
      <c r="CC384" s="21"/>
      <c r="CD384" s="21"/>
      <c r="CE384" s="21"/>
      <c r="CF384" s="21"/>
      <c r="CG384" s="21"/>
      <c r="CH384" s="21"/>
      <c r="CI384" s="21"/>
      <c r="CJ384" s="21"/>
      <c r="CK384" s="21"/>
      <c r="CL384" s="21"/>
      <c r="CM384" s="21"/>
      <c r="CN384" s="21"/>
      <c r="CO384" s="21"/>
      <c r="CP384" s="21"/>
      <c r="CQ384" s="21"/>
      <c r="CR384" s="21"/>
      <c r="CS384" s="21"/>
      <c r="CT384" s="21"/>
      <c r="CU384" s="21"/>
      <c r="CV384" s="21"/>
      <c r="CW384" s="21"/>
    </row>
    <row r="385" spans="1:101" x14ac:dyDescent="0.25">
      <c r="A385" s="22" t="s">
        <v>1390</v>
      </c>
      <c r="B385" s="10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c r="AA385" s="21"/>
      <c r="AB385" s="21"/>
      <c r="AC385" s="21"/>
      <c r="AD385" s="21"/>
      <c r="AE385" s="21"/>
      <c r="AF385" s="21"/>
      <c r="AG385" s="21"/>
      <c r="AH385" s="21"/>
      <c r="AI385" s="21"/>
      <c r="AJ385" s="21"/>
      <c r="AK385" s="21"/>
      <c r="AL385" s="21"/>
      <c r="AM385" s="21"/>
      <c r="AN385" s="21"/>
      <c r="AO385" s="21"/>
      <c r="AP385" s="21"/>
      <c r="AQ385" s="21"/>
      <c r="AR385" s="21"/>
      <c r="AS385" s="21"/>
      <c r="AT385" s="21"/>
      <c r="AU385" s="21"/>
      <c r="AV385" s="21"/>
      <c r="AW385" s="21"/>
      <c r="AX385" s="21"/>
      <c r="AY385" s="21"/>
      <c r="AZ385" s="21"/>
      <c r="BA385" s="21"/>
      <c r="BB385" s="21"/>
      <c r="BC385" s="21"/>
      <c r="BD385" s="101"/>
      <c r="BE385" s="101" t="s">
        <v>1330</v>
      </c>
      <c r="BF385" s="21"/>
      <c r="BG385" s="21"/>
      <c r="BH385" s="21"/>
      <c r="BI385" s="21"/>
      <c r="BJ385" s="21"/>
      <c r="BK385" s="21"/>
      <c r="BL385" s="21"/>
      <c r="BM385" s="21"/>
      <c r="BN385" s="21"/>
      <c r="BO385" s="21"/>
      <c r="BP385" s="21"/>
      <c r="BQ385" s="21"/>
      <c r="BR385" s="21"/>
      <c r="BS385" s="21"/>
      <c r="BT385" s="21"/>
      <c r="BU385" s="21"/>
      <c r="BV385" s="21"/>
      <c r="BW385" s="21"/>
      <c r="BX385" s="21"/>
      <c r="BY385" s="21"/>
      <c r="BZ385" s="21"/>
      <c r="CA385" s="21"/>
      <c r="CB385" s="21"/>
      <c r="CC385" s="21"/>
      <c r="CD385" s="21"/>
      <c r="CE385" s="21"/>
      <c r="CF385" s="21"/>
      <c r="CG385" s="21"/>
      <c r="CH385" s="21"/>
      <c r="CI385" s="21"/>
      <c r="CJ385" s="21"/>
      <c r="CK385" s="21"/>
      <c r="CL385" s="21"/>
      <c r="CM385" s="21"/>
      <c r="CN385" s="21"/>
      <c r="CO385" s="21"/>
      <c r="CP385" s="21"/>
      <c r="CQ385" s="21"/>
      <c r="CR385" s="21"/>
      <c r="CS385" s="21"/>
      <c r="CT385" s="21"/>
      <c r="CU385" s="21"/>
      <c r="CV385" s="21"/>
      <c r="CW385" s="21"/>
    </row>
    <row r="386" spans="1:101" x14ac:dyDescent="0.25">
      <c r="A386" s="22" t="s">
        <v>1391</v>
      </c>
      <c r="B386" s="10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c r="AA386" s="21"/>
      <c r="AB386" s="21"/>
      <c r="AC386" s="21"/>
      <c r="AD386" s="21"/>
      <c r="AE386" s="21"/>
      <c r="AF386" s="21"/>
      <c r="AG386" s="21"/>
      <c r="AH386" s="21"/>
      <c r="AI386" s="21"/>
      <c r="AJ386" s="21"/>
      <c r="AK386" s="21"/>
      <c r="AL386" s="21"/>
      <c r="AM386" s="21"/>
      <c r="AN386" s="21"/>
      <c r="AO386" s="21"/>
      <c r="AP386" s="21"/>
      <c r="AQ386" s="21"/>
      <c r="AR386" s="21"/>
      <c r="AS386" s="21"/>
      <c r="AT386" s="21"/>
      <c r="AU386" s="21"/>
      <c r="AV386" s="21"/>
      <c r="AW386" s="21"/>
      <c r="AX386" s="21"/>
      <c r="AY386" s="21"/>
      <c r="AZ386" s="21"/>
      <c r="BA386" s="21"/>
      <c r="BB386" s="21"/>
      <c r="BC386" s="21"/>
      <c r="BD386" s="101"/>
      <c r="BE386" s="21"/>
      <c r="BF386" s="101" t="s">
        <v>1330</v>
      </c>
      <c r="BG386" s="21"/>
      <c r="BH386" s="21"/>
      <c r="BI386" s="21"/>
      <c r="BJ386" s="21"/>
      <c r="BK386" s="21"/>
      <c r="BL386" s="21"/>
      <c r="BM386" s="21"/>
      <c r="BN386" s="21"/>
      <c r="BO386" s="21"/>
      <c r="BP386" s="21"/>
      <c r="BQ386" s="21"/>
      <c r="BR386" s="21"/>
      <c r="BS386" s="21"/>
      <c r="BT386" s="21"/>
      <c r="BU386" s="21"/>
      <c r="BV386" s="21"/>
      <c r="BW386" s="21"/>
      <c r="BX386" s="21"/>
      <c r="BY386" s="21"/>
      <c r="BZ386" s="21"/>
      <c r="CA386" s="21"/>
      <c r="CB386" s="21"/>
      <c r="CC386" s="21"/>
      <c r="CD386" s="21"/>
      <c r="CE386" s="21"/>
      <c r="CF386" s="21"/>
      <c r="CG386" s="21"/>
      <c r="CH386" s="21"/>
      <c r="CI386" s="21"/>
      <c r="CJ386" s="21"/>
      <c r="CK386" s="21"/>
      <c r="CL386" s="21"/>
      <c r="CM386" s="21"/>
      <c r="CN386" s="21"/>
      <c r="CO386" s="21"/>
      <c r="CP386" s="21"/>
      <c r="CQ386" s="21"/>
      <c r="CR386" s="21"/>
      <c r="CS386" s="21"/>
      <c r="CT386" s="21"/>
      <c r="CU386" s="21"/>
      <c r="CV386" s="21"/>
      <c r="CW386" s="21"/>
    </row>
    <row r="387" spans="1:101" x14ac:dyDescent="0.25">
      <c r="A387" s="22" t="s">
        <v>1392</v>
      </c>
      <c r="B387" s="10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c r="AA387" s="21"/>
      <c r="AB387" s="21"/>
      <c r="AC387" s="21"/>
      <c r="AD387" s="21"/>
      <c r="AE387" s="21"/>
      <c r="AF387" s="21"/>
      <c r="AG387" s="21"/>
      <c r="AH387" s="21"/>
      <c r="AI387" s="21"/>
      <c r="AJ387" s="21"/>
      <c r="AK387" s="21"/>
      <c r="AL387" s="21"/>
      <c r="AM387" s="21"/>
      <c r="AN387" s="21"/>
      <c r="AO387" s="21"/>
      <c r="AP387" s="21"/>
      <c r="AQ387" s="21"/>
      <c r="AR387" s="21"/>
      <c r="AS387" s="21"/>
      <c r="AT387" s="21"/>
      <c r="AU387" s="21"/>
      <c r="AV387" s="21"/>
      <c r="AW387" s="21"/>
      <c r="AX387" s="21"/>
      <c r="AY387" s="21"/>
      <c r="AZ387" s="21"/>
      <c r="BA387" s="21"/>
      <c r="BB387" s="21"/>
      <c r="BC387" s="21"/>
      <c r="BD387" s="101"/>
      <c r="BE387" s="21"/>
      <c r="BF387" s="21"/>
      <c r="BG387" s="101" t="s">
        <v>1330</v>
      </c>
      <c r="BH387" s="21"/>
      <c r="BI387" s="21"/>
      <c r="BJ387" s="21"/>
      <c r="BK387" s="21"/>
      <c r="BL387" s="21"/>
      <c r="BM387" s="21"/>
      <c r="BN387" s="21"/>
      <c r="BO387" s="21"/>
      <c r="BP387" s="21"/>
      <c r="BQ387" s="21"/>
      <c r="BR387" s="21"/>
      <c r="BS387" s="21"/>
      <c r="BT387" s="21"/>
      <c r="BU387" s="21"/>
      <c r="BV387" s="21"/>
      <c r="BW387" s="21"/>
      <c r="BX387" s="21"/>
      <c r="BY387" s="21"/>
      <c r="BZ387" s="21"/>
      <c r="CA387" s="21"/>
      <c r="CB387" s="21"/>
      <c r="CC387" s="21"/>
      <c r="CD387" s="21"/>
      <c r="CE387" s="21"/>
      <c r="CF387" s="21"/>
      <c r="CG387" s="21"/>
      <c r="CH387" s="21"/>
      <c r="CI387" s="21"/>
      <c r="CJ387" s="21"/>
      <c r="CK387" s="21"/>
      <c r="CL387" s="21"/>
      <c r="CM387" s="21"/>
      <c r="CN387" s="21"/>
      <c r="CO387" s="21"/>
      <c r="CP387" s="21"/>
      <c r="CQ387" s="21"/>
      <c r="CR387" s="21"/>
      <c r="CS387" s="21"/>
      <c r="CT387" s="21"/>
      <c r="CU387" s="21"/>
      <c r="CV387" s="21"/>
      <c r="CW387" s="21"/>
    </row>
    <row r="388" spans="1:101" x14ac:dyDescent="0.25">
      <c r="A388" s="22" t="s">
        <v>1393</v>
      </c>
      <c r="B388" s="10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c r="AA388" s="21"/>
      <c r="AB388" s="21"/>
      <c r="AC388" s="21"/>
      <c r="AD388" s="21"/>
      <c r="AE388" s="21"/>
      <c r="AF388" s="21"/>
      <c r="AG388" s="21"/>
      <c r="AH388" s="21"/>
      <c r="AI388" s="21"/>
      <c r="AJ388" s="21"/>
      <c r="AK388" s="21"/>
      <c r="AL388" s="21"/>
      <c r="AM388" s="21"/>
      <c r="AN388" s="21"/>
      <c r="AO388" s="21"/>
      <c r="AP388" s="21"/>
      <c r="AQ388" s="21"/>
      <c r="AR388" s="21"/>
      <c r="AS388" s="21"/>
      <c r="AT388" s="21"/>
      <c r="AU388" s="21"/>
      <c r="AV388" s="21"/>
      <c r="AW388" s="21"/>
      <c r="AX388" s="21"/>
      <c r="AY388" s="21"/>
      <c r="AZ388" s="21"/>
      <c r="BA388" s="21"/>
      <c r="BB388" s="21"/>
      <c r="BC388" s="21"/>
      <c r="BD388" s="101"/>
      <c r="BE388" s="21"/>
      <c r="BF388" s="21"/>
      <c r="BG388" s="21"/>
      <c r="BH388" s="101" t="s">
        <v>1330</v>
      </c>
      <c r="BI388" s="21"/>
      <c r="BJ388" s="21"/>
      <c r="BK388" s="21"/>
      <c r="BL388" s="21"/>
      <c r="BM388" s="21"/>
      <c r="BN388" s="21"/>
      <c r="BO388" s="21"/>
      <c r="BP388" s="21"/>
      <c r="BQ388" s="21"/>
      <c r="BR388" s="21"/>
      <c r="BS388" s="21"/>
      <c r="BT388" s="21"/>
      <c r="BU388" s="21"/>
      <c r="BV388" s="21"/>
      <c r="BW388" s="21"/>
      <c r="BX388" s="21"/>
      <c r="BY388" s="21"/>
      <c r="BZ388" s="21"/>
      <c r="CA388" s="21"/>
      <c r="CB388" s="21"/>
      <c r="CC388" s="21"/>
      <c r="CD388" s="21"/>
      <c r="CE388" s="21"/>
      <c r="CF388" s="21"/>
      <c r="CG388" s="21"/>
      <c r="CH388" s="21"/>
      <c r="CI388" s="21"/>
      <c r="CJ388" s="21"/>
      <c r="CK388" s="21"/>
      <c r="CL388" s="21"/>
      <c r="CM388" s="21"/>
      <c r="CN388" s="21"/>
      <c r="CO388" s="21"/>
      <c r="CP388" s="21"/>
      <c r="CQ388" s="21"/>
      <c r="CR388" s="21"/>
      <c r="CS388" s="21"/>
      <c r="CT388" s="21"/>
      <c r="CU388" s="21"/>
      <c r="CV388" s="21"/>
      <c r="CW388" s="21"/>
    </row>
    <row r="389" spans="1:101" x14ac:dyDescent="0.25">
      <c r="A389" s="22" t="s">
        <v>1395</v>
      </c>
      <c r="B389" s="10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c r="AA389" s="21"/>
      <c r="AB389" s="21"/>
      <c r="AC389" s="21"/>
      <c r="AD389" s="21"/>
      <c r="AE389" s="21"/>
      <c r="AF389" s="21"/>
      <c r="AG389" s="21"/>
      <c r="AH389" s="21"/>
      <c r="AI389" s="21"/>
      <c r="AJ389" s="21"/>
      <c r="AK389" s="21"/>
      <c r="AL389" s="21"/>
      <c r="AM389" s="21"/>
      <c r="AN389" s="21"/>
      <c r="AO389" s="21"/>
      <c r="AP389" s="21"/>
      <c r="AQ389" s="21"/>
      <c r="AR389" s="21"/>
      <c r="AS389" s="21"/>
      <c r="AT389" s="21"/>
      <c r="AU389" s="21"/>
      <c r="AV389" s="21"/>
      <c r="AW389" s="21"/>
      <c r="AX389" s="21"/>
      <c r="AY389" s="21"/>
      <c r="AZ389" s="21"/>
      <c r="BA389" s="21"/>
      <c r="BB389" s="21"/>
      <c r="BC389" s="21"/>
      <c r="BD389" s="101"/>
      <c r="BE389" s="21"/>
      <c r="BF389" s="21"/>
      <c r="BG389" s="21"/>
      <c r="BH389" s="21"/>
      <c r="BI389" s="101" t="s">
        <v>1330</v>
      </c>
      <c r="BJ389" s="21"/>
      <c r="BK389" s="21"/>
      <c r="BL389" s="21"/>
      <c r="BM389" s="21"/>
      <c r="BN389" s="21"/>
      <c r="BO389" s="21"/>
      <c r="BP389" s="21"/>
      <c r="BQ389" s="21"/>
      <c r="BR389" s="21"/>
      <c r="BS389" s="21"/>
      <c r="BT389" s="21"/>
      <c r="BU389" s="21"/>
      <c r="BV389" s="21"/>
      <c r="BW389" s="21"/>
      <c r="BX389" s="21"/>
      <c r="BY389" s="21"/>
      <c r="BZ389" s="21"/>
      <c r="CA389" s="21"/>
      <c r="CB389" s="21"/>
      <c r="CC389" s="21"/>
      <c r="CD389" s="21"/>
      <c r="CE389" s="21"/>
      <c r="CF389" s="21"/>
      <c r="CG389" s="21"/>
      <c r="CH389" s="21"/>
      <c r="CI389" s="21"/>
      <c r="CJ389" s="21"/>
      <c r="CK389" s="21"/>
      <c r="CL389" s="21"/>
      <c r="CM389" s="21"/>
      <c r="CN389" s="21"/>
      <c r="CO389" s="21"/>
      <c r="CP389" s="21"/>
      <c r="CQ389" s="21"/>
      <c r="CR389" s="21"/>
      <c r="CS389" s="21"/>
      <c r="CT389" s="21"/>
      <c r="CU389" s="21"/>
      <c r="CV389" s="21"/>
      <c r="CW389" s="21"/>
    </row>
    <row r="390" spans="1:101" x14ac:dyDescent="0.25">
      <c r="A390" s="22" t="s">
        <v>1394</v>
      </c>
      <c r="B390" s="10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c r="AA390" s="21"/>
      <c r="AB390" s="21"/>
      <c r="AC390" s="21"/>
      <c r="AD390" s="21"/>
      <c r="AE390" s="21"/>
      <c r="AF390" s="21"/>
      <c r="AG390" s="21"/>
      <c r="AH390" s="21"/>
      <c r="AI390" s="21"/>
      <c r="AJ390" s="21"/>
      <c r="AK390" s="21"/>
      <c r="AL390" s="21"/>
      <c r="AM390" s="21"/>
      <c r="AN390" s="21"/>
      <c r="AO390" s="21"/>
      <c r="AP390" s="21"/>
      <c r="AQ390" s="21"/>
      <c r="AR390" s="21"/>
      <c r="AS390" s="21"/>
      <c r="AT390" s="21"/>
      <c r="AU390" s="21"/>
      <c r="AV390" s="21"/>
      <c r="AW390" s="21"/>
      <c r="AX390" s="21"/>
      <c r="AY390" s="21"/>
      <c r="AZ390" s="21"/>
      <c r="BA390" s="21"/>
      <c r="BB390" s="21"/>
      <c r="BC390" s="21"/>
      <c r="BD390" s="101"/>
      <c r="BE390" s="21"/>
      <c r="BF390" s="21"/>
      <c r="BG390" s="21"/>
      <c r="BH390" s="21"/>
      <c r="BI390" s="21"/>
      <c r="BJ390" s="101" t="s">
        <v>1330</v>
      </c>
      <c r="BK390" s="21"/>
      <c r="BL390" s="21"/>
      <c r="BM390" s="21"/>
      <c r="BN390" s="21"/>
      <c r="BO390" s="21"/>
      <c r="BP390" s="21"/>
      <c r="BQ390" s="21"/>
      <c r="BR390" s="21"/>
      <c r="BS390" s="21"/>
      <c r="BT390" s="21"/>
      <c r="BU390" s="21"/>
      <c r="BV390" s="21"/>
      <c r="BW390" s="21"/>
      <c r="BX390" s="21"/>
      <c r="BY390" s="21"/>
      <c r="BZ390" s="21"/>
      <c r="CA390" s="21"/>
      <c r="CB390" s="21"/>
      <c r="CC390" s="21"/>
      <c r="CD390" s="21"/>
      <c r="CE390" s="21"/>
      <c r="CF390" s="21"/>
      <c r="CG390" s="21"/>
      <c r="CH390" s="21"/>
      <c r="CI390" s="21"/>
      <c r="CJ390" s="21"/>
      <c r="CK390" s="21"/>
      <c r="CL390" s="21"/>
      <c r="CM390" s="21"/>
      <c r="CN390" s="21"/>
      <c r="CO390" s="21"/>
      <c r="CP390" s="21"/>
      <c r="CQ390" s="21"/>
      <c r="CR390" s="21"/>
      <c r="CS390" s="21"/>
      <c r="CT390" s="21"/>
      <c r="CU390" s="21"/>
      <c r="CV390" s="21"/>
      <c r="CW390" s="21"/>
    </row>
    <row r="391" spans="1:101" x14ac:dyDescent="0.25">
      <c r="A391" s="22" t="s">
        <v>1397</v>
      </c>
      <c r="B391" s="10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c r="AA391" s="21"/>
      <c r="AB391" s="21"/>
      <c r="AC391" s="21"/>
      <c r="AD391" s="21"/>
      <c r="AE391" s="21"/>
      <c r="AF391" s="21"/>
      <c r="AG391" s="21"/>
      <c r="AH391" s="21"/>
      <c r="AI391" s="21"/>
      <c r="AJ391" s="21"/>
      <c r="AK391" s="21"/>
      <c r="AL391" s="21"/>
      <c r="AM391" s="21"/>
      <c r="AN391" s="21"/>
      <c r="AO391" s="21"/>
      <c r="AP391" s="21"/>
      <c r="AQ391" s="21"/>
      <c r="AR391" s="21"/>
      <c r="AS391" s="21"/>
      <c r="AT391" s="21"/>
      <c r="AU391" s="21"/>
      <c r="AV391" s="21"/>
      <c r="AW391" s="21"/>
      <c r="AX391" s="21"/>
      <c r="AY391" s="21"/>
      <c r="AZ391" s="21"/>
      <c r="BA391" s="21"/>
      <c r="BB391" s="21"/>
      <c r="BC391" s="21"/>
      <c r="BD391" s="101"/>
      <c r="BE391" s="21"/>
      <c r="BF391" s="21"/>
      <c r="BG391" s="21"/>
      <c r="BH391" s="21"/>
      <c r="BI391" s="21"/>
      <c r="BJ391" s="21"/>
      <c r="BK391" s="101" t="s">
        <v>1330</v>
      </c>
      <c r="BL391" s="21"/>
      <c r="BM391" s="21"/>
      <c r="BN391" s="21"/>
      <c r="BO391" s="21"/>
      <c r="BP391" s="21"/>
      <c r="BQ391" s="21"/>
      <c r="BR391" s="21"/>
      <c r="BS391" s="21"/>
      <c r="BT391" s="21"/>
      <c r="BU391" s="21"/>
      <c r="BV391" s="21"/>
      <c r="BW391" s="21"/>
      <c r="BX391" s="21"/>
      <c r="BY391" s="21"/>
      <c r="BZ391" s="21"/>
      <c r="CA391" s="21"/>
      <c r="CB391" s="21"/>
      <c r="CC391" s="21"/>
      <c r="CD391" s="21"/>
      <c r="CE391" s="21"/>
      <c r="CF391" s="21"/>
      <c r="CG391" s="21"/>
      <c r="CH391" s="21"/>
      <c r="CI391" s="21"/>
      <c r="CJ391" s="21"/>
      <c r="CK391" s="21"/>
      <c r="CL391" s="21"/>
      <c r="CM391" s="21"/>
      <c r="CN391" s="21"/>
      <c r="CO391" s="21"/>
      <c r="CP391" s="21"/>
      <c r="CQ391" s="21"/>
      <c r="CR391" s="21"/>
      <c r="CS391" s="21"/>
      <c r="CT391" s="21"/>
      <c r="CU391" s="21"/>
      <c r="CV391" s="21"/>
      <c r="CW391" s="21"/>
    </row>
    <row r="392" spans="1:101" x14ac:dyDescent="0.25">
      <c r="A392" s="22" t="s">
        <v>1396</v>
      </c>
      <c r="B392" s="10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c r="AA392" s="21"/>
      <c r="AB392" s="21"/>
      <c r="AC392" s="21"/>
      <c r="AD392" s="21"/>
      <c r="AE392" s="21"/>
      <c r="AF392" s="21"/>
      <c r="AG392" s="21"/>
      <c r="AH392" s="21"/>
      <c r="AI392" s="21"/>
      <c r="AJ392" s="21"/>
      <c r="AK392" s="21"/>
      <c r="AL392" s="21"/>
      <c r="AM392" s="21"/>
      <c r="AN392" s="21"/>
      <c r="AO392" s="21"/>
      <c r="AP392" s="21"/>
      <c r="AQ392" s="21"/>
      <c r="AR392" s="21"/>
      <c r="AS392" s="21"/>
      <c r="AT392" s="21"/>
      <c r="AU392" s="21"/>
      <c r="AV392" s="21"/>
      <c r="AW392" s="21"/>
      <c r="AX392" s="21"/>
      <c r="AY392" s="21"/>
      <c r="AZ392" s="21"/>
      <c r="BA392" s="21"/>
      <c r="BB392" s="21"/>
      <c r="BC392" s="21"/>
      <c r="BD392" s="101"/>
      <c r="BE392" s="21"/>
      <c r="BF392" s="21"/>
      <c r="BG392" s="21"/>
      <c r="BH392" s="21"/>
      <c r="BI392" s="21"/>
      <c r="BJ392" s="21"/>
      <c r="BK392" s="21"/>
      <c r="BL392" s="101" t="s">
        <v>1330</v>
      </c>
      <c r="BM392" s="21"/>
      <c r="BN392" s="21"/>
      <c r="BO392" s="21"/>
      <c r="BP392" s="21"/>
      <c r="BQ392" s="21"/>
      <c r="BR392" s="21"/>
      <c r="BS392" s="21"/>
      <c r="BT392" s="21"/>
      <c r="BU392" s="21"/>
      <c r="BV392" s="21"/>
      <c r="BW392" s="21"/>
      <c r="BX392" s="21"/>
      <c r="BY392" s="21"/>
      <c r="BZ392" s="21"/>
      <c r="CA392" s="21"/>
      <c r="CB392" s="21"/>
      <c r="CC392" s="21"/>
      <c r="CD392" s="21"/>
      <c r="CE392" s="21"/>
      <c r="CF392" s="21"/>
      <c r="CG392" s="21"/>
      <c r="CH392" s="21"/>
      <c r="CI392" s="21"/>
      <c r="CJ392" s="21"/>
      <c r="CK392" s="21"/>
      <c r="CL392" s="21"/>
      <c r="CM392" s="21"/>
      <c r="CN392" s="21"/>
      <c r="CO392" s="21"/>
      <c r="CP392" s="21"/>
      <c r="CQ392" s="21"/>
      <c r="CR392" s="21"/>
      <c r="CS392" s="21"/>
      <c r="CT392" s="21"/>
      <c r="CU392" s="21"/>
      <c r="CV392" s="21"/>
      <c r="CW392" s="21"/>
    </row>
    <row r="393" spans="1:101" x14ac:dyDescent="0.25">
      <c r="A393" s="22" t="s">
        <v>1398</v>
      </c>
      <c r="B393" s="10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c r="AA393" s="21"/>
      <c r="AB393" s="21"/>
      <c r="AC393" s="21"/>
      <c r="AD393" s="21"/>
      <c r="AE393" s="21"/>
      <c r="AF393" s="21"/>
      <c r="AG393" s="21"/>
      <c r="AH393" s="21"/>
      <c r="AI393" s="21"/>
      <c r="AJ393" s="21"/>
      <c r="AK393" s="21"/>
      <c r="AL393" s="21"/>
      <c r="AM393" s="21"/>
      <c r="AN393" s="21"/>
      <c r="AO393" s="21"/>
      <c r="AP393" s="21"/>
      <c r="AQ393" s="21"/>
      <c r="AR393" s="21"/>
      <c r="AS393" s="21"/>
      <c r="AT393" s="21"/>
      <c r="AU393" s="21"/>
      <c r="AV393" s="21"/>
      <c r="AW393" s="21"/>
      <c r="AX393" s="21"/>
      <c r="AY393" s="21"/>
      <c r="AZ393" s="21"/>
      <c r="BA393" s="21"/>
      <c r="BB393" s="21"/>
      <c r="BC393" s="21"/>
      <c r="BD393" s="21"/>
      <c r="BE393" s="21"/>
      <c r="BF393" s="21"/>
      <c r="BG393" s="21"/>
      <c r="BH393" s="21"/>
      <c r="BI393" s="21"/>
      <c r="BJ393" s="21"/>
      <c r="BK393" s="21"/>
      <c r="BL393" s="21"/>
      <c r="BM393" s="101" t="s">
        <v>1330</v>
      </c>
      <c r="BN393" s="21"/>
      <c r="BO393" s="21"/>
      <c r="BP393" s="21"/>
      <c r="BQ393" s="21"/>
      <c r="BR393" s="21"/>
      <c r="BS393" s="21"/>
      <c r="BT393" s="21"/>
      <c r="BU393" s="21"/>
      <c r="BV393" s="21"/>
      <c r="BW393" s="21"/>
      <c r="BX393" s="21"/>
      <c r="BY393" s="21"/>
      <c r="BZ393" s="21"/>
      <c r="CA393" s="21"/>
      <c r="CB393" s="21"/>
      <c r="CC393" s="21"/>
      <c r="CD393" s="21"/>
      <c r="CE393" s="21"/>
      <c r="CF393" s="21"/>
      <c r="CG393" s="21"/>
      <c r="CH393" s="21"/>
      <c r="CI393" s="21"/>
      <c r="CJ393" s="21"/>
      <c r="CK393" s="21"/>
      <c r="CL393" s="21"/>
      <c r="CM393" s="21"/>
      <c r="CN393" s="21"/>
      <c r="CO393" s="21"/>
      <c r="CP393" s="21"/>
      <c r="CQ393" s="21"/>
      <c r="CR393" s="21"/>
      <c r="CS393" s="21"/>
      <c r="CT393" s="21"/>
      <c r="CU393" s="21"/>
      <c r="CV393" s="21"/>
      <c r="CW393" s="21"/>
    </row>
    <row r="394" spans="1:101" x14ac:dyDescent="0.25">
      <c r="A394" s="22" t="s">
        <v>1399</v>
      </c>
      <c r="B394" s="10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c r="AA394" s="21"/>
      <c r="AB394" s="21"/>
      <c r="AC394" s="21"/>
      <c r="AD394" s="21"/>
      <c r="AE394" s="21"/>
      <c r="AF394" s="21"/>
      <c r="AG394" s="21"/>
      <c r="AH394" s="21"/>
      <c r="AI394" s="21"/>
      <c r="AJ394" s="21"/>
      <c r="AK394" s="21"/>
      <c r="AL394" s="21"/>
      <c r="AM394" s="21"/>
      <c r="AN394" s="21"/>
      <c r="AO394" s="21"/>
      <c r="AP394" s="21"/>
      <c r="AQ394" s="21"/>
      <c r="AR394" s="21"/>
      <c r="AS394" s="21"/>
      <c r="AT394" s="21"/>
      <c r="AU394" s="21"/>
      <c r="AV394" s="21"/>
      <c r="AW394" s="21"/>
      <c r="AX394" s="21"/>
      <c r="AY394" s="21"/>
      <c r="AZ394" s="21"/>
      <c r="BA394" s="21"/>
      <c r="BB394" s="21"/>
      <c r="BC394" s="21"/>
      <c r="BD394" s="21"/>
      <c r="BE394" s="21"/>
      <c r="BF394" s="21"/>
      <c r="BG394" s="21"/>
      <c r="BH394" s="21"/>
      <c r="BI394" s="21"/>
      <c r="BJ394" s="21"/>
      <c r="BK394" s="21"/>
      <c r="BL394" s="21"/>
      <c r="BM394" s="101"/>
      <c r="BN394" s="101" t="s">
        <v>1330</v>
      </c>
      <c r="BO394" s="21"/>
      <c r="BP394" s="21"/>
      <c r="BQ394" s="21"/>
      <c r="BR394" s="21"/>
      <c r="BS394" s="21"/>
      <c r="BT394" s="21"/>
      <c r="BU394" s="21"/>
      <c r="BV394" s="21"/>
      <c r="BW394" s="21"/>
      <c r="BX394" s="21"/>
      <c r="BY394" s="21"/>
      <c r="BZ394" s="21"/>
      <c r="CA394" s="21"/>
      <c r="CB394" s="21"/>
      <c r="CC394" s="21"/>
      <c r="CD394" s="21"/>
      <c r="CE394" s="21"/>
      <c r="CF394" s="21"/>
      <c r="CG394" s="21"/>
      <c r="CH394" s="21"/>
      <c r="CI394" s="21"/>
      <c r="CJ394" s="21"/>
      <c r="CK394" s="21"/>
      <c r="CL394" s="21"/>
      <c r="CM394" s="21"/>
      <c r="CN394" s="21"/>
      <c r="CO394" s="21"/>
      <c r="CP394" s="21"/>
      <c r="CQ394" s="21"/>
      <c r="CR394" s="21"/>
      <c r="CS394" s="21"/>
      <c r="CT394" s="21"/>
      <c r="CU394" s="21"/>
      <c r="CV394" s="21"/>
      <c r="CW394" s="21"/>
    </row>
    <row r="395" spans="1:101" x14ac:dyDescent="0.25">
      <c r="A395" s="22" t="s">
        <v>1400</v>
      </c>
      <c r="B395" s="10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c r="AA395" s="21"/>
      <c r="AB395" s="21"/>
      <c r="AC395" s="21"/>
      <c r="AD395" s="21"/>
      <c r="AE395" s="21"/>
      <c r="AF395" s="21"/>
      <c r="AG395" s="21"/>
      <c r="AH395" s="21"/>
      <c r="AI395" s="21"/>
      <c r="AJ395" s="21"/>
      <c r="AK395" s="21"/>
      <c r="AL395" s="21"/>
      <c r="AM395" s="21"/>
      <c r="AN395" s="21"/>
      <c r="AO395" s="21"/>
      <c r="AP395" s="21"/>
      <c r="AQ395" s="21"/>
      <c r="AR395" s="21"/>
      <c r="AS395" s="21"/>
      <c r="AT395" s="21"/>
      <c r="AU395" s="21"/>
      <c r="AV395" s="21"/>
      <c r="AW395" s="21"/>
      <c r="AX395" s="21"/>
      <c r="AY395" s="21"/>
      <c r="AZ395" s="21"/>
      <c r="BA395" s="21"/>
      <c r="BB395" s="21"/>
      <c r="BC395" s="21"/>
      <c r="BD395" s="21"/>
      <c r="BE395" s="21"/>
      <c r="BF395" s="21"/>
      <c r="BG395" s="21"/>
      <c r="BH395" s="21"/>
      <c r="BI395" s="21"/>
      <c r="BJ395" s="21"/>
      <c r="BK395" s="21"/>
      <c r="BL395" s="21"/>
      <c r="BM395" s="101"/>
      <c r="BN395" s="21"/>
      <c r="BO395" s="101" t="s">
        <v>1330</v>
      </c>
      <c r="BP395" s="21"/>
      <c r="BQ395" s="21"/>
      <c r="BR395" s="21"/>
      <c r="BS395" s="21"/>
      <c r="BT395" s="21"/>
      <c r="BU395" s="21"/>
      <c r="BV395" s="21"/>
      <c r="BW395" s="21"/>
      <c r="BX395" s="21"/>
      <c r="BY395" s="21"/>
      <c r="BZ395" s="21"/>
      <c r="CA395" s="21"/>
      <c r="CB395" s="21"/>
      <c r="CC395" s="21"/>
      <c r="CD395" s="21"/>
      <c r="CE395" s="21"/>
      <c r="CF395" s="21"/>
      <c r="CG395" s="21"/>
      <c r="CH395" s="21"/>
      <c r="CI395" s="21"/>
      <c r="CJ395" s="21"/>
      <c r="CK395" s="21"/>
      <c r="CL395" s="21"/>
      <c r="CM395" s="21"/>
      <c r="CN395" s="21"/>
      <c r="CO395" s="21"/>
      <c r="CP395" s="21"/>
      <c r="CQ395" s="21"/>
      <c r="CR395" s="21"/>
      <c r="CS395" s="21"/>
      <c r="CT395" s="21"/>
      <c r="CU395" s="21"/>
      <c r="CV395" s="21"/>
      <c r="CW395" s="21"/>
    </row>
    <row r="396" spans="1:101" x14ac:dyDescent="0.25">
      <c r="A396" s="22" t="s">
        <v>1334</v>
      </c>
      <c r="B396" s="10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c r="AA396" s="21"/>
      <c r="AB396" s="21"/>
      <c r="AC396" s="21"/>
      <c r="AD396" s="21"/>
      <c r="AE396" s="21"/>
      <c r="AF396" s="21"/>
      <c r="AG396" s="21"/>
      <c r="AH396" s="21"/>
      <c r="AI396" s="21"/>
      <c r="AJ396" s="21"/>
      <c r="AK396" s="21"/>
      <c r="AL396" s="21"/>
      <c r="AM396" s="21"/>
      <c r="AN396" s="21"/>
      <c r="AO396" s="21"/>
      <c r="AP396" s="21"/>
      <c r="AQ396" s="21"/>
      <c r="AR396" s="21"/>
      <c r="AS396" s="21"/>
      <c r="AT396" s="21"/>
      <c r="AU396" s="21"/>
      <c r="AV396" s="21"/>
      <c r="AW396" s="21"/>
      <c r="AX396" s="21"/>
      <c r="AY396" s="21"/>
      <c r="AZ396" s="21"/>
      <c r="BA396" s="21"/>
      <c r="BB396" s="21"/>
      <c r="BC396" s="21"/>
      <c r="BD396" s="21"/>
      <c r="BE396" s="21"/>
      <c r="BF396" s="21"/>
      <c r="BG396" s="21"/>
      <c r="BH396" s="21"/>
      <c r="BI396" s="21"/>
      <c r="BJ396" s="21"/>
      <c r="BK396" s="21"/>
      <c r="BL396" s="21"/>
      <c r="BM396" s="101"/>
      <c r="BN396" s="21"/>
      <c r="BO396" s="21"/>
      <c r="BP396" s="101" t="s">
        <v>1330</v>
      </c>
      <c r="BQ396" s="21"/>
      <c r="BR396" s="21"/>
      <c r="BS396" s="21"/>
      <c r="BT396" s="21"/>
      <c r="BU396" s="21"/>
      <c r="BV396" s="21"/>
      <c r="BW396" s="21"/>
      <c r="BX396" s="21"/>
      <c r="BY396" s="21"/>
      <c r="BZ396" s="21"/>
      <c r="CA396" s="21"/>
      <c r="CB396" s="21"/>
      <c r="CC396" s="21"/>
      <c r="CD396" s="21"/>
      <c r="CE396" s="21"/>
      <c r="CF396" s="21"/>
      <c r="CG396" s="21"/>
      <c r="CH396" s="21"/>
      <c r="CI396" s="21"/>
      <c r="CJ396" s="21"/>
      <c r="CK396" s="21"/>
      <c r="CL396" s="21"/>
      <c r="CM396" s="21"/>
      <c r="CN396" s="21"/>
      <c r="CO396" s="21"/>
      <c r="CP396" s="21"/>
      <c r="CQ396" s="21"/>
      <c r="CR396" s="21"/>
      <c r="CS396" s="21"/>
      <c r="CT396" s="21"/>
      <c r="CU396" s="21"/>
      <c r="CV396" s="21"/>
      <c r="CW396" s="21"/>
    </row>
    <row r="397" spans="1:101" x14ac:dyDescent="0.25">
      <c r="A397" s="22" t="s">
        <v>1401</v>
      </c>
      <c r="B397" s="10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c r="AA397" s="21"/>
      <c r="AB397" s="21"/>
      <c r="AC397" s="21"/>
      <c r="AD397" s="21"/>
      <c r="AE397" s="21"/>
      <c r="AF397" s="21"/>
      <c r="AG397" s="21"/>
      <c r="AH397" s="21"/>
      <c r="AI397" s="21"/>
      <c r="AJ397" s="21"/>
      <c r="AK397" s="21"/>
      <c r="AL397" s="21"/>
      <c r="AM397" s="21"/>
      <c r="AN397" s="21"/>
      <c r="AO397" s="21"/>
      <c r="AP397" s="21"/>
      <c r="AQ397" s="21"/>
      <c r="AR397" s="21"/>
      <c r="AS397" s="21"/>
      <c r="AT397" s="21"/>
      <c r="AU397" s="21"/>
      <c r="AV397" s="21"/>
      <c r="AW397" s="21"/>
      <c r="AX397" s="21"/>
      <c r="AY397" s="21"/>
      <c r="AZ397" s="21"/>
      <c r="BA397" s="21"/>
      <c r="BB397" s="21"/>
      <c r="BC397" s="21"/>
      <c r="BD397" s="21"/>
      <c r="BE397" s="21"/>
      <c r="BF397" s="21"/>
      <c r="BG397" s="21"/>
      <c r="BH397" s="21"/>
      <c r="BI397" s="21"/>
      <c r="BJ397" s="21"/>
      <c r="BK397" s="21"/>
      <c r="BL397" s="21"/>
      <c r="BM397" s="101"/>
      <c r="BN397" s="21"/>
      <c r="BO397" s="21"/>
      <c r="BP397" s="21"/>
      <c r="BQ397" s="101" t="s">
        <v>1330</v>
      </c>
      <c r="BR397" s="21"/>
      <c r="BS397" s="21"/>
      <c r="BT397" s="21"/>
      <c r="BU397" s="21"/>
      <c r="BV397" s="21"/>
      <c r="BW397" s="21"/>
      <c r="BX397" s="21"/>
      <c r="BY397" s="21"/>
      <c r="BZ397" s="21"/>
      <c r="CA397" s="21"/>
      <c r="CB397" s="21"/>
      <c r="CC397" s="21"/>
      <c r="CD397" s="21"/>
      <c r="CE397" s="21"/>
      <c r="CF397" s="21"/>
      <c r="CG397" s="21"/>
      <c r="CH397" s="21"/>
      <c r="CI397" s="21"/>
      <c r="CJ397" s="21"/>
      <c r="CK397" s="21"/>
      <c r="CL397" s="21"/>
      <c r="CM397" s="21"/>
      <c r="CN397" s="21"/>
      <c r="CO397" s="21"/>
      <c r="CP397" s="21"/>
      <c r="CQ397" s="21"/>
      <c r="CR397" s="21"/>
      <c r="CS397" s="21"/>
      <c r="CT397" s="21"/>
      <c r="CU397" s="21"/>
      <c r="CV397" s="21"/>
      <c r="CW397" s="21"/>
    </row>
    <row r="398" spans="1:101" x14ac:dyDescent="0.25">
      <c r="A398" s="22" t="s">
        <v>1402</v>
      </c>
      <c r="B398" s="10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c r="AA398" s="21"/>
      <c r="AB398" s="21"/>
      <c r="AC398" s="21"/>
      <c r="AD398" s="21"/>
      <c r="AE398" s="21"/>
      <c r="AF398" s="21"/>
      <c r="AG398" s="21"/>
      <c r="AH398" s="21"/>
      <c r="AI398" s="21"/>
      <c r="AJ398" s="21"/>
      <c r="AK398" s="21"/>
      <c r="AL398" s="21"/>
      <c r="AM398" s="21"/>
      <c r="AN398" s="21"/>
      <c r="AO398" s="21"/>
      <c r="AP398" s="21"/>
      <c r="AQ398" s="21"/>
      <c r="AR398" s="21"/>
      <c r="AS398" s="21"/>
      <c r="AT398" s="21"/>
      <c r="AU398" s="21"/>
      <c r="AV398" s="21"/>
      <c r="AW398" s="21"/>
      <c r="AX398" s="21"/>
      <c r="AY398" s="21"/>
      <c r="AZ398" s="21"/>
      <c r="BA398" s="21"/>
      <c r="BB398" s="21"/>
      <c r="BC398" s="21"/>
      <c r="BD398" s="21"/>
      <c r="BE398" s="21"/>
      <c r="BF398" s="21"/>
      <c r="BG398" s="21"/>
      <c r="BH398" s="21"/>
      <c r="BI398" s="21"/>
      <c r="BJ398" s="21"/>
      <c r="BK398" s="21"/>
      <c r="BL398" s="21"/>
      <c r="BM398" s="101"/>
      <c r="BN398" s="21"/>
      <c r="BO398" s="21"/>
      <c r="BP398" s="21"/>
      <c r="BQ398" s="21"/>
      <c r="BR398" s="101" t="s">
        <v>1330</v>
      </c>
      <c r="BS398" s="21"/>
      <c r="BT398" s="21"/>
      <c r="BU398" s="21"/>
      <c r="BV398" s="21"/>
      <c r="BW398" s="21"/>
      <c r="BX398" s="21"/>
      <c r="BY398" s="21"/>
      <c r="BZ398" s="21"/>
      <c r="CA398" s="21"/>
      <c r="CB398" s="21"/>
      <c r="CC398" s="21"/>
      <c r="CD398" s="21"/>
      <c r="CE398" s="21"/>
      <c r="CF398" s="21"/>
      <c r="CG398" s="21"/>
      <c r="CH398" s="21"/>
      <c r="CI398" s="21"/>
      <c r="CJ398" s="21"/>
      <c r="CK398" s="21"/>
      <c r="CL398" s="21"/>
      <c r="CM398" s="21"/>
      <c r="CN398" s="21"/>
      <c r="CO398" s="21"/>
      <c r="CP398" s="21"/>
      <c r="CQ398" s="21"/>
      <c r="CR398" s="21"/>
      <c r="CS398" s="21"/>
      <c r="CT398" s="21"/>
      <c r="CU398" s="21"/>
      <c r="CV398" s="21"/>
      <c r="CW398" s="21"/>
    </row>
    <row r="399" spans="1:101" x14ac:dyDescent="0.25">
      <c r="A399" s="22" t="s">
        <v>1403</v>
      </c>
      <c r="B399" s="10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c r="AA399" s="21"/>
      <c r="AB399" s="21"/>
      <c r="AC399" s="21"/>
      <c r="AD399" s="21"/>
      <c r="AE399" s="21"/>
      <c r="AF399" s="21"/>
      <c r="AG399" s="21"/>
      <c r="AH399" s="21"/>
      <c r="AI399" s="21"/>
      <c r="AJ399" s="21"/>
      <c r="AK399" s="21"/>
      <c r="AL399" s="21"/>
      <c r="AM399" s="21"/>
      <c r="AN399" s="21"/>
      <c r="AO399" s="21"/>
      <c r="AP399" s="21"/>
      <c r="AQ399" s="21"/>
      <c r="AR399" s="21"/>
      <c r="AS399" s="21"/>
      <c r="AT399" s="21"/>
      <c r="AU399" s="21"/>
      <c r="AV399" s="21"/>
      <c r="AW399" s="21"/>
      <c r="AX399" s="21"/>
      <c r="AY399" s="21"/>
      <c r="AZ399" s="21"/>
      <c r="BA399" s="21"/>
      <c r="BB399" s="21"/>
      <c r="BC399" s="21"/>
      <c r="BD399" s="21"/>
      <c r="BE399" s="21"/>
      <c r="BF399" s="21"/>
      <c r="BG399" s="21"/>
      <c r="BH399" s="21"/>
      <c r="BI399" s="21"/>
      <c r="BJ399" s="21"/>
      <c r="BK399" s="21"/>
      <c r="BL399" s="21"/>
      <c r="BM399" s="101"/>
      <c r="BN399" s="21"/>
      <c r="BO399" s="21"/>
      <c r="BP399" s="21"/>
      <c r="BQ399" s="21"/>
      <c r="BR399" s="21"/>
      <c r="BS399" s="101" t="s">
        <v>1330</v>
      </c>
      <c r="BT399" s="21"/>
      <c r="BU399" s="21"/>
      <c r="BV399" s="21"/>
      <c r="BW399" s="21"/>
      <c r="BX399" s="21"/>
      <c r="BY399" s="21"/>
      <c r="BZ399" s="21"/>
      <c r="CA399" s="21"/>
      <c r="CB399" s="21"/>
      <c r="CC399" s="21"/>
      <c r="CD399" s="21"/>
      <c r="CE399" s="21"/>
      <c r="CF399" s="21"/>
      <c r="CG399" s="21"/>
      <c r="CH399" s="21"/>
      <c r="CI399" s="21"/>
      <c r="CJ399" s="21"/>
      <c r="CK399" s="21"/>
      <c r="CL399" s="21"/>
      <c r="CM399" s="21"/>
      <c r="CN399" s="21"/>
      <c r="CO399" s="21"/>
      <c r="CP399" s="21"/>
      <c r="CQ399" s="21"/>
      <c r="CR399" s="21"/>
      <c r="CS399" s="21"/>
      <c r="CT399" s="21"/>
      <c r="CU399" s="21"/>
      <c r="CV399" s="21"/>
      <c r="CW399" s="21"/>
    </row>
    <row r="400" spans="1:101" x14ac:dyDescent="0.25">
      <c r="A400" s="22" t="s">
        <v>1404</v>
      </c>
      <c r="B400" s="10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c r="AA400" s="21"/>
      <c r="AB400" s="21"/>
      <c r="AC400" s="21"/>
      <c r="AD400" s="21"/>
      <c r="AE400" s="21"/>
      <c r="AF400" s="21"/>
      <c r="AG400" s="21"/>
      <c r="AH400" s="21"/>
      <c r="AI400" s="21"/>
      <c r="AJ400" s="21"/>
      <c r="AK400" s="21"/>
      <c r="AL400" s="21"/>
      <c r="AM400" s="21"/>
      <c r="AN400" s="21"/>
      <c r="AO400" s="21"/>
      <c r="AP400" s="21"/>
      <c r="AQ400" s="21"/>
      <c r="AR400" s="21"/>
      <c r="AS400" s="21"/>
      <c r="AT400" s="21"/>
      <c r="AU400" s="21"/>
      <c r="AV400" s="21"/>
      <c r="AW400" s="21"/>
      <c r="AX400" s="21"/>
      <c r="AY400" s="21"/>
      <c r="AZ400" s="21"/>
      <c r="BA400" s="21"/>
      <c r="BB400" s="21"/>
      <c r="BC400" s="21"/>
      <c r="BD400" s="21"/>
      <c r="BE400" s="21"/>
      <c r="BF400" s="21"/>
      <c r="BG400" s="21"/>
      <c r="BH400" s="21"/>
      <c r="BI400" s="21"/>
      <c r="BJ400" s="21"/>
      <c r="BK400" s="21"/>
      <c r="BL400" s="21"/>
      <c r="BM400" s="101"/>
      <c r="BN400" s="21"/>
      <c r="BO400" s="21"/>
      <c r="BP400" s="21"/>
      <c r="BQ400" s="21"/>
      <c r="BR400" s="21"/>
      <c r="BS400" s="21"/>
      <c r="BT400" s="101" t="s">
        <v>1330</v>
      </c>
      <c r="BU400" s="21"/>
      <c r="BV400" s="21"/>
      <c r="BW400" s="21"/>
      <c r="BX400" s="21"/>
      <c r="BY400" s="21"/>
      <c r="BZ400" s="21"/>
      <c r="CA400" s="21"/>
      <c r="CB400" s="21"/>
      <c r="CC400" s="21"/>
      <c r="CD400" s="21"/>
      <c r="CE400" s="21"/>
      <c r="CF400" s="21"/>
      <c r="CG400" s="21"/>
      <c r="CH400" s="21"/>
      <c r="CI400" s="21"/>
      <c r="CJ400" s="21"/>
      <c r="CK400" s="21"/>
      <c r="CL400" s="21"/>
      <c r="CM400" s="21"/>
      <c r="CN400" s="21"/>
      <c r="CO400" s="21"/>
      <c r="CP400" s="21"/>
      <c r="CQ400" s="21"/>
      <c r="CR400" s="21"/>
      <c r="CS400" s="21"/>
      <c r="CT400" s="21"/>
      <c r="CU400" s="21"/>
      <c r="CV400" s="21"/>
      <c r="CW400" s="21"/>
    </row>
    <row r="401" spans="1:101" x14ac:dyDescent="0.25">
      <c r="A401" s="22" t="s">
        <v>1405</v>
      </c>
      <c r="B401" s="10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c r="AA401" s="21"/>
      <c r="AB401" s="21"/>
      <c r="AC401" s="21"/>
      <c r="AD401" s="21"/>
      <c r="AE401" s="21"/>
      <c r="AF401" s="21"/>
      <c r="AG401" s="21"/>
      <c r="AH401" s="21"/>
      <c r="AI401" s="21"/>
      <c r="AJ401" s="21"/>
      <c r="AK401" s="21"/>
      <c r="AL401" s="21"/>
      <c r="AM401" s="21"/>
      <c r="AN401" s="21"/>
      <c r="AO401" s="21"/>
      <c r="AP401" s="21"/>
      <c r="AQ401" s="21"/>
      <c r="AR401" s="21"/>
      <c r="AS401" s="21"/>
      <c r="AT401" s="21"/>
      <c r="AU401" s="21"/>
      <c r="AV401" s="21"/>
      <c r="AW401" s="21"/>
      <c r="AX401" s="21"/>
      <c r="AY401" s="21"/>
      <c r="AZ401" s="21"/>
      <c r="BA401" s="21"/>
      <c r="BB401" s="21"/>
      <c r="BC401" s="21"/>
      <c r="BD401" s="21"/>
      <c r="BE401" s="21"/>
      <c r="BF401" s="21"/>
      <c r="BG401" s="21"/>
      <c r="BH401" s="21"/>
      <c r="BI401" s="21"/>
      <c r="BJ401" s="21"/>
      <c r="BK401" s="21"/>
      <c r="BL401" s="21"/>
      <c r="BM401" s="101"/>
      <c r="BN401" s="21"/>
      <c r="BO401" s="21"/>
      <c r="BP401" s="21"/>
      <c r="BQ401" s="21"/>
      <c r="BR401" s="21"/>
      <c r="BS401" s="21"/>
      <c r="BT401" s="21"/>
      <c r="BU401" s="101" t="s">
        <v>1330</v>
      </c>
      <c r="BV401" s="21"/>
      <c r="BW401" s="21"/>
      <c r="BX401" s="21"/>
      <c r="BY401" s="21"/>
      <c r="BZ401" s="21"/>
      <c r="CA401" s="21"/>
      <c r="CB401" s="21"/>
      <c r="CC401" s="21"/>
      <c r="CD401" s="21"/>
      <c r="CE401" s="21"/>
      <c r="CF401" s="21"/>
      <c r="CG401" s="21"/>
      <c r="CH401" s="21"/>
      <c r="CI401" s="21"/>
      <c r="CJ401" s="21"/>
      <c r="CK401" s="21"/>
      <c r="CL401" s="21"/>
      <c r="CM401" s="21"/>
      <c r="CN401" s="21"/>
      <c r="CO401" s="21"/>
      <c r="CP401" s="21"/>
      <c r="CQ401" s="21"/>
      <c r="CR401" s="21"/>
      <c r="CS401" s="21"/>
      <c r="CT401" s="21"/>
      <c r="CU401" s="21"/>
      <c r="CV401" s="21"/>
      <c r="CW401" s="21"/>
    </row>
    <row r="402" spans="1:101" x14ac:dyDescent="0.25">
      <c r="A402" s="22" t="s">
        <v>1407</v>
      </c>
      <c r="B402" s="10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c r="AA402" s="21"/>
      <c r="AB402" s="21"/>
      <c r="AC402" s="21"/>
      <c r="AD402" s="21"/>
      <c r="AE402" s="21"/>
      <c r="AF402" s="21"/>
      <c r="AG402" s="21"/>
      <c r="AH402" s="21"/>
      <c r="AI402" s="21"/>
      <c r="AJ402" s="21"/>
      <c r="AK402" s="21"/>
      <c r="AL402" s="21"/>
      <c r="AM402" s="21"/>
      <c r="AN402" s="21"/>
      <c r="AO402" s="21"/>
      <c r="AP402" s="21"/>
      <c r="AQ402" s="21"/>
      <c r="AR402" s="21"/>
      <c r="AS402" s="21"/>
      <c r="AT402" s="21"/>
      <c r="AU402" s="21"/>
      <c r="AV402" s="21"/>
      <c r="AW402" s="21"/>
      <c r="AX402" s="21"/>
      <c r="AY402" s="21"/>
      <c r="AZ402" s="21"/>
      <c r="BA402" s="21"/>
      <c r="BB402" s="21"/>
      <c r="BC402" s="21"/>
      <c r="BD402" s="21"/>
      <c r="BE402" s="21"/>
      <c r="BF402" s="21"/>
      <c r="BG402" s="21"/>
      <c r="BH402" s="21"/>
      <c r="BI402" s="21"/>
      <c r="BJ402" s="21"/>
      <c r="BK402" s="21"/>
      <c r="BL402" s="21"/>
      <c r="BM402" s="21"/>
      <c r="BN402" s="21"/>
      <c r="BO402" s="21"/>
      <c r="BP402" s="21"/>
      <c r="BQ402" s="21"/>
      <c r="BR402" s="21"/>
      <c r="BS402" s="21"/>
      <c r="BT402" s="21"/>
      <c r="BU402" s="21"/>
      <c r="BV402" s="101" t="s">
        <v>1330</v>
      </c>
      <c r="BW402" s="21"/>
      <c r="BX402" s="21"/>
      <c r="BY402" s="21"/>
      <c r="BZ402" s="21"/>
      <c r="CA402" s="21"/>
      <c r="CB402" s="21"/>
      <c r="CC402" s="21"/>
      <c r="CD402" s="21"/>
      <c r="CE402" s="21"/>
      <c r="CF402" s="21"/>
      <c r="CG402" s="21"/>
      <c r="CH402" s="21"/>
      <c r="CI402" s="21"/>
      <c r="CJ402" s="21"/>
      <c r="CK402" s="21"/>
      <c r="CL402" s="21"/>
      <c r="CM402" s="21"/>
      <c r="CN402" s="21"/>
      <c r="CO402" s="21"/>
      <c r="CP402" s="21"/>
      <c r="CQ402" s="21"/>
      <c r="CR402" s="21"/>
      <c r="CS402" s="21"/>
      <c r="CT402" s="21"/>
      <c r="CU402" s="21"/>
      <c r="CV402" s="21"/>
      <c r="CW402" s="21"/>
    </row>
    <row r="403" spans="1:101" x14ac:dyDescent="0.25">
      <c r="A403" s="22" t="s">
        <v>1406</v>
      </c>
      <c r="B403" s="10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c r="AA403" s="21"/>
      <c r="AB403" s="21"/>
      <c r="AC403" s="21"/>
      <c r="AD403" s="21"/>
      <c r="AE403" s="21"/>
      <c r="AF403" s="21"/>
      <c r="AG403" s="21"/>
      <c r="AH403" s="21"/>
      <c r="AI403" s="21"/>
      <c r="AJ403" s="21"/>
      <c r="AK403" s="21"/>
      <c r="AL403" s="21"/>
      <c r="AM403" s="21"/>
      <c r="AN403" s="21"/>
      <c r="AO403" s="21"/>
      <c r="AP403" s="21"/>
      <c r="AQ403" s="21"/>
      <c r="AR403" s="21"/>
      <c r="AS403" s="21"/>
      <c r="AT403" s="21"/>
      <c r="AU403" s="21"/>
      <c r="AV403" s="21"/>
      <c r="AW403" s="21"/>
      <c r="AX403" s="21"/>
      <c r="AY403" s="21"/>
      <c r="AZ403" s="21"/>
      <c r="BA403" s="21"/>
      <c r="BB403" s="21"/>
      <c r="BC403" s="21"/>
      <c r="BD403" s="21"/>
      <c r="BE403" s="21"/>
      <c r="BF403" s="21"/>
      <c r="BG403" s="21"/>
      <c r="BH403" s="21"/>
      <c r="BI403" s="21"/>
      <c r="BJ403" s="21"/>
      <c r="BK403" s="21"/>
      <c r="BL403" s="21"/>
      <c r="BM403" s="21"/>
      <c r="BN403" s="21"/>
      <c r="BO403" s="21"/>
      <c r="BP403" s="21"/>
      <c r="BQ403" s="21"/>
      <c r="BR403" s="21"/>
      <c r="BS403" s="21"/>
      <c r="BT403" s="21"/>
      <c r="BU403" s="21"/>
      <c r="BV403" s="101"/>
      <c r="BW403" s="101" t="s">
        <v>1330</v>
      </c>
      <c r="BX403" s="21"/>
      <c r="BY403" s="21"/>
      <c r="BZ403" s="21"/>
      <c r="CA403" s="21"/>
      <c r="CB403" s="21"/>
      <c r="CC403" s="21"/>
      <c r="CD403" s="21"/>
      <c r="CE403" s="21"/>
      <c r="CF403" s="21"/>
      <c r="CG403" s="21"/>
      <c r="CH403" s="21"/>
      <c r="CI403" s="21"/>
      <c r="CJ403" s="21"/>
      <c r="CK403" s="21"/>
      <c r="CL403" s="21"/>
      <c r="CM403" s="21"/>
      <c r="CN403" s="21"/>
      <c r="CO403" s="21"/>
      <c r="CP403" s="21"/>
      <c r="CQ403" s="21"/>
      <c r="CR403" s="21"/>
      <c r="CS403" s="21"/>
      <c r="CT403" s="21"/>
      <c r="CU403" s="21"/>
      <c r="CV403" s="21"/>
      <c r="CW403" s="21"/>
    </row>
    <row r="404" spans="1:101" x14ac:dyDescent="0.25">
      <c r="A404" s="22" t="s">
        <v>1409</v>
      </c>
      <c r="B404" s="10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c r="AA404" s="21"/>
      <c r="AB404" s="21"/>
      <c r="AC404" s="21"/>
      <c r="AD404" s="21"/>
      <c r="AE404" s="21"/>
      <c r="AF404" s="21"/>
      <c r="AG404" s="21"/>
      <c r="AH404" s="21"/>
      <c r="AI404" s="21"/>
      <c r="AJ404" s="21"/>
      <c r="AK404" s="21"/>
      <c r="AL404" s="21"/>
      <c r="AM404" s="21"/>
      <c r="AN404" s="21"/>
      <c r="AO404" s="21"/>
      <c r="AP404" s="21"/>
      <c r="AQ404" s="21"/>
      <c r="AR404" s="21"/>
      <c r="AS404" s="21"/>
      <c r="AT404" s="21"/>
      <c r="AU404" s="21"/>
      <c r="AV404" s="21"/>
      <c r="AW404" s="21"/>
      <c r="AX404" s="21"/>
      <c r="AY404" s="21"/>
      <c r="AZ404" s="21"/>
      <c r="BA404" s="21"/>
      <c r="BB404" s="21"/>
      <c r="BC404" s="21"/>
      <c r="BD404" s="21"/>
      <c r="BE404" s="21"/>
      <c r="BF404" s="21"/>
      <c r="BG404" s="21"/>
      <c r="BH404" s="21"/>
      <c r="BI404" s="21"/>
      <c r="BJ404" s="21"/>
      <c r="BK404" s="21"/>
      <c r="BL404" s="21"/>
      <c r="BM404" s="21"/>
      <c r="BN404" s="21"/>
      <c r="BO404" s="21"/>
      <c r="BP404" s="21"/>
      <c r="BQ404" s="21"/>
      <c r="BR404" s="21"/>
      <c r="BS404" s="21"/>
      <c r="BT404" s="21"/>
      <c r="BU404" s="21"/>
      <c r="BV404" s="101"/>
      <c r="BW404" s="21"/>
      <c r="BX404" s="101" t="s">
        <v>1330</v>
      </c>
      <c r="BY404" s="21"/>
      <c r="BZ404" s="21"/>
      <c r="CA404" s="21"/>
      <c r="CB404" s="21"/>
      <c r="CC404" s="21"/>
      <c r="CD404" s="21"/>
      <c r="CE404" s="21"/>
      <c r="CF404" s="21"/>
      <c r="CG404" s="21"/>
      <c r="CH404" s="21"/>
      <c r="CI404" s="21"/>
      <c r="CJ404" s="21"/>
      <c r="CK404" s="21"/>
      <c r="CL404" s="21"/>
      <c r="CM404" s="21"/>
      <c r="CN404" s="21"/>
      <c r="CO404" s="21"/>
      <c r="CP404" s="21"/>
      <c r="CQ404" s="21"/>
      <c r="CR404" s="21"/>
      <c r="CS404" s="21"/>
      <c r="CT404" s="21"/>
      <c r="CU404" s="21"/>
      <c r="CV404" s="21"/>
      <c r="CW404" s="21"/>
    </row>
    <row r="405" spans="1:101" x14ac:dyDescent="0.25">
      <c r="A405" s="22" t="s">
        <v>1408</v>
      </c>
      <c r="B405" s="10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c r="AA405" s="21"/>
      <c r="AB405" s="21"/>
      <c r="AC405" s="21"/>
      <c r="AD405" s="21"/>
      <c r="AE405" s="21"/>
      <c r="AF405" s="21"/>
      <c r="AG405" s="21"/>
      <c r="AH405" s="21"/>
      <c r="AI405" s="21"/>
      <c r="AJ405" s="21"/>
      <c r="AK405" s="21"/>
      <c r="AL405" s="21"/>
      <c r="AM405" s="21"/>
      <c r="AN405" s="21"/>
      <c r="AO405" s="21"/>
      <c r="AP405" s="21"/>
      <c r="AQ405" s="21"/>
      <c r="AR405" s="21"/>
      <c r="AS405" s="21"/>
      <c r="AT405" s="21"/>
      <c r="AU405" s="21"/>
      <c r="AV405" s="21"/>
      <c r="AW405" s="21"/>
      <c r="AX405" s="21"/>
      <c r="AY405" s="21"/>
      <c r="AZ405" s="21"/>
      <c r="BA405" s="21"/>
      <c r="BB405" s="21"/>
      <c r="BC405" s="21"/>
      <c r="BD405" s="21"/>
      <c r="BE405" s="21"/>
      <c r="BF405" s="21"/>
      <c r="BG405" s="21"/>
      <c r="BH405" s="21"/>
      <c r="BI405" s="21"/>
      <c r="BJ405" s="21"/>
      <c r="BK405" s="21"/>
      <c r="BL405" s="21"/>
      <c r="BM405" s="21"/>
      <c r="BN405" s="21"/>
      <c r="BO405" s="21"/>
      <c r="BP405" s="21"/>
      <c r="BQ405" s="21"/>
      <c r="BR405" s="21"/>
      <c r="BS405" s="21"/>
      <c r="BT405" s="21"/>
      <c r="BU405" s="21"/>
      <c r="BV405" s="101"/>
      <c r="BW405" s="21"/>
      <c r="BX405" s="21"/>
      <c r="BY405" s="101" t="s">
        <v>1330</v>
      </c>
      <c r="BZ405" s="21"/>
      <c r="CA405" s="21"/>
      <c r="CB405" s="21"/>
      <c r="CC405" s="21"/>
      <c r="CD405" s="21"/>
      <c r="CE405" s="21"/>
      <c r="CF405" s="21"/>
      <c r="CG405" s="21"/>
      <c r="CH405" s="21"/>
      <c r="CI405" s="21"/>
      <c r="CJ405" s="21"/>
      <c r="CK405" s="21"/>
      <c r="CL405" s="21"/>
      <c r="CM405" s="21"/>
      <c r="CN405" s="21"/>
      <c r="CO405" s="21"/>
      <c r="CP405" s="21"/>
      <c r="CQ405" s="21"/>
      <c r="CR405" s="21"/>
      <c r="CS405" s="21"/>
      <c r="CT405" s="21"/>
      <c r="CU405" s="21"/>
      <c r="CV405" s="21"/>
      <c r="CW405" s="21"/>
    </row>
    <row r="406" spans="1:101" x14ac:dyDescent="0.25">
      <c r="A406" s="22" t="s">
        <v>1410</v>
      </c>
      <c r="B406" s="10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c r="AA406" s="21"/>
      <c r="AB406" s="21"/>
      <c r="AC406" s="21"/>
      <c r="AD406" s="21"/>
      <c r="AE406" s="21"/>
      <c r="AF406" s="21"/>
      <c r="AG406" s="21"/>
      <c r="AH406" s="21"/>
      <c r="AI406" s="21"/>
      <c r="AJ406" s="21"/>
      <c r="AK406" s="21"/>
      <c r="AL406" s="21"/>
      <c r="AM406" s="21"/>
      <c r="AN406" s="21"/>
      <c r="AO406" s="21"/>
      <c r="AP406" s="21"/>
      <c r="AQ406" s="21"/>
      <c r="AR406" s="21"/>
      <c r="AS406" s="21"/>
      <c r="AT406" s="21"/>
      <c r="AU406" s="21"/>
      <c r="AV406" s="21"/>
      <c r="AW406" s="21"/>
      <c r="AX406" s="21"/>
      <c r="AY406" s="21"/>
      <c r="AZ406" s="21"/>
      <c r="BA406" s="21"/>
      <c r="BB406" s="21"/>
      <c r="BC406" s="21"/>
      <c r="BD406" s="21"/>
      <c r="BE406" s="21"/>
      <c r="BF406" s="21"/>
      <c r="BG406" s="21"/>
      <c r="BH406" s="21"/>
      <c r="BI406" s="21"/>
      <c r="BJ406" s="21"/>
      <c r="BK406" s="21"/>
      <c r="BL406" s="21"/>
      <c r="BM406" s="21"/>
      <c r="BN406" s="21"/>
      <c r="BO406" s="21"/>
      <c r="BP406" s="21"/>
      <c r="BQ406" s="21"/>
      <c r="BR406" s="21"/>
      <c r="BS406" s="21"/>
      <c r="BT406" s="21"/>
      <c r="BU406" s="21"/>
      <c r="BV406" s="101"/>
      <c r="BW406" s="21"/>
      <c r="BX406" s="21"/>
      <c r="BY406" s="21"/>
      <c r="BZ406" s="101" t="s">
        <v>1330</v>
      </c>
      <c r="CA406" s="21"/>
      <c r="CB406" s="21"/>
      <c r="CC406" s="21"/>
      <c r="CD406" s="21"/>
      <c r="CE406" s="21"/>
      <c r="CF406" s="21"/>
      <c r="CG406" s="21"/>
      <c r="CH406" s="21"/>
      <c r="CI406" s="21"/>
      <c r="CJ406" s="21"/>
      <c r="CK406" s="21"/>
      <c r="CL406" s="21"/>
      <c r="CM406" s="21"/>
      <c r="CN406" s="21"/>
      <c r="CO406" s="21"/>
      <c r="CP406" s="21"/>
      <c r="CQ406" s="21"/>
      <c r="CR406" s="21"/>
      <c r="CS406" s="21"/>
      <c r="CT406" s="21"/>
      <c r="CU406" s="21"/>
      <c r="CV406" s="21"/>
      <c r="CW406" s="21"/>
    </row>
    <row r="407" spans="1:101" x14ac:dyDescent="0.25">
      <c r="A407" s="22" t="s">
        <v>1411</v>
      </c>
      <c r="B407" s="10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c r="AA407" s="21"/>
      <c r="AB407" s="21"/>
      <c r="AC407" s="21"/>
      <c r="AD407" s="21"/>
      <c r="AE407" s="21"/>
      <c r="AF407" s="21"/>
      <c r="AG407" s="21"/>
      <c r="AH407" s="21"/>
      <c r="AI407" s="21"/>
      <c r="AJ407" s="21"/>
      <c r="AK407" s="21"/>
      <c r="AL407" s="21"/>
      <c r="AM407" s="21"/>
      <c r="AN407" s="21"/>
      <c r="AO407" s="21"/>
      <c r="AP407" s="21"/>
      <c r="AQ407" s="21"/>
      <c r="AR407" s="21"/>
      <c r="AS407" s="21"/>
      <c r="AT407" s="21"/>
      <c r="AU407" s="21"/>
      <c r="AV407" s="21"/>
      <c r="AW407" s="21"/>
      <c r="AX407" s="21"/>
      <c r="AY407" s="21"/>
      <c r="AZ407" s="21"/>
      <c r="BA407" s="21"/>
      <c r="BB407" s="21"/>
      <c r="BC407" s="21"/>
      <c r="BD407" s="21"/>
      <c r="BE407" s="21"/>
      <c r="BF407" s="21"/>
      <c r="BG407" s="21"/>
      <c r="BH407" s="21"/>
      <c r="BI407" s="21"/>
      <c r="BJ407" s="21"/>
      <c r="BK407" s="21"/>
      <c r="BL407" s="21"/>
      <c r="BM407" s="21"/>
      <c r="BN407" s="21"/>
      <c r="BO407" s="21"/>
      <c r="BP407" s="21"/>
      <c r="BQ407" s="21"/>
      <c r="BR407" s="21"/>
      <c r="BS407" s="21"/>
      <c r="BT407" s="21"/>
      <c r="BU407" s="21"/>
      <c r="BV407" s="101"/>
      <c r="BW407" s="21"/>
      <c r="BX407" s="21"/>
      <c r="BY407" s="21"/>
      <c r="BZ407" s="21"/>
      <c r="CA407" s="101" t="s">
        <v>1330</v>
      </c>
      <c r="CB407" s="21"/>
      <c r="CC407" s="21"/>
      <c r="CD407" s="21"/>
      <c r="CE407" s="21"/>
      <c r="CF407" s="21"/>
      <c r="CG407" s="21"/>
      <c r="CH407" s="21"/>
      <c r="CI407" s="21"/>
      <c r="CJ407" s="21"/>
      <c r="CK407" s="21"/>
      <c r="CL407" s="21"/>
      <c r="CM407" s="21"/>
      <c r="CN407" s="21"/>
      <c r="CO407" s="21"/>
      <c r="CP407" s="21"/>
      <c r="CQ407" s="21"/>
      <c r="CR407" s="21"/>
      <c r="CS407" s="21"/>
      <c r="CT407" s="21"/>
      <c r="CU407" s="21"/>
      <c r="CV407" s="21"/>
      <c r="CW407" s="21"/>
    </row>
    <row r="408" spans="1:101" x14ac:dyDescent="0.25">
      <c r="A408" s="22" t="s">
        <v>1412</v>
      </c>
      <c r="B408" s="10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c r="AA408" s="21"/>
      <c r="AB408" s="21"/>
      <c r="AC408" s="21"/>
      <c r="AD408" s="21"/>
      <c r="AE408" s="21"/>
      <c r="AF408" s="21"/>
      <c r="AG408" s="21"/>
      <c r="AH408" s="21"/>
      <c r="AI408" s="21"/>
      <c r="AJ408" s="21"/>
      <c r="AK408" s="21"/>
      <c r="AL408" s="21"/>
      <c r="AM408" s="21"/>
      <c r="AN408" s="21"/>
      <c r="AO408" s="21"/>
      <c r="AP408" s="21"/>
      <c r="AQ408" s="21"/>
      <c r="AR408" s="21"/>
      <c r="AS408" s="21"/>
      <c r="AT408" s="21"/>
      <c r="AU408" s="21"/>
      <c r="AV408" s="21"/>
      <c r="AW408" s="21"/>
      <c r="AX408" s="21"/>
      <c r="AY408" s="21"/>
      <c r="AZ408" s="21"/>
      <c r="BA408" s="21"/>
      <c r="BB408" s="21"/>
      <c r="BC408" s="21"/>
      <c r="BD408" s="21"/>
      <c r="BE408" s="21"/>
      <c r="BF408" s="21"/>
      <c r="BG408" s="21"/>
      <c r="BH408" s="21"/>
      <c r="BI408" s="21"/>
      <c r="BJ408" s="21"/>
      <c r="BK408" s="21"/>
      <c r="BL408" s="21"/>
      <c r="BM408" s="21"/>
      <c r="BN408" s="21"/>
      <c r="BO408" s="21"/>
      <c r="BP408" s="21"/>
      <c r="BQ408" s="21"/>
      <c r="BR408" s="21"/>
      <c r="BS408" s="21"/>
      <c r="BT408" s="21"/>
      <c r="BU408" s="21"/>
      <c r="BV408" s="101"/>
      <c r="BW408" s="21"/>
      <c r="BX408" s="21"/>
      <c r="BY408" s="21"/>
      <c r="BZ408" s="21"/>
      <c r="CA408" s="21"/>
      <c r="CB408" s="101" t="s">
        <v>1330</v>
      </c>
      <c r="CC408" s="21"/>
      <c r="CD408" s="21"/>
      <c r="CE408" s="21"/>
      <c r="CF408" s="21"/>
      <c r="CG408" s="21"/>
      <c r="CH408" s="21"/>
      <c r="CI408" s="21"/>
      <c r="CJ408" s="21"/>
      <c r="CK408" s="21"/>
      <c r="CL408" s="21"/>
      <c r="CM408" s="21"/>
      <c r="CN408" s="21"/>
      <c r="CO408" s="21"/>
      <c r="CP408" s="21"/>
      <c r="CQ408" s="21"/>
      <c r="CR408" s="21"/>
      <c r="CS408" s="21"/>
      <c r="CT408" s="21"/>
      <c r="CU408" s="21"/>
      <c r="CV408" s="21"/>
      <c r="CW408" s="21"/>
    </row>
    <row r="409" spans="1:101" x14ac:dyDescent="0.25">
      <c r="A409" s="22" t="s">
        <v>1336</v>
      </c>
      <c r="B409" s="10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c r="AA409" s="21"/>
      <c r="AB409" s="21"/>
      <c r="AC409" s="21"/>
      <c r="AD409" s="21"/>
      <c r="AE409" s="21"/>
      <c r="AF409" s="21"/>
      <c r="AG409" s="21"/>
      <c r="AH409" s="21"/>
      <c r="AI409" s="21"/>
      <c r="AJ409" s="21"/>
      <c r="AK409" s="21"/>
      <c r="AL409" s="21"/>
      <c r="AM409" s="21"/>
      <c r="AN409" s="21"/>
      <c r="AO409" s="21"/>
      <c r="AP409" s="21"/>
      <c r="AQ409" s="21"/>
      <c r="AR409" s="21"/>
      <c r="AS409" s="21"/>
      <c r="AT409" s="21"/>
      <c r="AU409" s="21"/>
      <c r="AV409" s="21"/>
      <c r="AW409" s="21"/>
      <c r="AX409" s="21"/>
      <c r="AY409" s="21"/>
      <c r="AZ409" s="21"/>
      <c r="BA409" s="21"/>
      <c r="BB409" s="21"/>
      <c r="BC409" s="21"/>
      <c r="BD409" s="21"/>
      <c r="BE409" s="21"/>
      <c r="BF409" s="21"/>
      <c r="BG409" s="21"/>
      <c r="BH409" s="21"/>
      <c r="BI409" s="21"/>
      <c r="BJ409" s="21"/>
      <c r="BK409" s="21"/>
      <c r="BL409" s="21"/>
      <c r="BM409" s="21"/>
      <c r="BN409" s="21"/>
      <c r="BO409" s="21"/>
      <c r="BP409" s="21"/>
      <c r="BQ409" s="21"/>
      <c r="BR409" s="21"/>
      <c r="BS409" s="21"/>
      <c r="BT409" s="21"/>
      <c r="BU409" s="21"/>
      <c r="BV409" s="101"/>
      <c r="BW409" s="21"/>
      <c r="BX409" s="21"/>
      <c r="BY409" s="21"/>
      <c r="BZ409" s="21"/>
      <c r="CA409" s="21"/>
      <c r="CB409" s="21"/>
      <c r="CC409" s="101" t="s">
        <v>1330</v>
      </c>
      <c r="CD409" s="21"/>
      <c r="CE409" s="21"/>
      <c r="CF409" s="21"/>
      <c r="CG409" s="21"/>
      <c r="CH409" s="21"/>
      <c r="CI409" s="21"/>
      <c r="CJ409" s="21"/>
      <c r="CK409" s="21"/>
      <c r="CL409" s="21"/>
      <c r="CM409" s="21"/>
      <c r="CN409" s="21"/>
      <c r="CO409" s="21"/>
      <c r="CP409" s="21"/>
      <c r="CQ409" s="21"/>
      <c r="CR409" s="21"/>
      <c r="CS409" s="21"/>
      <c r="CT409" s="21"/>
      <c r="CU409" s="21"/>
      <c r="CV409" s="21"/>
      <c r="CW409" s="21"/>
    </row>
    <row r="410" spans="1:101" x14ac:dyDescent="0.25">
      <c r="A410" s="22" t="s">
        <v>1413</v>
      </c>
      <c r="B410" s="10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c r="AA410" s="21"/>
      <c r="AB410" s="21"/>
      <c r="AC410" s="21"/>
      <c r="AD410" s="21"/>
      <c r="AE410" s="21"/>
      <c r="AF410" s="21"/>
      <c r="AG410" s="21"/>
      <c r="AH410" s="21"/>
      <c r="AI410" s="21"/>
      <c r="AJ410" s="21"/>
      <c r="AK410" s="21"/>
      <c r="AL410" s="21"/>
      <c r="AM410" s="21"/>
      <c r="AN410" s="21"/>
      <c r="AO410" s="21"/>
      <c r="AP410" s="21"/>
      <c r="AQ410" s="21"/>
      <c r="AR410" s="21"/>
      <c r="AS410" s="21"/>
      <c r="AT410" s="21"/>
      <c r="AU410" s="21"/>
      <c r="AV410" s="21"/>
      <c r="AW410" s="21"/>
      <c r="AX410" s="21"/>
      <c r="AY410" s="21"/>
      <c r="AZ410" s="21"/>
      <c r="BA410" s="21"/>
      <c r="BB410" s="21"/>
      <c r="BC410" s="21"/>
      <c r="BD410" s="21"/>
      <c r="BE410" s="21"/>
      <c r="BF410" s="21"/>
      <c r="BG410" s="21"/>
      <c r="BH410" s="21"/>
      <c r="BI410" s="21"/>
      <c r="BJ410" s="21"/>
      <c r="BK410" s="21"/>
      <c r="BL410" s="21"/>
      <c r="BM410" s="21"/>
      <c r="BN410" s="21"/>
      <c r="BO410" s="21"/>
      <c r="BP410" s="21"/>
      <c r="BQ410" s="21"/>
      <c r="BR410" s="21"/>
      <c r="BS410" s="21"/>
      <c r="BT410" s="21"/>
      <c r="BU410" s="21"/>
      <c r="BV410" s="101"/>
      <c r="BW410" s="21"/>
      <c r="BX410" s="21"/>
      <c r="BY410" s="21"/>
      <c r="BZ410" s="21"/>
      <c r="CA410" s="21"/>
      <c r="CB410" s="21"/>
      <c r="CC410" s="21"/>
      <c r="CD410" s="101" t="s">
        <v>1330</v>
      </c>
      <c r="CE410" s="21"/>
      <c r="CF410" s="21"/>
      <c r="CG410" s="21"/>
      <c r="CH410" s="21"/>
      <c r="CI410" s="21"/>
      <c r="CJ410" s="21"/>
      <c r="CK410" s="21"/>
      <c r="CL410" s="21"/>
      <c r="CM410" s="21"/>
      <c r="CN410" s="21"/>
      <c r="CO410" s="21"/>
      <c r="CP410" s="21"/>
      <c r="CQ410" s="21"/>
      <c r="CR410" s="21"/>
      <c r="CS410" s="21"/>
      <c r="CT410" s="21"/>
      <c r="CU410" s="21"/>
      <c r="CV410" s="21"/>
      <c r="CW410" s="21"/>
    </row>
    <row r="411" spans="1:101" x14ac:dyDescent="0.25">
      <c r="A411" s="22" t="s">
        <v>1414</v>
      </c>
      <c r="B411" s="10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c r="AA411" s="21"/>
      <c r="AB411" s="21"/>
      <c r="AC411" s="21"/>
      <c r="AD411" s="21"/>
      <c r="AE411" s="21"/>
      <c r="AF411" s="21"/>
      <c r="AG411" s="21"/>
      <c r="AH411" s="21"/>
      <c r="AI411" s="21"/>
      <c r="AJ411" s="21"/>
      <c r="AK411" s="21"/>
      <c r="AL411" s="21"/>
      <c r="AM411" s="21"/>
      <c r="AN411" s="21"/>
      <c r="AO411" s="21"/>
      <c r="AP411" s="21"/>
      <c r="AQ411" s="21"/>
      <c r="AR411" s="21"/>
      <c r="AS411" s="21"/>
      <c r="AT411" s="21"/>
      <c r="AU411" s="21"/>
      <c r="AV411" s="21"/>
      <c r="AW411" s="21"/>
      <c r="AX411" s="21"/>
      <c r="AY411" s="21"/>
      <c r="AZ411" s="21"/>
      <c r="BA411" s="21"/>
      <c r="BB411" s="21"/>
      <c r="BC411" s="21"/>
      <c r="BD411" s="21"/>
      <c r="BE411" s="21"/>
      <c r="BF411" s="21"/>
      <c r="BG411" s="21"/>
      <c r="BH411" s="21"/>
      <c r="BI411" s="21"/>
      <c r="BJ411" s="21"/>
      <c r="BK411" s="21"/>
      <c r="BL411" s="21"/>
      <c r="BM411" s="21"/>
      <c r="BN411" s="21"/>
      <c r="BO411" s="21"/>
      <c r="BP411" s="21"/>
      <c r="BQ411" s="21"/>
      <c r="BR411" s="21"/>
      <c r="BS411" s="21"/>
      <c r="BT411" s="21"/>
      <c r="BU411" s="21"/>
      <c r="BV411" s="21"/>
      <c r="BW411" s="21"/>
      <c r="BX411" s="21"/>
      <c r="BY411" s="21"/>
      <c r="BZ411" s="21"/>
      <c r="CA411" s="21"/>
      <c r="CB411" s="21"/>
      <c r="CC411" s="21"/>
      <c r="CD411" s="21"/>
      <c r="CE411" s="101" t="s">
        <v>1330</v>
      </c>
      <c r="CF411" s="21"/>
      <c r="CG411" s="21"/>
      <c r="CH411" s="21"/>
      <c r="CI411" s="21"/>
      <c r="CJ411" s="21"/>
      <c r="CK411" s="21"/>
      <c r="CL411" s="21"/>
      <c r="CM411" s="21"/>
      <c r="CN411" s="21"/>
      <c r="CO411" s="21"/>
      <c r="CP411" s="21"/>
      <c r="CQ411" s="21"/>
      <c r="CR411" s="21"/>
      <c r="CS411" s="21"/>
      <c r="CT411" s="21"/>
      <c r="CU411" s="21"/>
      <c r="CV411" s="21"/>
      <c r="CW411" s="21"/>
    </row>
    <row r="412" spans="1:101" x14ac:dyDescent="0.25">
      <c r="A412" s="22" t="s">
        <v>1415</v>
      </c>
      <c r="B412" s="10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c r="AA412" s="21"/>
      <c r="AB412" s="21"/>
      <c r="AC412" s="21"/>
      <c r="AD412" s="21"/>
      <c r="AE412" s="21"/>
      <c r="AF412" s="21"/>
      <c r="AG412" s="21"/>
      <c r="AH412" s="21"/>
      <c r="AI412" s="21"/>
      <c r="AJ412" s="21"/>
      <c r="AK412" s="21"/>
      <c r="AL412" s="21"/>
      <c r="AM412" s="21"/>
      <c r="AN412" s="21"/>
      <c r="AO412" s="21"/>
      <c r="AP412" s="21"/>
      <c r="AQ412" s="21"/>
      <c r="AR412" s="21"/>
      <c r="AS412" s="21"/>
      <c r="AT412" s="21"/>
      <c r="AU412" s="21"/>
      <c r="AV412" s="21"/>
      <c r="AW412" s="21"/>
      <c r="AX412" s="21"/>
      <c r="AY412" s="21"/>
      <c r="AZ412" s="21"/>
      <c r="BA412" s="21"/>
      <c r="BB412" s="21"/>
      <c r="BC412" s="21"/>
      <c r="BD412" s="21"/>
      <c r="BE412" s="21"/>
      <c r="BF412" s="21"/>
      <c r="BG412" s="21"/>
      <c r="BH412" s="21"/>
      <c r="BI412" s="21"/>
      <c r="BJ412" s="21"/>
      <c r="BK412" s="21"/>
      <c r="BL412" s="21"/>
      <c r="BM412" s="21"/>
      <c r="BN412" s="21"/>
      <c r="BO412" s="21"/>
      <c r="BP412" s="21"/>
      <c r="BQ412" s="21"/>
      <c r="BR412" s="21"/>
      <c r="BS412" s="21"/>
      <c r="BT412" s="21"/>
      <c r="BU412" s="21"/>
      <c r="BV412" s="21"/>
      <c r="BW412" s="21"/>
      <c r="BX412" s="21"/>
      <c r="BY412" s="21"/>
      <c r="BZ412" s="21"/>
      <c r="CA412" s="21"/>
      <c r="CB412" s="21"/>
      <c r="CC412" s="21"/>
      <c r="CD412" s="21"/>
      <c r="CE412" s="101"/>
      <c r="CF412" s="101" t="s">
        <v>1330</v>
      </c>
      <c r="CG412" s="21"/>
      <c r="CH412" s="21"/>
      <c r="CI412" s="21"/>
      <c r="CJ412" s="21"/>
      <c r="CK412" s="21"/>
      <c r="CL412" s="21"/>
      <c r="CM412" s="21"/>
      <c r="CN412" s="21"/>
      <c r="CO412" s="21"/>
      <c r="CP412" s="21"/>
      <c r="CQ412" s="21"/>
      <c r="CR412" s="21"/>
      <c r="CS412" s="21"/>
      <c r="CT412" s="21"/>
      <c r="CU412" s="21"/>
      <c r="CV412" s="21"/>
      <c r="CW412" s="21"/>
    </row>
    <row r="413" spans="1:101" x14ac:dyDescent="0.25">
      <c r="A413" s="22" t="s">
        <v>1416</v>
      </c>
      <c r="B413" s="10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c r="AA413" s="21"/>
      <c r="AB413" s="21"/>
      <c r="AC413" s="21"/>
      <c r="AD413" s="21"/>
      <c r="AE413" s="21"/>
      <c r="AF413" s="21"/>
      <c r="AG413" s="21"/>
      <c r="AH413" s="21"/>
      <c r="AI413" s="21"/>
      <c r="AJ413" s="21"/>
      <c r="AK413" s="21"/>
      <c r="AL413" s="21"/>
      <c r="AM413" s="21"/>
      <c r="AN413" s="21"/>
      <c r="AO413" s="21"/>
      <c r="AP413" s="21"/>
      <c r="AQ413" s="21"/>
      <c r="AR413" s="21"/>
      <c r="AS413" s="21"/>
      <c r="AT413" s="21"/>
      <c r="AU413" s="21"/>
      <c r="AV413" s="21"/>
      <c r="AW413" s="21"/>
      <c r="AX413" s="21"/>
      <c r="AY413" s="21"/>
      <c r="AZ413" s="21"/>
      <c r="BA413" s="21"/>
      <c r="BB413" s="21"/>
      <c r="BC413" s="21"/>
      <c r="BD413" s="21"/>
      <c r="BE413" s="21"/>
      <c r="BF413" s="21"/>
      <c r="BG413" s="21"/>
      <c r="BH413" s="21"/>
      <c r="BI413" s="21"/>
      <c r="BJ413" s="21"/>
      <c r="BK413" s="21"/>
      <c r="BL413" s="21"/>
      <c r="BM413" s="21"/>
      <c r="BN413" s="21"/>
      <c r="BO413" s="21"/>
      <c r="BP413" s="21"/>
      <c r="BQ413" s="21"/>
      <c r="BR413" s="21"/>
      <c r="BS413" s="21"/>
      <c r="BT413" s="21"/>
      <c r="BU413" s="21"/>
      <c r="BV413" s="21"/>
      <c r="BW413" s="21"/>
      <c r="BX413" s="21"/>
      <c r="BY413" s="21"/>
      <c r="BZ413" s="21"/>
      <c r="CA413" s="21"/>
      <c r="CB413" s="21"/>
      <c r="CC413" s="21"/>
      <c r="CD413" s="21"/>
      <c r="CE413" s="101"/>
      <c r="CF413" s="21"/>
      <c r="CG413" s="101" t="s">
        <v>1330</v>
      </c>
      <c r="CH413" s="21"/>
      <c r="CI413" s="21"/>
      <c r="CJ413" s="21"/>
      <c r="CK413" s="21"/>
      <c r="CL413" s="21"/>
      <c r="CM413" s="21"/>
      <c r="CN413" s="21"/>
      <c r="CO413" s="21"/>
      <c r="CP413" s="21"/>
      <c r="CQ413" s="21"/>
      <c r="CR413" s="21"/>
      <c r="CS413" s="21"/>
      <c r="CT413" s="21"/>
      <c r="CU413" s="21"/>
      <c r="CV413" s="21"/>
      <c r="CW413" s="21"/>
    </row>
    <row r="414" spans="1:101" x14ac:dyDescent="0.25">
      <c r="A414" s="22" t="s">
        <v>1417</v>
      </c>
      <c r="B414" s="10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c r="AA414" s="21"/>
      <c r="AB414" s="21"/>
      <c r="AC414" s="21"/>
      <c r="AD414" s="21"/>
      <c r="AE414" s="21"/>
      <c r="AF414" s="21"/>
      <c r="AG414" s="21"/>
      <c r="AH414" s="21"/>
      <c r="AI414" s="21"/>
      <c r="AJ414" s="21"/>
      <c r="AK414" s="21"/>
      <c r="AL414" s="21"/>
      <c r="AM414" s="21"/>
      <c r="AN414" s="21"/>
      <c r="AO414" s="21"/>
      <c r="AP414" s="21"/>
      <c r="AQ414" s="21"/>
      <c r="AR414" s="21"/>
      <c r="AS414" s="21"/>
      <c r="AT414" s="21"/>
      <c r="AU414" s="21"/>
      <c r="AV414" s="21"/>
      <c r="AW414" s="21"/>
      <c r="AX414" s="21"/>
      <c r="AY414" s="21"/>
      <c r="AZ414" s="21"/>
      <c r="BA414" s="21"/>
      <c r="BB414" s="21"/>
      <c r="BC414" s="21"/>
      <c r="BD414" s="21"/>
      <c r="BE414" s="21"/>
      <c r="BF414" s="21"/>
      <c r="BG414" s="21"/>
      <c r="BH414" s="21"/>
      <c r="BI414" s="21"/>
      <c r="BJ414" s="21"/>
      <c r="BK414" s="21"/>
      <c r="BL414" s="21"/>
      <c r="BM414" s="21"/>
      <c r="BN414" s="21"/>
      <c r="BO414" s="21"/>
      <c r="BP414" s="21"/>
      <c r="BQ414" s="21"/>
      <c r="BR414" s="21"/>
      <c r="BS414" s="21"/>
      <c r="BT414" s="21"/>
      <c r="BU414" s="21"/>
      <c r="BV414" s="21"/>
      <c r="BW414" s="21"/>
      <c r="BX414" s="21"/>
      <c r="BY414" s="21"/>
      <c r="BZ414" s="21"/>
      <c r="CA414" s="21"/>
      <c r="CB414" s="21"/>
      <c r="CC414" s="21"/>
      <c r="CD414" s="21"/>
      <c r="CE414" s="101"/>
      <c r="CF414" s="21"/>
      <c r="CG414" s="21"/>
      <c r="CH414" s="101" t="s">
        <v>1330</v>
      </c>
      <c r="CI414" s="21"/>
      <c r="CJ414" s="21"/>
      <c r="CK414" s="21"/>
      <c r="CL414" s="21"/>
      <c r="CM414" s="21"/>
      <c r="CN414" s="21"/>
      <c r="CO414" s="21"/>
      <c r="CP414" s="21"/>
      <c r="CQ414" s="21"/>
      <c r="CR414" s="21"/>
      <c r="CS414" s="21"/>
      <c r="CT414" s="21"/>
      <c r="CU414" s="21"/>
      <c r="CV414" s="21"/>
      <c r="CW414" s="21"/>
    </row>
    <row r="415" spans="1:101" x14ac:dyDescent="0.25">
      <c r="A415" s="22" t="s">
        <v>1418</v>
      </c>
      <c r="B415" s="10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c r="AA415" s="21"/>
      <c r="AB415" s="21"/>
      <c r="AC415" s="21"/>
      <c r="AD415" s="21"/>
      <c r="AE415" s="21"/>
      <c r="AF415" s="21"/>
      <c r="AG415" s="21"/>
      <c r="AH415" s="21"/>
      <c r="AI415" s="21"/>
      <c r="AJ415" s="21"/>
      <c r="AK415" s="21"/>
      <c r="AL415" s="21"/>
      <c r="AM415" s="21"/>
      <c r="AN415" s="21"/>
      <c r="AO415" s="21"/>
      <c r="AP415" s="21"/>
      <c r="AQ415" s="21"/>
      <c r="AR415" s="21"/>
      <c r="AS415" s="21"/>
      <c r="AT415" s="21"/>
      <c r="AU415" s="21"/>
      <c r="AV415" s="21"/>
      <c r="AW415" s="21"/>
      <c r="AX415" s="21"/>
      <c r="AY415" s="21"/>
      <c r="AZ415" s="21"/>
      <c r="BA415" s="21"/>
      <c r="BB415" s="21"/>
      <c r="BC415" s="21"/>
      <c r="BD415" s="21"/>
      <c r="BE415" s="21"/>
      <c r="BF415" s="21"/>
      <c r="BG415" s="21"/>
      <c r="BH415" s="21"/>
      <c r="BI415" s="21"/>
      <c r="BJ415" s="21"/>
      <c r="BK415" s="21"/>
      <c r="BL415" s="21"/>
      <c r="BM415" s="21"/>
      <c r="BN415" s="21"/>
      <c r="BO415" s="21"/>
      <c r="BP415" s="21"/>
      <c r="BQ415" s="21"/>
      <c r="BR415" s="21"/>
      <c r="BS415" s="21"/>
      <c r="BT415" s="21"/>
      <c r="BU415" s="21"/>
      <c r="BV415" s="21"/>
      <c r="BW415" s="21"/>
      <c r="BX415" s="21"/>
      <c r="BY415" s="21"/>
      <c r="BZ415" s="21"/>
      <c r="CA415" s="21"/>
      <c r="CB415" s="21"/>
      <c r="CC415" s="21"/>
      <c r="CD415" s="21"/>
      <c r="CE415" s="101"/>
      <c r="CF415" s="21"/>
      <c r="CG415" s="21"/>
      <c r="CH415" s="21"/>
      <c r="CI415" s="101" t="s">
        <v>1330</v>
      </c>
      <c r="CJ415" s="21"/>
      <c r="CK415" s="21"/>
      <c r="CL415" s="21"/>
      <c r="CM415" s="21"/>
      <c r="CN415" s="21"/>
      <c r="CO415" s="21"/>
      <c r="CP415" s="21"/>
      <c r="CQ415" s="21"/>
      <c r="CR415" s="21"/>
      <c r="CS415" s="21"/>
      <c r="CT415" s="21"/>
      <c r="CU415" s="21"/>
      <c r="CV415" s="21"/>
      <c r="CW415" s="21"/>
    </row>
    <row r="416" spans="1:101" x14ac:dyDescent="0.25">
      <c r="A416" s="22" t="s">
        <v>1419</v>
      </c>
      <c r="B416" s="10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c r="AA416" s="21"/>
      <c r="AB416" s="21"/>
      <c r="AC416" s="21"/>
      <c r="AD416" s="21"/>
      <c r="AE416" s="21"/>
      <c r="AF416" s="21"/>
      <c r="AG416" s="21"/>
      <c r="AH416" s="21"/>
      <c r="AI416" s="21"/>
      <c r="AJ416" s="21"/>
      <c r="AK416" s="21"/>
      <c r="AL416" s="21"/>
      <c r="AM416" s="21"/>
      <c r="AN416" s="21"/>
      <c r="AO416" s="21"/>
      <c r="AP416" s="21"/>
      <c r="AQ416" s="21"/>
      <c r="AR416" s="21"/>
      <c r="AS416" s="21"/>
      <c r="AT416" s="21"/>
      <c r="AU416" s="21"/>
      <c r="AV416" s="21"/>
      <c r="AW416" s="21"/>
      <c r="AX416" s="21"/>
      <c r="AY416" s="21"/>
      <c r="AZ416" s="21"/>
      <c r="BA416" s="21"/>
      <c r="BB416" s="21"/>
      <c r="BC416" s="21"/>
      <c r="BD416" s="21"/>
      <c r="BE416" s="21"/>
      <c r="BF416" s="21"/>
      <c r="BG416" s="21"/>
      <c r="BH416" s="21"/>
      <c r="BI416" s="21"/>
      <c r="BJ416" s="21"/>
      <c r="BK416" s="21"/>
      <c r="BL416" s="21"/>
      <c r="BM416" s="21"/>
      <c r="BN416" s="21"/>
      <c r="BO416" s="21"/>
      <c r="BP416" s="21"/>
      <c r="BQ416" s="21"/>
      <c r="BR416" s="21"/>
      <c r="BS416" s="21"/>
      <c r="BT416" s="21"/>
      <c r="BU416" s="21"/>
      <c r="BV416" s="21"/>
      <c r="BW416" s="21"/>
      <c r="BX416" s="21"/>
      <c r="BY416" s="21"/>
      <c r="BZ416" s="21"/>
      <c r="CA416" s="21"/>
      <c r="CB416" s="21"/>
      <c r="CC416" s="21"/>
      <c r="CD416" s="21"/>
      <c r="CE416" s="101"/>
      <c r="CF416" s="21"/>
      <c r="CG416" s="21"/>
      <c r="CH416" s="21"/>
      <c r="CI416" s="21"/>
      <c r="CJ416" s="101" t="s">
        <v>1330</v>
      </c>
      <c r="CK416" s="21"/>
      <c r="CL416" s="21"/>
      <c r="CM416" s="21"/>
      <c r="CN416" s="21"/>
      <c r="CO416" s="21"/>
      <c r="CP416" s="21"/>
      <c r="CQ416" s="21"/>
      <c r="CR416" s="21"/>
      <c r="CS416" s="21"/>
      <c r="CT416" s="21"/>
      <c r="CU416" s="21"/>
      <c r="CV416" s="21"/>
      <c r="CW416" s="21"/>
    </row>
    <row r="417" spans="1:101" x14ac:dyDescent="0.25">
      <c r="A417" s="22" t="s">
        <v>1421</v>
      </c>
      <c r="B417" s="10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c r="AA417" s="21"/>
      <c r="AB417" s="21"/>
      <c r="AC417" s="21"/>
      <c r="AD417" s="21"/>
      <c r="AE417" s="21"/>
      <c r="AF417" s="21"/>
      <c r="AG417" s="21"/>
      <c r="AH417" s="21"/>
      <c r="AI417" s="21"/>
      <c r="AJ417" s="21"/>
      <c r="AK417" s="21"/>
      <c r="AL417" s="21"/>
      <c r="AM417" s="21"/>
      <c r="AN417" s="21"/>
      <c r="AO417" s="21"/>
      <c r="AP417" s="21"/>
      <c r="AQ417" s="21"/>
      <c r="AR417" s="21"/>
      <c r="AS417" s="21"/>
      <c r="AT417" s="21"/>
      <c r="AU417" s="21"/>
      <c r="AV417" s="21"/>
      <c r="AW417" s="21"/>
      <c r="AX417" s="21"/>
      <c r="AY417" s="21"/>
      <c r="AZ417" s="21"/>
      <c r="BA417" s="21"/>
      <c r="BB417" s="21"/>
      <c r="BC417" s="21"/>
      <c r="BD417" s="21"/>
      <c r="BE417" s="21"/>
      <c r="BF417" s="21"/>
      <c r="BG417" s="21"/>
      <c r="BH417" s="21"/>
      <c r="BI417" s="21"/>
      <c r="BJ417" s="21"/>
      <c r="BK417" s="21"/>
      <c r="BL417" s="21"/>
      <c r="BM417" s="21"/>
      <c r="BN417" s="21"/>
      <c r="BO417" s="21"/>
      <c r="BP417" s="21"/>
      <c r="BQ417" s="21"/>
      <c r="BR417" s="21"/>
      <c r="BS417" s="21"/>
      <c r="BT417" s="21"/>
      <c r="BU417" s="21"/>
      <c r="BV417" s="21"/>
      <c r="BW417" s="21"/>
      <c r="BX417" s="21"/>
      <c r="BY417" s="21"/>
      <c r="BZ417" s="21"/>
      <c r="CA417" s="21"/>
      <c r="CB417" s="21"/>
      <c r="CC417" s="21"/>
      <c r="CD417" s="21"/>
      <c r="CE417" s="101"/>
      <c r="CF417" s="21"/>
      <c r="CG417" s="21"/>
      <c r="CH417" s="21"/>
      <c r="CI417" s="21"/>
      <c r="CJ417" s="21"/>
      <c r="CK417" s="101" t="s">
        <v>1330</v>
      </c>
      <c r="CL417" s="21"/>
      <c r="CM417" s="21"/>
      <c r="CN417" s="21"/>
      <c r="CO417" s="21"/>
      <c r="CP417" s="21"/>
      <c r="CQ417" s="21"/>
      <c r="CR417" s="21"/>
      <c r="CS417" s="21"/>
      <c r="CT417" s="21"/>
      <c r="CU417" s="21"/>
      <c r="CV417" s="21"/>
      <c r="CW417" s="21"/>
    </row>
    <row r="418" spans="1:101" x14ac:dyDescent="0.25">
      <c r="A418" s="22" t="s">
        <v>1420</v>
      </c>
      <c r="B418" s="10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c r="AA418" s="21"/>
      <c r="AB418" s="21"/>
      <c r="AC418" s="21"/>
      <c r="AD418" s="21"/>
      <c r="AE418" s="21"/>
      <c r="AF418" s="21"/>
      <c r="AG418" s="21"/>
      <c r="AH418" s="21"/>
      <c r="AI418" s="21"/>
      <c r="AJ418" s="21"/>
      <c r="AK418" s="21"/>
      <c r="AL418" s="21"/>
      <c r="AM418" s="21"/>
      <c r="AN418" s="21"/>
      <c r="AO418" s="21"/>
      <c r="AP418" s="21"/>
      <c r="AQ418" s="21"/>
      <c r="AR418" s="21"/>
      <c r="AS418" s="21"/>
      <c r="AT418" s="21"/>
      <c r="AU418" s="21"/>
      <c r="AV418" s="21"/>
      <c r="AW418" s="21"/>
      <c r="AX418" s="21"/>
      <c r="AY418" s="21"/>
      <c r="AZ418" s="21"/>
      <c r="BA418" s="21"/>
      <c r="BB418" s="21"/>
      <c r="BC418" s="21"/>
      <c r="BD418" s="21"/>
      <c r="BE418" s="21"/>
      <c r="BF418" s="21"/>
      <c r="BG418" s="21"/>
      <c r="BH418" s="21"/>
      <c r="BI418" s="21"/>
      <c r="BJ418" s="21"/>
      <c r="BK418" s="21"/>
      <c r="BL418" s="21"/>
      <c r="BM418" s="21"/>
      <c r="BN418" s="21"/>
      <c r="BO418" s="21"/>
      <c r="BP418" s="21"/>
      <c r="BQ418" s="21"/>
      <c r="BR418" s="21"/>
      <c r="BS418" s="21"/>
      <c r="BT418" s="21"/>
      <c r="BU418" s="21"/>
      <c r="BV418" s="21"/>
      <c r="BW418" s="21"/>
      <c r="BX418" s="21"/>
      <c r="BY418" s="21"/>
      <c r="BZ418" s="21"/>
      <c r="CA418" s="21"/>
      <c r="CB418" s="21"/>
      <c r="CC418" s="21"/>
      <c r="CD418" s="21"/>
      <c r="CE418" s="101"/>
      <c r="CF418" s="21"/>
      <c r="CG418" s="21"/>
      <c r="CH418" s="21"/>
      <c r="CI418" s="21"/>
      <c r="CJ418" s="21"/>
      <c r="CK418" s="21"/>
      <c r="CL418" s="101" t="s">
        <v>1330</v>
      </c>
      <c r="CM418" s="21"/>
      <c r="CN418" s="21"/>
      <c r="CO418" s="21"/>
      <c r="CP418" s="21"/>
      <c r="CQ418" s="21"/>
      <c r="CR418" s="21"/>
      <c r="CS418" s="21"/>
      <c r="CT418" s="21"/>
      <c r="CU418" s="21"/>
      <c r="CV418" s="21"/>
      <c r="CW418" s="21"/>
    </row>
    <row r="419" spans="1:101" x14ac:dyDescent="0.25">
      <c r="A419" s="22" t="s">
        <v>1423</v>
      </c>
      <c r="B419" s="10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c r="AA419" s="21"/>
      <c r="AB419" s="21"/>
      <c r="AC419" s="21"/>
      <c r="AD419" s="21"/>
      <c r="AE419" s="21"/>
      <c r="AF419" s="21"/>
      <c r="AG419" s="21"/>
      <c r="AH419" s="21"/>
      <c r="AI419" s="21"/>
      <c r="AJ419" s="21"/>
      <c r="AK419" s="21"/>
      <c r="AL419" s="21"/>
      <c r="AM419" s="21"/>
      <c r="AN419" s="21"/>
      <c r="AO419" s="21"/>
      <c r="AP419" s="21"/>
      <c r="AQ419" s="21"/>
      <c r="AR419" s="21"/>
      <c r="AS419" s="21"/>
      <c r="AT419" s="21"/>
      <c r="AU419" s="21"/>
      <c r="AV419" s="21"/>
      <c r="AW419" s="21"/>
      <c r="AX419" s="21"/>
      <c r="AY419" s="21"/>
      <c r="AZ419" s="21"/>
      <c r="BA419" s="21"/>
      <c r="BB419" s="21"/>
      <c r="BC419" s="21"/>
      <c r="BD419" s="21"/>
      <c r="BE419" s="21"/>
      <c r="BF419" s="21"/>
      <c r="BG419" s="21"/>
      <c r="BH419" s="21"/>
      <c r="BI419" s="21"/>
      <c r="BJ419" s="21"/>
      <c r="BK419" s="21"/>
      <c r="BL419" s="21"/>
      <c r="BM419" s="21"/>
      <c r="BN419" s="21"/>
      <c r="BO419" s="21"/>
      <c r="BP419" s="21"/>
      <c r="BQ419" s="21"/>
      <c r="BR419" s="21"/>
      <c r="BS419" s="21"/>
      <c r="BT419" s="21"/>
      <c r="BU419" s="21"/>
      <c r="BV419" s="21"/>
      <c r="BW419" s="21"/>
      <c r="BX419" s="21"/>
      <c r="BY419" s="21"/>
      <c r="BZ419" s="21"/>
      <c r="CA419" s="21"/>
      <c r="CB419" s="21"/>
      <c r="CC419" s="21"/>
      <c r="CD419" s="21"/>
      <c r="CE419" s="101"/>
      <c r="CF419" s="21"/>
      <c r="CG419" s="21"/>
      <c r="CH419" s="21"/>
      <c r="CI419" s="21"/>
      <c r="CJ419" s="21"/>
      <c r="CK419" s="21"/>
      <c r="CL419" s="21"/>
      <c r="CM419" s="101" t="s">
        <v>1330</v>
      </c>
      <c r="CN419" s="21"/>
      <c r="CO419" s="21"/>
      <c r="CP419" s="21"/>
      <c r="CQ419" s="21"/>
      <c r="CR419" s="21"/>
      <c r="CS419" s="21"/>
      <c r="CT419" s="21"/>
      <c r="CU419" s="21"/>
      <c r="CV419" s="21"/>
      <c r="CW419" s="21"/>
    </row>
    <row r="420" spans="1:101" x14ac:dyDescent="0.25">
      <c r="A420" s="22" t="s">
        <v>1422</v>
      </c>
      <c r="B420" s="10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c r="AA420" s="21"/>
      <c r="AB420" s="21"/>
      <c r="AC420" s="21"/>
      <c r="AD420" s="21"/>
      <c r="AE420" s="21"/>
      <c r="AF420" s="21"/>
      <c r="AG420" s="21"/>
      <c r="AH420" s="21"/>
      <c r="AI420" s="21"/>
      <c r="AJ420" s="21"/>
      <c r="AK420" s="21"/>
      <c r="AL420" s="21"/>
      <c r="AM420" s="21"/>
      <c r="AN420" s="21"/>
      <c r="AO420" s="21"/>
      <c r="AP420" s="21"/>
      <c r="AQ420" s="21"/>
      <c r="AR420" s="21"/>
      <c r="AS420" s="21"/>
      <c r="AT420" s="21"/>
      <c r="AU420" s="21"/>
      <c r="AV420" s="21"/>
      <c r="AW420" s="21"/>
      <c r="AX420" s="21"/>
      <c r="AY420" s="21"/>
      <c r="AZ420" s="21"/>
      <c r="BA420" s="21"/>
      <c r="BB420" s="21"/>
      <c r="BC420" s="21"/>
      <c r="BD420" s="21"/>
      <c r="BE420" s="21"/>
      <c r="BF420" s="21"/>
      <c r="BG420" s="21"/>
      <c r="BH420" s="21"/>
      <c r="BI420" s="21"/>
      <c r="BJ420" s="21"/>
      <c r="BK420" s="21"/>
      <c r="BL420" s="21"/>
      <c r="BM420" s="21"/>
      <c r="BN420" s="21"/>
      <c r="BO420" s="21"/>
      <c r="BP420" s="21"/>
      <c r="BQ420" s="21"/>
      <c r="BR420" s="21"/>
      <c r="BS420" s="21"/>
      <c r="BT420" s="21"/>
      <c r="BU420" s="21"/>
      <c r="BV420" s="21"/>
      <c r="BW420" s="21"/>
      <c r="BX420" s="21"/>
      <c r="BY420" s="21"/>
      <c r="BZ420" s="21"/>
      <c r="CA420" s="21"/>
      <c r="CB420" s="21"/>
      <c r="CC420" s="21"/>
      <c r="CD420" s="21"/>
      <c r="CE420" s="21"/>
      <c r="CF420" s="21"/>
      <c r="CG420" s="21"/>
      <c r="CH420" s="21"/>
      <c r="CI420" s="21"/>
      <c r="CJ420" s="21"/>
      <c r="CK420" s="21"/>
      <c r="CL420" s="21"/>
      <c r="CM420" s="21"/>
      <c r="CN420" s="101" t="s">
        <v>1330</v>
      </c>
      <c r="CO420" s="21"/>
      <c r="CP420" s="21"/>
      <c r="CQ420" s="21"/>
      <c r="CR420" s="21"/>
      <c r="CS420" s="21"/>
      <c r="CT420" s="21"/>
      <c r="CU420" s="21"/>
      <c r="CV420" s="21"/>
      <c r="CW420" s="21"/>
    </row>
    <row r="421" spans="1:101" x14ac:dyDescent="0.25">
      <c r="A421" s="22" t="s">
        <v>1424</v>
      </c>
      <c r="B421" s="10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c r="AA421" s="21"/>
      <c r="AB421" s="21"/>
      <c r="AC421" s="21"/>
      <c r="AD421" s="21"/>
      <c r="AE421" s="21"/>
      <c r="AF421" s="21"/>
      <c r="AG421" s="21"/>
      <c r="AH421" s="21"/>
      <c r="AI421" s="21"/>
      <c r="AJ421" s="21"/>
      <c r="AK421" s="21"/>
      <c r="AL421" s="21"/>
      <c r="AM421" s="21"/>
      <c r="AN421" s="21"/>
      <c r="AO421" s="21"/>
      <c r="AP421" s="21"/>
      <c r="AQ421" s="21"/>
      <c r="AR421" s="21"/>
      <c r="AS421" s="21"/>
      <c r="AT421" s="21"/>
      <c r="AU421" s="21"/>
      <c r="AV421" s="21"/>
      <c r="AW421" s="21"/>
      <c r="AX421" s="21"/>
      <c r="AY421" s="21"/>
      <c r="AZ421" s="21"/>
      <c r="BA421" s="21"/>
      <c r="BB421" s="21"/>
      <c r="BC421" s="21"/>
      <c r="BD421" s="21"/>
      <c r="BE421" s="21"/>
      <c r="BF421" s="21"/>
      <c r="BG421" s="21"/>
      <c r="BH421" s="21"/>
      <c r="BI421" s="21"/>
      <c r="BJ421" s="21"/>
      <c r="BK421" s="21"/>
      <c r="BL421" s="21"/>
      <c r="BM421" s="21"/>
      <c r="BN421" s="21"/>
      <c r="BO421" s="21"/>
      <c r="BP421" s="21"/>
      <c r="BQ421" s="21"/>
      <c r="BR421" s="21"/>
      <c r="BS421" s="21"/>
      <c r="BT421" s="21"/>
      <c r="BU421" s="21"/>
      <c r="BV421" s="21"/>
      <c r="BW421" s="21"/>
      <c r="BX421" s="21"/>
      <c r="BY421" s="21"/>
      <c r="BZ421" s="21"/>
      <c r="CA421" s="21"/>
      <c r="CB421" s="21"/>
      <c r="CC421" s="21"/>
      <c r="CD421" s="21"/>
      <c r="CE421" s="21"/>
      <c r="CF421" s="21"/>
      <c r="CG421" s="21"/>
      <c r="CH421" s="21"/>
      <c r="CI421" s="21"/>
      <c r="CJ421" s="21"/>
      <c r="CK421" s="21"/>
      <c r="CL421" s="21"/>
      <c r="CM421" s="21"/>
      <c r="CN421" s="101"/>
      <c r="CO421" s="101" t="s">
        <v>1330</v>
      </c>
      <c r="CP421" s="21"/>
      <c r="CQ421" s="21"/>
      <c r="CR421" s="21"/>
      <c r="CS421" s="21"/>
      <c r="CT421" s="21"/>
      <c r="CU421" s="21"/>
      <c r="CV421" s="21"/>
      <c r="CW421" s="21"/>
    </row>
    <row r="422" spans="1:101" x14ac:dyDescent="0.25">
      <c r="A422" s="22" t="s">
        <v>1425</v>
      </c>
      <c r="B422" s="10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c r="AA422" s="21"/>
      <c r="AB422" s="21"/>
      <c r="AC422" s="21"/>
      <c r="AD422" s="21"/>
      <c r="AE422" s="21"/>
      <c r="AF422" s="21"/>
      <c r="AG422" s="21"/>
      <c r="AH422" s="21"/>
      <c r="AI422" s="21"/>
      <c r="AJ422" s="21"/>
      <c r="AK422" s="21"/>
      <c r="AL422" s="21"/>
      <c r="AM422" s="21"/>
      <c r="AN422" s="21"/>
      <c r="AO422" s="21"/>
      <c r="AP422" s="21"/>
      <c r="AQ422" s="21"/>
      <c r="AR422" s="21"/>
      <c r="AS422" s="21"/>
      <c r="AT422" s="21"/>
      <c r="AU422" s="21"/>
      <c r="AV422" s="21"/>
      <c r="AW422" s="21"/>
      <c r="AX422" s="21"/>
      <c r="AY422" s="21"/>
      <c r="AZ422" s="21"/>
      <c r="BA422" s="21"/>
      <c r="BB422" s="21"/>
      <c r="BC422" s="21"/>
      <c r="BD422" s="21"/>
      <c r="BE422" s="21"/>
      <c r="BF422" s="21"/>
      <c r="BG422" s="21"/>
      <c r="BH422" s="21"/>
      <c r="BI422" s="21"/>
      <c r="BJ422" s="21"/>
      <c r="BK422" s="21"/>
      <c r="BL422" s="21"/>
      <c r="BM422" s="21"/>
      <c r="BN422" s="21"/>
      <c r="BO422" s="21"/>
      <c r="BP422" s="21"/>
      <c r="BQ422" s="21"/>
      <c r="BR422" s="21"/>
      <c r="BS422" s="21"/>
      <c r="BT422" s="21"/>
      <c r="BU422" s="21"/>
      <c r="BV422" s="21"/>
      <c r="BW422" s="21"/>
      <c r="BX422" s="21"/>
      <c r="BY422" s="21"/>
      <c r="BZ422" s="21"/>
      <c r="CA422" s="21"/>
      <c r="CB422" s="21"/>
      <c r="CC422" s="21"/>
      <c r="CD422" s="21"/>
      <c r="CE422" s="21"/>
      <c r="CF422" s="21"/>
      <c r="CG422" s="21"/>
      <c r="CH422" s="21"/>
      <c r="CI422" s="21"/>
      <c r="CJ422" s="21"/>
      <c r="CK422" s="21"/>
      <c r="CL422" s="21"/>
      <c r="CM422" s="21"/>
      <c r="CN422" s="101"/>
      <c r="CO422" s="21"/>
      <c r="CP422" s="101" t="s">
        <v>1330</v>
      </c>
      <c r="CQ422" s="21"/>
      <c r="CR422" s="21"/>
      <c r="CS422" s="21"/>
      <c r="CT422" s="21"/>
      <c r="CU422" s="21"/>
      <c r="CV422" s="21"/>
      <c r="CW422" s="21"/>
    </row>
    <row r="423" spans="1:101" x14ac:dyDescent="0.25">
      <c r="A423" s="22" t="s">
        <v>1426</v>
      </c>
      <c r="B423" s="10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c r="AA423" s="21"/>
      <c r="AB423" s="21"/>
      <c r="AC423" s="21"/>
      <c r="AD423" s="21"/>
      <c r="AE423" s="21"/>
      <c r="AF423" s="21"/>
      <c r="AG423" s="21"/>
      <c r="AH423" s="21"/>
      <c r="AI423" s="21"/>
      <c r="AJ423" s="21"/>
      <c r="AK423" s="21"/>
      <c r="AL423" s="21"/>
      <c r="AM423" s="21"/>
      <c r="AN423" s="21"/>
      <c r="AO423" s="21"/>
      <c r="AP423" s="21"/>
      <c r="AQ423" s="21"/>
      <c r="AR423" s="21"/>
      <c r="AS423" s="21"/>
      <c r="AT423" s="21"/>
      <c r="AU423" s="21"/>
      <c r="AV423" s="21"/>
      <c r="AW423" s="21"/>
      <c r="AX423" s="21"/>
      <c r="AY423" s="21"/>
      <c r="AZ423" s="21"/>
      <c r="BA423" s="21"/>
      <c r="BB423" s="21"/>
      <c r="BC423" s="21"/>
      <c r="BD423" s="21"/>
      <c r="BE423" s="21"/>
      <c r="BF423" s="21"/>
      <c r="BG423" s="21"/>
      <c r="BH423" s="21"/>
      <c r="BI423" s="21"/>
      <c r="BJ423" s="21"/>
      <c r="BK423" s="21"/>
      <c r="BL423" s="21"/>
      <c r="BM423" s="21"/>
      <c r="BN423" s="21"/>
      <c r="BO423" s="21"/>
      <c r="BP423" s="21"/>
      <c r="BQ423" s="21"/>
      <c r="BR423" s="21"/>
      <c r="BS423" s="21"/>
      <c r="BT423" s="21"/>
      <c r="BU423" s="21"/>
      <c r="BV423" s="21"/>
      <c r="BW423" s="21"/>
      <c r="BX423" s="21"/>
      <c r="BY423" s="21"/>
      <c r="BZ423" s="21"/>
      <c r="CA423" s="21"/>
      <c r="CB423" s="21"/>
      <c r="CC423" s="21"/>
      <c r="CD423" s="21"/>
      <c r="CE423" s="21"/>
      <c r="CF423" s="21"/>
      <c r="CG423" s="21"/>
      <c r="CH423" s="21"/>
      <c r="CI423" s="21"/>
      <c r="CJ423" s="21"/>
      <c r="CK423" s="21"/>
      <c r="CL423" s="21"/>
      <c r="CM423" s="21"/>
      <c r="CN423" s="101"/>
      <c r="CO423" s="21"/>
      <c r="CP423" s="21"/>
      <c r="CQ423" s="101" t="s">
        <v>1330</v>
      </c>
      <c r="CR423" s="21"/>
      <c r="CS423" s="21"/>
      <c r="CT423" s="21"/>
      <c r="CU423" s="21"/>
      <c r="CV423" s="21"/>
      <c r="CW423" s="21"/>
    </row>
    <row r="424" spans="1:101" x14ac:dyDescent="0.25">
      <c r="A424" s="22" t="s">
        <v>1337</v>
      </c>
      <c r="B424" s="10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c r="AA424" s="21"/>
      <c r="AB424" s="21"/>
      <c r="AC424" s="21"/>
      <c r="AD424" s="21"/>
      <c r="AE424" s="21"/>
      <c r="AF424" s="21"/>
      <c r="AG424" s="21"/>
      <c r="AH424" s="21"/>
      <c r="AI424" s="21"/>
      <c r="AJ424" s="21"/>
      <c r="AK424" s="21"/>
      <c r="AL424" s="21"/>
      <c r="AM424" s="21"/>
      <c r="AN424" s="21"/>
      <c r="AO424" s="21"/>
      <c r="AP424" s="21"/>
      <c r="AQ424" s="21"/>
      <c r="AR424" s="21"/>
      <c r="AS424" s="21"/>
      <c r="AT424" s="21"/>
      <c r="AU424" s="21"/>
      <c r="AV424" s="21"/>
      <c r="AW424" s="21"/>
      <c r="AX424" s="21"/>
      <c r="AY424" s="21"/>
      <c r="AZ424" s="21"/>
      <c r="BA424" s="21"/>
      <c r="BB424" s="21"/>
      <c r="BC424" s="21"/>
      <c r="BD424" s="21"/>
      <c r="BE424" s="21"/>
      <c r="BF424" s="21"/>
      <c r="BG424" s="21"/>
      <c r="BH424" s="21"/>
      <c r="BI424" s="21"/>
      <c r="BJ424" s="21"/>
      <c r="BK424" s="21"/>
      <c r="BL424" s="21"/>
      <c r="BM424" s="21"/>
      <c r="BN424" s="21"/>
      <c r="BO424" s="21"/>
      <c r="BP424" s="21"/>
      <c r="BQ424" s="21"/>
      <c r="BR424" s="21"/>
      <c r="BS424" s="21"/>
      <c r="BT424" s="21"/>
      <c r="BU424" s="21"/>
      <c r="BV424" s="21"/>
      <c r="BW424" s="21"/>
      <c r="BX424" s="21"/>
      <c r="BY424" s="21"/>
      <c r="BZ424" s="21"/>
      <c r="CA424" s="21"/>
      <c r="CB424" s="21"/>
      <c r="CC424" s="21"/>
      <c r="CD424" s="21"/>
      <c r="CE424" s="21"/>
      <c r="CF424" s="21"/>
      <c r="CG424" s="21"/>
      <c r="CH424" s="21"/>
      <c r="CI424" s="21"/>
      <c r="CJ424" s="21"/>
      <c r="CK424" s="21"/>
      <c r="CL424" s="21"/>
      <c r="CM424" s="21"/>
      <c r="CN424" s="101"/>
      <c r="CO424" s="21"/>
      <c r="CP424" s="21"/>
      <c r="CQ424" s="21"/>
      <c r="CR424" s="101" t="s">
        <v>1330</v>
      </c>
      <c r="CS424" s="21"/>
      <c r="CT424" s="21"/>
      <c r="CU424" s="21"/>
      <c r="CV424" s="21"/>
      <c r="CW424" s="21"/>
    </row>
    <row r="425" spans="1:101" x14ac:dyDescent="0.25">
      <c r="A425" s="22" t="s">
        <v>1427</v>
      </c>
      <c r="B425" s="10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c r="AA425" s="21"/>
      <c r="AB425" s="21"/>
      <c r="AC425" s="21"/>
      <c r="AD425" s="21"/>
      <c r="AE425" s="21"/>
      <c r="AF425" s="21"/>
      <c r="AG425" s="21"/>
      <c r="AH425" s="21"/>
      <c r="AI425" s="21"/>
      <c r="AJ425" s="21"/>
      <c r="AK425" s="21"/>
      <c r="AL425" s="21"/>
      <c r="AM425" s="21"/>
      <c r="AN425" s="21"/>
      <c r="AO425" s="21"/>
      <c r="AP425" s="21"/>
      <c r="AQ425" s="21"/>
      <c r="AR425" s="21"/>
      <c r="AS425" s="21"/>
      <c r="AT425" s="21"/>
      <c r="AU425" s="21"/>
      <c r="AV425" s="21"/>
      <c r="AW425" s="21"/>
      <c r="AX425" s="21"/>
      <c r="AY425" s="21"/>
      <c r="AZ425" s="21"/>
      <c r="BA425" s="21"/>
      <c r="BB425" s="21"/>
      <c r="BC425" s="21"/>
      <c r="BD425" s="21"/>
      <c r="BE425" s="21"/>
      <c r="BF425" s="21"/>
      <c r="BG425" s="21"/>
      <c r="BH425" s="21"/>
      <c r="BI425" s="21"/>
      <c r="BJ425" s="21"/>
      <c r="BK425" s="21"/>
      <c r="BL425" s="21"/>
      <c r="BM425" s="21"/>
      <c r="BN425" s="21"/>
      <c r="BO425" s="21"/>
      <c r="BP425" s="21"/>
      <c r="BQ425" s="21"/>
      <c r="BR425" s="21"/>
      <c r="BS425" s="21"/>
      <c r="BT425" s="21"/>
      <c r="BU425" s="21"/>
      <c r="BV425" s="21"/>
      <c r="BW425" s="21"/>
      <c r="BX425" s="21"/>
      <c r="BY425" s="21"/>
      <c r="BZ425" s="21"/>
      <c r="CA425" s="21"/>
      <c r="CB425" s="21"/>
      <c r="CC425" s="21"/>
      <c r="CD425" s="21"/>
      <c r="CE425" s="21"/>
      <c r="CF425" s="21"/>
      <c r="CG425" s="21"/>
      <c r="CH425" s="21"/>
      <c r="CI425" s="21"/>
      <c r="CJ425" s="21"/>
      <c r="CK425" s="21"/>
      <c r="CL425" s="21"/>
      <c r="CM425" s="21"/>
      <c r="CN425" s="101"/>
      <c r="CO425" s="21"/>
      <c r="CP425" s="21"/>
      <c r="CQ425" s="21"/>
      <c r="CR425" s="21"/>
      <c r="CS425" s="101" t="s">
        <v>1330</v>
      </c>
      <c r="CT425" s="21"/>
      <c r="CU425" s="21"/>
      <c r="CV425" s="21"/>
      <c r="CW425" s="21"/>
    </row>
    <row r="426" spans="1:101" x14ac:dyDescent="0.25">
      <c r="A426" s="22" t="s">
        <v>1428</v>
      </c>
      <c r="B426" s="10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c r="AA426" s="21"/>
      <c r="AB426" s="21"/>
      <c r="AC426" s="21"/>
      <c r="AD426" s="21"/>
      <c r="AE426" s="21"/>
      <c r="AF426" s="21"/>
      <c r="AG426" s="21"/>
      <c r="AH426" s="21"/>
      <c r="AI426" s="21"/>
      <c r="AJ426" s="21"/>
      <c r="AK426" s="21"/>
      <c r="AL426" s="21"/>
      <c r="AM426" s="21"/>
      <c r="AN426" s="21"/>
      <c r="AO426" s="21"/>
      <c r="AP426" s="21"/>
      <c r="AQ426" s="21"/>
      <c r="AR426" s="21"/>
      <c r="AS426" s="21"/>
      <c r="AT426" s="21"/>
      <c r="AU426" s="21"/>
      <c r="AV426" s="21"/>
      <c r="AW426" s="21"/>
      <c r="AX426" s="21"/>
      <c r="AY426" s="21"/>
      <c r="AZ426" s="21"/>
      <c r="BA426" s="21"/>
      <c r="BB426" s="21"/>
      <c r="BC426" s="21"/>
      <c r="BD426" s="21"/>
      <c r="BE426" s="21"/>
      <c r="BF426" s="21"/>
      <c r="BG426" s="21"/>
      <c r="BH426" s="21"/>
      <c r="BI426" s="21"/>
      <c r="BJ426" s="21"/>
      <c r="BK426" s="21"/>
      <c r="BL426" s="21"/>
      <c r="BM426" s="21"/>
      <c r="BN426" s="21"/>
      <c r="BO426" s="21"/>
      <c r="BP426" s="21"/>
      <c r="BQ426" s="21"/>
      <c r="BR426" s="21"/>
      <c r="BS426" s="21"/>
      <c r="BT426" s="21"/>
      <c r="BU426" s="21"/>
      <c r="BV426" s="21"/>
      <c r="BW426" s="21"/>
      <c r="BX426" s="21"/>
      <c r="BY426" s="21"/>
      <c r="BZ426" s="21"/>
      <c r="CA426" s="21"/>
      <c r="CB426" s="21"/>
      <c r="CC426" s="21"/>
      <c r="CD426" s="21"/>
      <c r="CE426" s="21"/>
      <c r="CF426" s="21"/>
      <c r="CG426" s="21"/>
      <c r="CH426" s="21"/>
      <c r="CI426" s="21"/>
      <c r="CJ426" s="21"/>
      <c r="CK426" s="21"/>
      <c r="CL426" s="21"/>
      <c r="CM426" s="21"/>
      <c r="CN426" s="101"/>
      <c r="CO426" s="21"/>
      <c r="CP426" s="21"/>
      <c r="CQ426" s="21"/>
      <c r="CR426" s="21"/>
      <c r="CS426" s="21"/>
      <c r="CT426" s="101" t="s">
        <v>1330</v>
      </c>
      <c r="CU426" s="21"/>
      <c r="CV426" s="21"/>
      <c r="CW426" s="21"/>
    </row>
    <row r="427" spans="1:101" x14ac:dyDescent="0.25">
      <c r="A427" s="22" t="s">
        <v>1429</v>
      </c>
      <c r="B427" s="10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c r="AA427" s="21"/>
      <c r="AB427" s="21"/>
      <c r="AC427" s="21"/>
      <c r="AD427" s="21"/>
      <c r="AE427" s="21"/>
      <c r="AF427" s="21"/>
      <c r="AG427" s="21"/>
      <c r="AH427" s="21"/>
      <c r="AI427" s="21"/>
      <c r="AJ427" s="21"/>
      <c r="AK427" s="21"/>
      <c r="AL427" s="21"/>
      <c r="AM427" s="21"/>
      <c r="AN427" s="21"/>
      <c r="AO427" s="21"/>
      <c r="AP427" s="21"/>
      <c r="AQ427" s="21"/>
      <c r="AR427" s="21"/>
      <c r="AS427" s="21"/>
      <c r="AT427" s="21"/>
      <c r="AU427" s="21"/>
      <c r="AV427" s="21"/>
      <c r="AW427" s="21"/>
      <c r="AX427" s="21"/>
      <c r="AY427" s="21"/>
      <c r="AZ427" s="21"/>
      <c r="BA427" s="21"/>
      <c r="BB427" s="21"/>
      <c r="BC427" s="21"/>
      <c r="BD427" s="21"/>
      <c r="BE427" s="21"/>
      <c r="BF427" s="21"/>
      <c r="BG427" s="21"/>
      <c r="BH427" s="21"/>
      <c r="BI427" s="21"/>
      <c r="BJ427" s="21"/>
      <c r="BK427" s="21"/>
      <c r="BL427" s="21"/>
      <c r="BM427" s="21"/>
      <c r="BN427" s="21"/>
      <c r="BO427" s="21"/>
      <c r="BP427" s="21"/>
      <c r="BQ427" s="21"/>
      <c r="BR427" s="21"/>
      <c r="BS427" s="21"/>
      <c r="BT427" s="21"/>
      <c r="BU427" s="21"/>
      <c r="BV427" s="21"/>
      <c r="BW427" s="21"/>
      <c r="BX427" s="21"/>
      <c r="BY427" s="21"/>
      <c r="BZ427" s="21"/>
      <c r="CA427" s="21"/>
      <c r="CB427" s="21"/>
      <c r="CC427" s="21"/>
      <c r="CD427" s="21"/>
      <c r="CE427" s="21"/>
      <c r="CF427" s="21"/>
      <c r="CG427" s="21"/>
      <c r="CH427" s="21"/>
      <c r="CI427" s="21"/>
      <c r="CJ427" s="21"/>
      <c r="CK427" s="21"/>
      <c r="CL427" s="21"/>
      <c r="CM427" s="21"/>
      <c r="CN427" s="101"/>
      <c r="CO427" s="21"/>
      <c r="CP427" s="21"/>
      <c r="CQ427" s="21"/>
      <c r="CR427" s="21"/>
      <c r="CS427" s="21"/>
      <c r="CT427" s="21"/>
      <c r="CU427" s="101" t="s">
        <v>1330</v>
      </c>
      <c r="CV427" s="21"/>
      <c r="CW427" s="21"/>
    </row>
    <row r="428" spans="1:101" x14ac:dyDescent="0.25">
      <c r="A428" s="22" t="s">
        <v>1430</v>
      </c>
      <c r="B428" s="10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c r="AA428" s="21"/>
      <c r="AB428" s="21"/>
      <c r="AC428" s="21"/>
      <c r="AD428" s="21"/>
      <c r="AE428" s="21"/>
      <c r="AF428" s="21"/>
      <c r="AG428" s="21"/>
      <c r="AH428" s="21"/>
      <c r="AI428" s="21"/>
      <c r="AJ428" s="21"/>
      <c r="AK428" s="21"/>
      <c r="AL428" s="21"/>
      <c r="AM428" s="21"/>
      <c r="AN428" s="21"/>
      <c r="AO428" s="21"/>
      <c r="AP428" s="21"/>
      <c r="AQ428" s="21"/>
      <c r="AR428" s="21"/>
      <c r="AS428" s="21"/>
      <c r="AT428" s="21"/>
      <c r="AU428" s="21"/>
      <c r="AV428" s="21"/>
      <c r="AW428" s="21"/>
      <c r="AX428" s="21"/>
      <c r="AY428" s="21"/>
      <c r="AZ428" s="21"/>
      <c r="BA428" s="21"/>
      <c r="BB428" s="21"/>
      <c r="BC428" s="21"/>
      <c r="BD428" s="21"/>
      <c r="BE428" s="21"/>
      <c r="BF428" s="21"/>
      <c r="BG428" s="21"/>
      <c r="BH428" s="21"/>
      <c r="BI428" s="21"/>
      <c r="BJ428" s="21"/>
      <c r="BK428" s="21"/>
      <c r="BL428" s="21"/>
      <c r="BM428" s="21"/>
      <c r="BN428" s="21"/>
      <c r="BO428" s="21"/>
      <c r="BP428" s="21"/>
      <c r="BQ428" s="21"/>
      <c r="BR428" s="21"/>
      <c r="BS428" s="21"/>
      <c r="BT428" s="21"/>
      <c r="BU428" s="21"/>
      <c r="BV428" s="21"/>
      <c r="BW428" s="21"/>
      <c r="BX428" s="21"/>
      <c r="BY428" s="21"/>
      <c r="BZ428" s="21"/>
      <c r="CA428" s="21"/>
      <c r="CB428" s="21"/>
      <c r="CC428" s="21"/>
      <c r="CD428" s="21"/>
      <c r="CE428" s="21"/>
      <c r="CF428" s="21"/>
      <c r="CG428" s="21"/>
      <c r="CH428" s="21"/>
      <c r="CI428" s="21"/>
      <c r="CJ428" s="21"/>
      <c r="CK428" s="21"/>
      <c r="CL428" s="21"/>
      <c r="CM428" s="21"/>
      <c r="CN428" s="101"/>
      <c r="CO428" s="21"/>
      <c r="CP428" s="21"/>
      <c r="CQ428" s="21"/>
      <c r="CR428" s="21"/>
      <c r="CS428" s="21"/>
      <c r="CT428" s="21"/>
      <c r="CU428" s="21"/>
      <c r="CV428" s="101" t="s">
        <v>1330</v>
      </c>
      <c r="CW428" s="21"/>
    </row>
    <row r="429" spans="1:101" x14ac:dyDescent="0.25">
      <c r="A429" s="22" t="s">
        <v>1431</v>
      </c>
      <c r="B429" s="10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c r="AA429" s="21"/>
      <c r="AB429" s="21"/>
      <c r="AC429" s="21"/>
      <c r="AD429" s="21"/>
      <c r="AE429" s="21"/>
      <c r="AF429" s="21"/>
      <c r="AG429" s="21"/>
      <c r="AH429" s="21"/>
      <c r="AI429" s="21"/>
      <c r="AJ429" s="21"/>
      <c r="AK429" s="21"/>
      <c r="AL429" s="21"/>
      <c r="AM429" s="21"/>
      <c r="AN429" s="21"/>
      <c r="AO429" s="21"/>
      <c r="AP429" s="21"/>
      <c r="AQ429" s="21"/>
      <c r="AR429" s="21"/>
      <c r="AS429" s="21"/>
      <c r="AT429" s="21"/>
      <c r="AU429" s="21"/>
      <c r="AV429" s="21"/>
      <c r="AW429" s="21"/>
      <c r="AX429" s="21"/>
      <c r="AY429" s="21"/>
      <c r="AZ429" s="21"/>
      <c r="BA429" s="21"/>
      <c r="BB429" s="21"/>
      <c r="BC429" s="21"/>
      <c r="BD429" s="21"/>
      <c r="BE429" s="21"/>
      <c r="BF429" s="21"/>
      <c r="BG429" s="21"/>
      <c r="BH429" s="21"/>
      <c r="BI429" s="21"/>
      <c r="BJ429" s="21"/>
      <c r="BK429" s="21"/>
      <c r="BL429" s="21"/>
      <c r="BM429" s="21"/>
      <c r="BN429" s="21"/>
      <c r="BO429" s="21"/>
      <c r="BP429" s="21"/>
      <c r="BQ429" s="21"/>
      <c r="BR429" s="21"/>
      <c r="BS429" s="21"/>
      <c r="BT429" s="21"/>
      <c r="BU429" s="21"/>
      <c r="BV429" s="21"/>
      <c r="BW429" s="21"/>
      <c r="BX429" s="21"/>
      <c r="BY429" s="21"/>
      <c r="BZ429" s="21"/>
      <c r="CA429" s="21"/>
      <c r="CB429" s="21"/>
      <c r="CC429" s="21"/>
      <c r="CD429" s="21"/>
      <c r="CE429" s="21"/>
      <c r="CF429" s="21"/>
      <c r="CG429" s="21"/>
      <c r="CH429" s="21"/>
      <c r="CI429" s="21"/>
      <c r="CJ429" s="21"/>
      <c r="CK429" s="21"/>
      <c r="CL429" s="21"/>
      <c r="CM429" s="21"/>
      <c r="CN429" s="21"/>
      <c r="CO429" s="21"/>
      <c r="CP429" s="21"/>
      <c r="CQ429" s="21"/>
      <c r="CR429" s="21"/>
      <c r="CS429" s="21"/>
      <c r="CT429" s="21"/>
      <c r="CU429" s="21"/>
      <c r="CV429" s="21"/>
      <c r="CW429" s="101" t="s">
        <v>1330</v>
      </c>
    </row>
  </sheetData>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tint="0.79998168889431442"/>
  </sheetPr>
  <dimension ref="A1:E3"/>
  <sheetViews>
    <sheetView workbookViewId="0">
      <selection activeCell="D3" sqref="D3:E3"/>
    </sheetView>
  </sheetViews>
  <sheetFormatPr defaultColWidth="8.85546875" defaultRowHeight="15" x14ac:dyDescent="0.25"/>
  <cols>
    <col min="1" max="1" width="12.7109375" bestFit="1" customWidth="1"/>
    <col min="2" max="2" width="16.85546875" customWidth="1"/>
    <col min="3" max="3" width="14.7109375" customWidth="1"/>
    <col min="4" max="4" width="20.42578125" bestFit="1" customWidth="1"/>
    <col min="5" max="5" width="18" bestFit="1" customWidth="1"/>
  </cols>
  <sheetData>
    <row r="1" spans="1:5" x14ac:dyDescent="0.25">
      <c r="A1" s="1" t="s">
        <v>2</v>
      </c>
      <c r="B1" s="1" t="s">
        <v>3</v>
      </c>
      <c r="C1" s="1" t="s">
        <v>7</v>
      </c>
      <c r="D1" s="1" t="s">
        <v>26</v>
      </c>
      <c r="E1" s="1" t="s">
        <v>27</v>
      </c>
    </row>
    <row r="2" spans="1:5" x14ac:dyDescent="0.25">
      <c r="A2" t="s">
        <v>423</v>
      </c>
      <c r="B2" t="s">
        <v>424</v>
      </c>
      <c r="C2">
        <v>1</v>
      </c>
      <c r="D2" s="2" t="s">
        <v>42</v>
      </c>
      <c r="E2" s="2" t="s">
        <v>42</v>
      </c>
    </row>
    <row r="3" spans="1:5" x14ac:dyDescent="0.25">
      <c r="A3" t="s">
        <v>1644</v>
      </c>
      <c r="B3" t="s">
        <v>1645</v>
      </c>
      <c r="C3">
        <v>1</v>
      </c>
      <c r="D3" s="2" t="s">
        <v>42</v>
      </c>
      <c r="E3" s="2" t="s">
        <v>42</v>
      </c>
    </row>
  </sheetData>
  <sheetProtection formatCells="0" formatColumns="0" formatRows="0" insertColumns="0" insertRows="0" insertHyperlinks="0" deleteColumns="0" deleteRows="0" sort="0" autoFilter="0" pivotTables="0"/>
  <conditionalFormatting sqref="B1:B1048576">
    <cfRule type="expression" dxfId="0" priority="1">
      <formula>AND(A1&lt;&gt;"",NOT(B1&lt;&gt;""))</formula>
    </cfRule>
  </conditionalFormatting>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5D21E9BC-CAFE-4623-8C20-70DED145EE08}">
          <x14:formula1>
            <xm:f>'Population types'!$A$2:$A$9999</xm:f>
          </x14:formula1>
          <xm:sqref>D4:E1048576</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EAFB5-C4B0-491C-B03B-D10386E1B6D4}">
  <dimension ref="A1:B11"/>
  <sheetViews>
    <sheetView workbookViewId="0">
      <selection activeCell="F20" sqref="F20"/>
    </sheetView>
  </sheetViews>
  <sheetFormatPr defaultColWidth="8.85546875" defaultRowHeight="15" x14ac:dyDescent="0.25"/>
  <cols>
    <col min="1" max="1" width="21.42578125" bestFit="1" customWidth="1"/>
    <col min="2" max="2" width="39.85546875" bestFit="1" customWidth="1"/>
  </cols>
  <sheetData>
    <row r="1" spans="1:2" x14ac:dyDescent="0.25">
      <c r="A1" s="3" t="s">
        <v>411</v>
      </c>
      <c r="B1" s="3" t="s">
        <v>17</v>
      </c>
    </row>
    <row r="2" spans="1:2" x14ac:dyDescent="0.25">
      <c r="A2" t="s">
        <v>412</v>
      </c>
      <c r="B2" s="4" t="s">
        <v>1476</v>
      </c>
    </row>
    <row r="3" spans="1:2" x14ac:dyDescent="0.25">
      <c r="A3" t="s">
        <v>413</v>
      </c>
      <c r="B3" s="4" t="s">
        <v>414</v>
      </c>
    </row>
    <row r="4" spans="1:2" x14ac:dyDescent="0.25">
      <c r="A4" t="s">
        <v>415</v>
      </c>
      <c r="B4" s="4" t="s">
        <v>416</v>
      </c>
    </row>
    <row r="5" spans="1:2" x14ac:dyDescent="0.25">
      <c r="A5" t="s">
        <v>417</v>
      </c>
      <c r="B5" t="s">
        <v>418</v>
      </c>
    </row>
    <row r="6" spans="1:2" x14ac:dyDescent="0.25">
      <c r="A6" t="s">
        <v>419</v>
      </c>
      <c r="B6" t="s">
        <v>420</v>
      </c>
    </row>
    <row r="8" spans="1:2" x14ac:dyDescent="0.25">
      <c r="A8" s="3"/>
      <c r="B8" s="3"/>
    </row>
    <row r="9" spans="1:2" x14ac:dyDescent="0.25">
      <c r="B9" s="4"/>
    </row>
    <row r="10" spans="1:2" x14ac:dyDescent="0.25">
      <c r="B10" s="4"/>
    </row>
    <row r="11" spans="1:2" x14ac:dyDescent="0.25">
      <c r="B11" s="4"/>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About</vt:lpstr>
      <vt:lpstr>Databook Pages</vt:lpstr>
      <vt:lpstr>Population types</vt:lpstr>
      <vt:lpstr>Compartments</vt:lpstr>
      <vt:lpstr>Parameters</vt:lpstr>
      <vt:lpstr>Characteristics</vt:lpstr>
      <vt:lpstr>Transitions</vt:lpstr>
      <vt:lpstr>Interactions</vt:lpstr>
      <vt:lpstr>Cascades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Farah Houdroge</dc:creator>
  <cp:lastModifiedBy>Farah Houdroge</cp:lastModifiedBy>
  <dcterms:created xsi:type="dcterms:W3CDTF">2018-07-24T07:13:41Z</dcterms:created>
  <dcterms:modified xsi:type="dcterms:W3CDTF">2026-02-12T22:37:27Z</dcterms:modified>
  <cp:category>atomica:framework</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lear" linkTarget="prop_clear">
    <vt:r8>0</vt:r8>
  </property>
</Properties>
</file>