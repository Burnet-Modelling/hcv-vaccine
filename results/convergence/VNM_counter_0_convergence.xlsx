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farah.houdroge\Documents\GitHub\hcv-vaccine\results\convergence\"/>
    </mc:Choice>
  </mc:AlternateContent>
  <xr:revisionPtr revIDLastSave="0" documentId="13_ncr:1_{079F3CE4-D05D-4713-96D4-83ACFCBA99EB}" xr6:coauthVersionLast="47" xr6:coauthVersionMax="47" xr10:uidLastSave="{00000000-0000-0000-0000-000000000000}"/>
  <bookViews>
    <workbookView xWindow="38280" yWindow="-120" windowWidth="29040" windowHeight="15720" activeTab="1" xr2:uid="{00000000-000D-0000-FFFF-FFFF00000000}"/>
  </bookViews>
  <sheets>
    <sheet name="Time Series" sheetId="1" r:id="rId1"/>
    <sheet name="2026 Summ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2" l="1"/>
  <c r="J3" i="2"/>
  <c r="K3" i="2"/>
  <c r="I4" i="2"/>
  <c r="J4" i="2"/>
  <c r="K4" i="2"/>
  <c r="I5" i="2"/>
  <c r="J5" i="2"/>
  <c r="K5" i="2"/>
  <c r="I6" i="2"/>
  <c r="J6" i="2"/>
  <c r="K6" i="2"/>
  <c r="H6" i="2"/>
  <c r="H4" i="2"/>
  <c r="H5" i="2"/>
  <c r="H3" i="2"/>
</calcChain>
</file>

<file path=xl/sharedStrings.xml><?xml version="1.0" encoding="utf-8"?>
<sst xmlns="http://schemas.openxmlformats.org/spreadsheetml/2006/main" count="34" uniqueCount="19">
  <si>
    <t>VNM — HCV prevalence | counter_0 | Median + 95% CI by sample size</t>
  </si>
  <si>
    <t>Year</t>
  </si>
  <si>
    <t>n = 100</t>
  </si>
  <si>
    <t>n = 250</t>
  </si>
  <si>
    <t>n = 500</t>
  </si>
  <si>
    <t>n = 750</t>
  </si>
  <si>
    <t>n = 1,000</t>
  </si>
  <si>
    <t>Median</t>
  </si>
  <si>
    <t>Lower 2.5%</t>
  </si>
  <si>
    <t>Upper 97.5%</t>
  </si>
  <si>
    <t>VNM — HCV prevalence at 2026 | counter_0 | Convergence Summary</t>
  </si>
  <si>
    <t>Sample size (n)</t>
  </si>
  <si>
    <t>CI Width</t>
  </si>
  <si>
    <t>Converged vs n=1000?</t>
  </si>
  <si>
    <t>✗  (22.8% vs n=1000)</t>
  </si>
  <si>
    <t>✗  (13.1% vs n=1000)</t>
  </si>
  <si>
    <t>✗  (6.9% vs n=1000)</t>
  </si>
  <si>
    <t>✓  (&lt;5% vs n=1000)</t>
  </si>
  <si>
    <t>— (reference)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</si>
</sst>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\1"/>
    <numFmt numFmtId="165" formatCode="0.0%"/>
  </numFmts>
  <fonts count="9" x14ac:knownFonts="1">
    <font>
      <sz val="11"/>
      <color theme="1"/>
      <name val="Calibri"/>
      <family val="2"/>
      <scheme val="minor"/>
    </font>
    <font>
      <b/>
      <sz val="12"/>
      <color rgb="FF1F4E79"/>
      <name val="Arial"/>
    </font>
    <font>
      <b/>
      <sz val="9"/>
      <name val="Arial"/>
    </font>
    <font>
      <b/>
      <sz val="10"/>
      <color rgb="FFFFFFFF"/>
      <name val="Arial"/>
    </font>
    <font>
      <sz val="9"/>
      <name val="Arial"/>
    </font>
    <font>
      <b/>
      <sz val="9"/>
      <color rgb="FFC00000"/>
      <name val="Arial"/>
    </font>
    <font>
      <b/>
      <sz val="9"/>
      <color rgb="FF375623"/>
      <name val="Arial"/>
    </font>
    <font>
      <i/>
      <sz val="9"/>
      <color rgb="FF666666"/>
      <name val="Arial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E2E2E2"/>
      </patternFill>
    </fill>
  </fills>
  <borders count="3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/>
      <bottom style="thin">
        <color rgb="FFAAAAAA"/>
      </bottom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30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64" fontId="4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164" fontId="4" fillId="6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164" fontId="4" fillId="7" borderId="1" xfId="0" applyNumberFormat="1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2" xfId="0" applyBorder="1"/>
    <xf numFmtId="165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4"/>
  <sheetViews>
    <sheetView workbookViewId="0">
      <selection sqref="A1:M1"/>
    </sheetView>
  </sheetViews>
  <sheetFormatPr defaultRowHeight="14.5" x14ac:dyDescent="0.35"/>
  <cols>
    <col min="1" max="1" width="8" customWidth="1"/>
    <col min="2" max="4" width="13" customWidth="1"/>
    <col min="5" max="5" width="2" customWidth="1"/>
    <col min="6" max="8" width="13" customWidth="1"/>
    <col min="9" max="9" width="2" customWidth="1"/>
    <col min="10" max="12" width="13" customWidth="1"/>
    <col min="13" max="13" width="2" customWidth="1"/>
    <col min="14" max="16" width="13" customWidth="1"/>
    <col min="17" max="17" width="2" customWidth="1"/>
    <col min="18" max="20" width="13" customWidth="1"/>
    <col min="21" max="21" width="2" customWidth="1"/>
  </cols>
  <sheetData>
    <row r="1" spans="1:20" ht="15.5" x14ac:dyDescent="0.35">
      <c r="A1" s="26" t="s">
        <v>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</row>
    <row r="2" spans="1:20" x14ac:dyDescent="0.35">
      <c r="A2" s="27" t="s">
        <v>1</v>
      </c>
      <c r="B2" s="24" t="s">
        <v>2</v>
      </c>
      <c r="C2" s="25"/>
      <c r="D2" s="25"/>
      <c r="F2" s="24" t="s">
        <v>3</v>
      </c>
      <c r="G2" s="25"/>
      <c r="H2" s="25"/>
      <c r="J2" s="24" t="s">
        <v>4</v>
      </c>
      <c r="K2" s="25"/>
      <c r="L2" s="25"/>
      <c r="N2" s="24" t="s">
        <v>5</v>
      </c>
      <c r="O2" s="25"/>
      <c r="P2" s="25"/>
      <c r="R2" s="24" t="s">
        <v>6</v>
      </c>
      <c r="S2" s="25"/>
      <c r="T2" s="25"/>
    </row>
    <row r="3" spans="1:20" x14ac:dyDescent="0.35">
      <c r="A3" s="28"/>
      <c r="B3" s="1" t="s">
        <v>7</v>
      </c>
      <c r="C3" s="1" t="s">
        <v>8</v>
      </c>
      <c r="D3" s="1" t="s">
        <v>9</v>
      </c>
      <c r="F3" s="2" t="s">
        <v>7</v>
      </c>
      <c r="G3" s="2" t="s">
        <v>8</v>
      </c>
      <c r="H3" s="2" t="s">
        <v>9</v>
      </c>
      <c r="J3" s="3" t="s">
        <v>7</v>
      </c>
      <c r="K3" s="3" t="s">
        <v>8</v>
      </c>
      <c r="L3" s="3" t="s">
        <v>9</v>
      </c>
      <c r="N3" s="4" t="s">
        <v>7</v>
      </c>
      <c r="O3" s="4" t="s">
        <v>8</v>
      </c>
      <c r="P3" s="4" t="s">
        <v>9</v>
      </c>
      <c r="R3" s="5" t="s">
        <v>7</v>
      </c>
      <c r="S3" s="5" t="s">
        <v>8</v>
      </c>
      <c r="T3" s="5" t="s">
        <v>9</v>
      </c>
    </row>
    <row r="4" spans="1:20" x14ac:dyDescent="0.35">
      <c r="A4" s="6">
        <v>2000.5</v>
      </c>
      <c r="B4" s="7">
        <v>963246</v>
      </c>
      <c r="C4" s="7">
        <v>962785.5</v>
      </c>
      <c r="D4" s="7">
        <v>963574.1</v>
      </c>
      <c r="F4" s="7">
        <v>963216.5</v>
      </c>
      <c r="G4" s="7">
        <v>962838.3</v>
      </c>
      <c r="H4" s="7">
        <v>963551.2</v>
      </c>
      <c r="J4" s="7">
        <v>963208.2</v>
      </c>
      <c r="K4" s="7">
        <v>962846.3</v>
      </c>
      <c r="L4" s="7">
        <v>963553.5</v>
      </c>
      <c r="N4" s="7">
        <v>963203.8</v>
      </c>
      <c r="O4" s="7">
        <v>962853.7</v>
      </c>
      <c r="P4" s="7">
        <v>963552.5</v>
      </c>
      <c r="R4" s="7">
        <v>963202.2</v>
      </c>
      <c r="S4" s="7">
        <v>962847.4</v>
      </c>
      <c r="T4" s="7">
        <v>963550.9</v>
      </c>
    </row>
    <row r="5" spans="1:20" x14ac:dyDescent="0.35">
      <c r="A5" s="6">
        <v>2001.5</v>
      </c>
      <c r="B5" s="7">
        <v>967478.5</v>
      </c>
      <c r="C5" s="7">
        <v>966544.4</v>
      </c>
      <c r="D5" s="7">
        <v>968170.9</v>
      </c>
      <c r="F5" s="7">
        <v>967420.3</v>
      </c>
      <c r="G5" s="7">
        <v>966534.5</v>
      </c>
      <c r="H5" s="7">
        <v>968152.8</v>
      </c>
      <c r="J5" s="7">
        <v>967415.2</v>
      </c>
      <c r="K5" s="7">
        <v>966599</v>
      </c>
      <c r="L5" s="7">
        <v>968259.5</v>
      </c>
      <c r="N5" s="7">
        <v>967405.1</v>
      </c>
      <c r="O5" s="7">
        <v>966544.7</v>
      </c>
      <c r="P5" s="7">
        <v>968274.9</v>
      </c>
      <c r="R5" s="7">
        <v>967396.4</v>
      </c>
      <c r="S5" s="7">
        <v>966537</v>
      </c>
      <c r="T5" s="7">
        <v>968265.5</v>
      </c>
    </row>
    <row r="6" spans="1:20" x14ac:dyDescent="0.35">
      <c r="A6" s="6">
        <v>2002.5</v>
      </c>
      <c r="B6" s="7">
        <v>967702</v>
      </c>
      <c r="C6" s="7">
        <v>966232.2</v>
      </c>
      <c r="D6" s="7">
        <v>968847</v>
      </c>
      <c r="F6" s="7">
        <v>967609.1</v>
      </c>
      <c r="G6" s="7">
        <v>966167.2</v>
      </c>
      <c r="H6" s="7">
        <v>968798.9</v>
      </c>
      <c r="J6" s="7">
        <v>967572.6</v>
      </c>
      <c r="K6" s="7">
        <v>966263.3</v>
      </c>
      <c r="L6" s="7">
        <v>968819.7</v>
      </c>
      <c r="N6" s="7">
        <v>967550.2</v>
      </c>
      <c r="O6" s="7">
        <v>966073.3</v>
      </c>
      <c r="P6" s="7">
        <v>968907.9</v>
      </c>
      <c r="R6" s="7">
        <v>967522.3</v>
      </c>
      <c r="S6" s="7">
        <v>966081.8</v>
      </c>
      <c r="T6" s="7">
        <v>968816.8</v>
      </c>
    </row>
    <row r="7" spans="1:20" x14ac:dyDescent="0.35">
      <c r="A7" s="6">
        <v>2003.5</v>
      </c>
      <c r="B7" s="7">
        <v>966147.1</v>
      </c>
      <c r="C7" s="7">
        <v>964255.2</v>
      </c>
      <c r="D7" s="7">
        <v>967918.5</v>
      </c>
      <c r="F7" s="7">
        <v>966164.5</v>
      </c>
      <c r="G7" s="7">
        <v>963882.7</v>
      </c>
      <c r="H7" s="7">
        <v>967915.6</v>
      </c>
      <c r="J7" s="7">
        <v>966110.2</v>
      </c>
      <c r="K7" s="7">
        <v>964072.7</v>
      </c>
      <c r="L7" s="7">
        <v>967977.4</v>
      </c>
      <c r="N7" s="7">
        <v>966048.5</v>
      </c>
      <c r="O7" s="7">
        <v>963877.7</v>
      </c>
      <c r="P7" s="7">
        <v>968013.1</v>
      </c>
      <c r="R7" s="7">
        <v>965999.7</v>
      </c>
      <c r="S7" s="7">
        <v>963874.9</v>
      </c>
      <c r="T7" s="7">
        <v>967970.8</v>
      </c>
    </row>
    <row r="8" spans="1:20" x14ac:dyDescent="0.35">
      <c r="A8" s="6">
        <v>2004.5</v>
      </c>
      <c r="B8" s="7">
        <v>964569.2</v>
      </c>
      <c r="C8" s="7">
        <v>962049.5</v>
      </c>
      <c r="D8" s="7">
        <v>967009.8</v>
      </c>
      <c r="F8" s="7">
        <v>964591.4</v>
      </c>
      <c r="G8" s="7">
        <v>961427.1</v>
      </c>
      <c r="H8" s="7">
        <v>967023.6</v>
      </c>
      <c r="J8" s="7">
        <v>964596.5</v>
      </c>
      <c r="K8" s="7">
        <v>961860.1</v>
      </c>
      <c r="L8" s="7">
        <v>967156.5</v>
      </c>
      <c r="N8" s="7">
        <v>964545.6</v>
      </c>
      <c r="O8" s="7">
        <v>961455.9</v>
      </c>
      <c r="P8" s="7">
        <v>967207.7</v>
      </c>
      <c r="R8" s="7">
        <v>964455.1</v>
      </c>
      <c r="S8" s="7">
        <v>961461.4</v>
      </c>
      <c r="T8" s="7">
        <v>967188.1</v>
      </c>
    </row>
    <row r="9" spans="1:20" x14ac:dyDescent="0.35">
      <c r="A9" s="6">
        <v>2005.5</v>
      </c>
      <c r="B9" s="7">
        <v>965179.7</v>
      </c>
      <c r="C9" s="7">
        <v>961799.3</v>
      </c>
      <c r="D9" s="7">
        <v>968183.4</v>
      </c>
      <c r="F9" s="7">
        <v>965179.7</v>
      </c>
      <c r="G9" s="7">
        <v>960999.7</v>
      </c>
      <c r="H9" s="7">
        <v>968309.9</v>
      </c>
      <c r="J9" s="7">
        <v>965172.9</v>
      </c>
      <c r="K9" s="7">
        <v>961620.1</v>
      </c>
      <c r="L9" s="7">
        <v>968434.1</v>
      </c>
      <c r="N9" s="7">
        <v>965127.1</v>
      </c>
      <c r="O9" s="7">
        <v>961256</v>
      </c>
      <c r="P9" s="7">
        <v>968540.5</v>
      </c>
      <c r="R9" s="7">
        <v>965016.1</v>
      </c>
      <c r="S9" s="7">
        <v>961249.4</v>
      </c>
      <c r="T9" s="7">
        <v>968446.8</v>
      </c>
    </row>
    <row r="10" spans="1:20" x14ac:dyDescent="0.35">
      <c r="A10" s="6">
        <v>2006.5</v>
      </c>
      <c r="B10" s="7">
        <v>966326.3</v>
      </c>
      <c r="C10" s="7">
        <v>962066.8</v>
      </c>
      <c r="D10" s="7">
        <v>969916.1</v>
      </c>
      <c r="F10" s="7">
        <v>966333.8</v>
      </c>
      <c r="G10" s="7">
        <v>961229.7</v>
      </c>
      <c r="H10" s="7">
        <v>970239.5</v>
      </c>
      <c r="J10" s="7">
        <v>966325</v>
      </c>
      <c r="K10" s="7">
        <v>961799.7</v>
      </c>
      <c r="L10" s="7">
        <v>970312.9</v>
      </c>
      <c r="N10" s="7">
        <v>966256.8</v>
      </c>
      <c r="O10" s="7">
        <v>961482.4</v>
      </c>
      <c r="P10" s="7">
        <v>970493.3</v>
      </c>
      <c r="R10" s="7">
        <v>966119</v>
      </c>
      <c r="S10" s="7">
        <v>961466</v>
      </c>
      <c r="T10" s="7">
        <v>970415.4</v>
      </c>
    </row>
    <row r="11" spans="1:20" x14ac:dyDescent="0.35">
      <c r="A11" s="6">
        <v>2007.5</v>
      </c>
      <c r="B11" s="7">
        <v>967508.1</v>
      </c>
      <c r="C11" s="7">
        <v>962178.8</v>
      </c>
      <c r="D11" s="7">
        <v>971626.6</v>
      </c>
      <c r="F11" s="7">
        <v>967433.8</v>
      </c>
      <c r="G11" s="7">
        <v>961330.3</v>
      </c>
      <c r="H11" s="7">
        <v>971996.7</v>
      </c>
      <c r="J11" s="7">
        <v>967377.8</v>
      </c>
      <c r="K11" s="7">
        <v>961904.9</v>
      </c>
      <c r="L11" s="7">
        <v>972396.9</v>
      </c>
      <c r="N11" s="7">
        <v>967216.2</v>
      </c>
      <c r="O11" s="7">
        <v>961525.2</v>
      </c>
      <c r="P11" s="7">
        <v>972475.1</v>
      </c>
      <c r="R11" s="7">
        <v>967107.6</v>
      </c>
      <c r="S11" s="7">
        <v>961538</v>
      </c>
      <c r="T11" s="7">
        <v>972460.5</v>
      </c>
    </row>
    <row r="12" spans="1:20" x14ac:dyDescent="0.35">
      <c r="A12" s="6">
        <v>2008.5</v>
      </c>
      <c r="B12" s="7">
        <v>968376.5</v>
      </c>
      <c r="C12" s="7">
        <v>962126.1</v>
      </c>
      <c r="D12" s="7">
        <v>973328.6</v>
      </c>
      <c r="F12" s="7">
        <v>968379.8</v>
      </c>
      <c r="G12" s="7">
        <v>961658.3</v>
      </c>
      <c r="H12" s="7">
        <v>973649.1</v>
      </c>
      <c r="J12" s="7">
        <v>968263.2</v>
      </c>
      <c r="K12" s="7">
        <v>961861.6</v>
      </c>
      <c r="L12" s="7">
        <v>974403</v>
      </c>
      <c r="N12" s="7">
        <v>968242.9</v>
      </c>
      <c r="O12" s="7">
        <v>961607.3</v>
      </c>
      <c r="P12" s="7">
        <v>974471.6</v>
      </c>
      <c r="R12" s="7">
        <v>968011.2</v>
      </c>
      <c r="S12" s="7">
        <v>961545.2</v>
      </c>
      <c r="T12" s="7">
        <v>974395.3</v>
      </c>
    </row>
    <row r="13" spans="1:20" x14ac:dyDescent="0.35">
      <c r="A13" s="6">
        <v>2009.5</v>
      </c>
      <c r="B13" s="7">
        <v>969323.2</v>
      </c>
      <c r="C13" s="7">
        <v>961914.2</v>
      </c>
      <c r="D13" s="7">
        <v>974970.7</v>
      </c>
      <c r="F13" s="7">
        <v>969323.2</v>
      </c>
      <c r="G13" s="7">
        <v>961573.8</v>
      </c>
      <c r="H13" s="7">
        <v>975236.9</v>
      </c>
      <c r="J13" s="7">
        <v>969162.8</v>
      </c>
      <c r="K13" s="7">
        <v>961660</v>
      </c>
      <c r="L13" s="7">
        <v>976232.6</v>
      </c>
      <c r="N13" s="7">
        <v>969083.8</v>
      </c>
      <c r="O13" s="7">
        <v>961373.2</v>
      </c>
      <c r="P13" s="7">
        <v>976385.1</v>
      </c>
      <c r="R13" s="7">
        <v>968916.9</v>
      </c>
      <c r="S13" s="7">
        <v>961225</v>
      </c>
      <c r="T13" s="7">
        <v>976333.4</v>
      </c>
    </row>
    <row r="14" spans="1:20" x14ac:dyDescent="0.35">
      <c r="A14" s="6">
        <v>2010.5</v>
      </c>
      <c r="B14" s="7">
        <v>969987.1</v>
      </c>
      <c r="C14" s="7">
        <v>961533</v>
      </c>
      <c r="D14" s="7">
        <v>976790.4</v>
      </c>
      <c r="F14" s="7">
        <v>969935.1</v>
      </c>
      <c r="G14" s="7">
        <v>961171.8</v>
      </c>
      <c r="H14" s="7">
        <v>977461.6</v>
      </c>
      <c r="J14" s="7">
        <v>969847.2</v>
      </c>
      <c r="K14" s="7">
        <v>961443.2</v>
      </c>
      <c r="L14" s="7">
        <v>978100.7</v>
      </c>
      <c r="N14" s="7">
        <v>969908.5</v>
      </c>
      <c r="O14" s="7">
        <v>960886.9</v>
      </c>
      <c r="P14" s="7">
        <v>978294.1</v>
      </c>
      <c r="R14" s="7">
        <v>969725.2</v>
      </c>
      <c r="S14" s="7">
        <v>960625.6</v>
      </c>
      <c r="T14" s="7">
        <v>978269.2</v>
      </c>
    </row>
    <row r="15" spans="1:20" x14ac:dyDescent="0.35">
      <c r="A15" s="6">
        <v>2011.5</v>
      </c>
      <c r="B15" s="7">
        <v>970359.6</v>
      </c>
      <c r="C15" s="7">
        <v>960832.6</v>
      </c>
      <c r="D15" s="7">
        <v>978414.3</v>
      </c>
      <c r="F15" s="7">
        <v>970448.1</v>
      </c>
      <c r="G15" s="7">
        <v>960753.7</v>
      </c>
      <c r="H15" s="7">
        <v>979466.2</v>
      </c>
      <c r="J15" s="7">
        <v>970421.4</v>
      </c>
      <c r="K15" s="7">
        <v>960781.1</v>
      </c>
      <c r="L15" s="7">
        <v>980138.5</v>
      </c>
      <c r="N15" s="7">
        <v>970501.1</v>
      </c>
      <c r="O15" s="7">
        <v>960143</v>
      </c>
      <c r="P15" s="7">
        <v>980353.3</v>
      </c>
      <c r="R15" s="7">
        <v>970313.3</v>
      </c>
      <c r="S15" s="7">
        <v>959809.7</v>
      </c>
      <c r="T15" s="7">
        <v>980328.7</v>
      </c>
    </row>
    <row r="16" spans="1:20" x14ac:dyDescent="0.35">
      <c r="A16" s="6">
        <v>2012.5</v>
      </c>
      <c r="B16" s="7">
        <v>970592.1</v>
      </c>
      <c r="C16" s="7">
        <v>959639.7</v>
      </c>
      <c r="D16" s="7">
        <v>980245.7</v>
      </c>
      <c r="F16" s="7">
        <v>971094.3</v>
      </c>
      <c r="G16" s="7">
        <v>959586.7</v>
      </c>
      <c r="H16" s="7">
        <v>981720.2</v>
      </c>
      <c r="J16" s="7">
        <v>971007.1</v>
      </c>
      <c r="K16" s="7">
        <v>959312.8</v>
      </c>
      <c r="L16" s="7">
        <v>981916.4</v>
      </c>
      <c r="N16" s="7">
        <v>971064.2</v>
      </c>
      <c r="O16" s="7">
        <v>958995.3</v>
      </c>
      <c r="P16" s="7">
        <v>982306</v>
      </c>
      <c r="R16" s="7">
        <v>970770.6</v>
      </c>
      <c r="S16" s="7">
        <v>958938</v>
      </c>
      <c r="T16" s="7">
        <v>982468.7</v>
      </c>
    </row>
    <row r="17" spans="1:20" x14ac:dyDescent="0.35">
      <c r="A17" s="6">
        <v>2013.5</v>
      </c>
      <c r="B17" s="7">
        <v>970706.6</v>
      </c>
      <c r="C17" s="7">
        <v>958133.4</v>
      </c>
      <c r="D17" s="7">
        <v>982077.7</v>
      </c>
      <c r="F17" s="7">
        <v>971344.8</v>
      </c>
      <c r="G17" s="7">
        <v>958607.3</v>
      </c>
      <c r="H17" s="7">
        <v>983515.5</v>
      </c>
      <c r="J17" s="7">
        <v>971344.8</v>
      </c>
      <c r="K17" s="7">
        <v>958004.2</v>
      </c>
      <c r="L17" s="7">
        <v>983536.5</v>
      </c>
      <c r="N17" s="7">
        <v>971389.9</v>
      </c>
      <c r="O17" s="7">
        <v>957026.7</v>
      </c>
      <c r="P17" s="7">
        <v>984422.40000000002</v>
      </c>
      <c r="R17" s="7">
        <v>971191.3</v>
      </c>
      <c r="S17" s="7">
        <v>957065.6</v>
      </c>
      <c r="T17" s="7">
        <v>984496.6</v>
      </c>
    </row>
    <row r="18" spans="1:20" x14ac:dyDescent="0.35">
      <c r="A18" s="6">
        <v>2014.5</v>
      </c>
      <c r="B18" s="7">
        <v>970586.2</v>
      </c>
      <c r="C18" s="7">
        <v>956597.9</v>
      </c>
      <c r="D18" s="7">
        <v>983698.1</v>
      </c>
      <c r="F18" s="7">
        <v>971012.9</v>
      </c>
      <c r="G18" s="7">
        <v>956896.1</v>
      </c>
      <c r="H18" s="7">
        <v>985789.2</v>
      </c>
      <c r="J18" s="7">
        <v>971285.5</v>
      </c>
      <c r="K18" s="7">
        <v>956196.2</v>
      </c>
      <c r="L18" s="7">
        <v>985604.7</v>
      </c>
      <c r="N18" s="7">
        <v>971441.6</v>
      </c>
      <c r="O18" s="7">
        <v>954713.4</v>
      </c>
      <c r="P18" s="7">
        <v>986389.4</v>
      </c>
      <c r="R18" s="7">
        <v>971089.4</v>
      </c>
      <c r="S18" s="7">
        <v>954978.3</v>
      </c>
      <c r="T18" s="7">
        <v>986452.1</v>
      </c>
    </row>
    <row r="19" spans="1:20" x14ac:dyDescent="0.35">
      <c r="A19" s="6">
        <v>2015.5</v>
      </c>
      <c r="B19" s="7">
        <v>968378.2</v>
      </c>
      <c r="C19" s="7">
        <v>952867.9</v>
      </c>
      <c r="D19" s="7">
        <v>983397.8</v>
      </c>
      <c r="F19" s="7">
        <v>968607.4</v>
      </c>
      <c r="G19" s="7">
        <v>953813.3</v>
      </c>
      <c r="H19" s="7">
        <v>985588.6</v>
      </c>
      <c r="J19" s="7">
        <v>969209.1</v>
      </c>
      <c r="K19" s="7">
        <v>951995.4</v>
      </c>
      <c r="L19" s="7">
        <v>985525.9</v>
      </c>
      <c r="N19" s="7">
        <v>969478.2</v>
      </c>
      <c r="O19" s="7">
        <v>950599.5</v>
      </c>
      <c r="P19" s="7">
        <v>986700.6</v>
      </c>
      <c r="R19" s="7">
        <v>969047</v>
      </c>
      <c r="S19" s="7">
        <v>950677.8</v>
      </c>
      <c r="T19" s="7">
        <v>986755.5</v>
      </c>
    </row>
    <row r="20" spans="1:20" x14ac:dyDescent="0.35">
      <c r="A20" s="6">
        <v>2016.5</v>
      </c>
      <c r="B20" s="7">
        <v>962322.7</v>
      </c>
      <c r="C20" s="7">
        <v>944888.3</v>
      </c>
      <c r="D20" s="7">
        <v>979192.8</v>
      </c>
      <c r="F20" s="7">
        <v>962362.6</v>
      </c>
      <c r="G20" s="7">
        <v>946029.8</v>
      </c>
      <c r="H20" s="7">
        <v>981625.8</v>
      </c>
      <c r="J20" s="7">
        <v>963152.8</v>
      </c>
      <c r="K20" s="7">
        <v>943372.3</v>
      </c>
      <c r="L20" s="7">
        <v>981663.7</v>
      </c>
      <c r="N20" s="7">
        <v>963473</v>
      </c>
      <c r="O20" s="7">
        <v>942078.2</v>
      </c>
      <c r="P20" s="7">
        <v>982777.2</v>
      </c>
      <c r="R20" s="7">
        <v>962993.2</v>
      </c>
      <c r="S20" s="7">
        <v>942093.6</v>
      </c>
      <c r="T20" s="7">
        <v>982997.1</v>
      </c>
    </row>
    <row r="21" spans="1:20" x14ac:dyDescent="0.35">
      <c r="A21" s="6">
        <v>2017.5</v>
      </c>
      <c r="B21" s="7">
        <v>952944.8</v>
      </c>
      <c r="C21" s="7">
        <v>933120</v>
      </c>
      <c r="D21" s="7">
        <v>971696.1</v>
      </c>
      <c r="F21" s="7">
        <v>952967.3</v>
      </c>
      <c r="G21" s="7">
        <v>933957.1</v>
      </c>
      <c r="H21" s="7">
        <v>974536.3</v>
      </c>
      <c r="J21" s="7">
        <v>953769.1</v>
      </c>
      <c r="K21" s="7">
        <v>931448.5</v>
      </c>
      <c r="L21" s="7">
        <v>974691.3</v>
      </c>
      <c r="N21" s="7">
        <v>954128.5</v>
      </c>
      <c r="O21" s="7">
        <v>929889.1</v>
      </c>
      <c r="P21" s="7">
        <v>975476.9</v>
      </c>
      <c r="R21" s="7">
        <v>953662.4</v>
      </c>
      <c r="S21" s="7">
        <v>929953.8</v>
      </c>
      <c r="T21" s="7">
        <v>975999.5</v>
      </c>
    </row>
    <row r="22" spans="1:20" x14ac:dyDescent="0.35">
      <c r="A22" s="6">
        <v>2018.5</v>
      </c>
      <c r="B22" s="7">
        <v>941943.9</v>
      </c>
      <c r="C22" s="7">
        <v>919145.8</v>
      </c>
      <c r="D22" s="7">
        <v>962479.8</v>
      </c>
      <c r="F22" s="7">
        <v>942183</v>
      </c>
      <c r="G22" s="7">
        <v>919767.3</v>
      </c>
      <c r="H22" s="7">
        <v>965790</v>
      </c>
      <c r="J22" s="7">
        <v>942483.9</v>
      </c>
      <c r="K22" s="7">
        <v>917598.3</v>
      </c>
      <c r="L22" s="7">
        <v>965863.3</v>
      </c>
      <c r="N22" s="7">
        <v>942792.7</v>
      </c>
      <c r="O22" s="7">
        <v>915539.2</v>
      </c>
      <c r="P22" s="7">
        <v>966497.6</v>
      </c>
      <c r="R22" s="7">
        <v>942352.2</v>
      </c>
      <c r="S22" s="7">
        <v>915583.9</v>
      </c>
      <c r="T22" s="7">
        <v>967015.7</v>
      </c>
    </row>
    <row r="23" spans="1:20" x14ac:dyDescent="0.35">
      <c r="A23" s="6">
        <v>2019.5</v>
      </c>
      <c r="B23" s="7">
        <v>932155.6</v>
      </c>
      <c r="C23" s="7">
        <v>906509.7</v>
      </c>
      <c r="D23" s="7">
        <v>954700.4</v>
      </c>
      <c r="F23" s="7">
        <v>932507.7</v>
      </c>
      <c r="G23" s="7">
        <v>906637.2</v>
      </c>
      <c r="H23" s="7">
        <v>958361.9</v>
      </c>
      <c r="J23" s="7">
        <v>932625.8</v>
      </c>
      <c r="K23" s="7">
        <v>904724.6</v>
      </c>
      <c r="L23" s="7">
        <v>958395.8</v>
      </c>
      <c r="N23" s="7">
        <v>932920.5</v>
      </c>
      <c r="O23" s="7">
        <v>902204.6</v>
      </c>
      <c r="P23" s="7">
        <v>959031.3</v>
      </c>
      <c r="R23" s="7">
        <v>932319.6</v>
      </c>
      <c r="S23" s="7">
        <v>902252.7</v>
      </c>
      <c r="T23" s="7">
        <v>959539.7</v>
      </c>
    </row>
    <row r="24" spans="1:20" x14ac:dyDescent="0.35">
      <c r="A24" s="6">
        <v>2020.5</v>
      </c>
      <c r="B24" s="7">
        <v>922100.6</v>
      </c>
      <c r="C24" s="7">
        <v>893759.1</v>
      </c>
      <c r="D24" s="7">
        <v>946734.1</v>
      </c>
      <c r="F24" s="7">
        <v>922284.5</v>
      </c>
      <c r="G24" s="7">
        <v>893538.4</v>
      </c>
      <c r="H24" s="7">
        <v>950542.3</v>
      </c>
      <c r="J24" s="7">
        <v>922284.5</v>
      </c>
      <c r="K24" s="7">
        <v>891603.9</v>
      </c>
      <c r="L24" s="7">
        <v>950470.8</v>
      </c>
      <c r="N24" s="7">
        <v>922763.3</v>
      </c>
      <c r="O24" s="7">
        <v>888078.5</v>
      </c>
      <c r="P24" s="7">
        <v>951637.2</v>
      </c>
      <c r="R24" s="7">
        <v>922208.9</v>
      </c>
      <c r="S24" s="7">
        <v>888080</v>
      </c>
      <c r="T24" s="7">
        <v>951978.6</v>
      </c>
    </row>
    <row r="25" spans="1:20" x14ac:dyDescent="0.35">
      <c r="A25" s="6">
        <v>2021.5</v>
      </c>
      <c r="B25" s="7">
        <v>915228.3</v>
      </c>
      <c r="C25" s="7">
        <v>884454.2</v>
      </c>
      <c r="D25" s="7">
        <v>941979.3</v>
      </c>
      <c r="F25" s="7">
        <v>915391.9</v>
      </c>
      <c r="G25" s="7">
        <v>883999.2</v>
      </c>
      <c r="H25" s="7">
        <v>946081</v>
      </c>
      <c r="J25" s="7">
        <v>915344.7</v>
      </c>
      <c r="K25" s="7">
        <v>881356</v>
      </c>
      <c r="L25" s="7">
        <v>946009.5</v>
      </c>
      <c r="N25" s="7">
        <v>915661</v>
      </c>
      <c r="O25" s="7">
        <v>877192.2</v>
      </c>
      <c r="P25" s="7">
        <v>947372.5</v>
      </c>
      <c r="R25" s="7">
        <v>915108.8</v>
      </c>
      <c r="S25" s="7">
        <v>877215.7</v>
      </c>
      <c r="T25" s="7">
        <v>948094.1</v>
      </c>
    </row>
    <row r="26" spans="1:20" x14ac:dyDescent="0.35">
      <c r="A26" s="6">
        <v>2022.5</v>
      </c>
      <c r="B26" s="7">
        <v>912764.1</v>
      </c>
      <c r="C26" s="7">
        <v>879678.5</v>
      </c>
      <c r="D26" s="7">
        <v>941651.4</v>
      </c>
      <c r="F26" s="7">
        <v>912704.2</v>
      </c>
      <c r="G26" s="7">
        <v>878711.8</v>
      </c>
      <c r="H26" s="7">
        <v>946469</v>
      </c>
      <c r="J26" s="7">
        <v>912787.3</v>
      </c>
      <c r="K26" s="7">
        <v>875218.2</v>
      </c>
      <c r="L26" s="7">
        <v>946721.2</v>
      </c>
      <c r="N26" s="7">
        <v>913062.9</v>
      </c>
      <c r="O26" s="7">
        <v>870771.3</v>
      </c>
      <c r="P26" s="7">
        <v>947666.2</v>
      </c>
      <c r="R26" s="7">
        <v>912598.4</v>
      </c>
      <c r="S26" s="7">
        <v>870778.7</v>
      </c>
      <c r="T26" s="7">
        <v>948269.7</v>
      </c>
    </row>
    <row r="27" spans="1:20" x14ac:dyDescent="0.35">
      <c r="A27" s="6">
        <v>2023.5</v>
      </c>
      <c r="B27" s="7">
        <v>911496.9</v>
      </c>
      <c r="C27" s="7">
        <v>875911.9</v>
      </c>
      <c r="D27" s="7">
        <v>941905.8</v>
      </c>
      <c r="F27" s="7">
        <v>911496.9</v>
      </c>
      <c r="G27" s="7">
        <v>874060.1</v>
      </c>
      <c r="H27" s="7">
        <v>946954.4</v>
      </c>
      <c r="J27" s="7">
        <v>911583.1</v>
      </c>
      <c r="K27" s="7">
        <v>869866.4</v>
      </c>
      <c r="L27" s="7">
        <v>947661.8</v>
      </c>
      <c r="N27" s="7">
        <v>911589.7</v>
      </c>
      <c r="O27" s="7">
        <v>865175.8</v>
      </c>
      <c r="P27" s="7">
        <v>948839.2</v>
      </c>
      <c r="R27" s="7">
        <v>911196.3</v>
      </c>
      <c r="S27" s="7">
        <v>865187.8</v>
      </c>
      <c r="T27" s="7">
        <v>949409.4</v>
      </c>
    </row>
    <row r="28" spans="1:20" x14ac:dyDescent="0.35">
      <c r="A28" s="6">
        <v>2024.5</v>
      </c>
      <c r="B28" s="7">
        <v>909842.4</v>
      </c>
      <c r="C28" s="7">
        <v>872022.6</v>
      </c>
      <c r="D28" s="7">
        <v>942708.7</v>
      </c>
      <c r="F28" s="7">
        <v>909298.1</v>
      </c>
      <c r="G28" s="7">
        <v>869569.7</v>
      </c>
      <c r="H28" s="7">
        <v>947787.2</v>
      </c>
      <c r="J28" s="7">
        <v>909483</v>
      </c>
      <c r="K28" s="7">
        <v>864268.80000000005</v>
      </c>
      <c r="L28" s="7">
        <v>949625.3</v>
      </c>
      <c r="N28" s="7">
        <v>909726.7</v>
      </c>
      <c r="O28" s="7">
        <v>859546.8</v>
      </c>
      <c r="P28" s="7">
        <v>949918.8</v>
      </c>
      <c r="R28" s="7">
        <v>909396.6</v>
      </c>
      <c r="S28" s="7">
        <v>859560.8</v>
      </c>
      <c r="T28" s="7">
        <v>951038.8</v>
      </c>
    </row>
    <row r="29" spans="1:20" x14ac:dyDescent="0.35">
      <c r="A29" s="6">
        <v>2025.5</v>
      </c>
      <c r="B29" s="7">
        <v>908236.3</v>
      </c>
      <c r="C29" s="7">
        <v>867790.4</v>
      </c>
      <c r="D29" s="7">
        <v>943421.3</v>
      </c>
      <c r="F29" s="7">
        <v>907258.9</v>
      </c>
      <c r="G29" s="7">
        <v>863865.7</v>
      </c>
      <c r="H29" s="7">
        <v>949047.8</v>
      </c>
      <c r="J29" s="7">
        <v>907614.8</v>
      </c>
      <c r="K29" s="7">
        <v>858959.7</v>
      </c>
      <c r="L29" s="7">
        <v>950151.8</v>
      </c>
      <c r="N29" s="7">
        <v>907759.7</v>
      </c>
      <c r="O29" s="7">
        <v>853968.8</v>
      </c>
      <c r="P29" s="7">
        <v>951675.8</v>
      </c>
      <c r="R29" s="7">
        <v>907292.5</v>
      </c>
      <c r="S29" s="7">
        <v>854161.3</v>
      </c>
      <c r="T29" s="7">
        <v>952131.2</v>
      </c>
    </row>
    <row r="30" spans="1:20" x14ac:dyDescent="0.35">
      <c r="A30" s="6">
        <v>2026.5</v>
      </c>
      <c r="B30" s="7">
        <v>906613</v>
      </c>
      <c r="C30" s="7">
        <v>862546</v>
      </c>
      <c r="D30" s="7">
        <v>944022.8</v>
      </c>
      <c r="F30" s="7">
        <v>904780.5</v>
      </c>
      <c r="G30" s="7">
        <v>857728.7</v>
      </c>
      <c r="H30" s="7">
        <v>950385.9</v>
      </c>
      <c r="J30" s="7">
        <v>905403.4</v>
      </c>
      <c r="K30" s="7">
        <v>853785.4</v>
      </c>
      <c r="L30" s="7">
        <v>950674.9</v>
      </c>
      <c r="N30" s="7">
        <v>905550.5</v>
      </c>
      <c r="O30" s="7">
        <v>847720.6</v>
      </c>
      <c r="P30" s="7">
        <v>953023.9</v>
      </c>
      <c r="R30" s="7">
        <v>904919.9</v>
      </c>
      <c r="S30" s="7">
        <v>847911.1</v>
      </c>
      <c r="T30" s="7">
        <v>954117.1</v>
      </c>
    </row>
    <row r="31" spans="1:20" x14ac:dyDescent="0.35">
      <c r="A31" s="6">
        <v>2027.5</v>
      </c>
      <c r="B31" s="7">
        <v>904615.1</v>
      </c>
      <c r="C31" s="7">
        <v>857073.5</v>
      </c>
      <c r="D31" s="7">
        <v>944518.6</v>
      </c>
      <c r="F31" s="7">
        <v>902282.3</v>
      </c>
      <c r="G31" s="7">
        <v>851364</v>
      </c>
      <c r="H31" s="7">
        <v>951756.4</v>
      </c>
      <c r="J31" s="7">
        <v>902653.8</v>
      </c>
      <c r="K31" s="7">
        <v>848342.9</v>
      </c>
      <c r="L31" s="7">
        <v>952030.7</v>
      </c>
      <c r="N31" s="7">
        <v>902905.7</v>
      </c>
      <c r="O31" s="7">
        <v>840690.1</v>
      </c>
      <c r="P31" s="7">
        <v>954603.2</v>
      </c>
      <c r="R31" s="7">
        <v>902351.9</v>
      </c>
      <c r="S31" s="7">
        <v>840724</v>
      </c>
      <c r="T31" s="7">
        <v>955098.6</v>
      </c>
    </row>
    <row r="32" spans="1:20" x14ac:dyDescent="0.35">
      <c r="A32" s="6">
        <v>2028.5</v>
      </c>
      <c r="B32" s="7">
        <v>902186.4</v>
      </c>
      <c r="C32" s="7">
        <v>851289.5</v>
      </c>
      <c r="D32" s="7">
        <v>945010.2</v>
      </c>
      <c r="F32" s="7">
        <v>899394.1</v>
      </c>
      <c r="G32" s="7">
        <v>845214.5</v>
      </c>
      <c r="H32" s="7">
        <v>953056.2</v>
      </c>
      <c r="J32" s="7">
        <v>899923.7</v>
      </c>
      <c r="K32" s="7">
        <v>842093.1</v>
      </c>
      <c r="L32" s="7">
        <v>953590.8</v>
      </c>
      <c r="N32" s="7">
        <v>900353.5</v>
      </c>
      <c r="O32" s="7">
        <v>834416.7</v>
      </c>
      <c r="P32" s="7">
        <v>956001.3</v>
      </c>
      <c r="R32" s="7">
        <v>899593.3</v>
      </c>
      <c r="S32" s="7">
        <v>834608</v>
      </c>
      <c r="T32" s="7">
        <v>956502.9</v>
      </c>
    </row>
    <row r="33" spans="1:20" x14ac:dyDescent="0.35">
      <c r="A33" s="6">
        <v>2029.5</v>
      </c>
      <c r="B33" s="7">
        <v>899537.9</v>
      </c>
      <c r="C33" s="7">
        <v>845294.5</v>
      </c>
      <c r="D33" s="7">
        <v>945618.7</v>
      </c>
      <c r="F33" s="7">
        <v>896237.9</v>
      </c>
      <c r="G33" s="7">
        <v>840039.6</v>
      </c>
      <c r="H33" s="7">
        <v>954185.4</v>
      </c>
      <c r="J33" s="7">
        <v>897085.7</v>
      </c>
      <c r="K33" s="7">
        <v>835701.2</v>
      </c>
      <c r="L33" s="7">
        <v>954627.8</v>
      </c>
      <c r="N33" s="7">
        <v>897342.5</v>
      </c>
      <c r="O33" s="7">
        <v>829134.6</v>
      </c>
      <c r="P33" s="7">
        <v>957028.4</v>
      </c>
      <c r="R33" s="7">
        <v>896902.9</v>
      </c>
      <c r="S33" s="7">
        <v>828881.6</v>
      </c>
      <c r="T33" s="7">
        <v>957953.1</v>
      </c>
    </row>
    <row r="34" spans="1:20" x14ac:dyDescent="0.35">
      <c r="A34" s="6">
        <v>2030.5</v>
      </c>
      <c r="B34" s="7">
        <v>896610.7</v>
      </c>
      <c r="C34" s="7">
        <v>839105.8</v>
      </c>
      <c r="D34" s="7">
        <v>946005.3</v>
      </c>
      <c r="F34" s="7">
        <v>892905.1</v>
      </c>
      <c r="G34" s="7">
        <v>833779.3</v>
      </c>
      <c r="H34" s="7">
        <v>954619.5</v>
      </c>
      <c r="J34" s="7">
        <v>893852.3</v>
      </c>
      <c r="K34" s="7">
        <v>829179.7</v>
      </c>
      <c r="L34" s="7">
        <v>955722.3</v>
      </c>
      <c r="N34" s="7">
        <v>894555.4</v>
      </c>
      <c r="O34" s="7">
        <v>822238.4</v>
      </c>
      <c r="P34" s="7">
        <v>957971.9</v>
      </c>
      <c r="R34" s="7">
        <v>893658.6</v>
      </c>
      <c r="S34" s="7">
        <v>822885.4</v>
      </c>
      <c r="T34" s="7">
        <v>959288</v>
      </c>
    </row>
    <row r="35" spans="1:20" x14ac:dyDescent="0.35">
      <c r="A35" s="6">
        <v>2031.5</v>
      </c>
      <c r="B35" s="7">
        <v>893467.6</v>
      </c>
      <c r="C35" s="7">
        <v>832699.3</v>
      </c>
      <c r="D35" s="7">
        <v>946202.2</v>
      </c>
      <c r="F35" s="7">
        <v>889639</v>
      </c>
      <c r="G35" s="7">
        <v>826747.2</v>
      </c>
      <c r="H35" s="7">
        <v>954874.3</v>
      </c>
      <c r="J35" s="7">
        <v>890859.8</v>
      </c>
      <c r="K35" s="7">
        <v>822259.7</v>
      </c>
      <c r="L35" s="7">
        <v>956745.5</v>
      </c>
      <c r="N35" s="7">
        <v>891362.1</v>
      </c>
      <c r="O35" s="7">
        <v>814747.7</v>
      </c>
      <c r="P35" s="7">
        <v>958581.2</v>
      </c>
      <c r="R35" s="7">
        <v>890166.1</v>
      </c>
      <c r="S35" s="7">
        <v>815258.6</v>
      </c>
      <c r="T35" s="7">
        <v>960451.3</v>
      </c>
    </row>
    <row r="36" spans="1:20" x14ac:dyDescent="0.35">
      <c r="A36" s="6">
        <v>2032.5</v>
      </c>
      <c r="B36" s="7">
        <v>889328.4</v>
      </c>
      <c r="C36" s="7">
        <v>825852.2</v>
      </c>
      <c r="D36" s="7">
        <v>946684.3</v>
      </c>
      <c r="F36" s="7">
        <v>886235.7</v>
      </c>
      <c r="G36" s="7">
        <v>819178.3</v>
      </c>
      <c r="H36" s="7">
        <v>954930.7</v>
      </c>
      <c r="J36" s="7">
        <v>887196.6</v>
      </c>
      <c r="K36" s="7">
        <v>814863.2</v>
      </c>
      <c r="L36" s="7">
        <v>957501.5</v>
      </c>
      <c r="N36" s="7">
        <v>888221.4</v>
      </c>
      <c r="O36" s="7">
        <v>807068.8</v>
      </c>
      <c r="P36" s="7">
        <v>959094.1</v>
      </c>
      <c r="R36" s="7">
        <v>886967.1</v>
      </c>
      <c r="S36" s="7">
        <v>807429.9</v>
      </c>
      <c r="T36" s="7">
        <v>961444.7</v>
      </c>
    </row>
    <row r="37" spans="1:20" x14ac:dyDescent="0.35">
      <c r="A37" s="6">
        <v>2033.5</v>
      </c>
      <c r="B37" s="7">
        <v>884857.2</v>
      </c>
      <c r="C37" s="7">
        <v>818323</v>
      </c>
      <c r="D37" s="7">
        <v>946708.7</v>
      </c>
      <c r="F37" s="7">
        <v>883362.3</v>
      </c>
      <c r="G37" s="7">
        <v>812078</v>
      </c>
      <c r="H37" s="7">
        <v>954811.6</v>
      </c>
      <c r="J37" s="7">
        <v>883607.7</v>
      </c>
      <c r="K37" s="7">
        <v>807062.2</v>
      </c>
      <c r="L37" s="7">
        <v>957853.1</v>
      </c>
      <c r="N37" s="7">
        <v>884412.8</v>
      </c>
      <c r="O37" s="7">
        <v>799248.8</v>
      </c>
      <c r="P37" s="7">
        <v>959757.5</v>
      </c>
      <c r="R37" s="7">
        <v>883579.4</v>
      </c>
      <c r="S37" s="7">
        <v>799447.7</v>
      </c>
      <c r="T37" s="7">
        <v>962256</v>
      </c>
    </row>
    <row r="38" spans="1:20" x14ac:dyDescent="0.35">
      <c r="A38" s="6">
        <v>2034.5</v>
      </c>
      <c r="B38" s="7">
        <v>881128</v>
      </c>
      <c r="C38" s="7">
        <v>810658.1</v>
      </c>
      <c r="D38" s="7">
        <v>946590.9</v>
      </c>
      <c r="F38" s="7">
        <v>879850.2</v>
      </c>
      <c r="G38" s="7">
        <v>805076.9</v>
      </c>
      <c r="H38" s="7">
        <v>955170</v>
      </c>
      <c r="J38" s="7">
        <v>879968.6</v>
      </c>
      <c r="K38" s="7">
        <v>799132</v>
      </c>
      <c r="L38" s="7">
        <v>958059.5</v>
      </c>
      <c r="N38" s="7">
        <v>880324.7</v>
      </c>
      <c r="O38" s="7">
        <v>791327.3</v>
      </c>
      <c r="P38" s="7">
        <v>960454.7</v>
      </c>
      <c r="R38" s="7">
        <v>879968.6</v>
      </c>
      <c r="S38" s="7">
        <v>792026.3</v>
      </c>
      <c r="T38" s="7">
        <v>963027.9</v>
      </c>
    </row>
    <row r="39" spans="1:20" x14ac:dyDescent="0.35">
      <c r="A39" s="6">
        <v>2035.5</v>
      </c>
      <c r="B39" s="7">
        <v>877719.9</v>
      </c>
      <c r="C39" s="7">
        <v>802849.5</v>
      </c>
      <c r="D39" s="7">
        <v>946291</v>
      </c>
      <c r="F39" s="7">
        <v>875335.5</v>
      </c>
      <c r="G39" s="7">
        <v>797231.9</v>
      </c>
      <c r="H39" s="7">
        <v>956135.2</v>
      </c>
      <c r="J39" s="7">
        <v>875822</v>
      </c>
      <c r="K39" s="7">
        <v>791091.4</v>
      </c>
      <c r="L39" s="7">
        <v>958091.7</v>
      </c>
      <c r="N39" s="7">
        <v>876118.4</v>
      </c>
      <c r="O39" s="7">
        <v>783612.4</v>
      </c>
      <c r="P39" s="7">
        <v>960978.7</v>
      </c>
      <c r="R39" s="7">
        <v>875809.6</v>
      </c>
      <c r="S39" s="7">
        <v>784525.7</v>
      </c>
      <c r="T39" s="7">
        <v>963395.4</v>
      </c>
    </row>
    <row r="40" spans="1:20" x14ac:dyDescent="0.35">
      <c r="A40" s="6">
        <v>2036.5</v>
      </c>
      <c r="B40" s="7">
        <v>874248.5</v>
      </c>
      <c r="C40" s="7">
        <v>794926</v>
      </c>
      <c r="D40" s="7">
        <v>945813.7</v>
      </c>
      <c r="F40" s="7">
        <v>871203.5</v>
      </c>
      <c r="G40" s="7">
        <v>789183.8</v>
      </c>
      <c r="H40" s="7">
        <v>956526</v>
      </c>
      <c r="J40" s="7">
        <v>872128.5</v>
      </c>
      <c r="K40" s="7">
        <v>782968.5</v>
      </c>
      <c r="L40" s="7">
        <v>958205.8</v>
      </c>
      <c r="N40" s="7">
        <v>872128.5</v>
      </c>
      <c r="O40" s="7">
        <v>775842.3</v>
      </c>
      <c r="P40" s="7">
        <v>961331.6</v>
      </c>
      <c r="R40" s="7">
        <v>871580.7</v>
      </c>
      <c r="S40" s="7">
        <v>776927.4</v>
      </c>
      <c r="T40" s="7">
        <v>963626.6</v>
      </c>
    </row>
    <row r="41" spans="1:20" x14ac:dyDescent="0.35">
      <c r="A41" s="6">
        <v>2037.5</v>
      </c>
      <c r="B41" s="7">
        <v>869796.7</v>
      </c>
      <c r="C41" s="7">
        <v>787598</v>
      </c>
      <c r="D41" s="7">
        <v>945183</v>
      </c>
      <c r="F41" s="7">
        <v>866916.1</v>
      </c>
      <c r="G41" s="7">
        <v>782042.8</v>
      </c>
      <c r="H41" s="7">
        <v>955890.1</v>
      </c>
      <c r="J41" s="7">
        <v>867964.5</v>
      </c>
      <c r="K41" s="7">
        <v>774805.3</v>
      </c>
      <c r="L41" s="7">
        <v>958730.6</v>
      </c>
      <c r="N41" s="7">
        <v>867755.2</v>
      </c>
      <c r="O41" s="7">
        <v>768042.5</v>
      </c>
      <c r="P41" s="7">
        <v>961510.8</v>
      </c>
      <c r="R41" s="7">
        <v>867359.8</v>
      </c>
      <c r="S41" s="7">
        <v>768649.8</v>
      </c>
      <c r="T41" s="7">
        <v>963711.5</v>
      </c>
    </row>
    <row r="42" spans="1:20" x14ac:dyDescent="0.35">
      <c r="A42" s="6">
        <v>2038.5</v>
      </c>
      <c r="B42" s="7">
        <v>864951.4</v>
      </c>
      <c r="C42" s="7">
        <v>780336.9</v>
      </c>
      <c r="D42" s="7">
        <v>944390.2</v>
      </c>
      <c r="F42" s="7">
        <v>863067.6</v>
      </c>
      <c r="G42" s="7">
        <v>774940.3</v>
      </c>
      <c r="H42" s="7">
        <v>955058.6</v>
      </c>
      <c r="J42" s="7">
        <v>863483</v>
      </c>
      <c r="K42" s="7">
        <v>766612.3</v>
      </c>
      <c r="L42" s="7">
        <v>959156.7</v>
      </c>
      <c r="N42" s="7">
        <v>863483</v>
      </c>
      <c r="O42" s="7">
        <v>760210.7</v>
      </c>
      <c r="P42" s="7">
        <v>961484.1</v>
      </c>
      <c r="R42" s="7">
        <v>863011</v>
      </c>
      <c r="S42" s="7">
        <v>761003.6</v>
      </c>
      <c r="T42" s="7">
        <v>963607.2</v>
      </c>
    </row>
    <row r="43" spans="1:20" x14ac:dyDescent="0.35">
      <c r="A43" s="6">
        <v>2039.5</v>
      </c>
      <c r="B43" s="7">
        <v>859324.6</v>
      </c>
      <c r="C43" s="7">
        <v>773040.8</v>
      </c>
      <c r="D43" s="7">
        <v>943490.5</v>
      </c>
      <c r="F43" s="7">
        <v>858662.5</v>
      </c>
      <c r="G43" s="7">
        <v>767798.7</v>
      </c>
      <c r="H43" s="7">
        <v>954016.3</v>
      </c>
      <c r="J43" s="7">
        <v>859133.8</v>
      </c>
      <c r="K43" s="7">
        <v>758379.2</v>
      </c>
      <c r="L43" s="7">
        <v>959413.4</v>
      </c>
      <c r="N43" s="7">
        <v>858932.7</v>
      </c>
      <c r="O43" s="7">
        <v>751828.5</v>
      </c>
      <c r="P43" s="7">
        <v>961224.9</v>
      </c>
      <c r="R43" s="7">
        <v>858606.4</v>
      </c>
      <c r="S43" s="7">
        <v>752626</v>
      </c>
      <c r="T43" s="7">
        <v>963295.7</v>
      </c>
    </row>
    <row r="44" spans="1:20" x14ac:dyDescent="0.35">
      <c r="A44" s="6">
        <v>2040.5</v>
      </c>
      <c r="B44" s="7">
        <v>854057.9</v>
      </c>
      <c r="C44" s="7">
        <v>765739.1</v>
      </c>
      <c r="D44" s="7">
        <v>942410.6</v>
      </c>
      <c r="F44" s="7">
        <v>853494.2</v>
      </c>
      <c r="G44" s="7">
        <v>760650.8</v>
      </c>
      <c r="H44" s="7">
        <v>952784.3</v>
      </c>
      <c r="J44" s="7">
        <v>854150</v>
      </c>
      <c r="K44" s="7">
        <v>749912.6</v>
      </c>
      <c r="L44" s="7">
        <v>959006.5</v>
      </c>
      <c r="N44" s="7">
        <v>854150</v>
      </c>
      <c r="O44" s="7">
        <v>743480.7</v>
      </c>
      <c r="P44" s="7">
        <v>960964.4</v>
      </c>
      <c r="R44" s="7">
        <v>853759.5</v>
      </c>
      <c r="S44" s="7">
        <v>744258.7</v>
      </c>
      <c r="T44" s="7">
        <v>962796.3</v>
      </c>
    </row>
    <row r="45" spans="1:20" x14ac:dyDescent="0.35">
      <c r="A45" s="6">
        <v>2041.5</v>
      </c>
      <c r="B45" s="7">
        <v>849285.1</v>
      </c>
      <c r="C45" s="7">
        <v>758457.2</v>
      </c>
      <c r="D45" s="7">
        <v>941166.4</v>
      </c>
      <c r="F45" s="7">
        <v>847807.9</v>
      </c>
      <c r="G45" s="7">
        <v>753520.6</v>
      </c>
      <c r="H45" s="7">
        <v>951399.4</v>
      </c>
      <c r="J45" s="7">
        <v>849583.5</v>
      </c>
      <c r="K45" s="7">
        <v>741481.9</v>
      </c>
      <c r="L45" s="7">
        <v>958251.1</v>
      </c>
      <c r="N45" s="7">
        <v>849583.5</v>
      </c>
      <c r="O45" s="7">
        <v>735263.1</v>
      </c>
      <c r="P45" s="7">
        <v>960051.5</v>
      </c>
      <c r="R45" s="7">
        <v>848754.9</v>
      </c>
      <c r="S45" s="7">
        <v>735941.8</v>
      </c>
      <c r="T45" s="7">
        <v>962387.6</v>
      </c>
    </row>
    <row r="46" spans="1:20" x14ac:dyDescent="0.35">
      <c r="A46" s="6">
        <v>2042.5</v>
      </c>
      <c r="B46" s="7">
        <v>844465.4</v>
      </c>
      <c r="C46" s="7">
        <v>751190.1</v>
      </c>
      <c r="D46" s="7">
        <v>939736.7</v>
      </c>
      <c r="F46" s="7">
        <v>842773.9</v>
      </c>
      <c r="G46" s="7">
        <v>746401.6</v>
      </c>
      <c r="H46" s="7">
        <v>950000</v>
      </c>
      <c r="J46" s="7">
        <v>844851</v>
      </c>
      <c r="K46" s="7">
        <v>733087.7</v>
      </c>
      <c r="L46" s="7">
        <v>957260.80000000005</v>
      </c>
      <c r="N46" s="7">
        <v>844851</v>
      </c>
      <c r="O46" s="7">
        <v>727129.5</v>
      </c>
      <c r="P46" s="7">
        <v>959325.3</v>
      </c>
      <c r="R46" s="7">
        <v>844232.2</v>
      </c>
      <c r="S46" s="7">
        <v>727679.8</v>
      </c>
      <c r="T46" s="7">
        <v>962382.6</v>
      </c>
    </row>
    <row r="47" spans="1:20" x14ac:dyDescent="0.35">
      <c r="A47" s="6">
        <v>2043.5</v>
      </c>
      <c r="B47" s="7">
        <v>839351.8</v>
      </c>
      <c r="C47" s="7">
        <v>743946.4</v>
      </c>
      <c r="D47" s="7">
        <v>938119.3</v>
      </c>
      <c r="F47" s="7">
        <v>837903.5</v>
      </c>
      <c r="G47" s="7">
        <v>739301.4</v>
      </c>
      <c r="H47" s="7">
        <v>948598.1</v>
      </c>
      <c r="J47" s="7">
        <v>839848.3</v>
      </c>
      <c r="K47" s="7">
        <v>724743.8</v>
      </c>
      <c r="L47" s="7">
        <v>956085.2</v>
      </c>
      <c r="N47" s="7">
        <v>839848.3</v>
      </c>
      <c r="O47" s="7">
        <v>719128.4</v>
      </c>
      <c r="P47" s="7">
        <v>958421.4</v>
      </c>
      <c r="R47" s="7">
        <v>839518.6</v>
      </c>
      <c r="S47" s="7">
        <v>719477.3</v>
      </c>
      <c r="T47" s="7">
        <v>961538.5</v>
      </c>
    </row>
    <row r="48" spans="1:20" x14ac:dyDescent="0.35">
      <c r="A48" s="6">
        <v>2044.5</v>
      </c>
      <c r="B48" s="7">
        <v>834041.3</v>
      </c>
      <c r="C48" s="7">
        <v>736758.8</v>
      </c>
      <c r="D48" s="7">
        <v>936345.2</v>
      </c>
      <c r="F48" s="7">
        <v>832950</v>
      </c>
      <c r="G48" s="7">
        <v>732216.2</v>
      </c>
      <c r="H48" s="7">
        <v>947524.1</v>
      </c>
      <c r="J48" s="7">
        <v>834858</v>
      </c>
      <c r="K48" s="7">
        <v>716486.6</v>
      </c>
      <c r="L48" s="7">
        <v>954755.3</v>
      </c>
      <c r="N48" s="7">
        <v>834697.5</v>
      </c>
      <c r="O48" s="7">
        <v>711208.9</v>
      </c>
      <c r="P48" s="7">
        <v>957361.5</v>
      </c>
      <c r="R48" s="7">
        <v>834566.7</v>
      </c>
      <c r="S48" s="7">
        <v>711361.7</v>
      </c>
      <c r="T48" s="7">
        <v>960352.1</v>
      </c>
    </row>
    <row r="49" spans="1:20" x14ac:dyDescent="0.35">
      <c r="A49" s="6">
        <v>2045.5</v>
      </c>
      <c r="B49" s="7">
        <v>828671.9</v>
      </c>
      <c r="C49" s="7">
        <v>729637.6</v>
      </c>
      <c r="D49" s="7">
        <v>934417.7</v>
      </c>
      <c r="F49" s="7">
        <v>828073.3</v>
      </c>
      <c r="G49" s="7">
        <v>724960.1</v>
      </c>
      <c r="H49" s="7">
        <v>946307.7</v>
      </c>
      <c r="J49" s="7">
        <v>829557.1</v>
      </c>
      <c r="K49" s="7">
        <v>708329.9</v>
      </c>
      <c r="L49" s="7">
        <v>953273.6</v>
      </c>
      <c r="N49" s="7">
        <v>829508.9</v>
      </c>
      <c r="O49" s="7">
        <v>703450.2</v>
      </c>
      <c r="P49" s="7">
        <v>956147.4</v>
      </c>
      <c r="R49" s="7">
        <v>829074.1</v>
      </c>
      <c r="S49" s="7">
        <v>703487.4</v>
      </c>
      <c r="T49" s="7">
        <v>958985.1</v>
      </c>
    </row>
    <row r="50" spans="1:20" x14ac:dyDescent="0.35">
      <c r="A50" s="6">
        <v>2046.5</v>
      </c>
      <c r="B50" s="7">
        <v>823247.2</v>
      </c>
      <c r="C50" s="7">
        <v>722586.7</v>
      </c>
      <c r="D50" s="7">
        <v>932333.1</v>
      </c>
      <c r="F50" s="7">
        <v>822957.9</v>
      </c>
      <c r="G50" s="7">
        <v>717193.2</v>
      </c>
      <c r="H50" s="7">
        <v>944943.9</v>
      </c>
      <c r="J50" s="7">
        <v>824034</v>
      </c>
      <c r="K50" s="7">
        <v>700281</v>
      </c>
      <c r="L50" s="7">
        <v>951635.6</v>
      </c>
      <c r="N50" s="7">
        <v>824085.5</v>
      </c>
      <c r="O50" s="7">
        <v>696055</v>
      </c>
      <c r="P50" s="7">
        <v>954844</v>
      </c>
      <c r="R50" s="7">
        <v>824007.8</v>
      </c>
      <c r="S50" s="7">
        <v>696275.5</v>
      </c>
      <c r="T50" s="7">
        <v>957537.6</v>
      </c>
    </row>
    <row r="51" spans="1:20" x14ac:dyDescent="0.35">
      <c r="A51" s="6">
        <v>2047.5</v>
      </c>
      <c r="B51" s="7">
        <v>818205.7</v>
      </c>
      <c r="C51" s="7">
        <v>715532.9</v>
      </c>
      <c r="D51" s="7">
        <v>930120.8</v>
      </c>
      <c r="F51" s="7">
        <v>817741.7</v>
      </c>
      <c r="G51" s="7">
        <v>709364.7</v>
      </c>
      <c r="H51" s="7">
        <v>943481.1</v>
      </c>
      <c r="J51" s="7">
        <v>819371.6</v>
      </c>
      <c r="K51" s="7">
        <v>692363.9</v>
      </c>
      <c r="L51" s="7">
        <v>949864.5</v>
      </c>
      <c r="N51" s="7">
        <v>819371.6</v>
      </c>
      <c r="O51" s="7">
        <v>688771.6</v>
      </c>
      <c r="P51" s="7">
        <v>953582.7</v>
      </c>
      <c r="R51" s="7">
        <v>818673.3</v>
      </c>
      <c r="S51" s="7">
        <v>689168.7</v>
      </c>
      <c r="T51" s="7">
        <v>956122.7</v>
      </c>
    </row>
    <row r="52" spans="1:20" x14ac:dyDescent="0.35">
      <c r="A52" s="6">
        <v>2048.5</v>
      </c>
      <c r="B52" s="7">
        <v>813215.1</v>
      </c>
      <c r="C52" s="7">
        <v>708467.19999999995</v>
      </c>
      <c r="D52" s="7">
        <v>927888</v>
      </c>
      <c r="F52" s="7">
        <v>812368.9</v>
      </c>
      <c r="G52" s="7">
        <v>702497.5</v>
      </c>
      <c r="H52" s="7">
        <v>941982.5</v>
      </c>
      <c r="J52" s="7">
        <v>813955.7</v>
      </c>
      <c r="K52" s="7">
        <v>684594.3</v>
      </c>
      <c r="L52" s="7">
        <v>948120</v>
      </c>
      <c r="N52" s="7">
        <v>813955.7</v>
      </c>
      <c r="O52" s="7">
        <v>681184.8</v>
      </c>
      <c r="P52" s="7">
        <v>952200.5</v>
      </c>
      <c r="R52" s="7">
        <v>813599.8</v>
      </c>
      <c r="S52" s="7">
        <v>681602.9</v>
      </c>
      <c r="T52" s="7">
        <v>954653.9</v>
      </c>
    </row>
    <row r="53" spans="1:20" x14ac:dyDescent="0.35">
      <c r="A53" s="6">
        <v>2049.5</v>
      </c>
      <c r="B53" s="7">
        <v>808232.4</v>
      </c>
      <c r="C53" s="7">
        <v>701503.1</v>
      </c>
      <c r="D53" s="7">
        <v>925572.2</v>
      </c>
      <c r="F53" s="7">
        <v>807434.5</v>
      </c>
      <c r="G53" s="7">
        <v>696043.7</v>
      </c>
      <c r="H53" s="7">
        <v>940391.6</v>
      </c>
      <c r="J53" s="7">
        <v>808910.9</v>
      </c>
      <c r="K53" s="7">
        <v>676989.3</v>
      </c>
      <c r="L53" s="7">
        <v>946686.5</v>
      </c>
      <c r="N53" s="7">
        <v>808910.9</v>
      </c>
      <c r="O53" s="7">
        <v>673592.5</v>
      </c>
      <c r="P53" s="7">
        <v>950563.1</v>
      </c>
      <c r="R53" s="7">
        <v>808323.7</v>
      </c>
      <c r="S53" s="7">
        <v>673972.6</v>
      </c>
      <c r="T53" s="7">
        <v>953306</v>
      </c>
    </row>
    <row r="54" spans="1:20" x14ac:dyDescent="0.35">
      <c r="A54" s="6">
        <v>2050.5</v>
      </c>
      <c r="B54" s="7">
        <v>803242.3</v>
      </c>
      <c r="C54" s="7">
        <v>694628.3</v>
      </c>
      <c r="D54" s="7">
        <v>923151</v>
      </c>
      <c r="F54" s="7">
        <v>802493.4</v>
      </c>
      <c r="G54" s="7">
        <v>689649.3</v>
      </c>
      <c r="H54" s="7">
        <v>938684.5</v>
      </c>
      <c r="J54" s="7">
        <v>803938.2</v>
      </c>
      <c r="K54" s="7">
        <v>669509.4</v>
      </c>
      <c r="L54" s="7">
        <v>945161.7</v>
      </c>
      <c r="N54" s="7">
        <v>803870.6</v>
      </c>
      <c r="O54" s="7">
        <v>666153.19999999995</v>
      </c>
      <c r="P54" s="7">
        <v>948659.7</v>
      </c>
      <c r="R54" s="7">
        <v>802757.2</v>
      </c>
      <c r="S54" s="7">
        <v>666464.1</v>
      </c>
      <c r="T54" s="7">
        <v>951824.9</v>
      </c>
    </row>
  </sheetData>
  <mergeCells count="7">
    <mergeCell ref="J2:L2"/>
    <mergeCell ref="A1:M1"/>
    <mergeCell ref="N2:P2"/>
    <mergeCell ref="R2:T2"/>
    <mergeCell ref="F2:H2"/>
    <mergeCell ref="A2:A3"/>
    <mergeCell ref="B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7"/>
  <sheetViews>
    <sheetView tabSelected="1" workbookViewId="0">
      <selection activeCell="J12" sqref="J12"/>
    </sheetView>
  </sheetViews>
  <sheetFormatPr defaultRowHeight="14.5" x14ac:dyDescent="0.35"/>
  <cols>
    <col min="1" max="1" width="18" customWidth="1"/>
    <col min="2" max="5" width="14" customWidth="1"/>
    <col min="6" max="6" width="22" customWidth="1"/>
  </cols>
  <sheetData>
    <row r="1" spans="1:11" ht="15.5" x14ac:dyDescent="0.35">
      <c r="A1" s="26" t="s">
        <v>10</v>
      </c>
      <c r="B1" s="25"/>
      <c r="C1" s="25"/>
      <c r="D1" s="25"/>
      <c r="E1" s="25"/>
      <c r="F1" s="25"/>
    </row>
    <row r="2" spans="1:11" x14ac:dyDescent="0.35">
      <c r="A2" s="8" t="s">
        <v>11</v>
      </c>
      <c r="B2" s="8" t="s">
        <v>7</v>
      </c>
      <c r="C2" s="8" t="s">
        <v>8</v>
      </c>
      <c r="D2" s="8" t="s">
        <v>9</v>
      </c>
      <c r="E2" s="8" t="s">
        <v>12</v>
      </c>
      <c r="F2" s="8" t="s">
        <v>13</v>
      </c>
    </row>
    <row r="3" spans="1:11" x14ac:dyDescent="0.35">
      <c r="A3" s="9">
        <v>100</v>
      </c>
      <c r="B3" s="10">
        <v>908236.3</v>
      </c>
      <c r="C3" s="10">
        <v>867790.4</v>
      </c>
      <c r="D3" s="10">
        <v>943421.3</v>
      </c>
      <c r="E3" s="10">
        <v>75630.899999999994</v>
      </c>
      <c r="F3" s="11" t="s">
        <v>14</v>
      </c>
      <c r="H3" s="29">
        <f>ABS(B3-B4)/B4</f>
        <v>1.0773110079162886E-3</v>
      </c>
      <c r="I3" s="29">
        <f t="shared" ref="I3:K6" si="0">ABS(C3-C4)/C4</f>
        <v>4.543183043382866E-3</v>
      </c>
      <c r="J3" s="29">
        <f t="shared" si="0"/>
        <v>5.9285738821585167E-3</v>
      </c>
      <c r="K3" s="29">
        <f t="shared" si="0"/>
        <v>0.11212580122561111</v>
      </c>
    </row>
    <row r="4" spans="1:11" x14ac:dyDescent="0.35">
      <c r="A4" s="12">
        <v>250</v>
      </c>
      <c r="B4" s="13">
        <v>907258.9</v>
      </c>
      <c r="C4" s="13">
        <v>863865.7</v>
      </c>
      <c r="D4" s="13">
        <v>949047.8</v>
      </c>
      <c r="E4" s="13">
        <v>85182</v>
      </c>
      <c r="F4" s="14" t="s">
        <v>15</v>
      </c>
      <c r="H4" s="29">
        <f t="shared" ref="H4:H6" si="1">ABS(B4-B5)/B5</f>
        <v>3.9212670397179868E-4</v>
      </c>
      <c r="I4" s="29">
        <f t="shared" si="0"/>
        <v>5.7115601581773862E-3</v>
      </c>
      <c r="J4" s="29">
        <f t="shared" si="0"/>
        <v>1.1619196006364457E-3</v>
      </c>
      <c r="K4" s="29">
        <f t="shared" si="0"/>
        <v>6.5906952568311736E-2</v>
      </c>
    </row>
    <row r="5" spans="1:11" x14ac:dyDescent="0.35">
      <c r="A5" s="15">
        <v>500</v>
      </c>
      <c r="B5" s="16">
        <v>907614.8</v>
      </c>
      <c r="C5" s="16">
        <v>858959.7</v>
      </c>
      <c r="D5" s="16">
        <v>950151.8</v>
      </c>
      <c r="E5" s="16">
        <v>91192.2</v>
      </c>
      <c r="F5" s="17" t="s">
        <v>16</v>
      </c>
      <c r="H5" s="29">
        <f t="shared" si="1"/>
        <v>1.5962374183377701E-4</v>
      </c>
      <c r="I5" s="29">
        <f t="shared" si="0"/>
        <v>5.8443587166181086E-3</v>
      </c>
      <c r="J5" s="29">
        <f t="shared" si="0"/>
        <v>1.6013856819727893E-3</v>
      </c>
      <c r="K5" s="29">
        <f t="shared" si="0"/>
        <v>6.6676901347907547E-2</v>
      </c>
    </row>
    <row r="6" spans="1:11" x14ac:dyDescent="0.35">
      <c r="A6" s="18">
        <v>750</v>
      </c>
      <c r="B6" s="19">
        <v>907759.7</v>
      </c>
      <c r="C6" s="19">
        <v>853968.8</v>
      </c>
      <c r="D6" s="19">
        <v>951675.8</v>
      </c>
      <c r="E6" s="19">
        <v>97707</v>
      </c>
      <c r="F6" s="20" t="s">
        <v>17</v>
      </c>
      <c r="H6" s="29">
        <f t="shared" si="1"/>
        <v>5.1493867743859171E-4</v>
      </c>
      <c r="I6" s="29">
        <f t="shared" si="0"/>
        <v>2.2536726962460134E-4</v>
      </c>
      <c r="J6" s="29">
        <f t="shared" si="0"/>
        <v>4.7829542819299159E-4</v>
      </c>
      <c r="K6" s="29">
        <f t="shared" si="0"/>
        <v>2.6834772721008615E-3</v>
      </c>
    </row>
    <row r="7" spans="1:11" x14ac:dyDescent="0.35">
      <c r="A7" s="21">
        <v>1000</v>
      </c>
      <c r="B7" s="22">
        <v>907292.5</v>
      </c>
      <c r="C7" s="22">
        <v>854161.3</v>
      </c>
      <c r="D7" s="22">
        <v>952131.2</v>
      </c>
      <c r="E7" s="22">
        <v>97969.9</v>
      </c>
      <c r="F7" s="23" t="s">
        <v>18</v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Time Series</vt:lpstr>
      <vt:lpstr>2026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Farah Houdroge</cp:lastModifiedBy>
  <dcterms:created xsi:type="dcterms:W3CDTF">2026-05-28T08:07:39Z</dcterms:created>
  <dcterms:modified xsi:type="dcterms:W3CDTF">2026-05-28T08:25:12Z</dcterms:modified>
</cp:coreProperties>
</file>