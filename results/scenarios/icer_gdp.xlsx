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rnetinstitute.sharepoint.com/sites/WG-Modelling-HCVvaccinemodel/Shared Documents/HCV vaccine model/HCV vaccine model/results/scenarios/"/>
    </mc:Choice>
  </mc:AlternateContent>
  <xr:revisionPtr revIDLastSave="105" documentId="8_{9E9B1BB8-2689-460F-8D1A-7706A248143A}" xr6:coauthVersionLast="47" xr6:coauthVersionMax="47" xr10:uidLastSave="{88ABDB69-DAFC-4BEC-8FB1-5D8332E2B038}"/>
  <bookViews>
    <workbookView xWindow="-120" yWindow="-120" windowWidth="29040" windowHeight="15840" xr2:uid="{79B2E4E4-E35E-4C67-BBAE-8069ECBCF732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" i="1" l="1"/>
  <c r="R3" i="1"/>
  <c r="S3" i="1"/>
  <c r="T3" i="1"/>
  <c r="Q4" i="1"/>
  <c r="R4" i="1"/>
  <c r="S4" i="1"/>
  <c r="T4" i="1"/>
  <c r="Q5" i="1"/>
  <c r="R5" i="1"/>
  <c r="S5" i="1"/>
  <c r="T5" i="1"/>
  <c r="P5" i="1"/>
  <c r="P4" i="1"/>
  <c r="P3" i="1"/>
  <c r="I3" i="1"/>
  <c r="J3" i="1"/>
  <c r="K3" i="1"/>
  <c r="L3" i="1"/>
  <c r="M3" i="1"/>
  <c r="I4" i="1"/>
  <c r="J4" i="1"/>
  <c r="K4" i="1"/>
  <c r="L4" i="1"/>
  <c r="M4" i="1"/>
  <c r="I5" i="1"/>
  <c r="J5" i="1"/>
  <c r="K5" i="1"/>
  <c r="L5" i="1"/>
  <c r="M5" i="1"/>
  <c r="I6" i="1"/>
  <c r="J6" i="1"/>
  <c r="K6" i="1"/>
  <c r="L6" i="1"/>
  <c r="M6" i="1"/>
  <c r="I7" i="1"/>
  <c r="J7" i="1"/>
  <c r="K7" i="1"/>
  <c r="L7" i="1"/>
  <c r="M7" i="1"/>
  <c r="I8" i="1"/>
  <c r="J8" i="1"/>
  <c r="K8" i="1"/>
  <c r="L8" i="1"/>
  <c r="M8" i="1"/>
  <c r="I9" i="1"/>
  <c r="J9" i="1"/>
  <c r="K9" i="1"/>
  <c r="L9" i="1"/>
  <c r="M9" i="1"/>
  <c r="I10" i="1"/>
  <c r="J10" i="1"/>
  <c r="K10" i="1"/>
  <c r="L10" i="1"/>
  <c r="M10" i="1"/>
  <c r="I11" i="1"/>
  <c r="J11" i="1"/>
  <c r="K11" i="1"/>
  <c r="L11" i="1"/>
  <c r="M11" i="1"/>
  <c r="I12" i="1"/>
  <c r="J12" i="1"/>
  <c r="K12" i="1"/>
  <c r="L12" i="1"/>
  <c r="M12" i="1"/>
  <c r="I13" i="1"/>
  <c r="J13" i="1"/>
  <c r="K13" i="1"/>
  <c r="L13" i="1"/>
  <c r="M13" i="1"/>
  <c r="I14" i="1"/>
  <c r="J14" i="1"/>
  <c r="K14" i="1"/>
  <c r="L14" i="1"/>
  <c r="M14" i="1"/>
  <c r="I15" i="1"/>
  <c r="J15" i="1"/>
  <c r="K15" i="1"/>
  <c r="L15" i="1"/>
  <c r="M15" i="1"/>
  <c r="I16" i="1"/>
  <c r="J16" i="1"/>
  <c r="K16" i="1"/>
  <c r="L16" i="1"/>
  <c r="M16" i="1"/>
  <c r="I17" i="1"/>
  <c r="J17" i="1"/>
  <c r="K17" i="1"/>
  <c r="L17" i="1"/>
  <c r="M17" i="1"/>
  <c r="I18" i="1"/>
  <c r="J18" i="1"/>
  <c r="K18" i="1"/>
  <c r="L18" i="1"/>
  <c r="M18" i="1"/>
  <c r="I19" i="1"/>
  <c r="J19" i="1"/>
  <c r="K19" i="1"/>
  <c r="L19" i="1"/>
  <c r="M19" i="1"/>
  <c r="I20" i="1"/>
  <c r="J20" i="1"/>
  <c r="K20" i="1"/>
  <c r="L20" i="1"/>
  <c r="M20" i="1"/>
  <c r="I21" i="1"/>
  <c r="J21" i="1"/>
  <c r="K21" i="1"/>
  <c r="L21" i="1"/>
  <c r="M21" i="1"/>
  <c r="I22" i="1"/>
  <c r="J22" i="1"/>
  <c r="K22" i="1"/>
  <c r="L22" i="1"/>
  <c r="M22" i="1"/>
  <c r="I23" i="1"/>
  <c r="J23" i="1"/>
  <c r="K23" i="1"/>
  <c r="L23" i="1"/>
  <c r="M23" i="1"/>
  <c r="I24" i="1"/>
  <c r="J24" i="1"/>
  <c r="K24" i="1"/>
  <c r="L24" i="1"/>
  <c r="M24" i="1"/>
  <c r="I25" i="1"/>
  <c r="J25" i="1"/>
  <c r="K25" i="1"/>
  <c r="L25" i="1"/>
  <c r="M25" i="1"/>
  <c r="I26" i="1"/>
  <c r="J26" i="1"/>
  <c r="K26" i="1"/>
  <c r="L26" i="1"/>
  <c r="M26" i="1"/>
  <c r="I27" i="1"/>
  <c r="J27" i="1"/>
  <c r="K27" i="1"/>
  <c r="L27" i="1"/>
  <c r="M27" i="1"/>
  <c r="I28" i="1"/>
  <c r="J28" i="1"/>
  <c r="K28" i="1"/>
  <c r="L28" i="1"/>
  <c r="M28" i="1"/>
  <c r="I29" i="1"/>
  <c r="J29" i="1"/>
  <c r="K29" i="1"/>
  <c r="L29" i="1"/>
  <c r="M29" i="1"/>
  <c r="I30" i="1"/>
  <c r="J30" i="1"/>
  <c r="K30" i="1"/>
  <c r="L30" i="1"/>
  <c r="M30" i="1"/>
  <c r="I31" i="1"/>
  <c r="J31" i="1"/>
  <c r="K31" i="1"/>
  <c r="L31" i="1"/>
  <c r="M31" i="1"/>
  <c r="I32" i="1"/>
  <c r="J32" i="1"/>
  <c r="K32" i="1"/>
  <c r="L32" i="1"/>
  <c r="M32" i="1"/>
  <c r="I33" i="1"/>
  <c r="J33" i="1"/>
  <c r="K33" i="1"/>
  <c r="L33" i="1"/>
  <c r="M33" i="1"/>
  <c r="I34" i="1"/>
  <c r="J34" i="1"/>
  <c r="K34" i="1"/>
  <c r="L34" i="1"/>
  <c r="M34" i="1"/>
  <c r="I35" i="1"/>
  <c r="J35" i="1"/>
  <c r="K35" i="1"/>
  <c r="L35" i="1"/>
  <c r="M35" i="1"/>
  <c r="I36" i="1"/>
  <c r="J36" i="1"/>
  <c r="K36" i="1"/>
  <c r="L36" i="1"/>
  <c r="M36" i="1"/>
  <c r="I37" i="1"/>
  <c r="J37" i="1"/>
  <c r="K37" i="1"/>
  <c r="L37" i="1"/>
  <c r="M37" i="1"/>
  <c r="I38" i="1"/>
  <c r="J38" i="1"/>
  <c r="K38" i="1"/>
  <c r="L38" i="1"/>
  <c r="M38" i="1"/>
  <c r="I39" i="1"/>
  <c r="J39" i="1"/>
  <c r="K39" i="1"/>
  <c r="L39" i="1"/>
  <c r="M39" i="1"/>
  <c r="I40" i="1"/>
  <c r="J40" i="1"/>
  <c r="K40" i="1"/>
  <c r="L40" i="1"/>
  <c r="M40" i="1"/>
  <c r="I41" i="1"/>
  <c r="J41" i="1"/>
  <c r="K41" i="1"/>
  <c r="L41" i="1"/>
  <c r="M41" i="1"/>
  <c r="I42" i="1"/>
  <c r="J42" i="1"/>
  <c r="K42" i="1"/>
  <c r="L42" i="1"/>
  <c r="M42" i="1"/>
  <c r="I43" i="1"/>
  <c r="J43" i="1"/>
  <c r="K43" i="1"/>
  <c r="L43" i="1"/>
  <c r="M43" i="1"/>
  <c r="I44" i="1"/>
  <c r="J44" i="1"/>
  <c r="K44" i="1"/>
  <c r="L44" i="1"/>
  <c r="M44" i="1"/>
  <c r="I45" i="1"/>
  <c r="J45" i="1"/>
  <c r="K45" i="1"/>
  <c r="L45" i="1"/>
  <c r="M45" i="1"/>
  <c r="I46" i="1"/>
  <c r="J46" i="1"/>
  <c r="K46" i="1"/>
  <c r="L46" i="1"/>
  <c r="M46" i="1"/>
  <c r="I47" i="1"/>
  <c r="J47" i="1"/>
  <c r="K47" i="1"/>
  <c r="L47" i="1"/>
  <c r="M47" i="1"/>
  <c r="I48" i="1"/>
  <c r="J48" i="1"/>
  <c r="K48" i="1"/>
  <c r="L48" i="1"/>
  <c r="M48" i="1"/>
  <c r="I49" i="1"/>
  <c r="J49" i="1"/>
  <c r="K49" i="1"/>
  <c r="L49" i="1"/>
  <c r="M49" i="1"/>
  <c r="I50" i="1"/>
  <c r="J50" i="1"/>
  <c r="K50" i="1"/>
  <c r="L50" i="1"/>
  <c r="M50" i="1"/>
  <c r="I51" i="1"/>
  <c r="J51" i="1"/>
  <c r="K51" i="1"/>
  <c r="L51" i="1"/>
  <c r="M51" i="1"/>
  <c r="I52" i="1"/>
  <c r="J52" i="1"/>
  <c r="K52" i="1"/>
  <c r="L52" i="1"/>
  <c r="M52" i="1"/>
  <c r="I53" i="1"/>
  <c r="J53" i="1"/>
  <c r="K53" i="1"/>
  <c r="L53" i="1"/>
  <c r="M53" i="1"/>
  <c r="I54" i="1"/>
  <c r="J54" i="1"/>
  <c r="K54" i="1"/>
  <c r="L54" i="1"/>
  <c r="M54" i="1"/>
  <c r="I55" i="1"/>
  <c r="J55" i="1"/>
  <c r="K55" i="1"/>
  <c r="L55" i="1"/>
  <c r="M55" i="1"/>
  <c r="I56" i="1"/>
  <c r="J56" i="1"/>
  <c r="K56" i="1"/>
  <c r="L56" i="1"/>
  <c r="M56" i="1"/>
  <c r="I57" i="1"/>
  <c r="J57" i="1"/>
  <c r="K57" i="1"/>
  <c r="L57" i="1"/>
  <c r="M57" i="1"/>
  <c r="I58" i="1"/>
  <c r="J58" i="1"/>
  <c r="K58" i="1"/>
  <c r="L58" i="1"/>
  <c r="M58" i="1"/>
  <c r="I59" i="1"/>
  <c r="J59" i="1"/>
  <c r="K59" i="1"/>
  <c r="L59" i="1"/>
  <c r="M59" i="1"/>
  <c r="I60" i="1"/>
  <c r="J60" i="1"/>
  <c r="K60" i="1"/>
  <c r="L60" i="1"/>
  <c r="M60" i="1"/>
  <c r="I61" i="1"/>
  <c r="J61" i="1"/>
  <c r="K61" i="1"/>
  <c r="L61" i="1"/>
  <c r="M61" i="1"/>
  <c r="I62" i="1"/>
  <c r="J62" i="1"/>
  <c r="K62" i="1"/>
  <c r="L62" i="1"/>
  <c r="M62" i="1"/>
  <c r="I63" i="1"/>
  <c r="J63" i="1"/>
  <c r="K63" i="1"/>
  <c r="L63" i="1"/>
  <c r="M63" i="1"/>
  <c r="I64" i="1"/>
  <c r="J64" i="1"/>
  <c r="K64" i="1"/>
  <c r="L64" i="1"/>
  <c r="M64" i="1"/>
  <c r="I65" i="1"/>
  <c r="J65" i="1"/>
  <c r="K65" i="1"/>
  <c r="L65" i="1"/>
  <c r="M65" i="1"/>
  <c r="I66" i="1"/>
  <c r="J66" i="1"/>
  <c r="K66" i="1"/>
  <c r="L66" i="1"/>
  <c r="M66" i="1"/>
  <c r="I67" i="1"/>
  <c r="J67" i="1"/>
  <c r="K67" i="1"/>
  <c r="L67" i="1"/>
  <c r="M67" i="1"/>
  <c r="I68" i="1"/>
  <c r="J68" i="1"/>
  <c r="K68" i="1"/>
  <c r="L68" i="1"/>
  <c r="M68" i="1"/>
  <c r="I69" i="1"/>
  <c r="J69" i="1"/>
  <c r="K69" i="1"/>
  <c r="L69" i="1"/>
  <c r="M69" i="1"/>
  <c r="I70" i="1"/>
  <c r="J70" i="1"/>
  <c r="K70" i="1"/>
  <c r="L70" i="1"/>
  <c r="M70" i="1"/>
  <c r="I71" i="1"/>
  <c r="J71" i="1"/>
  <c r="K71" i="1"/>
  <c r="L71" i="1"/>
  <c r="M71" i="1"/>
  <c r="I72" i="1"/>
  <c r="J72" i="1"/>
  <c r="K72" i="1"/>
  <c r="L72" i="1"/>
  <c r="M72" i="1"/>
  <c r="I73" i="1"/>
  <c r="J73" i="1"/>
  <c r="K73" i="1"/>
  <c r="L73" i="1"/>
  <c r="M73" i="1"/>
  <c r="I74" i="1"/>
  <c r="J74" i="1"/>
  <c r="K74" i="1"/>
  <c r="L74" i="1"/>
  <c r="M74" i="1"/>
  <c r="I75" i="1"/>
  <c r="J75" i="1"/>
  <c r="K75" i="1"/>
  <c r="L75" i="1"/>
  <c r="M75" i="1"/>
  <c r="I76" i="1"/>
  <c r="J76" i="1"/>
  <c r="K76" i="1"/>
  <c r="L76" i="1"/>
  <c r="M76" i="1"/>
  <c r="I77" i="1"/>
  <c r="J77" i="1"/>
  <c r="K77" i="1"/>
  <c r="L77" i="1"/>
  <c r="M77" i="1"/>
  <c r="I78" i="1"/>
  <c r="J78" i="1"/>
  <c r="K78" i="1"/>
  <c r="L78" i="1"/>
  <c r="M78" i="1"/>
  <c r="I79" i="1"/>
  <c r="J79" i="1"/>
  <c r="K79" i="1"/>
  <c r="L79" i="1"/>
  <c r="M79" i="1"/>
  <c r="I80" i="1"/>
  <c r="J80" i="1"/>
  <c r="K80" i="1"/>
  <c r="L80" i="1"/>
  <c r="M80" i="1"/>
  <c r="I81" i="1"/>
  <c r="J81" i="1"/>
  <c r="K81" i="1"/>
  <c r="L81" i="1"/>
  <c r="M81" i="1"/>
  <c r="I82" i="1"/>
  <c r="J82" i="1"/>
  <c r="K82" i="1"/>
  <c r="L82" i="1"/>
  <c r="M82" i="1"/>
  <c r="I83" i="1"/>
  <c r="J83" i="1"/>
  <c r="K83" i="1"/>
  <c r="L83" i="1"/>
  <c r="M83" i="1"/>
  <c r="I84" i="1"/>
  <c r="J84" i="1"/>
  <c r="K84" i="1"/>
  <c r="L84" i="1"/>
  <c r="M84" i="1"/>
  <c r="I85" i="1"/>
  <c r="J85" i="1"/>
  <c r="K85" i="1"/>
  <c r="L85" i="1"/>
  <c r="M85" i="1"/>
  <c r="I86" i="1"/>
  <c r="J86" i="1"/>
  <c r="K86" i="1"/>
  <c r="L86" i="1"/>
  <c r="M86" i="1"/>
  <c r="I87" i="1"/>
  <c r="J87" i="1"/>
  <c r="K87" i="1"/>
  <c r="L87" i="1"/>
  <c r="M87" i="1"/>
  <c r="I88" i="1"/>
  <c r="J88" i="1"/>
  <c r="K88" i="1"/>
  <c r="L88" i="1"/>
  <c r="M88" i="1"/>
  <c r="I89" i="1"/>
  <c r="J89" i="1"/>
  <c r="K89" i="1"/>
  <c r="L89" i="1"/>
  <c r="M89" i="1"/>
  <c r="I90" i="1"/>
  <c r="J90" i="1"/>
  <c r="K90" i="1"/>
  <c r="L90" i="1"/>
  <c r="M90" i="1"/>
  <c r="I91" i="1"/>
  <c r="J91" i="1"/>
  <c r="K91" i="1"/>
  <c r="L91" i="1"/>
  <c r="M91" i="1"/>
  <c r="I92" i="1"/>
  <c r="J92" i="1"/>
  <c r="K92" i="1"/>
  <c r="L92" i="1"/>
  <c r="M92" i="1"/>
  <c r="I93" i="1"/>
  <c r="J93" i="1"/>
  <c r="K93" i="1"/>
  <c r="L93" i="1"/>
  <c r="M93" i="1"/>
  <c r="I94" i="1"/>
  <c r="J94" i="1"/>
  <c r="K94" i="1"/>
  <c r="L94" i="1"/>
  <c r="M94" i="1"/>
  <c r="I95" i="1"/>
  <c r="J95" i="1"/>
  <c r="K95" i="1"/>
  <c r="L95" i="1"/>
  <c r="M95" i="1"/>
  <c r="I96" i="1"/>
  <c r="J96" i="1"/>
  <c r="K96" i="1"/>
  <c r="L96" i="1"/>
  <c r="M96" i="1"/>
  <c r="I97" i="1"/>
  <c r="J97" i="1"/>
  <c r="K97" i="1"/>
  <c r="L97" i="1"/>
  <c r="M97" i="1"/>
  <c r="I98" i="1"/>
  <c r="J98" i="1"/>
  <c r="K98" i="1"/>
  <c r="L98" i="1"/>
  <c r="M98" i="1"/>
  <c r="I99" i="1"/>
  <c r="J99" i="1"/>
  <c r="K99" i="1"/>
  <c r="L99" i="1"/>
  <c r="M99" i="1"/>
  <c r="I100" i="1"/>
  <c r="J100" i="1"/>
  <c r="K100" i="1"/>
  <c r="L100" i="1"/>
  <c r="M100" i="1"/>
  <c r="I101" i="1"/>
  <c r="J101" i="1"/>
  <c r="K101" i="1"/>
  <c r="L101" i="1"/>
  <c r="M101" i="1"/>
  <c r="I102" i="1"/>
  <c r="J102" i="1"/>
  <c r="K102" i="1"/>
  <c r="L102" i="1"/>
  <c r="M102" i="1"/>
  <c r="I103" i="1"/>
  <c r="J103" i="1"/>
  <c r="K103" i="1"/>
  <c r="L103" i="1"/>
  <c r="M103" i="1"/>
  <c r="I104" i="1"/>
  <c r="J104" i="1"/>
  <c r="K104" i="1"/>
  <c r="L104" i="1"/>
  <c r="M104" i="1"/>
  <c r="I105" i="1"/>
  <c r="J105" i="1"/>
  <c r="K105" i="1"/>
  <c r="L105" i="1"/>
  <c r="M105" i="1"/>
  <c r="I106" i="1"/>
  <c r="J106" i="1"/>
  <c r="K106" i="1"/>
  <c r="L106" i="1"/>
  <c r="M106" i="1"/>
  <c r="I107" i="1"/>
  <c r="J107" i="1"/>
  <c r="K107" i="1"/>
  <c r="L107" i="1"/>
  <c r="M107" i="1"/>
  <c r="I108" i="1"/>
  <c r="J108" i="1"/>
  <c r="K108" i="1"/>
  <c r="L108" i="1"/>
  <c r="M108" i="1"/>
  <c r="I109" i="1"/>
  <c r="J109" i="1"/>
  <c r="K109" i="1"/>
  <c r="L109" i="1"/>
  <c r="M109" i="1"/>
  <c r="I110" i="1"/>
  <c r="J110" i="1"/>
  <c r="K110" i="1"/>
  <c r="L110" i="1"/>
  <c r="M110" i="1"/>
  <c r="I111" i="1"/>
  <c r="J111" i="1"/>
  <c r="K111" i="1"/>
  <c r="L111" i="1"/>
  <c r="M111" i="1"/>
  <c r="I112" i="1"/>
  <c r="J112" i="1"/>
  <c r="K112" i="1"/>
  <c r="L112" i="1"/>
  <c r="M112" i="1"/>
  <c r="I113" i="1"/>
  <c r="J113" i="1"/>
  <c r="K113" i="1"/>
  <c r="L113" i="1"/>
  <c r="M113" i="1"/>
  <c r="I114" i="1"/>
  <c r="J114" i="1"/>
  <c r="K114" i="1"/>
  <c r="L114" i="1"/>
  <c r="M114" i="1"/>
  <c r="I115" i="1"/>
  <c r="J115" i="1"/>
  <c r="K115" i="1"/>
  <c r="L115" i="1"/>
  <c r="M115" i="1"/>
  <c r="I116" i="1"/>
  <c r="J116" i="1"/>
  <c r="K116" i="1"/>
  <c r="L116" i="1"/>
  <c r="M116" i="1"/>
  <c r="I117" i="1"/>
  <c r="J117" i="1"/>
  <c r="K117" i="1"/>
  <c r="L117" i="1"/>
  <c r="M117" i="1"/>
  <c r="J2" i="1"/>
  <c r="K2" i="1"/>
  <c r="L2" i="1"/>
  <c r="M2" i="1"/>
  <c r="I2" i="1"/>
  <c r="D115" i="1"/>
  <c r="E115" i="1"/>
  <c r="F115" i="1"/>
  <c r="G115" i="1"/>
  <c r="H115" i="1"/>
  <c r="D116" i="1"/>
  <c r="E116" i="1"/>
  <c r="F116" i="1"/>
  <c r="G116" i="1"/>
  <c r="H116" i="1"/>
  <c r="D117" i="1"/>
  <c r="E117" i="1"/>
  <c r="F117" i="1"/>
  <c r="G117" i="1"/>
  <c r="H117" i="1"/>
  <c r="D30" i="1" l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D43" i="1"/>
  <c r="E43" i="1"/>
  <c r="F43" i="1"/>
  <c r="G43" i="1"/>
  <c r="H43" i="1"/>
  <c r="D44" i="1"/>
  <c r="E44" i="1"/>
  <c r="F44" i="1"/>
  <c r="G44" i="1"/>
  <c r="H44" i="1"/>
  <c r="D45" i="1"/>
  <c r="E45" i="1"/>
  <c r="F45" i="1"/>
  <c r="G45" i="1"/>
  <c r="H45" i="1"/>
  <c r="D46" i="1"/>
  <c r="E46" i="1"/>
  <c r="F46" i="1"/>
  <c r="G46" i="1"/>
  <c r="H46" i="1"/>
  <c r="D47" i="1"/>
  <c r="E47" i="1"/>
  <c r="F47" i="1"/>
  <c r="G47" i="1"/>
  <c r="H47" i="1"/>
  <c r="D48" i="1"/>
  <c r="E48" i="1"/>
  <c r="F48" i="1"/>
  <c r="G48" i="1"/>
  <c r="H48" i="1"/>
  <c r="D49" i="1"/>
  <c r="E49" i="1"/>
  <c r="F49" i="1"/>
  <c r="G49" i="1"/>
  <c r="H49" i="1"/>
  <c r="D50" i="1"/>
  <c r="E50" i="1"/>
  <c r="F50" i="1"/>
  <c r="G50" i="1"/>
  <c r="H50" i="1"/>
  <c r="D51" i="1"/>
  <c r="E51" i="1"/>
  <c r="F51" i="1"/>
  <c r="G51" i="1"/>
  <c r="H51" i="1"/>
  <c r="D52" i="1"/>
  <c r="E52" i="1"/>
  <c r="F52" i="1"/>
  <c r="G52" i="1"/>
  <c r="H52" i="1"/>
  <c r="D53" i="1"/>
  <c r="E53" i="1"/>
  <c r="F53" i="1"/>
  <c r="G53" i="1"/>
  <c r="H53" i="1"/>
  <c r="D54" i="1"/>
  <c r="E54" i="1"/>
  <c r="F54" i="1"/>
  <c r="G54" i="1"/>
  <c r="H54" i="1"/>
  <c r="D55" i="1"/>
  <c r="E55" i="1"/>
  <c r="F55" i="1"/>
  <c r="G55" i="1"/>
  <c r="H55" i="1"/>
  <c r="D56" i="1"/>
  <c r="E56" i="1"/>
  <c r="F56" i="1"/>
  <c r="G56" i="1"/>
  <c r="H56" i="1"/>
  <c r="D57" i="1"/>
  <c r="E57" i="1"/>
  <c r="F57" i="1"/>
  <c r="G57" i="1"/>
  <c r="H57" i="1"/>
  <c r="D58" i="1"/>
  <c r="E58" i="1"/>
  <c r="F58" i="1"/>
  <c r="G58" i="1"/>
  <c r="H58" i="1"/>
  <c r="D59" i="1"/>
  <c r="E59" i="1"/>
  <c r="F59" i="1"/>
  <c r="G59" i="1"/>
  <c r="H59" i="1"/>
  <c r="D60" i="1"/>
  <c r="E60" i="1"/>
  <c r="F60" i="1"/>
  <c r="G60" i="1"/>
  <c r="H60" i="1"/>
  <c r="D61" i="1"/>
  <c r="E61" i="1"/>
  <c r="F61" i="1"/>
  <c r="G61" i="1"/>
  <c r="H61" i="1"/>
  <c r="D62" i="1"/>
  <c r="E62" i="1"/>
  <c r="F62" i="1"/>
  <c r="G62" i="1"/>
  <c r="H62" i="1"/>
  <c r="D63" i="1"/>
  <c r="E63" i="1"/>
  <c r="F63" i="1"/>
  <c r="G63" i="1"/>
  <c r="H63" i="1"/>
  <c r="D64" i="1"/>
  <c r="E64" i="1"/>
  <c r="F64" i="1"/>
  <c r="G64" i="1"/>
  <c r="H64" i="1"/>
  <c r="D65" i="1"/>
  <c r="E65" i="1"/>
  <c r="F65" i="1"/>
  <c r="G65" i="1"/>
  <c r="H65" i="1"/>
  <c r="D66" i="1"/>
  <c r="E66" i="1"/>
  <c r="F66" i="1"/>
  <c r="G66" i="1"/>
  <c r="H66" i="1"/>
  <c r="D67" i="1"/>
  <c r="E67" i="1"/>
  <c r="F67" i="1"/>
  <c r="G67" i="1"/>
  <c r="H67" i="1"/>
  <c r="D68" i="1"/>
  <c r="E68" i="1"/>
  <c r="F68" i="1"/>
  <c r="G68" i="1"/>
  <c r="H68" i="1"/>
  <c r="D69" i="1"/>
  <c r="E69" i="1"/>
  <c r="F69" i="1"/>
  <c r="G69" i="1"/>
  <c r="H69" i="1"/>
  <c r="D70" i="1"/>
  <c r="E70" i="1"/>
  <c r="F70" i="1"/>
  <c r="G70" i="1"/>
  <c r="H70" i="1"/>
  <c r="D71" i="1"/>
  <c r="E71" i="1"/>
  <c r="F71" i="1"/>
  <c r="G71" i="1"/>
  <c r="H71" i="1"/>
  <c r="D72" i="1"/>
  <c r="E72" i="1"/>
  <c r="F72" i="1"/>
  <c r="G72" i="1"/>
  <c r="H72" i="1"/>
  <c r="D73" i="1"/>
  <c r="E73" i="1"/>
  <c r="F73" i="1"/>
  <c r="G73" i="1"/>
  <c r="H73" i="1"/>
  <c r="D74" i="1"/>
  <c r="E74" i="1"/>
  <c r="F74" i="1"/>
  <c r="G74" i="1"/>
  <c r="H74" i="1"/>
  <c r="D75" i="1"/>
  <c r="E75" i="1"/>
  <c r="F75" i="1"/>
  <c r="G75" i="1"/>
  <c r="H75" i="1"/>
  <c r="D76" i="1"/>
  <c r="E76" i="1"/>
  <c r="F76" i="1"/>
  <c r="G76" i="1"/>
  <c r="H76" i="1"/>
  <c r="D77" i="1"/>
  <c r="E77" i="1"/>
  <c r="F77" i="1"/>
  <c r="G77" i="1"/>
  <c r="H77" i="1"/>
  <c r="D78" i="1"/>
  <c r="E78" i="1"/>
  <c r="F78" i="1"/>
  <c r="G78" i="1"/>
  <c r="H78" i="1"/>
  <c r="D79" i="1"/>
  <c r="E79" i="1"/>
  <c r="F79" i="1"/>
  <c r="G79" i="1"/>
  <c r="H79" i="1"/>
  <c r="D80" i="1"/>
  <c r="E80" i="1"/>
  <c r="F80" i="1"/>
  <c r="G80" i="1"/>
  <c r="H80" i="1"/>
  <c r="D81" i="1"/>
  <c r="E81" i="1"/>
  <c r="F81" i="1"/>
  <c r="G81" i="1"/>
  <c r="H81" i="1"/>
  <c r="D82" i="1"/>
  <c r="E82" i="1"/>
  <c r="F82" i="1"/>
  <c r="G82" i="1"/>
  <c r="H82" i="1"/>
  <c r="D83" i="1"/>
  <c r="E83" i="1"/>
  <c r="F83" i="1"/>
  <c r="G83" i="1"/>
  <c r="H83" i="1"/>
  <c r="D84" i="1"/>
  <c r="E84" i="1"/>
  <c r="F84" i="1"/>
  <c r="G84" i="1"/>
  <c r="H84" i="1"/>
  <c r="D85" i="1"/>
  <c r="E85" i="1"/>
  <c r="F85" i="1"/>
  <c r="G85" i="1"/>
  <c r="H85" i="1"/>
  <c r="D86" i="1"/>
  <c r="E86" i="1"/>
  <c r="F86" i="1"/>
  <c r="G86" i="1"/>
  <c r="H86" i="1"/>
  <c r="D87" i="1"/>
  <c r="E87" i="1"/>
  <c r="F87" i="1"/>
  <c r="G87" i="1"/>
  <c r="H87" i="1"/>
  <c r="D88" i="1"/>
  <c r="E88" i="1"/>
  <c r="F88" i="1"/>
  <c r="G88" i="1"/>
  <c r="H88" i="1"/>
  <c r="D89" i="1"/>
  <c r="E89" i="1"/>
  <c r="F89" i="1"/>
  <c r="G89" i="1"/>
  <c r="H89" i="1"/>
  <c r="D90" i="1"/>
  <c r="E90" i="1"/>
  <c r="F90" i="1"/>
  <c r="G90" i="1"/>
  <c r="H90" i="1"/>
  <c r="D91" i="1"/>
  <c r="E91" i="1"/>
  <c r="F91" i="1"/>
  <c r="G91" i="1"/>
  <c r="H91" i="1"/>
  <c r="D92" i="1"/>
  <c r="E92" i="1"/>
  <c r="F92" i="1"/>
  <c r="G92" i="1"/>
  <c r="H92" i="1"/>
  <c r="D93" i="1"/>
  <c r="E93" i="1"/>
  <c r="F93" i="1"/>
  <c r="G93" i="1"/>
  <c r="H93" i="1"/>
  <c r="D94" i="1"/>
  <c r="E94" i="1"/>
  <c r="F94" i="1"/>
  <c r="G94" i="1"/>
  <c r="H94" i="1"/>
  <c r="D95" i="1"/>
  <c r="E95" i="1"/>
  <c r="F95" i="1"/>
  <c r="G95" i="1"/>
  <c r="H95" i="1"/>
  <c r="D96" i="1"/>
  <c r="E96" i="1"/>
  <c r="F96" i="1"/>
  <c r="G96" i="1"/>
  <c r="H96" i="1"/>
  <c r="D97" i="1"/>
  <c r="E97" i="1"/>
  <c r="F97" i="1"/>
  <c r="G97" i="1"/>
  <c r="H97" i="1"/>
  <c r="D98" i="1"/>
  <c r="E98" i="1"/>
  <c r="F98" i="1"/>
  <c r="G98" i="1"/>
  <c r="H98" i="1"/>
  <c r="D99" i="1"/>
  <c r="E99" i="1"/>
  <c r="F99" i="1"/>
  <c r="G99" i="1"/>
  <c r="H99" i="1"/>
  <c r="D100" i="1"/>
  <c r="E100" i="1"/>
  <c r="F100" i="1"/>
  <c r="G100" i="1"/>
  <c r="H100" i="1"/>
  <c r="D101" i="1"/>
  <c r="E101" i="1"/>
  <c r="F101" i="1"/>
  <c r="G101" i="1"/>
  <c r="H101" i="1"/>
  <c r="D102" i="1"/>
  <c r="E102" i="1"/>
  <c r="F102" i="1"/>
  <c r="G102" i="1"/>
  <c r="H102" i="1"/>
  <c r="D103" i="1"/>
  <c r="E103" i="1"/>
  <c r="F103" i="1"/>
  <c r="G103" i="1"/>
  <c r="H103" i="1"/>
  <c r="D104" i="1"/>
  <c r="E104" i="1"/>
  <c r="F104" i="1"/>
  <c r="G104" i="1"/>
  <c r="H104" i="1"/>
  <c r="D105" i="1"/>
  <c r="E105" i="1"/>
  <c r="F105" i="1"/>
  <c r="G105" i="1"/>
  <c r="H105" i="1"/>
  <c r="D106" i="1"/>
  <c r="E106" i="1"/>
  <c r="F106" i="1"/>
  <c r="G106" i="1"/>
  <c r="H106" i="1"/>
  <c r="D107" i="1"/>
  <c r="E107" i="1"/>
  <c r="F107" i="1"/>
  <c r="G107" i="1"/>
  <c r="H107" i="1"/>
  <c r="D108" i="1"/>
  <c r="E108" i="1"/>
  <c r="F108" i="1"/>
  <c r="G108" i="1"/>
  <c r="H108" i="1"/>
  <c r="D109" i="1"/>
  <c r="E109" i="1"/>
  <c r="F109" i="1"/>
  <c r="G109" i="1"/>
  <c r="H109" i="1"/>
  <c r="D110" i="1"/>
  <c r="E110" i="1"/>
  <c r="F110" i="1"/>
  <c r="G110" i="1"/>
  <c r="H110" i="1"/>
  <c r="D111" i="1"/>
  <c r="E111" i="1"/>
  <c r="F111" i="1"/>
  <c r="G111" i="1"/>
  <c r="H111" i="1"/>
  <c r="D112" i="1"/>
  <c r="E112" i="1"/>
  <c r="F112" i="1"/>
  <c r="G112" i="1"/>
  <c r="H112" i="1"/>
  <c r="D113" i="1"/>
  <c r="E113" i="1"/>
  <c r="F113" i="1"/>
  <c r="G113" i="1"/>
  <c r="H113" i="1"/>
  <c r="D114" i="1"/>
  <c r="E114" i="1"/>
  <c r="F114" i="1"/>
  <c r="G114" i="1"/>
  <c r="H114" i="1"/>
  <c r="D3" i="1"/>
  <c r="E3" i="1"/>
  <c r="F3" i="1"/>
  <c r="G3" i="1"/>
  <c r="H3" i="1"/>
  <c r="D4" i="1"/>
  <c r="E4" i="1"/>
  <c r="F4" i="1"/>
  <c r="G4" i="1"/>
  <c r="H4" i="1"/>
  <c r="D5" i="1"/>
  <c r="E5" i="1"/>
  <c r="F5" i="1"/>
  <c r="G5" i="1"/>
  <c r="H5" i="1"/>
  <c r="D6" i="1"/>
  <c r="E6" i="1"/>
  <c r="F6" i="1"/>
  <c r="G6" i="1"/>
  <c r="H6" i="1"/>
  <c r="D7" i="1"/>
  <c r="E7" i="1"/>
  <c r="F7" i="1"/>
  <c r="G7" i="1"/>
  <c r="H7" i="1"/>
  <c r="D8" i="1"/>
  <c r="E8" i="1"/>
  <c r="F8" i="1"/>
  <c r="G8" i="1"/>
  <c r="H8" i="1"/>
  <c r="D9" i="1"/>
  <c r="E9" i="1"/>
  <c r="F9" i="1"/>
  <c r="G9" i="1"/>
  <c r="H9" i="1"/>
  <c r="D10" i="1"/>
  <c r="E10" i="1"/>
  <c r="F10" i="1"/>
  <c r="G10" i="1"/>
  <c r="H10" i="1"/>
  <c r="D11" i="1"/>
  <c r="E11" i="1"/>
  <c r="F11" i="1"/>
  <c r="G11" i="1"/>
  <c r="H11" i="1"/>
  <c r="D12" i="1"/>
  <c r="E12" i="1"/>
  <c r="F12" i="1"/>
  <c r="G12" i="1"/>
  <c r="H12" i="1"/>
  <c r="D13" i="1"/>
  <c r="E13" i="1"/>
  <c r="F13" i="1"/>
  <c r="G13" i="1"/>
  <c r="H13" i="1"/>
  <c r="D14" i="1"/>
  <c r="E14" i="1"/>
  <c r="F14" i="1"/>
  <c r="G14" i="1"/>
  <c r="H14" i="1"/>
  <c r="D15" i="1"/>
  <c r="E15" i="1"/>
  <c r="F15" i="1"/>
  <c r="G15" i="1"/>
  <c r="H15" i="1"/>
  <c r="D16" i="1"/>
  <c r="E16" i="1"/>
  <c r="F16" i="1"/>
  <c r="G16" i="1"/>
  <c r="H16" i="1"/>
  <c r="D17" i="1"/>
  <c r="E17" i="1"/>
  <c r="F17" i="1"/>
  <c r="G17" i="1"/>
  <c r="H17" i="1"/>
  <c r="D18" i="1"/>
  <c r="E18" i="1"/>
  <c r="F18" i="1"/>
  <c r="G18" i="1"/>
  <c r="H18" i="1"/>
  <c r="D19" i="1"/>
  <c r="E19" i="1"/>
  <c r="F19" i="1"/>
  <c r="G19" i="1"/>
  <c r="H19" i="1"/>
  <c r="D20" i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E2" i="1" l="1"/>
  <c r="F2" i="1"/>
  <c r="G2" i="1"/>
  <c r="H2" i="1"/>
  <c r="D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Farah Houdroge</author>
  </authors>
  <commentList>
    <comment ref="C1" authorId="0" shapeId="0" xr:uid="{22B78F0B-89AD-4B1B-A913-AEA68FB7E4A8}">
      <text>
        <r>
          <rPr>
            <b/>
            <sz val="9"/>
            <color indexed="81"/>
            <rFont val="Tahoma"/>
            <charset val="1"/>
          </rPr>
          <t>Farah Houdroge:</t>
        </r>
        <r>
          <rPr>
            <sz val="9"/>
            <color indexed="81"/>
            <rFont val="Tahoma"/>
            <charset val="1"/>
          </rPr>
          <t xml:space="preserve">
Per capita
</t>
        </r>
      </text>
    </comment>
    <comment ref="D1" authorId="0" shapeId="0" xr:uid="{0E8F9543-8FC2-4A0C-AFC1-E14C984BDB1B}">
      <text>
        <r>
          <rPr>
            <b/>
            <sz val="9"/>
            <color indexed="81"/>
            <rFont val="Tahoma"/>
            <charset val="1"/>
          </rPr>
          <t>Farah Houdroge:</t>
        </r>
        <r>
          <rPr>
            <sz val="9"/>
            <color indexed="81"/>
            <rFont val="Tahoma"/>
            <charset val="1"/>
          </rPr>
          <t xml:space="preserve">
ICER</t>
        </r>
      </text>
    </comment>
  </commentList>
</comments>
</file>

<file path=xl/sharedStrings.xml><?xml version="1.0" encoding="utf-8"?>
<sst xmlns="http://schemas.openxmlformats.org/spreadsheetml/2006/main" count="253" uniqueCount="248">
  <si>
    <t>Country</t>
  </si>
  <si>
    <t>ISO3</t>
  </si>
  <si>
    <t>GDP</t>
  </si>
  <si>
    <t>Albania</t>
  </si>
  <si>
    <t>ALB</t>
  </si>
  <si>
    <t>Armenia</t>
  </si>
  <si>
    <t>ARM</t>
  </si>
  <si>
    <t>Austria</t>
  </si>
  <si>
    <t>AUT</t>
  </si>
  <si>
    <t>Azerbaijan</t>
  </si>
  <si>
    <t>AZE</t>
  </si>
  <si>
    <t>Belgium</t>
  </si>
  <si>
    <t>BEL</t>
  </si>
  <si>
    <t>Bulgaria</t>
  </si>
  <si>
    <t>BGR</t>
  </si>
  <si>
    <t>Switzerland</t>
  </si>
  <si>
    <t>CHE</t>
  </si>
  <si>
    <t>Czech Republic</t>
  </si>
  <si>
    <t>CZE</t>
  </si>
  <si>
    <t>Germany</t>
  </si>
  <si>
    <t>DEU</t>
  </si>
  <si>
    <t>Denmark</t>
  </si>
  <si>
    <t>DNK</t>
  </si>
  <si>
    <t>Spain</t>
  </si>
  <si>
    <t>ESP</t>
  </si>
  <si>
    <t>Estonia</t>
  </si>
  <si>
    <t>EST</t>
  </si>
  <si>
    <t>Finland</t>
  </si>
  <si>
    <t>FIN</t>
  </si>
  <si>
    <t>France</t>
  </si>
  <si>
    <t>FRA</t>
  </si>
  <si>
    <t>United Kingdom</t>
  </si>
  <si>
    <t>GBR</t>
  </si>
  <si>
    <t>Georgia</t>
  </si>
  <si>
    <t>GEO</t>
  </si>
  <si>
    <t>Greece</t>
  </si>
  <si>
    <t>GRC</t>
  </si>
  <si>
    <t>Croatia</t>
  </si>
  <si>
    <t>HRV</t>
  </si>
  <si>
    <t>Hungary</t>
  </si>
  <si>
    <t>HUN</t>
  </si>
  <si>
    <t>Ireland</t>
  </si>
  <si>
    <t>IRL</t>
  </si>
  <si>
    <t>Iceland</t>
  </si>
  <si>
    <t>ISL</t>
  </si>
  <si>
    <t>Israel</t>
  </si>
  <si>
    <t>ISR</t>
  </si>
  <si>
    <t>Italy</t>
  </si>
  <si>
    <t>ITA</t>
  </si>
  <si>
    <t>Kazakhstan</t>
  </si>
  <si>
    <t>KAZ</t>
  </si>
  <si>
    <t>Kyrgyzstan</t>
  </si>
  <si>
    <t>KGZ</t>
  </si>
  <si>
    <t>Lithuania</t>
  </si>
  <si>
    <t>LTU</t>
  </si>
  <si>
    <t>Luxembourg</t>
  </si>
  <si>
    <t>LUX</t>
  </si>
  <si>
    <t>Latvia</t>
  </si>
  <si>
    <t>LVA</t>
  </si>
  <si>
    <t>Moldova</t>
  </si>
  <si>
    <t>MDA</t>
  </si>
  <si>
    <t>Malta</t>
  </si>
  <si>
    <t>MLT</t>
  </si>
  <si>
    <t>Netherlands</t>
  </si>
  <si>
    <t>NLD</t>
  </si>
  <si>
    <t>Norway</t>
  </si>
  <si>
    <t>NOR</t>
  </si>
  <si>
    <t>Poland</t>
  </si>
  <si>
    <t>POL</t>
  </si>
  <si>
    <t>Portugal</t>
  </si>
  <si>
    <t>PRT</t>
  </si>
  <si>
    <t>Romania</t>
  </si>
  <si>
    <t>ROU</t>
  </si>
  <si>
    <t>Russian Federation</t>
  </si>
  <si>
    <t>RUS</t>
  </si>
  <si>
    <t>Slovakia</t>
  </si>
  <si>
    <t>SVK</t>
  </si>
  <si>
    <t>Slovenia</t>
  </si>
  <si>
    <t>SVN</t>
  </si>
  <si>
    <t>Sweden</t>
  </si>
  <si>
    <t>SWE</t>
  </si>
  <si>
    <t>Tajikistan</t>
  </si>
  <si>
    <t>TJK</t>
  </si>
  <si>
    <t>Turkey</t>
  </si>
  <si>
    <t>TUR</t>
  </si>
  <si>
    <t>Ukraine</t>
  </si>
  <si>
    <t>UKR</t>
  </si>
  <si>
    <t>Uzbekistan</t>
  </si>
  <si>
    <t>UZB</t>
  </si>
  <si>
    <t>Scenario 1</t>
  </si>
  <si>
    <t>Scenario 2</t>
  </si>
  <si>
    <t>Scenario 3</t>
  </si>
  <si>
    <t>Scenario 4</t>
  </si>
  <si>
    <t>Scenario 5</t>
  </si>
  <si>
    <t>Afghanistan</t>
  </si>
  <si>
    <t>AFG</t>
  </si>
  <si>
    <t>United Arab Emirates</t>
  </si>
  <si>
    <t>ARE</t>
  </si>
  <si>
    <t>Argentina</t>
  </si>
  <si>
    <t>ARG</t>
  </si>
  <si>
    <t>Australia</t>
  </si>
  <si>
    <t>AUS</t>
  </si>
  <si>
    <t>Burundi</t>
  </si>
  <si>
    <t>BDI</t>
  </si>
  <si>
    <t>Benin</t>
  </si>
  <si>
    <t>BEN</t>
  </si>
  <si>
    <t>Burkina Faso</t>
  </si>
  <si>
    <t>BFA</t>
  </si>
  <si>
    <t>Bangladesh</t>
  </si>
  <si>
    <t>BGD</t>
  </si>
  <si>
    <t>Bahrain</t>
  </si>
  <si>
    <t>BHR</t>
  </si>
  <si>
    <t>Brazil</t>
  </si>
  <si>
    <t>BRA</t>
  </si>
  <si>
    <t>Bhutan</t>
  </si>
  <si>
    <t>BTN</t>
  </si>
  <si>
    <t>Central African Republic</t>
  </si>
  <si>
    <t>CAF</t>
  </si>
  <si>
    <t>Canada</t>
  </si>
  <si>
    <t>CAN</t>
  </si>
  <si>
    <t>Chile</t>
  </si>
  <si>
    <t>CHL</t>
  </si>
  <si>
    <t>China</t>
  </si>
  <si>
    <t>CHN</t>
  </si>
  <si>
    <t>Cameroon</t>
  </si>
  <si>
    <t>CMR</t>
  </si>
  <si>
    <t>DR Congo</t>
  </si>
  <si>
    <t>COD</t>
  </si>
  <si>
    <t>Colombia</t>
  </si>
  <si>
    <t>COL</t>
  </si>
  <si>
    <t>Cuba</t>
  </si>
  <si>
    <t>CUB</t>
  </si>
  <si>
    <t>Dominican Republic</t>
  </si>
  <si>
    <t>DOM</t>
  </si>
  <si>
    <t>Algeria</t>
  </si>
  <si>
    <t>DZA</t>
  </si>
  <si>
    <t>Ecuador</t>
  </si>
  <si>
    <t>ECU</t>
  </si>
  <si>
    <t>Egypt</t>
  </si>
  <si>
    <t>EGY</t>
  </si>
  <si>
    <t>Ethiopia</t>
  </si>
  <si>
    <t>ETH</t>
  </si>
  <si>
    <t>Fiji</t>
  </si>
  <si>
    <t>FJI</t>
  </si>
  <si>
    <t>Gabon</t>
  </si>
  <si>
    <t>GAB</t>
  </si>
  <si>
    <t>Ghana</t>
  </si>
  <si>
    <t>GHA</t>
  </si>
  <si>
    <t>Gambia</t>
  </si>
  <si>
    <t>GMB</t>
  </si>
  <si>
    <t>Indonesia</t>
  </si>
  <si>
    <t>IDN</t>
  </si>
  <si>
    <t>India</t>
  </si>
  <si>
    <t>IND</t>
  </si>
  <si>
    <t>Iran</t>
  </si>
  <si>
    <t>IRN</t>
  </si>
  <si>
    <t>Iraq</t>
  </si>
  <si>
    <t>IRQ</t>
  </si>
  <si>
    <t>Jordan</t>
  </si>
  <si>
    <t>JOR</t>
  </si>
  <si>
    <t>Japan</t>
  </si>
  <si>
    <t>JPN</t>
  </si>
  <si>
    <t>Kenya</t>
  </si>
  <si>
    <t>KEN</t>
  </si>
  <si>
    <t>Cambodia</t>
  </si>
  <si>
    <t>KHM</t>
  </si>
  <si>
    <t>Republic of Korea</t>
  </si>
  <si>
    <t>KOR</t>
  </si>
  <si>
    <t>Lebanon</t>
  </si>
  <si>
    <t>LBN</t>
  </si>
  <si>
    <t>Libya</t>
  </si>
  <si>
    <t>LBY</t>
  </si>
  <si>
    <t>Morocco</t>
  </si>
  <si>
    <t>MAR</t>
  </si>
  <si>
    <t>Madagascar</t>
  </si>
  <si>
    <t>MDG</t>
  </si>
  <si>
    <t>Mexico</t>
  </si>
  <si>
    <t>MEX</t>
  </si>
  <si>
    <t>Mongolia</t>
  </si>
  <si>
    <t>MNG</t>
  </si>
  <si>
    <t>Mozambique</t>
  </si>
  <si>
    <t>MOZ</t>
  </si>
  <si>
    <t>Malaysia</t>
  </si>
  <si>
    <t>MYS</t>
  </si>
  <si>
    <t>Nigeria</t>
  </si>
  <si>
    <t>NGA</t>
  </si>
  <si>
    <t>Nepal</t>
  </si>
  <si>
    <t>NPL</t>
  </si>
  <si>
    <t>New Zealand</t>
  </si>
  <si>
    <t>NZL</t>
  </si>
  <si>
    <t>Oman</t>
  </si>
  <si>
    <t>OMN</t>
  </si>
  <si>
    <t>Pakistan</t>
  </si>
  <si>
    <t>PAK</t>
  </si>
  <si>
    <t>Panama</t>
  </si>
  <si>
    <t>PAN</t>
  </si>
  <si>
    <t>Peru</t>
  </si>
  <si>
    <t>PER</t>
  </si>
  <si>
    <t>Philippines</t>
  </si>
  <si>
    <t>PHL</t>
  </si>
  <si>
    <t>Papua New Guinea</t>
  </si>
  <si>
    <t>PNG</t>
  </si>
  <si>
    <t>Puerto Rico</t>
  </si>
  <si>
    <t>PRI</t>
  </si>
  <si>
    <t>Qatar</t>
  </si>
  <si>
    <t>QAT</t>
  </si>
  <si>
    <t>Rwanda</t>
  </si>
  <si>
    <t>RWA</t>
  </si>
  <si>
    <t>Saudi Arabia</t>
  </si>
  <si>
    <t>SAU</t>
  </si>
  <si>
    <t>Sudan</t>
  </si>
  <si>
    <t>SDN</t>
  </si>
  <si>
    <t>El Salvador</t>
  </si>
  <si>
    <t>SLV</t>
  </si>
  <si>
    <t>Syria</t>
  </si>
  <si>
    <t>SYR</t>
  </si>
  <si>
    <t>Chad</t>
  </si>
  <si>
    <t>TCD</t>
  </si>
  <si>
    <t>Thailand</t>
  </si>
  <si>
    <t>THA</t>
  </si>
  <si>
    <t>Tunisia</t>
  </si>
  <si>
    <t>TUN</t>
  </si>
  <si>
    <t>Taiwan</t>
  </si>
  <si>
    <t>TWN</t>
  </si>
  <si>
    <t>United Republic of Tanzania</t>
  </si>
  <si>
    <t>TZA</t>
  </si>
  <si>
    <t>Uganda</t>
  </si>
  <si>
    <t>UGA</t>
  </si>
  <si>
    <t>United States of America</t>
  </si>
  <si>
    <t>USA</t>
  </si>
  <si>
    <t>Venezuela</t>
  </si>
  <si>
    <t>VEN</t>
  </si>
  <si>
    <t>Viet Nam</t>
  </si>
  <si>
    <t>VNM</t>
  </si>
  <si>
    <t>Vanuatu</t>
  </si>
  <si>
    <t>VUT</t>
  </si>
  <si>
    <t>Yemen</t>
  </si>
  <si>
    <t>YEM</t>
  </si>
  <si>
    <t>South Africa</t>
  </si>
  <si>
    <t>ZAF</t>
  </si>
  <si>
    <t>ICER/GDP Scenario 1</t>
  </si>
  <si>
    <t>ICER/GDP Scenario 2</t>
  </si>
  <si>
    <t>ICER/GDP Scenario 3</t>
  </si>
  <si>
    <t>ICER/GDP Scenario 4</t>
  </si>
  <si>
    <t>ICER/GDP Scenario 5</t>
  </si>
  <si>
    <t>Less than 0.5</t>
  </si>
  <si>
    <t>Less than 1.0</t>
  </si>
  <si>
    <t>Less than 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</si>
</sst>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farah.houdroge\Burnet%20Institute\WG-Modelling%20-%20HCV%20vaccine%20model%20-%20HCV%20vaccine%20model\HCV%20vaccine%20model\results\scenarios\icer_country.csv" TargetMode="External"/><Relationship Id="rId1" Type="http://schemas.openxmlformats.org/officeDocument/2006/relationships/externalLinkPath" Target="file:///C:\Users\farah.houdroge\Burnet%20Institute\WG-Modelling%20-%20HCV%20vaccine%20model%20-%20HCV%20vaccine%20model\HCV%20vaccine%20model\results\scenarios\icer_country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cer_country"/>
    </sheetNames>
    <sheetDataSet>
      <sheetData sheetId="0">
        <row r="1">
          <cell r="A1" t="str">
            <v>country</v>
          </cell>
          <cell r="B1" t="str">
            <v>Scenario 1</v>
          </cell>
          <cell r="C1" t="str">
            <v>Scenario 2</v>
          </cell>
          <cell r="D1" t="str">
            <v>Scenario 3</v>
          </cell>
          <cell r="E1" t="str">
            <v>Scenario 4</v>
          </cell>
          <cell r="F1" t="str">
            <v>Scenario 5</v>
          </cell>
        </row>
        <row r="2">
          <cell r="A2" t="str">
            <v>Afghanistan</v>
          </cell>
          <cell r="B2">
            <v>1957.3547573967301</v>
          </cell>
          <cell r="C2">
            <v>924.92730397404398</v>
          </cell>
          <cell r="D2">
            <v>2095.0254575109102</v>
          </cell>
          <cell r="E2">
            <v>13618.5181779305</v>
          </cell>
          <cell r="F2">
            <v>205909.00780918999</v>
          </cell>
        </row>
        <row r="3">
          <cell r="A3" t="str">
            <v>Albania</v>
          </cell>
          <cell r="B3">
            <v>-3215.9869445478098</v>
          </cell>
          <cell r="C3">
            <v>-3271.4040345296698</v>
          </cell>
          <cell r="D3">
            <v>-3415.4193758859301</v>
          </cell>
          <cell r="E3">
            <v>238.70772035799499</v>
          </cell>
          <cell r="F3">
            <v>208441.07284766799</v>
          </cell>
        </row>
        <row r="4">
          <cell r="A4" t="str">
            <v>United Arab Emirates</v>
          </cell>
          <cell r="B4">
            <v>-35138.116256026602</v>
          </cell>
          <cell r="C4">
            <v>-35638.469412625003</v>
          </cell>
          <cell r="D4">
            <v>-35623.100352276597</v>
          </cell>
          <cell r="E4">
            <v>244326.13799634401</v>
          </cell>
          <cell r="F4">
            <v>1233467.5377217</v>
          </cell>
        </row>
        <row r="5">
          <cell r="A5" t="str">
            <v>Argentina</v>
          </cell>
          <cell r="B5">
            <v>-2201.16926307429</v>
          </cell>
          <cell r="C5">
            <v>-2897.1738774368901</v>
          </cell>
          <cell r="D5">
            <v>6956.48963962977</v>
          </cell>
          <cell r="E5">
            <v>52001.247503004597</v>
          </cell>
          <cell r="F5">
            <v>487924.883252681</v>
          </cell>
        </row>
        <row r="6">
          <cell r="A6" t="str">
            <v>Armenia</v>
          </cell>
          <cell r="B6">
            <v>23001.4948331997</v>
          </cell>
          <cell r="C6">
            <v>22428.731137966301</v>
          </cell>
          <cell r="D6">
            <v>45240.817932409998</v>
          </cell>
          <cell r="E6">
            <v>103004.512118235</v>
          </cell>
          <cell r="F6">
            <v>3332167.00425858</v>
          </cell>
        </row>
        <row r="7">
          <cell r="A7" t="str">
            <v>Australia</v>
          </cell>
          <cell r="B7">
            <v>1925654.04014562</v>
          </cell>
          <cell r="C7">
            <v>1767039.5218503601</v>
          </cell>
          <cell r="D7">
            <v>1412897.64557147</v>
          </cell>
          <cell r="E7">
            <v>4415266.3457888998</v>
          </cell>
          <cell r="F7">
            <v>94567885.694663599</v>
          </cell>
        </row>
        <row r="8">
          <cell r="A8" t="str">
            <v>Austria</v>
          </cell>
          <cell r="B8">
            <v>11081.024393658299</v>
          </cell>
          <cell r="C8">
            <v>18779.400193604499</v>
          </cell>
          <cell r="D8">
            <v>63108.1292153049</v>
          </cell>
          <cell r="E8">
            <v>362913.19163840701</v>
          </cell>
          <cell r="F8">
            <v>7537139.8235242199</v>
          </cell>
        </row>
        <row r="9">
          <cell r="A9" t="str">
            <v>Azerbaijan</v>
          </cell>
          <cell r="B9">
            <v>-2315.5982352490901</v>
          </cell>
          <cell r="C9">
            <v>-2299.1283296850502</v>
          </cell>
          <cell r="D9">
            <v>-2547.1973843876599</v>
          </cell>
          <cell r="E9">
            <v>51.032008415708198</v>
          </cell>
          <cell r="F9">
            <v>123509.982368014</v>
          </cell>
        </row>
        <row r="10">
          <cell r="A10" t="str">
            <v>Burundi</v>
          </cell>
          <cell r="B10">
            <v>110195.60801395201</v>
          </cell>
          <cell r="C10">
            <v>30917.127763064</v>
          </cell>
          <cell r="D10">
            <v>62327.750990138396</v>
          </cell>
          <cell r="E10">
            <v>35285.340052563901</v>
          </cell>
          <cell r="F10">
            <v>18199.7668639039</v>
          </cell>
        </row>
        <row r="11">
          <cell r="A11" t="str">
            <v>Belgium</v>
          </cell>
          <cell r="B11">
            <v>-13127.1547357567</v>
          </cell>
          <cell r="C11">
            <v>-13067.9350355195</v>
          </cell>
          <cell r="D11">
            <v>14722.8310364261</v>
          </cell>
          <cell r="E11">
            <v>181715.90838495499</v>
          </cell>
          <cell r="F11">
            <v>2928205.2348311399</v>
          </cell>
        </row>
        <row r="12">
          <cell r="A12" t="str">
            <v>Benin</v>
          </cell>
          <cell r="B12">
            <v>508.060848517301</v>
          </cell>
          <cell r="C12">
            <v>-9.8234910419695396</v>
          </cell>
          <cell r="D12">
            <v>1335.32261009237</v>
          </cell>
          <cell r="E12">
            <v>12809.190899724001</v>
          </cell>
          <cell r="F12">
            <v>150571.22377622599</v>
          </cell>
        </row>
        <row r="13">
          <cell r="A13" t="str">
            <v>Burkina Faso</v>
          </cell>
          <cell r="B13">
            <v>330.39299825993902</v>
          </cell>
          <cell r="C13">
            <v>-23.3329246413623</v>
          </cell>
          <cell r="D13">
            <v>405.88427534333499</v>
          </cell>
          <cell r="E13">
            <v>22391.440503491802</v>
          </cell>
          <cell r="F13">
            <v>57758.3602253012</v>
          </cell>
        </row>
        <row r="14">
          <cell r="A14" t="str">
            <v>Bangladesh</v>
          </cell>
          <cell r="B14">
            <v>293.379097846148</v>
          </cell>
          <cell r="C14">
            <v>-12.2551453300057</v>
          </cell>
          <cell r="D14">
            <v>1002.96372342754</v>
          </cell>
          <cell r="E14">
            <v>6162.9616863173896</v>
          </cell>
          <cell r="F14">
            <v>85987.858057607998</v>
          </cell>
        </row>
        <row r="15">
          <cell r="A15" t="str">
            <v>Bulgaria</v>
          </cell>
          <cell r="B15">
            <v>-2278.5682122773101</v>
          </cell>
          <cell r="C15">
            <v>-3153.1746661476</v>
          </cell>
          <cell r="D15">
            <v>2728.40005570624</v>
          </cell>
          <cell r="E15">
            <v>16831.424757258901</v>
          </cell>
          <cell r="F15">
            <v>853561.71613507997</v>
          </cell>
        </row>
        <row r="16">
          <cell r="A16" t="str">
            <v>Bahrain</v>
          </cell>
          <cell r="B16">
            <v>-5779.0481819221104</v>
          </cell>
          <cell r="C16">
            <v>-8645.8206550251107</v>
          </cell>
          <cell r="D16">
            <v>12404.7687052579</v>
          </cell>
          <cell r="E16">
            <v>151961.036739353</v>
          </cell>
          <cell r="F16">
            <v>1750868.64393455</v>
          </cell>
        </row>
        <row r="17">
          <cell r="A17" t="str">
            <v>Brazil</v>
          </cell>
          <cell r="B17">
            <v>5605.2998866100397</v>
          </cell>
          <cell r="C17">
            <v>3506.9362437310701</v>
          </cell>
          <cell r="D17">
            <v>25986.3524062986</v>
          </cell>
          <cell r="E17">
            <v>44443.326684853702</v>
          </cell>
          <cell r="F17">
            <v>966830.597374</v>
          </cell>
        </row>
        <row r="18">
          <cell r="A18" t="str">
            <v>Bhutan</v>
          </cell>
          <cell r="B18">
            <v>-295.15506677244002</v>
          </cell>
          <cell r="C18">
            <v>-466.49714285678601</v>
          </cell>
          <cell r="D18">
            <v>2483.9863813987499</v>
          </cell>
          <cell r="E18">
            <v>16669.869077940999</v>
          </cell>
          <cell r="F18">
            <v>194013.07235984999</v>
          </cell>
        </row>
        <row r="19">
          <cell r="A19" t="str">
            <v>Central African Republic</v>
          </cell>
          <cell r="B19">
            <v>406.18059878647102</v>
          </cell>
          <cell r="C19">
            <v>128.46423071055699</v>
          </cell>
          <cell r="D19">
            <v>318.33373240267099</v>
          </cell>
          <cell r="E19">
            <v>5561.7928444996496</v>
          </cell>
          <cell r="F19">
            <v>24745.513581009898</v>
          </cell>
        </row>
        <row r="20">
          <cell r="A20" t="str">
            <v>Canada</v>
          </cell>
          <cell r="B20">
            <v>191054.23003134501</v>
          </cell>
          <cell r="C20">
            <v>138907.882014642</v>
          </cell>
          <cell r="D20">
            <v>212380.89376314401</v>
          </cell>
          <cell r="E20">
            <v>738388.92580539396</v>
          </cell>
          <cell r="F20">
            <v>9049767.2304669805</v>
          </cell>
        </row>
        <row r="21">
          <cell r="A21" t="str">
            <v>Switzerland</v>
          </cell>
          <cell r="B21">
            <v>43340.726132898199</v>
          </cell>
          <cell r="C21">
            <v>18247.078190212102</v>
          </cell>
          <cell r="D21">
            <v>69213.917485353493</v>
          </cell>
          <cell r="E21">
            <v>238589.743692207</v>
          </cell>
          <cell r="F21">
            <v>4405220.5970590701</v>
          </cell>
        </row>
        <row r="22">
          <cell r="A22" t="str">
            <v>Chile</v>
          </cell>
          <cell r="B22">
            <v>2331498.8911597198</v>
          </cell>
          <cell r="C22">
            <v>1455573.0051140699</v>
          </cell>
          <cell r="D22">
            <v>5212206.4919281397</v>
          </cell>
          <cell r="E22">
            <v>14086851.325259499</v>
          </cell>
          <cell r="F22">
            <v>147574959.462145</v>
          </cell>
        </row>
        <row r="23">
          <cell r="A23" t="str">
            <v>China</v>
          </cell>
          <cell r="B23">
            <v>13231.133766489</v>
          </cell>
          <cell r="C23">
            <v>6516.0481362986502</v>
          </cell>
          <cell r="D23">
            <v>36738.351523696598</v>
          </cell>
          <cell r="E23">
            <v>85587.644972843904</v>
          </cell>
          <cell r="F23">
            <v>6426404.5896143904</v>
          </cell>
        </row>
        <row r="24">
          <cell r="A24" t="str">
            <v>Cameroon</v>
          </cell>
          <cell r="B24">
            <v>126.78505618285</v>
          </cell>
          <cell r="C24">
            <v>-229.84581986287799</v>
          </cell>
          <cell r="D24">
            <v>-407.40358870338201</v>
          </cell>
          <cell r="E24">
            <v>15625.2996788577</v>
          </cell>
          <cell r="F24">
            <v>93864.957022033806</v>
          </cell>
        </row>
        <row r="25">
          <cell r="A25" t="str">
            <v>DR Congo</v>
          </cell>
          <cell r="B25">
            <v>198.05586046865201</v>
          </cell>
          <cell r="C25">
            <v>63.450448681749499</v>
          </cell>
          <cell r="D25">
            <v>565.94352481749502</v>
          </cell>
          <cell r="E25">
            <v>135069.56882370499</v>
          </cell>
          <cell r="F25">
            <v>61768.134756266903</v>
          </cell>
        </row>
        <row r="26">
          <cell r="A26" t="str">
            <v>Colombia</v>
          </cell>
          <cell r="B26">
            <v>-5297.5996801015499</v>
          </cell>
          <cell r="C26">
            <v>-5123.37912662709</v>
          </cell>
          <cell r="D26">
            <v>1439.94868610084</v>
          </cell>
          <cell r="E26">
            <v>16669.693117859599</v>
          </cell>
          <cell r="F26">
            <v>818977.29688734806</v>
          </cell>
        </row>
        <row r="27">
          <cell r="A27" t="str">
            <v>Cuba</v>
          </cell>
          <cell r="B27">
            <v>60958.772804236898</v>
          </cell>
          <cell r="C27">
            <v>40601.616483267499</v>
          </cell>
          <cell r="D27">
            <v>40761.723330624001</v>
          </cell>
          <cell r="E27">
            <v>54732.626766881804</v>
          </cell>
          <cell r="F27">
            <v>857630.87503887503</v>
          </cell>
        </row>
        <row r="28">
          <cell r="A28" t="str">
            <v>Czech Republic</v>
          </cell>
          <cell r="B28">
            <v>-5439.4748390534096</v>
          </cell>
          <cell r="C28">
            <v>-4344.2709599770897</v>
          </cell>
          <cell r="D28">
            <v>29539.593488709099</v>
          </cell>
          <cell r="E28">
            <v>69355.691424295801</v>
          </cell>
          <cell r="F28">
            <v>2735463.6846951898</v>
          </cell>
        </row>
        <row r="29">
          <cell r="A29" t="str">
            <v>Germany</v>
          </cell>
          <cell r="B29">
            <v>-4339.6011871458504</v>
          </cell>
          <cell r="C29">
            <v>-3092.4094368588098</v>
          </cell>
          <cell r="D29">
            <v>11971.743694279099</v>
          </cell>
          <cell r="E29">
            <v>54956.924029267801</v>
          </cell>
          <cell r="F29">
            <v>2697065.95586074</v>
          </cell>
        </row>
        <row r="30">
          <cell r="A30" t="str">
            <v>Denmark</v>
          </cell>
          <cell r="B30">
            <v>2682830.6730512599</v>
          </cell>
          <cell r="C30">
            <v>2256029.0904008802</v>
          </cell>
          <cell r="D30">
            <v>3419945.9700116101</v>
          </cell>
          <cell r="E30">
            <v>8770079.8082288597</v>
          </cell>
          <cell r="F30">
            <v>-494798486.73610401</v>
          </cell>
        </row>
        <row r="31">
          <cell r="A31" t="str">
            <v>Dominican Republic</v>
          </cell>
          <cell r="B31">
            <v>-1302.1380221285301</v>
          </cell>
          <cell r="C31">
            <v>-1487.11548705011</v>
          </cell>
          <cell r="D31">
            <v>2079.0570392181598</v>
          </cell>
          <cell r="E31">
            <v>10151.379125543899</v>
          </cell>
          <cell r="F31">
            <v>309083.06266045797</v>
          </cell>
        </row>
        <row r="32">
          <cell r="A32" t="str">
            <v>Algeria</v>
          </cell>
          <cell r="B32">
            <v>-1860.3518836670301</v>
          </cell>
          <cell r="C32">
            <v>-1988.05746783274</v>
          </cell>
          <cell r="D32">
            <v>5199.6185495651998</v>
          </cell>
          <cell r="E32">
            <v>23000.415890535602</v>
          </cell>
          <cell r="F32">
            <v>503777.72132499301</v>
          </cell>
        </row>
        <row r="33">
          <cell r="A33" t="str">
            <v>Ecuador</v>
          </cell>
          <cell r="B33">
            <v>365.52550353203497</v>
          </cell>
          <cell r="C33">
            <v>-669.42826056626302</v>
          </cell>
          <cell r="D33">
            <v>7906.09910247075</v>
          </cell>
          <cell r="E33">
            <v>66191.101856343899</v>
          </cell>
          <cell r="F33">
            <v>479632.71510841401</v>
          </cell>
        </row>
        <row r="34">
          <cell r="A34" t="str">
            <v>Egypt</v>
          </cell>
          <cell r="B34">
            <v>-1190.5889673973099</v>
          </cell>
          <cell r="C34">
            <v>-1130.3986151148399</v>
          </cell>
          <cell r="D34">
            <v>830.23893895943195</v>
          </cell>
          <cell r="E34">
            <v>6414.2211414100202</v>
          </cell>
          <cell r="F34">
            <v>120355.40264587</v>
          </cell>
        </row>
        <row r="35">
          <cell r="A35" t="str">
            <v>Spain</v>
          </cell>
          <cell r="B35">
            <v>-7748.19448772956</v>
          </cell>
          <cell r="C35">
            <v>-8039.8993076552697</v>
          </cell>
          <cell r="D35">
            <v>157151.79967699299</v>
          </cell>
          <cell r="E35">
            <v>369117.00865278899</v>
          </cell>
          <cell r="F35">
            <v>30042492.5728513</v>
          </cell>
        </row>
        <row r="36">
          <cell r="A36" t="str">
            <v>Estonia</v>
          </cell>
          <cell r="B36">
            <v>-7577.3380308456199</v>
          </cell>
          <cell r="C36">
            <v>-7964.9859277661299</v>
          </cell>
          <cell r="D36">
            <v>30.6111743070689</v>
          </cell>
          <cell r="E36">
            <v>24730.1101870319</v>
          </cell>
          <cell r="F36">
            <v>569716.25277605106</v>
          </cell>
        </row>
        <row r="37">
          <cell r="A37" t="str">
            <v>Ethiopia</v>
          </cell>
          <cell r="B37">
            <v>1176.42688979635</v>
          </cell>
          <cell r="C37">
            <v>479.88494787232599</v>
          </cell>
          <cell r="D37">
            <v>1600.0426560505</v>
          </cell>
          <cell r="E37">
            <v>24020.1777446786</v>
          </cell>
          <cell r="F37">
            <v>128726.22962641</v>
          </cell>
        </row>
        <row r="38">
          <cell r="A38" t="str">
            <v>Finland</v>
          </cell>
          <cell r="B38">
            <v>203407.003780345</v>
          </cell>
          <cell r="C38">
            <v>161493.106412086</v>
          </cell>
          <cell r="D38">
            <v>249292.257990702</v>
          </cell>
          <cell r="E38">
            <v>1708840.9145273699</v>
          </cell>
          <cell r="F38">
            <v>76096909.575221404</v>
          </cell>
        </row>
        <row r="39">
          <cell r="A39" t="str">
            <v>Fiji</v>
          </cell>
          <cell r="B39">
            <v>123993.542722999</v>
          </cell>
          <cell r="C39">
            <v>152179.64430334501</v>
          </cell>
          <cell r="D39">
            <v>609515.01862482703</v>
          </cell>
          <cell r="E39">
            <v>1620953.9087309199</v>
          </cell>
          <cell r="F39">
            <v>38448535.929488897</v>
          </cell>
        </row>
        <row r="40">
          <cell r="A40" t="str">
            <v>France</v>
          </cell>
          <cell r="B40">
            <v>28765.508971838299</v>
          </cell>
          <cell r="C40">
            <v>31708.7659027837</v>
          </cell>
          <cell r="D40">
            <v>69927.923552155102</v>
          </cell>
          <cell r="E40">
            <v>198667.19240162801</v>
          </cell>
          <cell r="F40">
            <v>7318477.3260196196</v>
          </cell>
        </row>
        <row r="41">
          <cell r="A41" t="str">
            <v>Gabon</v>
          </cell>
          <cell r="B41">
            <v>-1885.1689144131899</v>
          </cell>
          <cell r="C41">
            <v>-3660.65354062392</v>
          </cell>
          <cell r="D41">
            <v>8403.0076083104395</v>
          </cell>
          <cell r="E41">
            <v>28301.657054381401</v>
          </cell>
          <cell r="F41">
            <v>44745.707801243603</v>
          </cell>
        </row>
        <row r="42">
          <cell r="A42" t="str">
            <v>United Kingdom</v>
          </cell>
          <cell r="B42">
            <v>11936506.8116444</v>
          </cell>
          <cell r="C42">
            <v>10461846.5580779</v>
          </cell>
          <cell r="D42">
            <v>17346424.878047101</v>
          </cell>
          <cell r="E42">
            <v>65284373.727164797</v>
          </cell>
          <cell r="F42">
            <v>-247161431.42173401</v>
          </cell>
        </row>
        <row r="43">
          <cell r="A43" t="str">
            <v>Georgia</v>
          </cell>
          <cell r="B43">
            <v>3758.4760949134402</v>
          </cell>
          <cell r="C43">
            <v>4023.7400592161998</v>
          </cell>
          <cell r="D43">
            <v>6409.4026024269897</v>
          </cell>
          <cell r="E43">
            <v>8176.5452538622703</v>
          </cell>
          <cell r="F43">
            <v>51989.954908010099</v>
          </cell>
        </row>
        <row r="44">
          <cell r="A44" t="str">
            <v>Ghana</v>
          </cell>
          <cell r="C44">
            <v>-196.946273847105</v>
          </cell>
          <cell r="D44">
            <v>767.76904944866897</v>
          </cell>
          <cell r="E44">
            <v>6753.0655611804996</v>
          </cell>
          <cell r="F44">
            <v>78152.529571806997</v>
          </cell>
        </row>
        <row r="45">
          <cell r="A45" t="str">
            <v>Gambia</v>
          </cell>
          <cell r="B45">
            <v>651.69321048781501</v>
          </cell>
          <cell r="C45">
            <v>-68.693452697863506</v>
          </cell>
          <cell r="D45">
            <v>339.67671243056299</v>
          </cell>
          <cell r="E45">
            <v>20618.793382854201</v>
          </cell>
          <cell r="F45">
            <v>79260.634690093502</v>
          </cell>
        </row>
        <row r="46">
          <cell r="A46" t="str">
            <v>Greece</v>
          </cell>
          <cell r="B46">
            <v>-19997.451835087399</v>
          </cell>
          <cell r="C46">
            <v>-19560.965310989901</v>
          </cell>
          <cell r="D46">
            <v>-7612.9932771419799</v>
          </cell>
          <cell r="E46">
            <v>24081.901357024999</v>
          </cell>
          <cell r="F46">
            <v>1739584.72689509</v>
          </cell>
        </row>
        <row r="47">
          <cell r="A47" t="str">
            <v>Croatia</v>
          </cell>
          <cell r="B47">
            <v>2819.2213680878599</v>
          </cell>
          <cell r="C47">
            <v>2012.24141566817</v>
          </cell>
          <cell r="D47">
            <v>17671.927811687401</v>
          </cell>
          <cell r="E47">
            <v>54311.752686245803</v>
          </cell>
          <cell r="F47">
            <v>2243163.5547703998</v>
          </cell>
        </row>
        <row r="48">
          <cell r="A48" t="str">
            <v>Hungary</v>
          </cell>
          <cell r="B48">
            <v>-3025.6146438215301</v>
          </cell>
          <cell r="C48">
            <v>-3476.7420823847901</v>
          </cell>
          <cell r="D48">
            <v>18323.656511077599</v>
          </cell>
          <cell r="E48">
            <v>101423.66152843399</v>
          </cell>
          <cell r="F48">
            <v>1420757.2475083601</v>
          </cell>
        </row>
        <row r="49">
          <cell r="A49" t="str">
            <v>Indonesia</v>
          </cell>
          <cell r="B49">
            <v>411.67529092167302</v>
          </cell>
          <cell r="C49">
            <v>19.936367266396399</v>
          </cell>
          <cell r="D49">
            <v>90.684483326885598</v>
          </cell>
          <cell r="E49">
            <v>14979.188614607199</v>
          </cell>
          <cell r="F49">
            <v>150992.18669756301</v>
          </cell>
        </row>
        <row r="50">
          <cell r="A50" t="str">
            <v>India</v>
          </cell>
          <cell r="B50">
            <v>94.781225258083794</v>
          </cell>
          <cell r="C50">
            <v>-292.73117426952302</v>
          </cell>
          <cell r="D50">
            <v>278.06105815764698</v>
          </cell>
          <cell r="E50">
            <v>4584.1572037918004</v>
          </cell>
          <cell r="F50">
            <v>124439.626403491</v>
          </cell>
        </row>
        <row r="51">
          <cell r="A51" t="str">
            <v>Ireland</v>
          </cell>
          <cell r="B51">
            <v>-13973.328410825299</v>
          </cell>
          <cell r="C51">
            <v>-13552.2071930244</v>
          </cell>
          <cell r="D51">
            <v>838.583027260775</v>
          </cell>
          <cell r="E51">
            <v>201866.04085413201</v>
          </cell>
          <cell r="F51">
            <v>2820465.1071833</v>
          </cell>
        </row>
        <row r="52">
          <cell r="A52" t="str">
            <v>Iran</v>
          </cell>
          <cell r="B52">
            <v>709.58885157123996</v>
          </cell>
          <cell r="C52">
            <v>-1667.17665417074</v>
          </cell>
          <cell r="D52">
            <v>24220.1926323105</v>
          </cell>
          <cell r="E52">
            <v>55338.485847493102</v>
          </cell>
          <cell r="F52">
            <v>1588881.37914811</v>
          </cell>
        </row>
        <row r="53">
          <cell r="A53" t="str">
            <v>Iraq</v>
          </cell>
          <cell r="B53">
            <v>98.9217933919779</v>
          </cell>
          <cell r="C53">
            <v>-193.79084738863401</v>
          </cell>
          <cell r="D53">
            <v>9.0686812756116701</v>
          </cell>
          <cell r="E53">
            <v>34206.513298468402</v>
          </cell>
          <cell r="F53">
            <v>268833.920649765</v>
          </cell>
        </row>
        <row r="54">
          <cell r="A54" t="str">
            <v>Iceland</v>
          </cell>
          <cell r="B54">
            <v>2165645.85338104</v>
          </cell>
          <cell r="C54">
            <v>2138131.7171471599</v>
          </cell>
          <cell r="D54">
            <v>4112178.5155711998</v>
          </cell>
          <cell r="E54">
            <v>39424958.9436621</v>
          </cell>
          <cell r="F54">
            <v>-8945844505.3083096</v>
          </cell>
        </row>
        <row r="55">
          <cell r="A55" t="str">
            <v>Israel</v>
          </cell>
          <cell r="B55">
            <v>-6095.3642506309698</v>
          </cell>
          <cell r="C55">
            <v>-12311.635819070099</v>
          </cell>
          <cell r="D55">
            <v>119185.184617654</v>
          </cell>
          <cell r="E55">
            <v>229402.76942314801</v>
          </cell>
          <cell r="F55">
            <v>1768191.47038507</v>
          </cell>
        </row>
        <row r="56">
          <cell r="A56" t="str">
            <v>Italy</v>
          </cell>
          <cell r="B56">
            <v>-8642.3853555750102</v>
          </cell>
          <cell r="C56">
            <v>-8307.1934135199899</v>
          </cell>
          <cell r="D56">
            <v>-1761.9020935777201</v>
          </cell>
          <cell r="E56">
            <v>17042.7413664981</v>
          </cell>
          <cell r="F56">
            <v>1646856.1150158001</v>
          </cell>
        </row>
        <row r="57">
          <cell r="A57" t="str">
            <v>Jordan</v>
          </cell>
          <cell r="B57">
            <v>94.982071342043298</v>
          </cell>
          <cell r="C57">
            <v>-447.17157680965499</v>
          </cell>
          <cell r="D57">
            <v>5007.9966429262204</v>
          </cell>
          <cell r="E57">
            <v>16996.764304747299</v>
          </cell>
          <cell r="F57">
            <v>273109.19560680201</v>
          </cell>
        </row>
        <row r="58">
          <cell r="A58" t="str">
            <v>Japan</v>
          </cell>
          <cell r="B58">
            <v>5957.1421939210904</v>
          </cell>
          <cell r="C58">
            <v>1070.1333176189301</v>
          </cell>
          <cell r="D58">
            <v>13733.4004027103</v>
          </cell>
          <cell r="E58">
            <v>77728.421207826701</v>
          </cell>
          <cell r="F58">
            <v>5278276.4818142699</v>
          </cell>
        </row>
        <row r="59">
          <cell r="A59" t="str">
            <v>Kazakhstan</v>
          </cell>
          <cell r="B59">
            <v>3243.4568026281599</v>
          </cell>
          <cell r="C59">
            <v>-178.21009935759</v>
          </cell>
          <cell r="D59">
            <v>-3140.5296186703999</v>
          </cell>
          <cell r="E59">
            <v>12493.0117443688</v>
          </cell>
          <cell r="F59">
            <v>209735.29104186199</v>
          </cell>
        </row>
        <row r="60">
          <cell r="A60" t="str">
            <v>Kenya</v>
          </cell>
          <cell r="B60">
            <v>293.674879888139</v>
          </cell>
          <cell r="C60">
            <v>-4.3124253237607197</v>
          </cell>
          <cell r="D60">
            <v>1410.50752051787</v>
          </cell>
          <cell r="E60">
            <v>11073.3857830995</v>
          </cell>
          <cell r="F60">
            <v>51796.193195470099</v>
          </cell>
        </row>
        <row r="61">
          <cell r="A61" t="str">
            <v>Kyrgyzstan</v>
          </cell>
          <cell r="B61">
            <v>2477.2271634763001</v>
          </cell>
          <cell r="C61">
            <v>757.49074171852601</v>
          </cell>
          <cell r="D61">
            <v>6292.3905527996403</v>
          </cell>
          <cell r="E61">
            <v>29373.0933804005</v>
          </cell>
          <cell r="F61">
            <v>36586.001605253303</v>
          </cell>
        </row>
        <row r="62">
          <cell r="A62" t="str">
            <v>Cambodia</v>
          </cell>
          <cell r="B62">
            <v>21.9261481668272</v>
          </cell>
          <cell r="C62">
            <v>-91.888036312277293</v>
          </cell>
          <cell r="D62">
            <v>392.22456059175801</v>
          </cell>
          <cell r="E62">
            <v>9711.3416993003502</v>
          </cell>
          <cell r="F62">
            <v>58806.902836353896</v>
          </cell>
        </row>
        <row r="63">
          <cell r="A63" t="str">
            <v>Republic of Korea</v>
          </cell>
          <cell r="B63">
            <v>246442.98581717201</v>
          </cell>
          <cell r="C63">
            <v>133364.013874592</v>
          </cell>
          <cell r="D63">
            <v>707071.53411229898</v>
          </cell>
          <cell r="E63">
            <v>1308346.17615164</v>
          </cell>
          <cell r="F63">
            <v>236467247.88141</v>
          </cell>
        </row>
        <row r="64">
          <cell r="A64" t="str">
            <v>Lebanon</v>
          </cell>
          <cell r="B64">
            <v>6906.1118273359698</v>
          </cell>
          <cell r="C64">
            <v>2608.4926781787799</v>
          </cell>
          <cell r="D64">
            <v>16906.9755769066</v>
          </cell>
          <cell r="E64">
            <v>54806.414103433199</v>
          </cell>
          <cell r="F64">
            <v>1235508.5870568601</v>
          </cell>
        </row>
        <row r="65">
          <cell r="A65" t="str">
            <v>Libya</v>
          </cell>
          <cell r="B65">
            <v>-10210.400398042</v>
          </cell>
          <cell r="C65">
            <v>-8076.2192343291399</v>
          </cell>
          <cell r="D65">
            <v>-8568.7437911452107</v>
          </cell>
          <cell r="E65">
            <v>6257.8527617772997</v>
          </cell>
          <cell r="F65">
            <v>86652.342212832998</v>
          </cell>
        </row>
        <row r="66">
          <cell r="A66" t="str">
            <v>Lithuania</v>
          </cell>
          <cell r="B66">
            <v>-257.74989462321298</v>
          </cell>
          <cell r="C66">
            <v>-1094.4984201145801</v>
          </cell>
          <cell r="D66">
            <v>132334.67212380801</v>
          </cell>
          <cell r="E66">
            <v>222857.09574092401</v>
          </cell>
          <cell r="F66">
            <v>3041913.7940455801</v>
          </cell>
        </row>
        <row r="67">
          <cell r="A67" t="str">
            <v>Luxembourg</v>
          </cell>
          <cell r="B67">
            <v>-69454.902729712398</v>
          </cell>
          <cell r="C67">
            <v>-67465.394010163407</v>
          </cell>
          <cell r="D67">
            <v>-61855.7102173194</v>
          </cell>
          <cell r="E67">
            <v>-32312.050481007402</v>
          </cell>
          <cell r="F67">
            <v>1705052.25618338</v>
          </cell>
        </row>
        <row r="68">
          <cell r="A68" t="str">
            <v>Latvia</v>
          </cell>
          <cell r="B68">
            <v>-1767.4129999691099</v>
          </cell>
          <cell r="C68">
            <v>-3263.8519021950201</v>
          </cell>
          <cell r="D68">
            <v>23673.1482296744</v>
          </cell>
          <cell r="E68">
            <v>43711.645195160803</v>
          </cell>
          <cell r="F68">
            <v>1433444.7774291199</v>
          </cell>
        </row>
        <row r="69">
          <cell r="A69" t="str">
            <v>Morocco</v>
          </cell>
          <cell r="B69">
            <v>-320.20532516854598</v>
          </cell>
          <cell r="C69">
            <v>-435.48874824079502</v>
          </cell>
          <cell r="D69">
            <v>3457.2501411763801</v>
          </cell>
          <cell r="E69">
            <v>8243.93278233003</v>
          </cell>
          <cell r="F69">
            <v>166351.21918451501</v>
          </cell>
        </row>
        <row r="70">
          <cell r="A70" t="str">
            <v>Moldova</v>
          </cell>
          <cell r="B70">
            <v>300.45210331233602</v>
          </cell>
          <cell r="C70">
            <v>19.506952947529001</v>
          </cell>
          <cell r="D70">
            <v>183.82069194525999</v>
          </cell>
          <cell r="E70">
            <v>1075.5356437206001</v>
          </cell>
          <cell r="F70">
            <v>33166.907541172601</v>
          </cell>
        </row>
        <row r="71">
          <cell r="A71" t="str">
            <v>Madagascar</v>
          </cell>
          <cell r="B71">
            <v>434.33144465489602</v>
          </cell>
          <cell r="C71">
            <v>105.901831072251</v>
          </cell>
          <cell r="D71">
            <v>1978.26388889435</v>
          </cell>
          <cell r="E71">
            <v>12236.8987623415</v>
          </cell>
          <cell r="F71">
            <v>185858.08732700799</v>
          </cell>
        </row>
        <row r="72">
          <cell r="A72" t="str">
            <v>Mexico</v>
          </cell>
          <cell r="B72">
            <v>-1427.66931665317</v>
          </cell>
          <cell r="C72">
            <v>-1440.6723200609199</v>
          </cell>
          <cell r="D72">
            <v>58.554331506239102</v>
          </cell>
          <cell r="E72">
            <v>4905.2652234888201</v>
          </cell>
          <cell r="F72">
            <v>193022.35762885501</v>
          </cell>
        </row>
        <row r="73">
          <cell r="A73" t="str">
            <v>Malta</v>
          </cell>
          <cell r="B73">
            <v>255388.08750074799</v>
          </cell>
          <cell r="C73">
            <v>192658.520699238</v>
          </cell>
          <cell r="D73">
            <v>514849.68712908501</v>
          </cell>
          <cell r="E73">
            <v>2150390.1929249899</v>
          </cell>
          <cell r="F73">
            <v>47334303.355625197</v>
          </cell>
        </row>
        <row r="74">
          <cell r="A74" t="str">
            <v>Mongolia</v>
          </cell>
          <cell r="B74">
            <v>307.098295852315</v>
          </cell>
          <cell r="C74">
            <v>-534.75844765628301</v>
          </cell>
          <cell r="D74">
            <v>5516.9326346870703</v>
          </cell>
          <cell r="E74">
            <v>21576.219689601599</v>
          </cell>
          <cell r="F74">
            <v>46502.315453655203</v>
          </cell>
        </row>
        <row r="75">
          <cell r="A75" t="str">
            <v>Mozambique</v>
          </cell>
          <cell r="B75">
            <v>612.12731570518895</v>
          </cell>
          <cell r="C75">
            <v>159.36855578765901</v>
          </cell>
          <cell r="D75">
            <v>359.77063218748401</v>
          </cell>
          <cell r="E75">
            <v>25865.885991220799</v>
          </cell>
          <cell r="F75">
            <v>100037.350670858</v>
          </cell>
        </row>
        <row r="76">
          <cell r="A76" t="str">
            <v>Malaysia</v>
          </cell>
          <cell r="B76">
            <v>304898.372303824</v>
          </cell>
          <cell r="C76">
            <v>209349.67546844701</v>
          </cell>
          <cell r="D76">
            <v>518617.81369072502</v>
          </cell>
          <cell r="E76">
            <v>2477900.6873197402</v>
          </cell>
          <cell r="F76">
            <v>-127452731.88439199</v>
          </cell>
        </row>
        <row r="77">
          <cell r="A77" t="str">
            <v>Nigeria</v>
          </cell>
          <cell r="B77">
            <v>619.01155697512604</v>
          </cell>
          <cell r="C77">
            <v>12.791488240363099</v>
          </cell>
          <cell r="D77">
            <v>527.59795262190505</v>
          </cell>
          <cell r="E77">
            <v>9503.3457818359802</v>
          </cell>
          <cell r="F77">
            <v>93548.306832230795</v>
          </cell>
        </row>
        <row r="78">
          <cell r="A78" t="str">
            <v>Netherlands</v>
          </cell>
          <cell r="B78">
            <v>-20755.341894632598</v>
          </cell>
          <cell r="C78">
            <v>-22336.160661689701</v>
          </cell>
          <cell r="D78">
            <v>72331.136008672504</v>
          </cell>
          <cell r="E78">
            <v>288632.43184735702</v>
          </cell>
          <cell r="F78">
            <v>8530479.4947565198</v>
          </cell>
        </row>
        <row r="79">
          <cell r="A79" t="str">
            <v>Norway</v>
          </cell>
          <cell r="B79">
            <v>582723.11017851601</v>
          </cell>
          <cell r="C79">
            <v>482525.151905709</v>
          </cell>
          <cell r="D79">
            <v>1325856.5994241801</v>
          </cell>
          <cell r="E79">
            <v>9627258.6201145295</v>
          </cell>
          <cell r="F79">
            <v>293349577.40470898</v>
          </cell>
        </row>
        <row r="80">
          <cell r="A80" t="str">
            <v>Nepal</v>
          </cell>
          <cell r="B80">
            <v>168.37550091029601</v>
          </cell>
          <cell r="C80">
            <v>80.497787791993204</v>
          </cell>
          <cell r="D80">
            <v>0.70275742806428099</v>
          </cell>
          <cell r="E80">
            <v>2939.2942826072499</v>
          </cell>
          <cell r="F80">
            <v>95291.894786621502</v>
          </cell>
        </row>
        <row r="81">
          <cell r="A81" t="str">
            <v>New Zealand</v>
          </cell>
          <cell r="B81">
            <v>3552865.7082906398</v>
          </cell>
          <cell r="C81">
            <v>3195090.4003933002</v>
          </cell>
          <cell r="D81">
            <v>6099822.0624742303</v>
          </cell>
          <cell r="E81">
            <v>15305749.021033401</v>
          </cell>
          <cell r="F81">
            <v>-79917543.6469322</v>
          </cell>
        </row>
        <row r="82">
          <cell r="A82" t="str">
            <v>Oman</v>
          </cell>
          <cell r="B82">
            <v>5807.0025948817001</v>
          </cell>
          <cell r="C82">
            <v>-1141.81552182567</v>
          </cell>
          <cell r="D82">
            <v>-1132.42311061685</v>
          </cell>
          <cell r="E82">
            <v>239127.74514913099</v>
          </cell>
          <cell r="F82">
            <v>2445864.0332281902</v>
          </cell>
        </row>
        <row r="83">
          <cell r="A83" t="str">
            <v>Pakistan</v>
          </cell>
          <cell r="B83">
            <v>5560.1401232055296</v>
          </cell>
          <cell r="C83">
            <v>1233.0681682392201</v>
          </cell>
          <cell r="D83">
            <v>4858.7731437420298</v>
          </cell>
          <cell r="E83">
            <v>28780.717495519999</v>
          </cell>
          <cell r="F83">
            <v>77550.965138576998</v>
          </cell>
        </row>
        <row r="84">
          <cell r="A84" t="str">
            <v>Panama</v>
          </cell>
          <cell r="B84">
            <v>22643.280833227102</v>
          </cell>
          <cell r="C84">
            <v>12562.831236178799</v>
          </cell>
          <cell r="D84">
            <v>319572.78630696301</v>
          </cell>
          <cell r="E84">
            <v>977127.226941325</v>
          </cell>
          <cell r="F84">
            <v>7335603.1817471301</v>
          </cell>
        </row>
        <row r="85">
          <cell r="A85" t="str">
            <v>Peru</v>
          </cell>
          <cell r="B85">
            <v>867.36815180081396</v>
          </cell>
          <cell r="C85">
            <v>28.9042851312207</v>
          </cell>
          <cell r="D85">
            <v>33705.550124973</v>
          </cell>
          <cell r="E85">
            <v>281885.02151236602</v>
          </cell>
          <cell r="F85">
            <v>2740399.2863104702</v>
          </cell>
        </row>
        <row r="86">
          <cell r="A86" t="str">
            <v>Philippines</v>
          </cell>
          <cell r="B86">
            <v>-142.77487308456799</v>
          </cell>
          <cell r="C86">
            <v>-549.76965318887505</v>
          </cell>
          <cell r="D86">
            <v>4927.87356853248</v>
          </cell>
          <cell r="E86">
            <v>43056.300974183097</v>
          </cell>
          <cell r="F86">
            <v>305611.41720111901</v>
          </cell>
        </row>
        <row r="87">
          <cell r="A87" t="str">
            <v>Papua New Guinea</v>
          </cell>
          <cell r="B87">
            <v>174.25046486274601</v>
          </cell>
          <cell r="C87">
            <v>-157.88904888496199</v>
          </cell>
          <cell r="D87">
            <v>-219.10419757301801</v>
          </cell>
          <cell r="E87">
            <v>5888.3726588054697</v>
          </cell>
          <cell r="F87">
            <v>134435.65453994999</v>
          </cell>
        </row>
        <row r="88">
          <cell r="A88" t="str">
            <v>Poland</v>
          </cell>
          <cell r="B88">
            <v>782311.02841937996</v>
          </cell>
          <cell r="C88">
            <v>986344.48961706995</v>
          </cell>
          <cell r="D88">
            <v>1309599.4992512099</v>
          </cell>
          <cell r="E88">
            <v>1819074.1512726001</v>
          </cell>
          <cell r="F88">
            <v>44258596.497182898</v>
          </cell>
        </row>
        <row r="89">
          <cell r="A89" t="str">
            <v>Puerto Rico</v>
          </cell>
          <cell r="B89">
            <v>-31452.378488732102</v>
          </cell>
          <cell r="C89">
            <v>-27837.9505529288</v>
          </cell>
          <cell r="D89">
            <v>-13992.545761187601</v>
          </cell>
          <cell r="E89">
            <v>-2843.0360266400398</v>
          </cell>
          <cell r="F89">
            <v>1043050.61228359</v>
          </cell>
        </row>
        <row r="90">
          <cell r="A90" t="str">
            <v>Portugal</v>
          </cell>
          <cell r="B90">
            <v>-8302.4615224711997</v>
          </cell>
          <cell r="C90">
            <v>-8875.6715811229697</v>
          </cell>
          <cell r="D90">
            <v>7228.0333251260399</v>
          </cell>
          <cell r="E90">
            <v>48295.933763838999</v>
          </cell>
          <cell r="F90">
            <v>2466492.6746578198</v>
          </cell>
        </row>
        <row r="91">
          <cell r="A91" t="str">
            <v>Qatar</v>
          </cell>
          <cell r="B91">
            <v>-72820.946506289096</v>
          </cell>
          <cell r="C91">
            <v>-71081.865813943296</v>
          </cell>
          <cell r="D91">
            <v>-70729.645769142997</v>
          </cell>
          <cell r="E91">
            <v>110761.920237254</v>
          </cell>
          <cell r="F91">
            <v>1465138.81759444</v>
          </cell>
        </row>
        <row r="92">
          <cell r="A92" t="str">
            <v>Romania</v>
          </cell>
          <cell r="B92">
            <v>-2027.72951235234</v>
          </cell>
          <cell r="C92">
            <v>-2643.6203881257502</v>
          </cell>
          <cell r="D92">
            <v>1268.5498683227199</v>
          </cell>
          <cell r="E92">
            <v>9303.8055646881894</v>
          </cell>
          <cell r="F92">
            <v>518801.17149713699</v>
          </cell>
        </row>
        <row r="93">
          <cell r="A93" t="str">
            <v>Russian Federation</v>
          </cell>
          <cell r="B93">
            <v>-3413.4217195030001</v>
          </cell>
          <cell r="C93">
            <v>-3639.0438079216601</v>
          </cell>
          <cell r="D93">
            <v>18464.318325160999</v>
          </cell>
          <cell r="E93">
            <v>30310.931670890099</v>
          </cell>
          <cell r="F93">
            <v>740711.85733611998</v>
          </cell>
        </row>
        <row r="94">
          <cell r="A94" t="str">
            <v>Rwanda</v>
          </cell>
          <cell r="B94">
            <v>8441.4245204524905</v>
          </cell>
          <cell r="C94">
            <v>3474.59802714015</v>
          </cell>
          <cell r="D94">
            <v>457.23297223479102</v>
          </cell>
          <cell r="E94">
            <v>4104.2202972346304</v>
          </cell>
          <cell r="F94">
            <v>26719.178047471101</v>
          </cell>
        </row>
        <row r="95">
          <cell r="A95" t="str">
            <v>Saudi Arabia</v>
          </cell>
          <cell r="B95">
            <v>20314.021796698598</v>
          </cell>
          <cell r="C95">
            <v>14167.7594281528</v>
          </cell>
          <cell r="D95">
            <v>757905.53314639803</v>
          </cell>
          <cell r="E95">
            <v>4460214.8631921504</v>
          </cell>
          <cell r="F95">
            <v>60919999.081312001</v>
          </cell>
        </row>
        <row r="96">
          <cell r="A96" t="str">
            <v>Sudan</v>
          </cell>
          <cell r="B96">
            <v>17.949077427576501</v>
          </cell>
          <cell r="C96">
            <v>-240.500965842878</v>
          </cell>
          <cell r="D96">
            <v>-240.75478171161399</v>
          </cell>
          <cell r="E96">
            <v>17170.783406542701</v>
          </cell>
          <cell r="F96">
            <v>55376.542191947497</v>
          </cell>
        </row>
        <row r="97">
          <cell r="A97" t="str">
            <v>El Salvador</v>
          </cell>
          <cell r="B97">
            <v>1678.87252298781</v>
          </cell>
          <cell r="C97">
            <v>821.48884949764204</v>
          </cell>
          <cell r="D97">
            <v>16568.700554696399</v>
          </cell>
          <cell r="E97">
            <v>48157.479218752902</v>
          </cell>
          <cell r="F97">
            <v>394653.74411140301</v>
          </cell>
        </row>
        <row r="98">
          <cell r="A98" t="str">
            <v>Slovakia</v>
          </cell>
          <cell r="B98">
            <v>211259.89455667799</v>
          </cell>
          <cell r="C98">
            <v>181395.943602894</v>
          </cell>
          <cell r="D98">
            <v>384449.36209607299</v>
          </cell>
          <cell r="E98">
            <v>679164.08444927202</v>
          </cell>
          <cell r="F98">
            <v>22552120.528294899</v>
          </cell>
        </row>
        <row r="99">
          <cell r="A99" t="str">
            <v>Slovenia</v>
          </cell>
          <cell r="B99">
            <v>768790.53836177499</v>
          </cell>
          <cell r="C99">
            <v>565572.82489635295</v>
          </cell>
          <cell r="D99">
            <v>803129.24066868902</v>
          </cell>
          <cell r="E99">
            <v>2073392.7443413499</v>
          </cell>
          <cell r="F99">
            <v>157475863.26119301</v>
          </cell>
        </row>
        <row r="100">
          <cell r="A100" t="str">
            <v>Sweden</v>
          </cell>
          <cell r="B100">
            <v>-17508.0451913777</v>
          </cell>
          <cell r="C100">
            <v>-18705.359394109801</v>
          </cell>
          <cell r="D100">
            <v>-3202.63271815912</v>
          </cell>
          <cell r="E100">
            <v>144661.038494412</v>
          </cell>
          <cell r="F100">
            <v>1784699.02991434</v>
          </cell>
        </row>
        <row r="101">
          <cell r="A101" t="str">
            <v>Syria</v>
          </cell>
          <cell r="B101">
            <v>-1141.33902573824</v>
          </cell>
          <cell r="C101">
            <v>-1340.6122043314999</v>
          </cell>
          <cell r="D101">
            <v>-19.459306400308101</v>
          </cell>
          <cell r="E101">
            <v>80003.183206698697</v>
          </cell>
          <cell r="F101">
            <v>46667.691747759403</v>
          </cell>
        </row>
        <row r="102">
          <cell r="A102" t="str">
            <v>Chad</v>
          </cell>
          <cell r="B102">
            <v>231.60421576880199</v>
          </cell>
          <cell r="C102">
            <v>14.170020658574799</v>
          </cell>
          <cell r="D102">
            <v>446.51524998887697</v>
          </cell>
          <cell r="E102">
            <v>6304.8452601177096</v>
          </cell>
          <cell r="F102">
            <v>70178.498614008102</v>
          </cell>
        </row>
        <row r="103">
          <cell r="A103" t="str">
            <v>Thailand</v>
          </cell>
          <cell r="B103">
            <v>-89.033398616289901</v>
          </cell>
          <cell r="C103">
            <v>-672.63224827261899</v>
          </cell>
          <cell r="D103">
            <v>6683.9707754043902</v>
          </cell>
          <cell r="E103">
            <v>11217.9281894544</v>
          </cell>
          <cell r="F103">
            <v>275309.09184078302</v>
          </cell>
        </row>
        <row r="104">
          <cell r="A104" t="str">
            <v>Tajikistan</v>
          </cell>
          <cell r="B104">
            <v>1153.9108581780399</v>
          </cell>
          <cell r="C104">
            <v>38.261257082937703</v>
          </cell>
          <cell r="D104">
            <v>1426.4166256240601</v>
          </cell>
          <cell r="E104">
            <v>8644.5863414101805</v>
          </cell>
          <cell r="F104">
            <v>41760.735619731298</v>
          </cell>
        </row>
        <row r="105">
          <cell r="A105" t="str">
            <v>Tunisia</v>
          </cell>
          <cell r="B105">
            <v>-1225.4305766821001</v>
          </cell>
          <cell r="C105">
            <v>-1279.7988576765399</v>
          </cell>
          <cell r="D105">
            <v>1730.19363614143</v>
          </cell>
          <cell r="E105">
            <v>5553.2945353280602</v>
          </cell>
          <cell r="F105">
            <v>136078.170241382</v>
          </cell>
        </row>
        <row r="106">
          <cell r="A106" t="str">
            <v>Turkey</v>
          </cell>
          <cell r="B106">
            <v>-1122.0627782689601</v>
          </cell>
          <cell r="C106">
            <v>-2171.8522575279699</v>
          </cell>
          <cell r="D106">
            <v>12985.382219535501</v>
          </cell>
          <cell r="E106">
            <v>31162.064152533501</v>
          </cell>
          <cell r="F106">
            <v>694890.35996171494</v>
          </cell>
        </row>
        <row r="107">
          <cell r="A107" t="str">
            <v>Taiwan</v>
          </cell>
          <cell r="B107">
            <v>-11985.481098579001</v>
          </cell>
          <cell r="C107">
            <v>-16956.832506825998</v>
          </cell>
          <cell r="D107">
            <v>48946.2978895208</v>
          </cell>
          <cell r="E107">
            <v>97068.710068537795</v>
          </cell>
          <cell r="F107">
            <v>4206537.4595198296</v>
          </cell>
        </row>
        <row r="108">
          <cell r="A108" t="str">
            <v>United Republic of Tanzania</v>
          </cell>
          <cell r="B108">
            <v>43087.719894601898</v>
          </cell>
          <cell r="C108">
            <v>10922.876357517</v>
          </cell>
          <cell r="D108">
            <v>28557.9739123449</v>
          </cell>
          <cell r="E108">
            <v>311329.28329120501</v>
          </cell>
          <cell r="F108">
            <v>1437836.281522</v>
          </cell>
        </row>
        <row r="109">
          <cell r="A109" t="str">
            <v>Uganda</v>
          </cell>
          <cell r="B109">
            <v>225.80612363026299</v>
          </cell>
          <cell r="C109">
            <v>-56.334265978674203</v>
          </cell>
          <cell r="D109">
            <v>4284.6790612540399</v>
          </cell>
          <cell r="E109">
            <v>36682.658615999702</v>
          </cell>
          <cell r="F109">
            <v>75684.540743471298</v>
          </cell>
        </row>
        <row r="110">
          <cell r="A110" t="str">
            <v>Ukraine</v>
          </cell>
          <cell r="B110">
            <v>13603.0167167868</v>
          </cell>
          <cell r="C110">
            <v>19091.014913839401</v>
          </cell>
          <cell r="D110">
            <v>33426.483346159497</v>
          </cell>
          <cell r="E110">
            <v>45910.267732325803</v>
          </cell>
          <cell r="F110">
            <v>109943.569701751</v>
          </cell>
        </row>
        <row r="111">
          <cell r="A111" t="str">
            <v>United States of America</v>
          </cell>
          <cell r="B111">
            <v>1377536.2296436001</v>
          </cell>
          <cell r="C111">
            <v>1245534.4441381299</v>
          </cell>
          <cell r="D111">
            <v>540585.20357629994</v>
          </cell>
          <cell r="E111">
            <v>1089765.38683004</v>
          </cell>
          <cell r="F111">
            <v>11326034.8115803</v>
          </cell>
        </row>
        <row r="112">
          <cell r="A112" t="str">
            <v>Uzbekistan</v>
          </cell>
          <cell r="B112">
            <v>233.214227018657</v>
          </cell>
          <cell r="C112">
            <v>-341.92427084195401</v>
          </cell>
          <cell r="D112">
            <v>2892.46751609391</v>
          </cell>
          <cell r="E112">
            <v>47909.124475556499</v>
          </cell>
          <cell r="F112">
            <v>201915.509139851</v>
          </cell>
        </row>
        <row r="113">
          <cell r="A113" t="str">
            <v>Venezuela</v>
          </cell>
          <cell r="B113">
            <v>-1364.0715503828701</v>
          </cell>
          <cell r="C113">
            <v>-1868.11760970711</v>
          </cell>
          <cell r="D113">
            <v>-507.35266184408499</v>
          </cell>
          <cell r="E113">
            <v>8242.9012670319898</v>
          </cell>
          <cell r="F113">
            <v>270280.127464174</v>
          </cell>
        </row>
        <row r="114">
          <cell r="A114" t="str">
            <v>Viet Nam</v>
          </cell>
          <cell r="B114">
            <v>-68.042146591651502</v>
          </cell>
          <cell r="C114">
            <v>-344.20676766025298</v>
          </cell>
          <cell r="D114">
            <v>-642.76135003767001</v>
          </cell>
          <cell r="E114">
            <v>1928.7520875457001</v>
          </cell>
          <cell r="F114">
            <v>117984.436255034</v>
          </cell>
        </row>
        <row r="115">
          <cell r="A115" t="str">
            <v>Vanuatu</v>
          </cell>
          <cell r="B115">
            <v>-505.63412169070301</v>
          </cell>
          <cell r="C115">
            <v>-700.14107187894399</v>
          </cell>
          <cell r="D115">
            <v>-1464.8498460640401</v>
          </cell>
          <cell r="E115">
            <v>11388.034422622201</v>
          </cell>
          <cell r="F115">
            <v>93280.910664464303</v>
          </cell>
        </row>
        <row r="116">
          <cell r="A116" t="str">
            <v>Yemen</v>
          </cell>
          <cell r="B116">
            <v>289.91041493643502</v>
          </cell>
          <cell r="C116">
            <v>-247.489391752557</v>
          </cell>
          <cell r="D116">
            <v>-242.24848226095401</v>
          </cell>
          <cell r="E116">
            <v>22411.361947131601</v>
          </cell>
          <cell r="F116">
            <v>99265.707017139997</v>
          </cell>
        </row>
        <row r="117">
          <cell r="A117" t="str">
            <v>South Africa</v>
          </cell>
          <cell r="B117">
            <v>-1109.85516275545</v>
          </cell>
          <cell r="C117">
            <v>-2443.6345706515799</v>
          </cell>
          <cell r="D117">
            <v>7966.4548808441996</v>
          </cell>
          <cell r="E117">
            <v>50006.210718303599</v>
          </cell>
          <cell r="F117">
            <v>378258.28178575699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B8D08-2B19-45D8-A2D0-B740248F9323}">
  <dimension ref="A1:T117"/>
  <sheetViews>
    <sheetView tabSelected="1" topLeftCell="B1" workbookViewId="0">
      <selection activeCell="T5" sqref="T5"/>
    </sheetView>
  </sheetViews>
  <sheetFormatPr defaultRowHeight="15" x14ac:dyDescent="0.25"/>
  <cols>
    <col min="1" max="1" width="20.28515625" bestFit="1" customWidth="1"/>
    <col min="4" max="8" width="14.5703125" bestFit="1" customWidth="1"/>
    <col min="9" max="13" width="19.140625" bestFit="1" customWidth="1"/>
    <col min="16" max="20" width="10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240</v>
      </c>
      <c r="J1" t="s">
        <v>241</v>
      </c>
      <c r="K1" t="s">
        <v>242</v>
      </c>
      <c r="L1" t="s">
        <v>243</v>
      </c>
      <c r="M1" t="s">
        <v>244</v>
      </c>
    </row>
    <row r="2" spans="1:20" x14ac:dyDescent="0.25">
      <c r="A2" t="s">
        <v>94</v>
      </c>
      <c r="B2" t="s">
        <v>95</v>
      </c>
      <c r="C2">
        <v>415.70741705908597</v>
      </c>
      <c r="D2">
        <f>INDEX([1]icer_country!$A$2:$F$117,MATCH($A2,[1]icer_country!$A$2:$A$117,0),MATCH(D$1,[1]icer_country!$A$1:$F$1,0))</f>
        <v>1957.3547573967301</v>
      </c>
      <c r="E2">
        <f>INDEX([1]icer_country!$A$2:$F$117,MATCH($A2,[1]icer_country!$A$2:$A$117,0),MATCH(E$1,[1]icer_country!$A$1:$F$1,0))</f>
        <v>924.92730397404398</v>
      </c>
      <c r="F2">
        <f>INDEX([1]icer_country!$A$2:$F$117,MATCH($A2,[1]icer_country!$A$2:$A$117,0),MATCH(F$1,[1]icer_country!$A$1:$F$1,0))</f>
        <v>2095.0254575109102</v>
      </c>
      <c r="G2">
        <f>INDEX([1]icer_country!$A$2:$F$117,MATCH($A2,[1]icer_country!$A$2:$A$117,0),MATCH(G$1,[1]icer_country!$A$1:$F$1,0))</f>
        <v>13618.5181779305</v>
      </c>
      <c r="H2">
        <f>INDEX([1]icer_country!$A$2:$F$117,MATCH($A2,[1]icer_country!$A$2:$A$117,0),MATCH(H$1,[1]icer_country!$A$1:$F$1,0))</f>
        <v>205909.00780918999</v>
      </c>
      <c r="I2">
        <f>D2/$C2</f>
        <v>4.7084913019931136</v>
      </c>
      <c r="J2">
        <f t="shared" ref="J2:M2" si="0">E2/$C2</f>
        <v>2.2249478022726277</v>
      </c>
      <c r="K2">
        <f t="shared" si="0"/>
        <v>5.0396634063739514</v>
      </c>
      <c r="L2">
        <f t="shared" si="0"/>
        <v>32.759863353592394</v>
      </c>
      <c r="M2">
        <f t="shared" si="0"/>
        <v>495.32194846531547</v>
      </c>
      <c r="O2" s="1"/>
      <c r="P2" s="1" t="s">
        <v>89</v>
      </c>
      <c r="Q2" s="1" t="s">
        <v>90</v>
      </c>
      <c r="R2" s="1" t="s">
        <v>91</v>
      </c>
      <c r="S2" s="1" t="s">
        <v>92</v>
      </c>
      <c r="T2" s="1" t="s">
        <v>93</v>
      </c>
    </row>
    <row r="3" spans="1:20" x14ac:dyDescent="0.25">
      <c r="A3" t="s">
        <v>3</v>
      </c>
      <c r="B3" t="s">
        <v>4</v>
      </c>
      <c r="C3">
        <v>8575.1711344621344</v>
      </c>
      <c r="D3">
        <f>INDEX([1]icer_country!$A$2:$F$117,MATCH($A3,[1]icer_country!$A$2:$A$117,0),MATCH(D$1,[1]icer_country!$A$1:$F$1,0))</f>
        <v>-3215.9869445478098</v>
      </c>
      <c r="E3">
        <f>INDEX([1]icer_country!$A$2:$F$117,MATCH($A3,[1]icer_country!$A$2:$A$117,0),MATCH(E$1,[1]icer_country!$A$1:$F$1,0))</f>
        <v>-3271.4040345296698</v>
      </c>
      <c r="F3">
        <f>INDEX([1]icer_country!$A$2:$F$117,MATCH($A3,[1]icer_country!$A$2:$A$117,0),MATCH(F$1,[1]icer_country!$A$1:$F$1,0))</f>
        <v>-3415.4193758859301</v>
      </c>
      <c r="G3">
        <f>INDEX([1]icer_country!$A$2:$F$117,MATCH($A3,[1]icer_country!$A$2:$A$117,0),MATCH(G$1,[1]icer_country!$A$1:$F$1,0))</f>
        <v>238.70772035799499</v>
      </c>
      <c r="H3">
        <f>INDEX([1]icer_country!$A$2:$F$117,MATCH($A3,[1]icer_country!$A$2:$A$117,0),MATCH(H$1,[1]icer_country!$A$1:$F$1,0))</f>
        <v>208441.07284766799</v>
      </c>
      <c r="I3">
        <f t="shared" ref="I3:I66" si="1">D3/$C3</f>
        <v>-0.3750347245693223</v>
      </c>
      <c r="J3">
        <f t="shared" ref="J3:J66" si="2">E3/$C3</f>
        <v>-0.38149722999491648</v>
      </c>
      <c r="K3">
        <f t="shared" ref="K3:K66" si="3">F3/$C3</f>
        <v>-0.39829168681659871</v>
      </c>
      <c r="L3">
        <f t="shared" ref="L3:L66" si="4">G3/$C3</f>
        <v>2.7837079472229985E-2</v>
      </c>
      <c r="M3">
        <f t="shared" ref="M3:M66" si="5">H3/$C3</f>
        <v>24.307511719501345</v>
      </c>
      <c r="O3" s="2" t="s">
        <v>245</v>
      </c>
      <c r="P3" s="3">
        <f>COUNTIF(I$2:I$117,"&lt;=0.5")/COUNT(I$2:I$117)</f>
        <v>0.66379310344827591</v>
      </c>
      <c r="Q3" s="3">
        <f t="shared" ref="Q3:T3" si="6">COUNTIF(J$2:J$117,"&lt;=0.5")/COUNT(J$2:J$117)</f>
        <v>0.75</v>
      </c>
      <c r="R3" s="3">
        <f t="shared" si="6"/>
        <v>0.40517241379310343</v>
      </c>
      <c r="S3" s="3">
        <f t="shared" si="6"/>
        <v>6.8965517241379309E-2</v>
      </c>
      <c r="T3" s="3">
        <f t="shared" si="6"/>
        <v>4.3103448275862072E-2</v>
      </c>
    </row>
    <row r="4" spans="1:20" x14ac:dyDescent="0.25">
      <c r="A4" t="s">
        <v>96</v>
      </c>
      <c r="B4" t="s">
        <v>97</v>
      </c>
      <c r="C4">
        <v>49040.694752582451</v>
      </c>
      <c r="D4">
        <f>INDEX([1]icer_country!$A$2:$F$117,MATCH($A4,[1]icer_country!$A$2:$A$117,0),MATCH(D$1,[1]icer_country!$A$1:$F$1,0))</f>
        <v>-35138.116256026602</v>
      </c>
      <c r="E4">
        <f>INDEX([1]icer_country!$A$2:$F$117,MATCH($A4,[1]icer_country!$A$2:$A$117,0),MATCH(E$1,[1]icer_country!$A$1:$F$1,0))</f>
        <v>-35638.469412625003</v>
      </c>
      <c r="F4">
        <f>INDEX([1]icer_country!$A$2:$F$117,MATCH($A4,[1]icer_country!$A$2:$A$117,0),MATCH(F$1,[1]icer_country!$A$1:$F$1,0))</f>
        <v>-35623.100352276597</v>
      </c>
      <c r="G4">
        <f>INDEX([1]icer_country!$A$2:$F$117,MATCH($A4,[1]icer_country!$A$2:$A$117,0),MATCH(G$1,[1]icer_country!$A$1:$F$1,0))</f>
        <v>244326.13799634401</v>
      </c>
      <c r="H4">
        <f>INDEX([1]icer_country!$A$2:$F$117,MATCH($A4,[1]icer_country!$A$2:$A$117,0),MATCH(H$1,[1]icer_country!$A$1:$F$1,0))</f>
        <v>1233467.5377217</v>
      </c>
      <c r="I4">
        <f t="shared" si="1"/>
        <v>-0.71650934868079641</v>
      </c>
      <c r="J4">
        <f t="shared" si="2"/>
        <v>-0.72671216410016914</v>
      </c>
      <c r="K4">
        <f t="shared" si="3"/>
        <v>-0.72639877008269149</v>
      </c>
      <c r="L4">
        <f t="shared" si="4"/>
        <v>4.9821100461362846</v>
      </c>
      <c r="M4">
        <f t="shared" si="5"/>
        <v>25.151918094650288</v>
      </c>
      <c r="O4" s="2" t="s">
        <v>246</v>
      </c>
      <c r="P4" s="3">
        <f>COUNTIF(I$2:I$117,"&lt;=1")/COUNT(I$2:I$117)</f>
        <v>0.75</v>
      </c>
      <c r="Q4" s="3">
        <f t="shared" ref="Q4:T4" si="7">COUNTIF(J$2:J$117,"&lt;=1")/COUNT(J$2:J$117)</f>
        <v>0.7931034482758621</v>
      </c>
      <c r="R4" s="3">
        <f t="shared" si="7"/>
        <v>0.55172413793103448</v>
      </c>
      <c r="S4" s="3">
        <f t="shared" si="7"/>
        <v>0.1206896551724138</v>
      </c>
      <c r="T4" s="3">
        <f t="shared" si="7"/>
        <v>4.3103448275862072E-2</v>
      </c>
    </row>
    <row r="5" spans="1:20" x14ac:dyDescent="0.25">
      <c r="A5" t="s">
        <v>98</v>
      </c>
      <c r="B5" t="s">
        <v>99</v>
      </c>
      <c r="C5">
        <v>14187.482725296491</v>
      </c>
      <c r="D5">
        <f>INDEX([1]icer_country!$A$2:$F$117,MATCH($A5,[1]icer_country!$A$2:$A$117,0),MATCH(D$1,[1]icer_country!$A$1:$F$1,0))</f>
        <v>-2201.16926307429</v>
      </c>
      <c r="E5">
        <f>INDEX([1]icer_country!$A$2:$F$117,MATCH($A5,[1]icer_country!$A$2:$A$117,0),MATCH(E$1,[1]icer_country!$A$1:$F$1,0))</f>
        <v>-2897.1738774368901</v>
      </c>
      <c r="F5">
        <f>INDEX([1]icer_country!$A$2:$F$117,MATCH($A5,[1]icer_country!$A$2:$A$117,0),MATCH(F$1,[1]icer_country!$A$1:$F$1,0))</f>
        <v>6956.48963962977</v>
      </c>
      <c r="G5">
        <f>INDEX([1]icer_country!$A$2:$F$117,MATCH($A5,[1]icer_country!$A$2:$A$117,0),MATCH(G$1,[1]icer_country!$A$1:$F$1,0))</f>
        <v>52001.247503004597</v>
      </c>
      <c r="H5">
        <f>INDEX([1]icer_country!$A$2:$F$117,MATCH($A5,[1]icer_country!$A$2:$A$117,0),MATCH(H$1,[1]icer_country!$A$1:$F$1,0))</f>
        <v>487924.883252681</v>
      </c>
      <c r="I5">
        <f t="shared" si="1"/>
        <v>-0.15514868322268141</v>
      </c>
      <c r="J5">
        <f t="shared" si="2"/>
        <v>-0.20420633691917639</v>
      </c>
      <c r="K5">
        <f t="shared" si="3"/>
        <v>0.49032585796395339</v>
      </c>
      <c r="L5">
        <f t="shared" si="4"/>
        <v>3.665290630471437</v>
      </c>
      <c r="M5">
        <f t="shared" si="5"/>
        <v>34.39122307318857</v>
      </c>
      <c r="O5" s="2" t="s">
        <v>247</v>
      </c>
      <c r="P5" s="3">
        <f>COUNTIF(I$2:I$117,"&lt;=2")/COUNT(I$2:I$117)</f>
        <v>0.78448275862068961</v>
      </c>
      <c r="Q5" s="3">
        <f t="shared" ref="Q5:T5" si="8">COUNTIF(J$2:J$117,"&lt;=2")/COUNT(J$2:J$117)</f>
        <v>0.7931034482758621</v>
      </c>
      <c r="R5" s="3">
        <f t="shared" si="8"/>
        <v>0.67241379310344829</v>
      </c>
      <c r="S5" s="3">
        <f t="shared" si="8"/>
        <v>0.23275862068965517</v>
      </c>
      <c r="T5" s="3">
        <f t="shared" si="8"/>
        <v>4.3103448275862072E-2</v>
      </c>
    </row>
    <row r="6" spans="1:20" x14ac:dyDescent="0.25">
      <c r="A6" t="s">
        <v>5</v>
      </c>
      <c r="B6" t="s">
        <v>6</v>
      </c>
      <c r="C6">
        <v>8053.0106631234457</v>
      </c>
      <c r="D6">
        <f>INDEX([1]icer_country!$A$2:$F$117,MATCH($A6,[1]icer_country!$A$2:$A$117,0),MATCH(D$1,[1]icer_country!$A$1:$F$1,0))</f>
        <v>23001.4948331997</v>
      </c>
      <c r="E6">
        <f>INDEX([1]icer_country!$A$2:$F$117,MATCH($A6,[1]icer_country!$A$2:$A$117,0),MATCH(E$1,[1]icer_country!$A$1:$F$1,0))</f>
        <v>22428.731137966301</v>
      </c>
      <c r="F6">
        <f>INDEX([1]icer_country!$A$2:$F$117,MATCH($A6,[1]icer_country!$A$2:$A$117,0),MATCH(F$1,[1]icer_country!$A$1:$F$1,0))</f>
        <v>45240.817932409998</v>
      </c>
      <c r="G6">
        <f>INDEX([1]icer_country!$A$2:$F$117,MATCH($A6,[1]icer_country!$A$2:$A$117,0),MATCH(G$1,[1]icer_country!$A$1:$F$1,0))</f>
        <v>103004.512118235</v>
      </c>
      <c r="H6">
        <f>INDEX([1]icer_country!$A$2:$F$117,MATCH($A6,[1]icer_country!$A$2:$A$117,0),MATCH(H$1,[1]icer_country!$A$1:$F$1,0))</f>
        <v>3332167.00425858</v>
      </c>
      <c r="I6">
        <f t="shared" si="1"/>
        <v>2.8562603224318006</v>
      </c>
      <c r="J6">
        <f t="shared" si="2"/>
        <v>2.7851361529511598</v>
      </c>
      <c r="K6">
        <f t="shared" si="3"/>
        <v>5.6178763228984554</v>
      </c>
      <c r="L6">
        <f t="shared" si="4"/>
        <v>12.790807863935399</v>
      </c>
      <c r="M6">
        <f t="shared" si="5"/>
        <v>413.77903788421952</v>
      </c>
    </row>
    <row r="7" spans="1:20" x14ac:dyDescent="0.25">
      <c r="A7" t="s">
        <v>100</v>
      </c>
      <c r="B7" t="s">
        <v>101</v>
      </c>
      <c r="C7">
        <v>64820.911789002617</v>
      </c>
      <c r="D7">
        <f>INDEX([1]icer_country!$A$2:$F$117,MATCH($A7,[1]icer_country!$A$2:$A$117,0),MATCH(D$1,[1]icer_country!$A$1:$F$1,0))</f>
        <v>1925654.04014562</v>
      </c>
      <c r="E7">
        <f>INDEX([1]icer_country!$A$2:$F$117,MATCH($A7,[1]icer_country!$A$2:$A$117,0),MATCH(E$1,[1]icer_country!$A$1:$F$1,0))</f>
        <v>1767039.5218503601</v>
      </c>
      <c r="F7">
        <f>INDEX([1]icer_country!$A$2:$F$117,MATCH($A7,[1]icer_country!$A$2:$A$117,0),MATCH(F$1,[1]icer_country!$A$1:$F$1,0))</f>
        <v>1412897.64557147</v>
      </c>
      <c r="G7">
        <f>INDEX([1]icer_country!$A$2:$F$117,MATCH($A7,[1]icer_country!$A$2:$A$117,0),MATCH(G$1,[1]icer_country!$A$1:$F$1,0))</f>
        <v>4415266.3457888998</v>
      </c>
      <c r="H7">
        <f>INDEX([1]icer_country!$A$2:$F$117,MATCH($A7,[1]icer_country!$A$2:$A$117,0),MATCH(H$1,[1]icer_country!$A$1:$F$1,0))</f>
        <v>94567885.694663599</v>
      </c>
      <c r="I7">
        <f t="shared" si="1"/>
        <v>29.707296410975857</v>
      </c>
      <c r="J7">
        <f t="shared" si="2"/>
        <v>27.260331166001162</v>
      </c>
      <c r="K7">
        <f t="shared" si="3"/>
        <v>21.796941859913474</v>
      </c>
      <c r="L7">
        <f t="shared" si="4"/>
        <v>68.114844792078117</v>
      </c>
      <c r="M7">
        <f t="shared" si="5"/>
        <v>1458.9101431107576</v>
      </c>
    </row>
    <row r="8" spans="1:20" x14ac:dyDescent="0.25">
      <c r="A8" t="s">
        <v>7</v>
      </c>
      <c r="B8" t="s">
        <v>8</v>
      </c>
      <c r="C8">
        <v>56033.573792064992</v>
      </c>
      <c r="D8">
        <f>INDEX([1]icer_country!$A$2:$F$117,MATCH($A8,[1]icer_country!$A$2:$A$117,0),MATCH(D$1,[1]icer_country!$A$1:$F$1,0))</f>
        <v>11081.024393658299</v>
      </c>
      <c r="E8">
        <f>INDEX([1]icer_country!$A$2:$F$117,MATCH($A8,[1]icer_country!$A$2:$A$117,0),MATCH(E$1,[1]icer_country!$A$1:$F$1,0))</f>
        <v>18779.400193604499</v>
      </c>
      <c r="F8">
        <f>INDEX([1]icer_country!$A$2:$F$117,MATCH($A8,[1]icer_country!$A$2:$A$117,0),MATCH(F$1,[1]icer_country!$A$1:$F$1,0))</f>
        <v>63108.1292153049</v>
      </c>
      <c r="G8">
        <f>INDEX([1]icer_country!$A$2:$F$117,MATCH($A8,[1]icer_country!$A$2:$A$117,0),MATCH(G$1,[1]icer_country!$A$1:$F$1,0))</f>
        <v>362913.19163840701</v>
      </c>
      <c r="H8">
        <f>INDEX([1]icer_country!$A$2:$F$117,MATCH($A8,[1]icer_country!$A$2:$A$117,0),MATCH(H$1,[1]icer_country!$A$1:$F$1,0))</f>
        <v>7537139.8235242199</v>
      </c>
      <c r="I8">
        <f t="shared" si="1"/>
        <v>0.19775687402661263</v>
      </c>
      <c r="J8">
        <f t="shared" si="2"/>
        <v>0.33514550157541229</v>
      </c>
      <c r="K8">
        <f t="shared" si="3"/>
        <v>1.1262556525395448</v>
      </c>
      <c r="L8">
        <f t="shared" si="4"/>
        <v>6.4767097130934692</v>
      </c>
      <c r="M8">
        <f t="shared" si="5"/>
        <v>134.51113883069095</v>
      </c>
    </row>
    <row r="9" spans="1:20" x14ac:dyDescent="0.25">
      <c r="A9" t="s">
        <v>9</v>
      </c>
      <c r="B9" t="s">
        <v>10</v>
      </c>
      <c r="C9">
        <v>7125.9085836861095</v>
      </c>
      <c r="D9">
        <f>INDEX([1]icer_country!$A$2:$F$117,MATCH($A9,[1]icer_country!$A$2:$A$117,0),MATCH(D$1,[1]icer_country!$A$1:$F$1,0))</f>
        <v>-2315.5982352490901</v>
      </c>
      <c r="E9">
        <f>INDEX([1]icer_country!$A$2:$F$117,MATCH($A9,[1]icer_country!$A$2:$A$117,0),MATCH(E$1,[1]icer_country!$A$1:$F$1,0))</f>
        <v>-2299.1283296850502</v>
      </c>
      <c r="F9">
        <f>INDEX([1]icer_country!$A$2:$F$117,MATCH($A9,[1]icer_country!$A$2:$A$117,0),MATCH(F$1,[1]icer_country!$A$1:$F$1,0))</f>
        <v>-2547.1973843876599</v>
      </c>
      <c r="G9">
        <f>INDEX([1]icer_country!$A$2:$F$117,MATCH($A9,[1]icer_country!$A$2:$A$117,0),MATCH(G$1,[1]icer_country!$A$1:$F$1,0))</f>
        <v>51.032008415708198</v>
      </c>
      <c r="H9">
        <f>INDEX([1]icer_country!$A$2:$F$117,MATCH($A9,[1]icer_country!$A$2:$A$117,0),MATCH(H$1,[1]icer_country!$A$1:$F$1,0))</f>
        <v>123509.982368014</v>
      </c>
      <c r="I9">
        <f t="shared" si="1"/>
        <v>-0.32495480513886571</v>
      </c>
      <c r="J9">
        <f t="shared" si="2"/>
        <v>-0.32264353418013547</v>
      </c>
      <c r="K9">
        <f t="shared" si="3"/>
        <v>-0.3574558043333807</v>
      </c>
      <c r="L9">
        <f t="shared" si="4"/>
        <v>7.1614739112061719E-3</v>
      </c>
      <c r="M9">
        <f t="shared" si="5"/>
        <v>17.332524114998456</v>
      </c>
    </row>
    <row r="10" spans="1:20" x14ac:dyDescent="0.25">
      <c r="A10" t="s">
        <v>102</v>
      </c>
      <c r="B10" t="s">
        <v>103</v>
      </c>
      <c r="C10">
        <v>193.00714556480409</v>
      </c>
      <c r="D10">
        <f>INDEX([1]icer_country!$A$2:$F$117,MATCH($A10,[1]icer_country!$A$2:$A$117,0),MATCH(D$1,[1]icer_country!$A$1:$F$1,0))</f>
        <v>110195.60801395201</v>
      </c>
      <c r="E10">
        <f>INDEX([1]icer_country!$A$2:$F$117,MATCH($A10,[1]icer_country!$A$2:$A$117,0),MATCH(E$1,[1]icer_country!$A$1:$F$1,0))</f>
        <v>30917.127763064</v>
      </c>
      <c r="F10">
        <f>INDEX([1]icer_country!$A$2:$F$117,MATCH($A10,[1]icer_country!$A$2:$A$117,0),MATCH(F$1,[1]icer_country!$A$1:$F$1,0))</f>
        <v>62327.750990138396</v>
      </c>
      <c r="G10">
        <f>INDEX([1]icer_country!$A$2:$F$117,MATCH($A10,[1]icer_country!$A$2:$A$117,0),MATCH(G$1,[1]icer_country!$A$1:$F$1,0))</f>
        <v>35285.340052563901</v>
      </c>
      <c r="H10">
        <f>INDEX([1]icer_country!$A$2:$F$117,MATCH($A10,[1]icer_country!$A$2:$A$117,0),MATCH(H$1,[1]icer_country!$A$1:$F$1,0))</f>
        <v>18199.7668639039</v>
      </c>
      <c r="I10">
        <f t="shared" si="1"/>
        <v>570.94056124959752</v>
      </c>
      <c r="J10">
        <f t="shared" si="2"/>
        <v>160.18644114232166</v>
      </c>
      <c r="K10">
        <f t="shared" si="3"/>
        <v>322.92975893584844</v>
      </c>
      <c r="L10">
        <f t="shared" si="4"/>
        <v>182.81882750665568</v>
      </c>
      <c r="M10">
        <f t="shared" si="5"/>
        <v>94.295819000095747</v>
      </c>
    </row>
    <row r="11" spans="1:20" x14ac:dyDescent="0.25">
      <c r="A11" t="s">
        <v>11</v>
      </c>
      <c r="B11" t="s">
        <v>12</v>
      </c>
      <c r="C11">
        <v>54700.909323671207</v>
      </c>
      <c r="D11">
        <f>INDEX([1]icer_country!$A$2:$F$117,MATCH($A11,[1]icer_country!$A$2:$A$117,0),MATCH(D$1,[1]icer_country!$A$1:$F$1,0))</f>
        <v>-13127.1547357567</v>
      </c>
      <c r="E11">
        <f>INDEX([1]icer_country!$A$2:$F$117,MATCH($A11,[1]icer_country!$A$2:$A$117,0),MATCH(E$1,[1]icer_country!$A$1:$F$1,0))</f>
        <v>-13067.9350355195</v>
      </c>
      <c r="F11">
        <f>INDEX([1]icer_country!$A$2:$F$117,MATCH($A11,[1]icer_country!$A$2:$A$117,0),MATCH(F$1,[1]icer_country!$A$1:$F$1,0))</f>
        <v>14722.8310364261</v>
      </c>
      <c r="G11">
        <f>INDEX([1]icer_country!$A$2:$F$117,MATCH($A11,[1]icer_country!$A$2:$A$117,0),MATCH(G$1,[1]icer_country!$A$1:$F$1,0))</f>
        <v>181715.90838495499</v>
      </c>
      <c r="H11">
        <f>INDEX([1]icer_country!$A$2:$F$117,MATCH($A11,[1]icer_country!$A$2:$A$117,0),MATCH(H$1,[1]icer_country!$A$1:$F$1,0))</f>
        <v>2928205.2348311399</v>
      </c>
      <c r="I11">
        <f t="shared" si="1"/>
        <v>-0.23998055787485914</v>
      </c>
      <c r="J11">
        <f t="shared" si="2"/>
        <v>-0.23889794881096241</v>
      </c>
      <c r="K11">
        <f t="shared" si="3"/>
        <v>0.26915148611715967</v>
      </c>
      <c r="L11">
        <f t="shared" si="4"/>
        <v>3.321990632911096</v>
      </c>
      <c r="M11">
        <f t="shared" si="5"/>
        <v>53.531198494427805</v>
      </c>
    </row>
    <row r="12" spans="1:20" x14ac:dyDescent="0.25">
      <c r="A12" t="s">
        <v>104</v>
      </c>
      <c r="B12" t="s">
        <v>105</v>
      </c>
      <c r="C12">
        <v>1394.3733021762325</v>
      </c>
      <c r="D12">
        <f>INDEX([1]icer_country!$A$2:$F$117,MATCH($A12,[1]icer_country!$A$2:$A$117,0),MATCH(D$1,[1]icer_country!$A$1:$F$1,0))</f>
        <v>508.060848517301</v>
      </c>
      <c r="E12">
        <f>INDEX([1]icer_country!$A$2:$F$117,MATCH($A12,[1]icer_country!$A$2:$A$117,0),MATCH(E$1,[1]icer_country!$A$1:$F$1,0))</f>
        <v>-9.8234910419695396</v>
      </c>
      <c r="F12">
        <f>INDEX([1]icer_country!$A$2:$F$117,MATCH($A12,[1]icer_country!$A$2:$A$117,0),MATCH(F$1,[1]icer_country!$A$1:$F$1,0))</f>
        <v>1335.32261009237</v>
      </c>
      <c r="G12">
        <f>INDEX([1]icer_country!$A$2:$F$117,MATCH($A12,[1]icer_country!$A$2:$A$117,0),MATCH(G$1,[1]icer_country!$A$1:$F$1,0))</f>
        <v>12809.190899724001</v>
      </c>
      <c r="H12">
        <f>INDEX([1]icer_country!$A$2:$F$117,MATCH($A12,[1]icer_country!$A$2:$A$117,0),MATCH(H$1,[1]icer_country!$A$1:$F$1,0))</f>
        <v>150571.22377622599</v>
      </c>
      <c r="I12">
        <f t="shared" si="1"/>
        <v>0.36436501453689479</v>
      </c>
      <c r="J12">
        <f t="shared" si="2"/>
        <v>-7.0450940409127003E-3</v>
      </c>
      <c r="K12">
        <f t="shared" si="3"/>
        <v>0.95765072954875097</v>
      </c>
      <c r="L12">
        <f t="shared" si="4"/>
        <v>9.1863426241253929</v>
      </c>
      <c r="M12">
        <f t="shared" si="5"/>
        <v>107.98487287530951</v>
      </c>
    </row>
    <row r="13" spans="1:20" x14ac:dyDescent="0.25">
      <c r="A13" t="s">
        <v>106</v>
      </c>
      <c r="B13" t="s">
        <v>107</v>
      </c>
      <c r="C13">
        <v>882.68981008616322</v>
      </c>
      <c r="D13">
        <f>INDEX([1]icer_country!$A$2:$F$117,MATCH($A13,[1]icer_country!$A$2:$A$117,0),MATCH(D$1,[1]icer_country!$A$1:$F$1,0))</f>
        <v>330.39299825993902</v>
      </c>
      <c r="E13">
        <f>INDEX([1]icer_country!$A$2:$F$117,MATCH($A13,[1]icer_country!$A$2:$A$117,0),MATCH(E$1,[1]icer_country!$A$1:$F$1,0))</f>
        <v>-23.3329246413623</v>
      </c>
      <c r="F13">
        <f>INDEX([1]icer_country!$A$2:$F$117,MATCH($A13,[1]icer_country!$A$2:$A$117,0),MATCH(F$1,[1]icer_country!$A$1:$F$1,0))</f>
        <v>405.88427534333499</v>
      </c>
      <c r="G13">
        <f>INDEX([1]icer_country!$A$2:$F$117,MATCH($A13,[1]icer_country!$A$2:$A$117,0),MATCH(G$1,[1]icer_country!$A$1:$F$1,0))</f>
        <v>22391.440503491802</v>
      </c>
      <c r="H13">
        <f>INDEX([1]icer_country!$A$2:$F$117,MATCH($A13,[1]icer_country!$A$2:$A$117,0),MATCH(H$1,[1]icer_country!$A$1:$F$1,0))</f>
        <v>57758.3602253012</v>
      </c>
      <c r="I13">
        <f t="shared" si="1"/>
        <v>0.374302495038079</v>
      </c>
      <c r="J13">
        <f t="shared" si="2"/>
        <v>-2.6433889204050823E-2</v>
      </c>
      <c r="K13">
        <f t="shared" si="3"/>
        <v>0.4598266239232045</v>
      </c>
      <c r="L13">
        <f t="shared" si="4"/>
        <v>25.367281062535518</v>
      </c>
      <c r="M13">
        <f t="shared" si="5"/>
        <v>65.434493029508474</v>
      </c>
    </row>
    <row r="14" spans="1:20" x14ac:dyDescent="0.25">
      <c r="A14" t="s">
        <v>108</v>
      </c>
      <c r="B14" t="s">
        <v>109</v>
      </c>
      <c r="C14">
        <v>2551.0177267414233</v>
      </c>
      <c r="D14">
        <f>INDEX([1]icer_country!$A$2:$F$117,MATCH($A14,[1]icer_country!$A$2:$A$117,0),MATCH(D$1,[1]icer_country!$A$1:$F$1,0))</f>
        <v>293.379097846148</v>
      </c>
      <c r="E14">
        <f>INDEX([1]icer_country!$A$2:$F$117,MATCH($A14,[1]icer_country!$A$2:$A$117,0),MATCH(E$1,[1]icer_country!$A$1:$F$1,0))</f>
        <v>-12.2551453300057</v>
      </c>
      <c r="F14">
        <f>INDEX([1]icer_country!$A$2:$F$117,MATCH($A14,[1]icer_country!$A$2:$A$117,0),MATCH(F$1,[1]icer_country!$A$1:$F$1,0))</f>
        <v>1002.96372342754</v>
      </c>
      <c r="G14">
        <f>INDEX([1]icer_country!$A$2:$F$117,MATCH($A14,[1]icer_country!$A$2:$A$117,0),MATCH(G$1,[1]icer_country!$A$1:$F$1,0))</f>
        <v>6162.9616863173896</v>
      </c>
      <c r="H14">
        <f>INDEX([1]icer_country!$A$2:$F$117,MATCH($A14,[1]icer_country!$A$2:$A$117,0),MATCH(H$1,[1]icer_country!$A$1:$F$1,0))</f>
        <v>85987.858057607998</v>
      </c>
      <c r="I14">
        <f t="shared" si="1"/>
        <v>0.11500472723915553</v>
      </c>
      <c r="J14">
        <f t="shared" si="2"/>
        <v>-4.804022018953186E-3</v>
      </c>
      <c r="K14">
        <f t="shared" si="3"/>
        <v>0.3931621928432027</v>
      </c>
      <c r="L14">
        <f t="shared" si="4"/>
        <v>2.4158835204135296</v>
      </c>
      <c r="M14">
        <f t="shared" si="5"/>
        <v>33.707275788885148</v>
      </c>
    </row>
    <row r="15" spans="1:20" x14ac:dyDescent="0.25">
      <c r="A15" t="s">
        <v>13</v>
      </c>
      <c r="B15" t="s">
        <v>14</v>
      </c>
      <c r="C15">
        <v>15885.539131133113</v>
      </c>
      <c r="D15">
        <f>INDEX([1]icer_country!$A$2:$F$117,MATCH($A15,[1]icer_country!$A$2:$A$117,0),MATCH(D$1,[1]icer_country!$A$1:$F$1,0))</f>
        <v>-2278.5682122773101</v>
      </c>
      <c r="E15">
        <f>INDEX([1]icer_country!$A$2:$F$117,MATCH($A15,[1]icer_country!$A$2:$A$117,0),MATCH(E$1,[1]icer_country!$A$1:$F$1,0))</f>
        <v>-3153.1746661476</v>
      </c>
      <c r="F15">
        <f>INDEX([1]icer_country!$A$2:$F$117,MATCH($A15,[1]icer_country!$A$2:$A$117,0),MATCH(F$1,[1]icer_country!$A$1:$F$1,0))</f>
        <v>2728.40005570624</v>
      </c>
      <c r="G15">
        <f>INDEX([1]icer_country!$A$2:$F$117,MATCH($A15,[1]icer_country!$A$2:$A$117,0),MATCH(G$1,[1]icer_country!$A$1:$F$1,0))</f>
        <v>16831.424757258901</v>
      </c>
      <c r="H15">
        <f>INDEX([1]icer_country!$A$2:$F$117,MATCH($A15,[1]icer_country!$A$2:$A$117,0),MATCH(H$1,[1]icer_country!$A$1:$F$1,0))</f>
        <v>853561.71613507997</v>
      </c>
      <c r="I15">
        <f t="shared" si="1"/>
        <v>-0.14343663085451605</v>
      </c>
      <c r="J15">
        <f t="shared" si="2"/>
        <v>-0.19849339957042331</v>
      </c>
      <c r="K15">
        <f t="shared" si="3"/>
        <v>0.17175369580998437</v>
      </c>
      <c r="L15">
        <f t="shared" si="4"/>
        <v>1.0595438164432205</v>
      </c>
      <c r="M15">
        <f t="shared" si="5"/>
        <v>53.73199543868396</v>
      </c>
    </row>
    <row r="16" spans="1:20" x14ac:dyDescent="0.25">
      <c r="A16" t="s">
        <v>110</v>
      </c>
      <c r="B16" t="s">
        <v>111</v>
      </c>
      <c r="C16">
        <v>29218.860563413669</v>
      </c>
      <c r="D16">
        <f>INDEX([1]icer_country!$A$2:$F$117,MATCH($A16,[1]icer_country!$A$2:$A$117,0),MATCH(D$1,[1]icer_country!$A$1:$F$1,0))</f>
        <v>-5779.0481819221104</v>
      </c>
      <c r="E16">
        <f>INDEX([1]icer_country!$A$2:$F$117,MATCH($A16,[1]icer_country!$A$2:$A$117,0),MATCH(E$1,[1]icer_country!$A$1:$F$1,0))</f>
        <v>-8645.8206550251107</v>
      </c>
      <c r="F16">
        <f>INDEX([1]icer_country!$A$2:$F$117,MATCH($A16,[1]icer_country!$A$2:$A$117,0),MATCH(F$1,[1]icer_country!$A$1:$F$1,0))</f>
        <v>12404.7687052579</v>
      </c>
      <c r="G16">
        <f>INDEX([1]icer_country!$A$2:$F$117,MATCH($A16,[1]icer_country!$A$2:$A$117,0),MATCH(G$1,[1]icer_country!$A$1:$F$1,0))</f>
        <v>151961.036739353</v>
      </c>
      <c r="H16">
        <f>INDEX([1]icer_country!$A$2:$F$117,MATCH($A16,[1]icer_country!$A$2:$A$117,0),MATCH(H$1,[1]icer_country!$A$1:$F$1,0))</f>
        <v>1750868.64393455</v>
      </c>
      <c r="I16">
        <f t="shared" si="1"/>
        <v>-0.19778485781058597</v>
      </c>
      <c r="J16">
        <f t="shared" si="2"/>
        <v>-0.29589862466611566</v>
      </c>
      <c r="K16">
        <f t="shared" si="3"/>
        <v>0.42454662728328646</v>
      </c>
      <c r="L16">
        <f t="shared" si="4"/>
        <v>5.2007858557506745</v>
      </c>
      <c r="M16">
        <f t="shared" si="5"/>
        <v>59.922550372374758</v>
      </c>
    </row>
    <row r="17" spans="1:13" x14ac:dyDescent="0.25">
      <c r="A17" t="s">
        <v>112</v>
      </c>
      <c r="B17" t="s">
        <v>113</v>
      </c>
      <c r="C17">
        <v>10294.866680777983</v>
      </c>
      <c r="D17">
        <f>INDEX([1]icer_country!$A$2:$F$117,MATCH($A17,[1]icer_country!$A$2:$A$117,0),MATCH(D$1,[1]icer_country!$A$1:$F$1,0))</f>
        <v>5605.2998866100397</v>
      </c>
      <c r="E17">
        <f>INDEX([1]icer_country!$A$2:$F$117,MATCH($A17,[1]icer_country!$A$2:$A$117,0),MATCH(E$1,[1]icer_country!$A$1:$F$1,0))</f>
        <v>3506.9362437310701</v>
      </c>
      <c r="F17">
        <f>INDEX([1]icer_country!$A$2:$F$117,MATCH($A17,[1]icer_country!$A$2:$A$117,0),MATCH(F$1,[1]icer_country!$A$1:$F$1,0))</f>
        <v>25986.3524062986</v>
      </c>
      <c r="G17">
        <f>INDEX([1]icer_country!$A$2:$F$117,MATCH($A17,[1]icer_country!$A$2:$A$117,0),MATCH(G$1,[1]icer_country!$A$1:$F$1,0))</f>
        <v>44443.326684853702</v>
      </c>
      <c r="H17">
        <f>INDEX([1]icer_country!$A$2:$F$117,MATCH($A17,[1]icer_country!$A$2:$A$117,0),MATCH(H$1,[1]icer_country!$A$1:$F$1,0))</f>
        <v>966830.597374</v>
      </c>
      <c r="I17">
        <f t="shared" si="1"/>
        <v>0.54447522832674966</v>
      </c>
      <c r="J17">
        <f t="shared" si="2"/>
        <v>0.34064901979537349</v>
      </c>
      <c r="K17">
        <f t="shared" si="3"/>
        <v>2.5242048500558933</v>
      </c>
      <c r="L17">
        <f t="shared" si="4"/>
        <v>4.3170376133025474</v>
      </c>
      <c r="M17">
        <f t="shared" si="5"/>
        <v>93.913853122470613</v>
      </c>
    </row>
    <row r="18" spans="1:13" x14ac:dyDescent="0.25">
      <c r="A18" t="s">
        <v>114</v>
      </c>
      <c r="B18" t="s">
        <v>115</v>
      </c>
      <c r="C18">
        <v>3711.3276790215732</v>
      </c>
      <c r="D18">
        <f>INDEX([1]icer_country!$A$2:$F$117,MATCH($A18,[1]icer_country!$A$2:$A$117,0),MATCH(D$1,[1]icer_country!$A$1:$F$1,0))</f>
        <v>-295.15506677244002</v>
      </c>
      <c r="E18">
        <f>INDEX([1]icer_country!$A$2:$F$117,MATCH($A18,[1]icer_country!$A$2:$A$117,0),MATCH(E$1,[1]icer_country!$A$1:$F$1,0))</f>
        <v>-466.49714285678601</v>
      </c>
      <c r="F18">
        <f>INDEX([1]icer_country!$A$2:$F$117,MATCH($A18,[1]icer_country!$A$2:$A$117,0),MATCH(F$1,[1]icer_country!$A$1:$F$1,0))</f>
        <v>2483.9863813987499</v>
      </c>
      <c r="G18">
        <f>INDEX([1]icer_country!$A$2:$F$117,MATCH($A18,[1]icer_country!$A$2:$A$117,0),MATCH(G$1,[1]icer_country!$A$1:$F$1,0))</f>
        <v>16669.869077940999</v>
      </c>
      <c r="H18">
        <f>INDEX([1]icer_country!$A$2:$F$117,MATCH($A18,[1]icer_country!$A$2:$A$117,0),MATCH(H$1,[1]icer_country!$A$1:$F$1,0))</f>
        <v>194013.07235984999</v>
      </c>
      <c r="I18">
        <f t="shared" si="1"/>
        <v>-7.9528161428810432E-2</v>
      </c>
      <c r="J18">
        <f t="shared" si="2"/>
        <v>-0.12569548776134201</v>
      </c>
      <c r="K18">
        <f t="shared" si="3"/>
        <v>0.66929858967710698</v>
      </c>
      <c r="L18">
        <f t="shared" si="4"/>
        <v>4.4916187735639985</v>
      </c>
      <c r="M18">
        <f t="shared" si="5"/>
        <v>52.275920947782801</v>
      </c>
    </row>
    <row r="19" spans="1:13" x14ac:dyDescent="0.25">
      <c r="A19" t="s">
        <v>116</v>
      </c>
      <c r="B19" t="s">
        <v>117</v>
      </c>
      <c r="C19">
        <v>495.97889715306769</v>
      </c>
      <c r="D19">
        <f>INDEX([1]icer_country!$A$2:$F$117,MATCH($A19,[1]icer_country!$A$2:$A$117,0),MATCH(D$1,[1]icer_country!$A$1:$F$1,0))</f>
        <v>406.18059878647102</v>
      </c>
      <c r="E19">
        <f>INDEX([1]icer_country!$A$2:$F$117,MATCH($A19,[1]icer_country!$A$2:$A$117,0),MATCH(E$1,[1]icer_country!$A$1:$F$1,0))</f>
        <v>128.46423071055699</v>
      </c>
      <c r="F19">
        <f>INDEX([1]icer_country!$A$2:$F$117,MATCH($A19,[1]icer_country!$A$2:$A$117,0),MATCH(F$1,[1]icer_country!$A$1:$F$1,0))</f>
        <v>318.33373240267099</v>
      </c>
      <c r="G19">
        <f>INDEX([1]icer_country!$A$2:$F$117,MATCH($A19,[1]icer_country!$A$2:$A$117,0),MATCH(G$1,[1]icer_country!$A$1:$F$1,0))</f>
        <v>5561.7928444996496</v>
      </c>
      <c r="H19">
        <f>INDEX([1]icer_country!$A$2:$F$117,MATCH($A19,[1]icer_country!$A$2:$A$117,0),MATCH(H$1,[1]icer_country!$A$1:$F$1,0))</f>
        <v>24745.513581009898</v>
      </c>
      <c r="I19">
        <f t="shared" si="1"/>
        <v>0.81894734053799201</v>
      </c>
      <c r="J19">
        <f t="shared" si="2"/>
        <v>0.25901148506104826</v>
      </c>
      <c r="K19">
        <f t="shared" si="3"/>
        <v>0.64182918714871795</v>
      </c>
      <c r="L19">
        <f t="shared" si="4"/>
        <v>11.213769126921511</v>
      </c>
      <c r="M19">
        <f t="shared" si="5"/>
        <v>49.892271068486615</v>
      </c>
    </row>
    <row r="20" spans="1:13" x14ac:dyDescent="0.25">
      <c r="A20" t="s">
        <v>118</v>
      </c>
      <c r="B20" t="s">
        <v>119</v>
      </c>
      <c r="C20">
        <v>53431.185706387871</v>
      </c>
      <c r="D20">
        <f>INDEX([1]icer_country!$A$2:$F$117,MATCH($A20,[1]icer_country!$A$2:$A$117,0),MATCH(D$1,[1]icer_country!$A$1:$F$1,0))</f>
        <v>191054.23003134501</v>
      </c>
      <c r="E20">
        <f>INDEX([1]icer_country!$A$2:$F$117,MATCH($A20,[1]icer_country!$A$2:$A$117,0),MATCH(E$1,[1]icer_country!$A$1:$F$1,0))</f>
        <v>138907.882014642</v>
      </c>
      <c r="F20">
        <f>INDEX([1]icer_country!$A$2:$F$117,MATCH($A20,[1]icer_country!$A$2:$A$117,0),MATCH(F$1,[1]icer_country!$A$1:$F$1,0))</f>
        <v>212380.89376314401</v>
      </c>
      <c r="G20">
        <f>INDEX([1]icer_country!$A$2:$F$117,MATCH($A20,[1]icer_country!$A$2:$A$117,0),MATCH(G$1,[1]icer_country!$A$1:$F$1,0))</f>
        <v>738388.92580539396</v>
      </c>
      <c r="H20">
        <f>INDEX([1]icer_country!$A$2:$F$117,MATCH($A20,[1]icer_country!$A$2:$A$117,0),MATCH(H$1,[1]icer_country!$A$1:$F$1,0))</f>
        <v>9049767.2304669805</v>
      </c>
      <c r="I20">
        <f t="shared" si="1"/>
        <v>3.5757063502430166</v>
      </c>
      <c r="J20">
        <f t="shared" si="2"/>
        <v>2.5997529378809037</v>
      </c>
      <c r="K20">
        <f t="shared" si="3"/>
        <v>3.9748489754692677</v>
      </c>
      <c r="L20">
        <f t="shared" si="4"/>
        <v>13.819437394912933</v>
      </c>
      <c r="M20">
        <f t="shared" si="5"/>
        <v>169.37238264179211</v>
      </c>
    </row>
    <row r="21" spans="1:13" x14ac:dyDescent="0.25">
      <c r="A21" t="s">
        <v>15</v>
      </c>
      <c r="B21" t="s">
        <v>16</v>
      </c>
      <c r="C21">
        <v>99564.710026144952</v>
      </c>
      <c r="D21">
        <f>INDEX([1]icer_country!$A$2:$F$117,MATCH($A21,[1]icer_country!$A$2:$A$117,0),MATCH(D$1,[1]icer_country!$A$1:$F$1,0))</f>
        <v>43340.726132898199</v>
      </c>
      <c r="E21">
        <f>INDEX([1]icer_country!$A$2:$F$117,MATCH($A21,[1]icer_country!$A$2:$A$117,0),MATCH(E$1,[1]icer_country!$A$1:$F$1,0))</f>
        <v>18247.078190212102</v>
      </c>
      <c r="F21">
        <f>INDEX([1]icer_country!$A$2:$F$117,MATCH($A21,[1]icer_country!$A$2:$A$117,0),MATCH(F$1,[1]icer_country!$A$1:$F$1,0))</f>
        <v>69213.917485353493</v>
      </c>
      <c r="G21">
        <f>INDEX([1]icer_country!$A$2:$F$117,MATCH($A21,[1]icer_country!$A$2:$A$117,0),MATCH(G$1,[1]icer_country!$A$1:$F$1,0))</f>
        <v>238589.743692207</v>
      </c>
      <c r="H21">
        <f>INDEX([1]icer_country!$A$2:$F$117,MATCH($A21,[1]icer_country!$A$2:$A$117,0),MATCH(H$1,[1]icer_country!$A$1:$F$1,0))</f>
        <v>4405220.5970590701</v>
      </c>
      <c r="I21">
        <f t="shared" si="1"/>
        <v>0.43530208767260253</v>
      </c>
      <c r="J21">
        <f t="shared" si="2"/>
        <v>0.18326853144473132</v>
      </c>
      <c r="K21">
        <f t="shared" si="3"/>
        <v>0.69516515909279941</v>
      </c>
      <c r="L21">
        <f t="shared" si="4"/>
        <v>2.3963284142499397</v>
      </c>
      <c r="M21">
        <f t="shared" si="5"/>
        <v>44.24479914522216</v>
      </c>
    </row>
    <row r="22" spans="1:13" x14ac:dyDescent="0.25">
      <c r="A22" t="s">
        <v>120</v>
      </c>
      <c r="B22" t="s">
        <v>121</v>
      </c>
      <c r="C22">
        <v>17067.813615060055</v>
      </c>
      <c r="D22">
        <f>INDEX([1]icer_country!$A$2:$F$117,MATCH($A22,[1]icer_country!$A$2:$A$117,0),MATCH(D$1,[1]icer_country!$A$1:$F$1,0))</f>
        <v>2331498.8911597198</v>
      </c>
      <c r="E22">
        <f>INDEX([1]icer_country!$A$2:$F$117,MATCH($A22,[1]icer_country!$A$2:$A$117,0),MATCH(E$1,[1]icer_country!$A$1:$F$1,0))</f>
        <v>1455573.0051140699</v>
      </c>
      <c r="F22">
        <f>INDEX([1]icer_country!$A$2:$F$117,MATCH($A22,[1]icer_country!$A$2:$A$117,0),MATCH(F$1,[1]icer_country!$A$1:$F$1,0))</f>
        <v>5212206.4919281397</v>
      </c>
      <c r="G22">
        <f>INDEX([1]icer_country!$A$2:$F$117,MATCH($A22,[1]icer_country!$A$2:$A$117,0),MATCH(G$1,[1]icer_country!$A$1:$F$1,0))</f>
        <v>14086851.325259499</v>
      </c>
      <c r="H22">
        <f>INDEX([1]icer_country!$A$2:$F$117,MATCH($A22,[1]icer_country!$A$2:$A$117,0),MATCH(H$1,[1]icer_country!$A$1:$F$1,0))</f>
        <v>147574959.462145</v>
      </c>
      <c r="I22">
        <f t="shared" si="1"/>
        <v>136.60208294649323</v>
      </c>
      <c r="J22">
        <f t="shared" si="2"/>
        <v>85.281749493076376</v>
      </c>
      <c r="K22">
        <f t="shared" si="3"/>
        <v>305.38220122869558</v>
      </c>
      <c r="L22">
        <f t="shared" si="4"/>
        <v>825.34597828217102</v>
      </c>
      <c r="M22">
        <f t="shared" si="5"/>
        <v>8646.3892089804576</v>
      </c>
    </row>
    <row r="23" spans="1:13" x14ac:dyDescent="0.25">
      <c r="A23" t="s">
        <v>122</v>
      </c>
      <c r="B23" t="s">
        <v>123</v>
      </c>
      <c r="C23">
        <v>12614.061741642121</v>
      </c>
      <c r="D23">
        <f>INDEX([1]icer_country!$A$2:$F$117,MATCH($A23,[1]icer_country!$A$2:$A$117,0),MATCH(D$1,[1]icer_country!$A$1:$F$1,0))</f>
        <v>13231.133766489</v>
      </c>
      <c r="E23">
        <f>INDEX([1]icer_country!$A$2:$F$117,MATCH($A23,[1]icer_country!$A$2:$A$117,0),MATCH(E$1,[1]icer_country!$A$1:$F$1,0))</f>
        <v>6516.0481362986502</v>
      </c>
      <c r="F23">
        <f>INDEX([1]icer_country!$A$2:$F$117,MATCH($A23,[1]icer_country!$A$2:$A$117,0),MATCH(F$1,[1]icer_country!$A$1:$F$1,0))</f>
        <v>36738.351523696598</v>
      </c>
      <c r="G23">
        <f>INDEX([1]icer_country!$A$2:$F$117,MATCH($A23,[1]icer_country!$A$2:$A$117,0),MATCH(G$1,[1]icer_country!$A$1:$F$1,0))</f>
        <v>85587.644972843904</v>
      </c>
      <c r="H23">
        <f>INDEX([1]icer_country!$A$2:$F$117,MATCH($A23,[1]icer_country!$A$2:$A$117,0),MATCH(H$1,[1]icer_country!$A$1:$F$1,0))</f>
        <v>6426404.5896143904</v>
      </c>
      <c r="I23">
        <f t="shared" si="1"/>
        <v>1.0489193756527901</v>
      </c>
      <c r="J23">
        <f t="shared" si="2"/>
        <v>0.51657017935686589</v>
      </c>
      <c r="K23">
        <f t="shared" si="3"/>
        <v>2.9124918108188944</v>
      </c>
      <c r="L23">
        <f t="shared" si="4"/>
        <v>6.7850979903085484</v>
      </c>
      <c r="M23">
        <f t="shared" si="5"/>
        <v>509.46354324549151</v>
      </c>
    </row>
    <row r="24" spans="1:13" x14ac:dyDescent="0.25">
      <c r="A24" t="s">
        <v>124</v>
      </c>
      <c r="B24" t="s">
        <v>125</v>
      </c>
      <c r="C24">
        <v>1736.8609107352422</v>
      </c>
      <c r="D24">
        <f>INDEX([1]icer_country!$A$2:$F$117,MATCH($A24,[1]icer_country!$A$2:$A$117,0),MATCH(D$1,[1]icer_country!$A$1:$F$1,0))</f>
        <v>126.78505618285</v>
      </c>
      <c r="E24">
        <f>INDEX([1]icer_country!$A$2:$F$117,MATCH($A24,[1]icer_country!$A$2:$A$117,0),MATCH(E$1,[1]icer_country!$A$1:$F$1,0))</f>
        <v>-229.84581986287799</v>
      </c>
      <c r="F24">
        <f>INDEX([1]icer_country!$A$2:$F$117,MATCH($A24,[1]icer_country!$A$2:$A$117,0),MATCH(F$1,[1]icer_country!$A$1:$F$1,0))</f>
        <v>-407.40358870338201</v>
      </c>
      <c r="G24">
        <f>INDEX([1]icer_country!$A$2:$F$117,MATCH($A24,[1]icer_country!$A$2:$A$117,0),MATCH(G$1,[1]icer_country!$A$1:$F$1,0))</f>
        <v>15625.2996788577</v>
      </c>
      <c r="H24">
        <f>INDEX([1]icer_country!$A$2:$F$117,MATCH($A24,[1]icer_country!$A$2:$A$117,0),MATCH(H$1,[1]icer_country!$A$1:$F$1,0))</f>
        <v>93864.957022033806</v>
      </c>
      <c r="I24">
        <f t="shared" si="1"/>
        <v>7.2996666226531504E-2</v>
      </c>
      <c r="J24">
        <f t="shared" si="2"/>
        <v>-0.13233403920961087</v>
      </c>
      <c r="K24">
        <f t="shared" si="3"/>
        <v>-0.23456316287924361</v>
      </c>
      <c r="L24">
        <f t="shared" si="4"/>
        <v>8.9962872572468964</v>
      </c>
      <c r="M24">
        <f t="shared" si="5"/>
        <v>54.04287496014819</v>
      </c>
    </row>
    <row r="25" spans="1:13" x14ac:dyDescent="0.25">
      <c r="A25" t="s">
        <v>126</v>
      </c>
      <c r="B25" t="s">
        <v>127</v>
      </c>
      <c r="C25">
        <v>627.50218169083598</v>
      </c>
      <c r="D25">
        <f>INDEX([1]icer_country!$A$2:$F$117,MATCH($A25,[1]icer_country!$A$2:$A$117,0),MATCH(D$1,[1]icer_country!$A$1:$F$1,0))</f>
        <v>198.05586046865201</v>
      </c>
      <c r="E25">
        <f>INDEX([1]icer_country!$A$2:$F$117,MATCH($A25,[1]icer_country!$A$2:$A$117,0),MATCH(E$1,[1]icer_country!$A$1:$F$1,0))</f>
        <v>63.450448681749499</v>
      </c>
      <c r="F25">
        <f>INDEX([1]icer_country!$A$2:$F$117,MATCH($A25,[1]icer_country!$A$2:$A$117,0),MATCH(F$1,[1]icer_country!$A$1:$F$1,0))</f>
        <v>565.94352481749502</v>
      </c>
      <c r="G25">
        <f>INDEX([1]icer_country!$A$2:$F$117,MATCH($A25,[1]icer_country!$A$2:$A$117,0),MATCH(G$1,[1]icer_country!$A$1:$F$1,0))</f>
        <v>135069.56882370499</v>
      </c>
      <c r="H25">
        <f>INDEX([1]icer_country!$A$2:$F$117,MATCH($A25,[1]icer_country!$A$2:$A$117,0),MATCH(H$1,[1]icer_country!$A$1:$F$1,0))</f>
        <v>61768.134756266903</v>
      </c>
      <c r="I25">
        <f t="shared" si="1"/>
        <v>0.31562577190565394</v>
      </c>
      <c r="J25">
        <f t="shared" si="2"/>
        <v>0.10111590131970394</v>
      </c>
      <c r="K25">
        <f t="shared" si="3"/>
        <v>0.90189889586125727</v>
      </c>
      <c r="L25">
        <f t="shared" si="4"/>
        <v>215.24956050312574</v>
      </c>
      <c r="M25">
        <f t="shared" si="5"/>
        <v>98.434932273589197</v>
      </c>
    </row>
    <row r="26" spans="1:13" x14ac:dyDescent="0.25">
      <c r="A26" t="s">
        <v>128</v>
      </c>
      <c r="B26" t="s">
        <v>129</v>
      </c>
      <c r="C26">
        <v>6947.3592868196647</v>
      </c>
      <c r="D26">
        <f>INDEX([1]icer_country!$A$2:$F$117,MATCH($A26,[1]icer_country!$A$2:$A$117,0),MATCH(D$1,[1]icer_country!$A$1:$F$1,0))</f>
        <v>-5297.5996801015499</v>
      </c>
      <c r="E26">
        <f>INDEX([1]icer_country!$A$2:$F$117,MATCH($A26,[1]icer_country!$A$2:$A$117,0),MATCH(E$1,[1]icer_country!$A$1:$F$1,0))</f>
        <v>-5123.37912662709</v>
      </c>
      <c r="F26">
        <f>INDEX([1]icer_country!$A$2:$F$117,MATCH($A26,[1]icer_country!$A$2:$A$117,0),MATCH(F$1,[1]icer_country!$A$1:$F$1,0))</f>
        <v>1439.94868610084</v>
      </c>
      <c r="G26">
        <f>INDEX([1]icer_country!$A$2:$F$117,MATCH($A26,[1]icer_country!$A$2:$A$117,0),MATCH(G$1,[1]icer_country!$A$1:$F$1,0))</f>
        <v>16669.693117859599</v>
      </c>
      <c r="H26">
        <f>INDEX([1]icer_country!$A$2:$F$117,MATCH($A26,[1]icer_country!$A$2:$A$117,0),MATCH(H$1,[1]icer_country!$A$1:$F$1,0))</f>
        <v>818977.29688734806</v>
      </c>
      <c r="I26">
        <f t="shared" si="1"/>
        <v>-0.76253428984909521</v>
      </c>
      <c r="J26">
        <f t="shared" si="2"/>
        <v>-0.7374570559992516</v>
      </c>
      <c r="K26">
        <f t="shared" si="3"/>
        <v>0.20726561368902718</v>
      </c>
      <c r="L26">
        <f t="shared" si="4"/>
        <v>2.3994286792515358</v>
      </c>
      <c r="M26">
        <f t="shared" si="5"/>
        <v>117.88325075415185</v>
      </c>
    </row>
    <row r="27" spans="1:13" x14ac:dyDescent="0.25">
      <c r="A27" t="s">
        <v>130</v>
      </c>
      <c r="B27" t="s">
        <v>131</v>
      </c>
      <c r="C27">
        <v>9605.2612506726255</v>
      </c>
      <c r="D27">
        <f>INDEX([1]icer_country!$A$2:$F$117,MATCH($A27,[1]icer_country!$A$2:$A$117,0),MATCH(D$1,[1]icer_country!$A$1:$F$1,0))</f>
        <v>60958.772804236898</v>
      </c>
      <c r="E27">
        <f>INDEX([1]icer_country!$A$2:$F$117,MATCH($A27,[1]icer_country!$A$2:$A$117,0),MATCH(E$1,[1]icer_country!$A$1:$F$1,0))</f>
        <v>40601.616483267499</v>
      </c>
      <c r="F27">
        <f>INDEX([1]icer_country!$A$2:$F$117,MATCH($A27,[1]icer_country!$A$2:$A$117,0),MATCH(F$1,[1]icer_country!$A$1:$F$1,0))</f>
        <v>40761.723330624001</v>
      </c>
      <c r="G27">
        <f>INDEX([1]icer_country!$A$2:$F$117,MATCH($A27,[1]icer_country!$A$2:$A$117,0),MATCH(G$1,[1]icer_country!$A$1:$F$1,0))</f>
        <v>54732.626766881804</v>
      </c>
      <c r="H27">
        <f>INDEX([1]icer_country!$A$2:$F$117,MATCH($A27,[1]icer_country!$A$2:$A$117,0),MATCH(H$1,[1]icer_country!$A$1:$F$1,0))</f>
        <v>857630.87503887503</v>
      </c>
      <c r="I27">
        <f t="shared" si="1"/>
        <v>6.3463940452393368</v>
      </c>
      <c r="J27">
        <f t="shared" si="2"/>
        <v>4.2270184457944131</v>
      </c>
      <c r="K27">
        <f t="shared" si="3"/>
        <v>4.243687107185095</v>
      </c>
      <c r="L27">
        <f t="shared" si="4"/>
        <v>5.698192411273463</v>
      </c>
      <c r="M27">
        <f t="shared" si="5"/>
        <v>89.287615678211552</v>
      </c>
    </row>
    <row r="28" spans="1:13" x14ac:dyDescent="0.25">
      <c r="A28" t="s">
        <v>17</v>
      </c>
      <c r="B28" t="s">
        <v>18</v>
      </c>
      <c r="C28">
        <v>31591.177073296891</v>
      </c>
      <c r="D28">
        <f>INDEX([1]icer_country!$A$2:$F$117,MATCH($A28,[1]icer_country!$A$2:$A$117,0),MATCH(D$1,[1]icer_country!$A$1:$F$1,0))</f>
        <v>-5439.4748390534096</v>
      </c>
      <c r="E28">
        <f>INDEX([1]icer_country!$A$2:$F$117,MATCH($A28,[1]icer_country!$A$2:$A$117,0),MATCH(E$1,[1]icer_country!$A$1:$F$1,0))</f>
        <v>-4344.2709599770897</v>
      </c>
      <c r="F28">
        <f>INDEX([1]icer_country!$A$2:$F$117,MATCH($A28,[1]icer_country!$A$2:$A$117,0),MATCH(F$1,[1]icer_country!$A$1:$F$1,0))</f>
        <v>29539.593488709099</v>
      </c>
      <c r="G28">
        <f>INDEX([1]icer_country!$A$2:$F$117,MATCH($A28,[1]icer_country!$A$2:$A$117,0),MATCH(G$1,[1]icer_country!$A$1:$F$1,0))</f>
        <v>69355.691424295801</v>
      </c>
      <c r="H28">
        <f>INDEX([1]icer_country!$A$2:$F$117,MATCH($A28,[1]icer_country!$A$2:$A$117,0),MATCH(H$1,[1]icer_country!$A$1:$F$1,0))</f>
        <v>2735463.6846951898</v>
      </c>
      <c r="I28">
        <f t="shared" si="1"/>
        <v>-0.17218335443573074</v>
      </c>
      <c r="J28">
        <f t="shared" si="2"/>
        <v>-0.13751532429126156</v>
      </c>
      <c r="K28">
        <f t="shared" si="3"/>
        <v>0.93505833670496763</v>
      </c>
      <c r="L28">
        <f t="shared" si="4"/>
        <v>2.1954133352922822</v>
      </c>
      <c r="M28">
        <f t="shared" si="5"/>
        <v>86.589482827703762</v>
      </c>
    </row>
    <row r="29" spans="1:13" x14ac:dyDescent="0.25">
      <c r="A29" t="s">
        <v>19</v>
      </c>
      <c r="B29" t="s">
        <v>20</v>
      </c>
      <c r="C29">
        <v>54343.226508495813</v>
      </c>
      <c r="D29">
        <f>INDEX([1]icer_country!$A$2:$F$117,MATCH($A29,[1]icer_country!$A$2:$A$117,0),MATCH(D$1,[1]icer_country!$A$1:$F$1,0))</f>
        <v>-4339.6011871458504</v>
      </c>
      <c r="E29">
        <f>INDEX([1]icer_country!$A$2:$F$117,MATCH($A29,[1]icer_country!$A$2:$A$117,0),MATCH(E$1,[1]icer_country!$A$1:$F$1,0))</f>
        <v>-3092.4094368588098</v>
      </c>
      <c r="F29">
        <f>INDEX([1]icer_country!$A$2:$F$117,MATCH($A29,[1]icer_country!$A$2:$A$117,0),MATCH(F$1,[1]icer_country!$A$1:$F$1,0))</f>
        <v>11971.743694279099</v>
      </c>
      <c r="G29">
        <f>INDEX([1]icer_country!$A$2:$F$117,MATCH($A29,[1]icer_country!$A$2:$A$117,0),MATCH(G$1,[1]icer_country!$A$1:$F$1,0))</f>
        <v>54956.924029267801</v>
      </c>
      <c r="H29">
        <f>INDEX([1]icer_country!$A$2:$F$117,MATCH($A29,[1]icer_country!$A$2:$A$117,0),MATCH(H$1,[1]icer_country!$A$1:$F$1,0))</f>
        <v>2697065.95586074</v>
      </c>
      <c r="I29">
        <f t="shared" si="1"/>
        <v>-7.985542018686384E-2</v>
      </c>
      <c r="J29">
        <f t="shared" si="2"/>
        <v>-5.690514964869365E-2</v>
      </c>
      <c r="K29">
        <f t="shared" si="3"/>
        <v>0.22029872835039491</v>
      </c>
      <c r="L29">
        <f t="shared" si="4"/>
        <v>1.0112929901332974</v>
      </c>
      <c r="M29">
        <f t="shared" si="5"/>
        <v>49.630213904194498</v>
      </c>
    </row>
    <row r="30" spans="1:13" x14ac:dyDescent="0.25">
      <c r="A30" t="s">
        <v>21</v>
      </c>
      <c r="B30" t="s">
        <v>22</v>
      </c>
      <c r="C30">
        <v>68453.876928114492</v>
      </c>
      <c r="D30">
        <f>INDEX([1]icer_country!$A$2:$F$117,MATCH($A30,[1]icer_country!$A$2:$A$117,0),MATCH(D$1,[1]icer_country!$A$1:$F$1,0))</f>
        <v>2682830.6730512599</v>
      </c>
      <c r="E30">
        <f>INDEX([1]icer_country!$A$2:$F$117,MATCH($A30,[1]icer_country!$A$2:$A$117,0),MATCH(E$1,[1]icer_country!$A$1:$F$1,0))</f>
        <v>2256029.0904008802</v>
      </c>
      <c r="F30">
        <f>INDEX([1]icer_country!$A$2:$F$117,MATCH($A30,[1]icer_country!$A$2:$A$117,0),MATCH(F$1,[1]icer_country!$A$1:$F$1,0))</f>
        <v>3419945.9700116101</v>
      </c>
      <c r="G30">
        <f>INDEX([1]icer_country!$A$2:$F$117,MATCH($A30,[1]icer_country!$A$2:$A$117,0),MATCH(G$1,[1]icer_country!$A$1:$F$1,0))</f>
        <v>8770079.8082288597</v>
      </c>
      <c r="H30">
        <f>INDEX([1]icer_country!$A$2:$F$117,MATCH($A30,[1]icer_country!$A$2:$A$117,0),MATCH(H$1,[1]icer_country!$A$1:$F$1,0))</f>
        <v>-494798486.73610401</v>
      </c>
      <c r="I30">
        <f t="shared" si="1"/>
        <v>39.191800281357075</v>
      </c>
      <c r="J30">
        <f t="shared" si="2"/>
        <v>32.956922115163842</v>
      </c>
      <c r="K30">
        <f t="shared" si="3"/>
        <v>49.959857987342339</v>
      </c>
      <c r="L30">
        <f t="shared" si="4"/>
        <v>128.11662687036102</v>
      </c>
      <c r="M30">
        <f t="shared" si="5"/>
        <v>-7228.2025349083888</v>
      </c>
    </row>
    <row r="31" spans="1:13" x14ac:dyDescent="0.25">
      <c r="A31" t="s">
        <v>132</v>
      </c>
      <c r="B31" t="s">
        <v>133</v>
      </c>
      <c r="C31">
        <v>10717.627671220362</v>
      </c>
      <c r="D31">
        <f>INDEX([1]icer_country!$A$2:$F$117,MATCH($A31,[1]icer_country!$A$2:$A$117,0),MATCH(D$1,[1]icer_country!$A$1:$F$1,0))</f>
        <v>-1302.1380221285301</v>
      </c>
      <c r="E31">
        <f>INDEX([1]icer_country!$A$2:$F$117,MATCH($A31,[1]icer_country!$A$2:$A$117,0),MATCH(E$1,[1]icer_country!$A$1:$F$1,0))</f>
        <v>-1487.11548705011</v>
      </c>
      <c r="F31">
        <f>INDEX([1]icer_country!$A$2:$F$117,MATCH($A31,[1]icer_country!$A$2:$A$117,0),MATCH(F$1,[1]icer_country!$A$1:$F$1,0))</f>
        <v>2079.0570392181598</v>
      </c>
      <c r="G31">
        <f>INDEX([1]icer_country!$A$2:$F$117,MATCH($A31,[1]icer_country!$A$2:$A$117,0),MATCH(G$1,[1]icer_country!$A$1:$F$1,0))</f>
        <v>10151.379125543899</v>
      </c>
      <c r="H31">
        <f>INDEX([1]icer_country!$A$2:$F$117,MATCH($A31,[1]icer_country!$A$2:$A$117,0),MATCH(H$1,[1]icer_country!$A$1:$F$1,0))</f>
        <v>309083.06266045797</v>
      </c>
      <c r="I31">
        <f t="shared" si="1"/>
        <v>-0.12149498583768793</v>
      </c>
      <c r="J31">
        <f t="shared" si="2"/>
        <v>-0.13875416581632191</v>
      </c>
      <c r="K31">
        <f t="shared" si="3"/>
        <v>0.19398481669604672</v>
      </c>
      <c r="L31">
        <f t="shared" si="4"/>
        <v>0.9471666153138546</v>
      </c>
      <c r="M31">
        <f t="shared" si="5"/>
        <v>28.83875724573144</v>
      </c>
    </row>
    <row r="32" spans="1:13" x14ac:dyDescent="0.25">
      <c r="A32" t="s">
        <v>134</v>
      </c>
      <c r="B32" t="s">
        <v>135</v>
      </c>
      <c r="C32">
        <v>5364.0279502273061</v>
      </c>
      <c r="D32">
        <f>INDEX([1]icer_country!$A$2:$F$117,MATCH($A32,[1]icer_country!$A$2:$A$117,0),MATCH(D$1,[1]icer_country!$A$1:$F$1,0))</f>
        <v>-1860.3518836670301</v>
      </c>
      <c r="E32">
        <f>INDEX([1]icer_country!$A$2:$F$117,MATCH($A32,[1]icer_country!$A$2:$A$117,0),MATCH(E$1,[1]icer_country!$A$1:$F$1,0))</f>
        <v>-1988.05746783274</v>
      </c>
      <c r="F32">
        <f>INDEX([1]icer_country!$A$2:$F$117,MATCH($A32,[1]icer_country!$A$2:$A$117,0),MATCH(F$1,[1]icer_country!$A$1:$F$1,0))</f>
        <v>5199.6185495651998</v>
      </c>
      <c r="G32">
        <f>INDEX([1]icer_country!$A$2:$F$117,MATCH($A32,[1]icer_country!$A$2:$A$117,0),MATCH(G$1,[1]icer_country!$A$1:$F$1,0))</f>
        <v>23000.415890535602</v>
      </c>
      <c r="H32">
        <f>INDEX([1]icer_country!$A$2:$F$117,MATCH($A32,[1]icer_country!$A$2:$A$117,0),MATCH(H$1,[1]icer_country!$A$1:$F$1,0))</f>
        <v>503777.72132499301</v>
      </c>
      <c r="I32">
        <f t="shared" si="1"/>
        <v>-0.34681994593040771</v>
      </c>
      <c r="J32">
        <f t="shared" si="2"/>
        <v>-0.37062772347196554</v>
      </c>
      <c r="K32">
        <f t="shared" si="3"/>
        <v>0.96934963758808546</v>
      </c>
      <c r="L32">
        <f t="shared" si="4"/>
        <v>4.2879000825416904</v>
      </c>
      <c r="M32">
        <f t="shared" si="5"/>
        <v>93.917803188114434</v>
      </c>
    </row>
    <row r="33" spans="1:13" x14ac:dyDescent="0.25">
      <c r="A33" t="s">
        <v>136</v>
      </c>
      <c r="B33" t="s">
        <v>137</v>
      </c>
      <c r="C33">
        <v>6609.8040815495679</v>
      </c>
      <c r="D33">
        <f>INDEX([1]icer_country!$A$2:$F$117,MATCH($A33,[1]icer_country!$A$2:$A$117,0),MATCH(D$1,[1]icer_country!$A$1:$F$1,0))</f>
        <v>365.52550353203497</v>
      </c>
      <c r="E33">
        <f>INDEX([1]icer_country!$A$2:$F$117,MATCH($A33,[1]icer_country!$A$2:$A$117,0),MATCH(E$1,[1]icer_country!$A$1:$F$1,0))</f>
        <v>-669.42826056626302</v>
      </c>
      <c r="F33">
        <f>INDEX([1]icer_country!$A$2:$F$117,MATCH($A33,[1]icer_country!$A$2:$A$117,0),MATCH(F$1,[1]icer_country!$A$1:$F$1,0))</f>
        <v>7906.09910247075</v>
      </c>
      <c r="G33">
        <f>INDEX([1]icer_country!$A$2:$F$117,MATCH($A33,[1]icer_country!$A$2:$A$117,0),MATCH(G$1,[1]icer_country!$A$1:$F$1,0))</f>
        <v>66191.101856343899</v>
      </c>
      <c r="H33">
        <f>INDEX([1]icer_country!$A$2:$F$117,MATCH($A33,[1]icer_country!$A$2:$A$117,0),MATCH(H$1,[1]icer_country!$A$1:$F$1,0))</f>
        <v>479632.71510841401</v>
      </c>
      <c r="I33">
        <f t="shared" si="1"/>
        <v>5.5300504980526306E-2</v>
      </c>
      <c r="J33">
        <f t="shared" si="2"/>
        <v>-0.1012780790938853</v>
      </c>
      <c r="K33">
        <f t="shared" si="3"/>
        <v>1.1961170111742987</v>
      </c>
      <c r="L33">
        <f t="shared" si="4"/>
        <v>10.014079243454127</v>
      </c>
      <c r="M33">
        <f t="shared" si="5"/>
        <v>72.563832330106138</v>
      </c>
    </row>
    <row r="34" spans="1:13" x14ac:dyDescent="0.25">
      <c r="A34" t="s">
        <v>138</v>
      </c>
      <c r="B34" t="s">
        <v>139</v>
      </c>
      <c r="C34">
        <v>3457.4569157045507</v>
      </c>
      <c r="D34">
        <f>INDEX([1]icer_country!$A$2:$F$117,MATCH($A34,[1]icer_country!$A$2:$A$117,0),MATCH(D$1,[1]icer_country!$A$1:$F$1,0))</f>
        <v>-1190.5889673973099</v>
      </c>
      <c r="E34">
        <f>INDEX([1]icer_country!$A$2:$F$117,MATCH($A34,[1]icer_country!$A$2:$A$117,0),MATCH(E$1,[1]icer_country!$A$1:$F$1,0))</f>
        <v>-1130.3986151148399</v>
      </c>
      <c r="F34">
        <f>INDEX([1]icer_country!$A$2:$F$117,MATCH($A34,[1]icer_country!$A$2:$A$117,0),MATCH(F$1,[1]icer_country!$A$1:$F$1,0))</f>
        <v>830.23893895943195</v>
      </c>
      <c r="G34">
        <f>INDEX([1]icer_country!$A$2:$F$117,MATCH($A34,[1]icer_country!$A$2:$A$117,0),MATCH(G$1,[1]icer_country!$A$1:$F$1,0))</f>
        <v>6414.2211414100202</v>
      </c>
      <c r="H34">
        <f>INDEX([1]icer_country!$A$2:$F$117,MATCH($A34,[1]icer_country!$A$2:$A$117,0),MATCH(H$1,[1]icer_country!$A$1:$F$1,0))</f>
        <v>120355.40264587</v>
      </c>
      <c r="I34">
        <f t="shared" si="1"/>
        <v>-0.34435395622412118</v>
      </c>
      <c r="J34">
        <f t="shared" si="2"/>
        <v>-0.32694510522468523</v>
      </c>
      <c r="K34">
        <f t="shared" si="3"/>
        <v>0.24012994498595169</v>
      </c>
      <c r="L34">
        <f t="shared" si="4"/>
        <v>1.8551846914635952</v>
      </c>
      <c r="M34">
        <f t="shared" si="5"/>
        <v>34.810383926749324</v>
      </c>
    </row>
    <row r="35" spans="1:13" x14ac:dyDescent="0.25">
      <c r="A35" t="s">
        <v>23</v>
      </c>
      <c r="B35" t="s">
        <v>24</v>
      </c>
      <c r="C35">
        <v>33509.012798213851</v>
      </c>
      <c r="D35">
        <f>INDEX([1]icer_country!$A$2:$F$117,MATCH($A35,[1]icer_country!$A$2:$A$117,0),MATCH(D$1,[1]icer_country!$A$1:$F$1,0))</f>
        <v>-7748.19448772956</v>
      </c>
      <c r="E35">
        <f>INDEX([1]icer_country!$A$2:$F$117,MATCH($A35,[1]icer_country!$A$2:$A$117,0),MATCH(E$1,[1]icer_country!$A$1:$F$1,0))</f>
        <v>-8039.8993076552697</v>
      </c>
      <c r="F35">
        <f>INDEX([1]icer_country!$A$2:$F$117,MATCH($A35,[1]icer_country!$A$2:$A$117,0),MATCH(F$1,[1]icer_country!$A$1:$F$1,0))</f>
        <v>157151.79967699299</v>
      </c>
      <c r="G35">
        <f>INDEX([1]icer_country!$A$2:$F$117,MATCH($A35,[1]icer_country!$A$2:$A$117,0),MATCH(G$1,[1]icer_country!$A$1:$F$1,0))</f>
        <v>369117.00865278899</v>
      </c>
      <c r="H35">
        <f>INDEX([1]icer_country!$A$2:$F$117,MATCH($A35,[1]icer_country!$A$2:$A$117,0),MATCH(H$1,[1]icer_country!$A$1:$F$1,0))</f>
        <v>30042492.5728513</v>
      </c>
      <c r="I35">
        <f t="shared" si="1"/>
        <v>-0.23122717862170403</v>
      </c>
      <c r="J35">
        <f t="shared" si="2"/>
        <v>-0.23993244313314491</v>
      </c>
      <c r="K35">
        <f t="shared" si="3"/>
        <v>4.6898367499913256</v>
      </c>
      <c r="L35">
        <f t="shared" si="4"/>
        <v>11.015454584578638</v>
      </c>
      <c r="M35">
        <f t="shared" si="5"/>
        <v>896.54961647967946</v>
      </c>
    </row>
    <row r="36" spans="1:13" x14ac:dyDescent="0.25">
      <c r="A36" t="s">
        <v>25</v>
      </c>
      <c r="B36" t="s">
        <v>26</v>
      </c>
      <c r="C36">
        <v>30133.304450454027</v>
      </c>
      <c r="D36">
        <f>INDEX([1]icer_country!$A$2:$F$117,MATCH($A36,[1]icer_country!$A$2:$A$117,0),MATCH(D$1,[1]icer_country!$A$1:$F$1,0))</f>
        <v>-7577.3380308456199</v>
      </c>
      <c r="E36">
        <f>INDEX([1]icer_country!$A$2:$F$117,MATCH($A36,[1]icer_country!$A$2:$A$117,0),MATCH(E$1,[1]icer_country!$A$1:$F$1,0))</f>
        <v>-7964.9859277661299</v>
      </c>
      <c r="F36">
        <f>INDEX([1]icer_country!$A$2:$F$117,MATCH($A36,[1]icer_country!$A$2:$A$117,0),MATCH(F$1,[1]icer_country!$A$1:$F$1,0))</f>
        <v>30.6111743070689</v>
      </c>
      <c r="G36">
        <f>INDEX([1]icer_country!$A$2:$F$117,MATCH($A36,[1]icer_country!$A$2:$A$117,0),MATCH(G$1,[1]icer_country!$A$1:$F$1,0))</f>
        <v>24730.1101870319</v>
      </c>
      <c r="H36">
        <f>INDEX([1]icer_country!$A$2:$F$117,MATCH($A36,[1]icer_country!$A$2:$A$117,0),MATCH(H$1,[1]icer_country!$A$1:$F$1,0))</f>
        <v>569716.25277605106</v>
      </c>
      <c r="I36">
        <f t="shared" si="1"/>
        <v>-0.2514605739076668</v>
      </c>
      <c r="J36">
        <f t="shared" si="2"/>
        <v>-0.26432500759624189</v>
      </c>
      <c r="K36">
        <f t="shared" si="3"/>
        <v>1.0158585281412E-3</v>
      </c>
      <c r="L36">
        <f t="shared" si="4"/>
        <v>0.82069028399105048</v>
      </c>
      <c r="M36">
        <f t="shared" si="5"/>
        <v>18.906530935324188</v>
      </c>
    </row>
    <row r="37" spans="1:13" x14ac:dyDescent="0.25">
      <c r="A37" t="s">
        <v>140</v>
      </c>
      <c r="B37" t="s">
        <v>141</v>
      </c>
      <c r="C37">
        <v>1272.0162820921055</v>
      </c>
      <c r="D37">
        <f>INDEX([1]icer_country!$A$2:$F$117,MATCH($A37,[1]icer_country!$A$2:$A$117,0),MATCH(D$1,[1]icer_country!$A$1:$F$1,0))</f>
        <v>1176.42688979635</v>
      </c>
      <c r="E37">
        <f>INDEX([1]icer_country!$A$2:$F$117,MATCH($A37,[1]icer_country!$A$2:$A$117,0),MATCH(E$1,[1]icer_country!$A$1:$F$1,0))</f>
        <v>479.88494787232599</v>
      </c>
      <c r="F37">
        <f>INDEX([1]icer_country!$A$2:$F$117,MATCH($A37,[1]icer_country!$A$2:$A$117,0),MATCH(F$1,[1]icer_country!$A$1:$F$1,0))</f>
        <v>1600.0426560505</v>
      </c>
      <c r="G37">
        <f>INDEX([1]icer_country!$A$2:$F$117,MATCH($A37,[1]icer_country!$A$2:$A$117,0),MATCH(G$1,[1]icer_country!$A$1:$F$1,0))</f>
        <v>24020.1777446786</v>
      </c>
      <c r="H37">
        <f>INDEX([1]icer_country!$A$2:$F$117,MATCH($A37,[1]icer_country!$A$2:$A$117,0),MATCH(H$1,[1]icer_country!$A$1:$F$1,0))</f>
        <v>128726.22962641</v>
      </c>
      <c r="I37">
        <f t="shared" si="1"/>
        <v>0.92485206860832148</v>
      </c>
      <c r="J37">
        <f t="shared" si="2"/>
        <v>0.37726321166506732</v>
      </c>
      <c r="K37">
        <f t="shared" si="3"/>
        <v>1.2578790685123027</v>
      </c>
      <c r="L37">
        <f t="shared" si="4"/>
        <v>18.88354581843263</v>
      </c>
      <c r="M37">
        <f t="shared" si="5"/>
        <v>101.19857067764252</v>
      </c>
    </row>
    <row r="38" spans="1:13" x14ac:dyDescent="0.25">
      <c r="A38" t="s">
        <v>27</v>
      </c>
      <c r="B38" t="s">
        <v>28</v>
      </c>
      <c r="C38">
        <v>52925.689763842434</v>
      </c>
      <c r="D38">
        <f>INDEX([1]icer_country!$A$2:$F$117,MATCH($A38,[1]icer_country!$A$2:$A$117,0),MATCH(D$1,[1]icer_country!$A$1:$F$1,0))</f>
        <v>203407.003780345</v>
      </c>
      <c r="E38">
        <f>INDEX([1]icer_country!$A$2:$F$117,MATCH($A38,[1]icer_country!$A$2:$A$117,0),MATCH(E$1,[1]icer_country!$A$1:$F$1,0))</f>
        <v>161493.106412086</v>
      </c>
      <c r="F38">
        <f>INDEX([1]icer_country!$A$2:$F$117,MATCH($A38,[1]icer_country!$A$2:$A$117,0),MATCH(F$1,[1]icer_country!$A$1:$F$1,0))</f>
        <v>249292.257990702</v>
      </c>
      <c r="G38">
        <f>INDEX([1]icer_country!$A$2:$F$117,MATCH($A38,[1]icer_country!$A$2:$A$117,0),MATCH(G$1,[1]icer_country!$A$1:$F$1,0))</f>
        <v>1708840.9145273699</v>
      </c>
      <c r="H38">
        <f>INDEX([1]icer_country!$A$2:$F$117,MATCH($A38,[1]icer_country!$A$2:$A$117,0),MATCH(H$1,[1]icer_country!$A$1:$F$1,0))</f>
        <v>76096909.575221404</v>
      </c>
      <c r="I38">
        <f t="shared" si="1"/>
        <v>3.8432565487187622</v>
      </c>
      <c r="J38">
        <f t="shared" si="2"/>
        <v>3.0513179352537079</v>
      </c>
      <c r="K38">
        <f t="shared" si="3"/>
        <v>4.7102316304815082</v>
      </c>
      <c r="L38">
        <f t="shared" si="4"/>
        <v>32.287551133529284</v>
      </c>
      <c r="M38">
        <f t="shared" si="5"/>
        <v>1437.8066665691147</v>
      </c>
    </row>
    <row r="39" spans="1:13" x14ac:dyDescent="0.25">
      <c r="A39" t="s">
        <v>142</v>
      </c>
      <c r="B39" t="s">
        <v>143</v>
      </c>
      <c r="C39">
        <v>5888.7366863935704</v>
      </c>
      <c r="D39">
        <f>INDEX([1]icer_country!$A$2:$F$117,MATCH($A39,[1]icer_country!$A$2:$A$117,0),MATCH(D$1,[1]icer_country!$A$1:$F$1,0))</f>
        <v>123993.542722999</v>
      </c>
      <c r="E39">
        <f>INDEX([1]icer_country!$A$2:$F$117,MATCH($A39,[1]icer_country!$A$2:$A$117,0),MATCH(E$1,[1]icer_country!$A$1:$F$1,0))</f>
        <v>152179.64430334501</v>
      </c>
      <c r="F39">
        <f>INDEX([1]icer_country!$A$2:$F$117,MATCH($A39,[1]icer_country!$A$2:$A$117,0),MATCH(F$1,[1]icer_country!$A$1:$F$1,0))</f>
        <v>609515.01862482703</v>
      </c>
      <c r="G39">
        <f>INDEX([1]icer_country!$A$2:$F$117,MATCH($A39,[1]icer_country!$A$2:$A$117,0),MATCH(G$1,[1]icer_country!$A$1:$F$1,0))</f>
        <v>1620953.9087309199</v>
      </c>
      <c r="H39">
        <f>INDEX([1]icer_country!$A$2:$F$117,MATCH($A39,[1]icer_country!$A$2:$A$117,0),MATCH(H$1,[1]icer_country!$A$1:$F$1,0))</f>
        <v>38448535.929488897</v>
      </c>
      <c r="I39">
        <f t="shared" si="1"/>
        <v>21.056051463380371</v>
      </c>
      <c r="J39">
        <f t="shared" si="2"/>
        <v>25.842494308663703</v>
      </c>
      <c r="K39">
        <f t="shared" si="3"/>
        <v>103.50522549822334</v>
      </c>
      <c r="L39">
        <f t="shared" si="4"/>
        <v>275.26343850222963</v>
      </c>
      <c r="M39">
        <f t="shared" si="5"/>
        <v>6529.1654181664344</v>
      </c>
    </row>
    <row r="40" spans="1:13" x14ac:dyDescent="0.25">
      <c r="A40" t="s">
        <v>29</v>
      </c>
      <c r="B40" t="s">
        <v>30</v>
      </c>
      <c r="C40">
        <v>44690.934539511749</v>
      </c>
      <c r="D40">
        <f>INDEX([1]icer_country!$A$2:$F$117,MATCH($A40,[1]icer_country!$A$2:$A$117,0),MATCH(D$1,[1]icer_country!$A$1:$F$1,0))</f>
        <v>28765.508971838299</v>
      </c>
      <c r="E40">
        <f>INDEX([1]icer_country!$A$2:$F$117,MATCH($A40,[1]icer_country!$A$2:$A$117,0),MATCH(E$1,[1]icer_country!$A$1:$F$1,0))</f>
        <v>31708.7659027837</v>
      </c>
      <c r="F40">
        <f>INDEX([1]icer_country!$A$2:$F$117,MATCH($A40,[1]icer_country!$A$2:$A$117,0),MATCH(F$1,[1]icer_country!$A$1:$F$1,0))</f>
        <v>69927.923552155102</v>
      </c>
      <c r="G40">
        <f>INDEX([1]icer_country!$A$2:$F$117,MATCH($A40,[1]icer_country!$A$2:$A$117,0),MATCH(G$1,[1]icer_country!$A$1:$F$1,0))</f>
        <v>198667.19240162801</v>
      </c>
      <c r="H40">
        <f>INDEX([1]icer_country!$A$2:$F$117,MATCH($A40,[1]icer_country!$A$2:$A$117,0),MATCH(H$1,[1]icer_country!$A$1:$F$1,0))</f>
        <v>7318477.3260196196</v>
      </c>
      <c r="I40">
        <f t="shared" si="1"/>
        <v>0.64365422804945804</v>
      </c>
      <c r="J40">
        <f t="shared" si="2"/>
        <v>0.70951225857113442</v>
      </c>
      <c r="K40">
        <f t="shared" si="3"/>
        <v>1.5647004089907999</v>
      </c>
      <c r="L40">
        <f t="shared" si="4"/>
        <v>4.4453577542887173</v>
      </c>
      <c r="M40">
        <f t="shared" si="5"/>
        <v>163.7575360960347</v>
      </c>
    </row>
    <row r="41" spans="1:13" x14ac:dyDescent="0.25">
      <c r="A41" t="s">
        <v>144</v>
      </c>
      <c r="B41" t="s">
        <v>145</v>
      </c>
      <c r="C41">
        <v>7802.8365956504867</v>
      </c>
      <c r="D41">
        <f>INDEX([1]icer_country!$A$2:$F$117,MATCH($A41,[1]icer_country!$A$2:$A$117,0),MATCH(D$1,[1]icer_country!$A$1:$F$1,0))</f>
        <v>-1885.1689144131899</v>
      </c>
      <c r="E41">
        <f>INDEX([1]icer_country!$A$2:$F$117,MATCH($A41,[1]icer_country!$A$2:$A$117,0),MATCH(E$1,[1]icer_country!$A$1:$F$1,0))</f>
        <v>-3660.65354062392</v>
      </c>
      <c r="F41">
        <f>INDEX([1]icer_country!$A$2:$F$117,MATCH($A41,[1]icer_country!$A$2:$A$117,0),MATCH(F$1,[1]icer_country!$A$1:$F$1,0))</f>
        <v>8403.0076083104395</v>
      </c>
      <c r="G41">
        <f>INDEX([1]icer_country!$A$2:$F$117,MATCH($A41,[1]icer_country!$A$2:$A$117,0),MATCH(G$1,[1]icer_country!$A$1:$F$1,0))</f>
        <v>28301.657054381401</v>
      </c>
      <c r="H41">
        <f>INDEX([1]icer_country!$A$2:$F$117,MATCH($A41,[1]icer_country!$A$2:$A$117,0),MATCH(H$1,[1]icer_country!$A$1:$F$1,0))</f>
        <v>44745.707801243603</v>
      </c>
      <c r="I41">
        <f t="shared" si="1"/>
        <v>-0.24160046046126793</v>
      </c>
      <c r="J41">
        <f t="shared" si="2"/>
        <v>-0.46914394473728538</v>
      </c>
      <c r="K41">
        <f t="shared" si="3"/>
        <v>1.0769170295062316</v>
      </c>
      <c r="L41">
        <f t="shared" si="4"/>
        <v>3.6270985182693067</v>
      </c>
      <c r="M41">
        <f t="shared" si="5"/>
        <v>5.7345437460764046</v>
      </c>
    </row>
    <row r="42" spans="1:13" x14ac:dyDescent="0.25">
      <c r="A42" t="s">
        <v>31</v>
      </c>
      <c r="B42" t="s">
        <v>32</v>
      </c>
      <c r="C42">
        <v>49463.855461734267</v>
      </c>
      <c r="D42">
        <f>INDEX([1]icer_country!$A$2:$F$117,MATCH($A42,[1]icer_country!$A$2:$A$117,0),MATCH(D$1,[1]icer_country!$A$1:$F$1,0))</f>
        <v>11936506.8116444</v>
      </c>
      <c r="E42">
        <f>INDEX([1]icer_country!$A$2:$F$117,MATCH($A42,[1]icer_country!$A$2:$A$117,0),MATCH(E$1,[1]icer_country!$A$1:$F$1,0))</f>
        <v>10461846.5580779</v>
      </c>
      <c r="F42">
        <f>INDEX([1]icer_country!$A$2:$F$117,MATCH($A42,[1]icer_country!$A$2:$A$117,0),MATCH(F$1,[1]icer_country!$A$1:$F$1,0))</f>
        <v>17346424.878047101</v>
      </c>
      <c r="G42">
        <f>INDEX([1]icer_country!$A$2:$F$117,MATCH($A42,[1]icer_country!$A$2:$A$117,0),MATCH(G$1,[1]icer_country!$A$1:$F$1,0))</f>
        <v>65284373.727164797</v>
      </c>
      <c r="H42">
        <f>INDEX([1]icer_country!$A$2:$F$117,MATCH($A42,[1]icer_country!$A$2:$A$117,0),MATCH(H$1,[1]icer_country!$A$1:$F$1,0))</f>
        <v>-247161431.42173401</v>
      </c>
      <c r="I42">
        <f t="shared" si="1"/>
        <v>241.31776021540821</v>
      </c>
      <c r="J42">
        <f t="shared" si="2"/>
        <v>211.50487483069912</v>
      </c>
      <c r="K42">
        <f t="shared" si="3"/>
        <v>350.68889628845187</v>
      </c>
      <c r="L42">
        <f t="shared" si="4"/>
        <v>1319.8399744166616</v>
      </c>
      <c r="M42">
        <f t="shared" si="5"/>
        <v>-4996.8088640591423</v>
      </c>
    </row>
    <row r="43" spans="1:13" x14ac:dyDescent="0.25">
      <c r="A43" t="s">
        <v>33</v>
      </c>
      <c r="B43" t="s">
        <v>34</v>
      </c>
      <c r="C43">
        <v>8283.6696024296398</v>
      </c>
      <c r="D43">
        <f>INDEX([1]icer_country!$A$2:$F$117,MATCH($A43,[1]icer_country!$A$2:$A$117,0),MATCH(D$1,[1]icer_country!$A$1:$F$1,0))</f>
        <v>3758.4760949134402</v>
      </c>
      <c r="E43">
        <f>INDEX([1]icer_country!$A$2:$F$117,MATCH($A43,[1]icer_country!$A$2:$A$117,0),MATCH(E$1,[1]icer_country!$A$1:$F$1,0))</f>
        <v>4023.7400592161998</v>
      </c>
      <c r="F43">
        <f>INDEX([1]icer_country!$A$2:$F$117,MATCH($A43,[1]icer_country!$A$2:$A$117,0),MATCH(F$1,[1]icer_country!$A$1:$F$1,0))</f>
        <v>6409.4026024269897</v>
      </c>
      <c r="G43">
        <f>INDEX([1]icer_country!$A$2:$F$117,MATCH($A43,[1]icer_country!$A$2:$A$117,0),MATCH(G$1,[1]icer_country!$A$1:$F$1,0))</f>
        <v>8176.5452538622703</v>
      </c>
      <c r="H43">
        <f>INDEX([1]icer_country!$A$2:$F$117,MATCH($A43,[1]icer_country!$A$2:$A$117,0),MATCH(H$1,[1]icer_country!$A$1:$F$1,0))</f>
        <v>51989.954908010099</v>
      </c>
      <c r="I43">
        <f t="shared" si="1"/>
        <v>0.45372114959909327</v>
      </c>
      <c r="J43">
        <f t="shared" si="2"/>
        <v>0.48574366824529286</v>
      </c>
      <c r="K43">
        <f t="shared" si="3"/>
        <v>0.77373952729199647</v>
      </c>
      <c r="L43">
        <f t="shared" si="4"/>
        <v>0.98706800805575956</v>
      </c>
      <c r="M43">
        <f t="shared" si="5"/>
        <v>6.2761985210951918</v>
      </c>
    </row>
    <row r="44" spans="1:13" x14ac:dyDescent="0.25">
      <c r="A44" t="s">
        <v>146</v>
      </c>
      <c r="B44" t="s">
        <v>147</v>
      </c>
      <c r="C44">
        <v>2260.2874128942681</v>
      </c>
      <c r="D44">
        <f>INDEX([1]icer_country!$A$2:$F$117,MATCH($A44,[1]icer_country!$A$2:$A$117,0),MATCH(D$1,[1]icer_country!$A$1:$F$1,0))</f>
        <v>0</v>
      </c>
      <c r="E44">
        <f>INDEX([1]icer_country!$A$2:$F$117,MATCH($A44,[1]icer_country!$A$2:$A$117,0),MATCH(E$1,[1]icer_country!$A$1:$F$1,0))</f>
        <v>-196.946273847105</v>
      </c>
      <c r="F44">
        <f>INDEX([1]icer_country!$A$2:$F$117,MATCH($A44,[1]icer_country!$A$2:$A$117,0),MATCH(F$1,[1]icer_country!$A$1:$F$1,0))</f>
        <v>767.76904944866897</v>
      </c>
      <c r="G44">
        <f>INDEX([1]icer_country!$A$2:$F$117,MATCH($A44,[1]icer_country!$A$2:$A$117,0),MATCH(G$1,[1]icer_country!$A$1:$F$1,0))</f>
        <v>6753.0655611804996</v>
      </c>
      <c r="H44">
        <f>INDEX([1]icer_country!$A$2:$F$117,MATCH($A44,[1]icer_country!$A$2:$A$117,0),MATCH(H$1,[1]icer_country!$A$1:$F$1,0))</f>
        <v>78152.529571806997</v>
      </c>
      <c r="I44">
        <f t="shared" si="1"/>
        <v>0</v>
      </c>
      <c r="J44">
        <f t="shared" si="2"/>
        <v>-8.7133287883472271E-2</v>
      </c>
      <c r="K44">
        <f t="shared" si="3"/>
        <v>0.33967762023040726</v>
      </c>
      <c r="L44">
        <f t="shared" si="4"/>
        <v>2.9877021491409752</v>
      </c>
      <c r="M44">
        <f t="shared" si="5"/>
        <v>34.57636808751402</v>
      </c>
    </row>
    <row r="45" spans="1:13" x14ac:dyDescent="0.25">
      <c r="A45" t="s">
        <v>148</v>
      </c>
      <c r="B45" t="s">
        <v>149</v>
      </c>
      <c r="C45">
        <v>888.15740772412289</v>
      </c>
      <c r="D45">
        <f>INDEX([1]icer_country!$A$2:$F$117,MATCH($A45,[1]icer_country!$A$2:$A$117,0),MATCH(D$1,[1]icer_country!$A$1:$F$1,0))</f>
        <v>651.69321048781501</v>
      </c>
      <c r="E45">
        <f>INDEX([1]icer_country!$A$2:$F$117,MATCH($A45,[1]icer_country!$A$2:$A$117,0),MATCH(E$1,[1]icer_country!$A$1:$F$1,0))</f>
        <v>-68.693452697863506</v>
      </c>
      <c r="F45">
        <f>INDEX([1]icer_country!$A$2:$F$117,MATCH($A45,[1]icer_country!$A$2:$A$117,0),MATCH(F$1,[1]icer_country!$A$1:$F$1,0))</f>
        <v>339.67671243056299</v>
      </c>
      <c r="G45">
        <f>INDEX([1]icer_country!$A$2:$F$117,MATCH($A45,[1]icer_country!$A$2:$A$117,0),MATCH(G$1,[1]icer_country!$A$1:$F$1,0))</f>
        <v>20618.793382854201</v>
      </c>
      <c r="H45">
        <f>INDEX([1]icer_country!$A$2:$F$117,MATCH($A45,[1]icer_country!$A$2:$A$117,0),MATCH(H$1,[1]icer_country!$A$1:$F$1,0))</f>
        <v>79260.634690093502</v>
      </c>
      <c r="I45">
        <f t="shared" si="1"/>
        <v>0.73375868378755027</v>
      </c>
      <c r="J45">
        <f t="shared" si="2"/>
        <v>-7.7343781744599133E-2</v>
      </c>
      <c r="K45">
        <f t="shared" si="3"/>
        <v>0.38245102667214648</v>
      </c>
      <c r="L45">
        <f t="shared" si="4"/>
        <v>23.215246760919609</v>
      </c>
      <c r="M45">
        <f t="shared" si="5"/>
        <v>89.241652437709817</v>
      </c>
    </row>
    <row r="46" spans="1:13" x14ac:dyDescent="0.25">
      <c r="A46" t="s">
        <v>35</v>
      </c>
      <c r="B46" t="s">
        <v>36</v>
      </c>
      <c r="C46">
        <v>23400.727881769137</v>
      </c>
      <c r="D46">
        <f>INDEX([1]icer_country!$A$2:$F$117,MATCH($A46,[1]icer_country!$A$2:$A$117,0),MATCH(D$1,[1]icer_country!$A$1:$F$1,0))</f>
        <v>-19997.451835087399</v>
      </c>
      <c r="E46">
        <f>INDEX([1]icer_country!$A$2:$F$117,MATCH($A46,[1]icer_country!$A$2:$A$117,0),MATCH(E$1,[1]icer_country!$A$1:$F$1,0))</f>
        <v>-19560.965310989901</v>
      </c>
      <c r="F46">
        <f>INDEX([1]icer_country!$A$2:$F$117,MATCH($A46,[1]icer_country!$A$2:$A$117,0),MATCH(F$1,[1]icer_country!$A$1:$F$1,0))</f>
        <v>-7612.9932771419799</v>
      </c>
      <c r="G46">
        <f>INDEX([1]icer_country!$A$2:$F$117,MATCH($A46,[1]icer_country!$A$2:$A$117,0),MATCH(G$1,[1]icer_country!$A$1:$F$1,0))</f>
        <v>24081.901357024999</v>
      </c>
      <c r="H46">
        <f>INDEX([1]icer_country!$A$2:$F$117,MATCH($A46,[1]icer_country!$A$2:$A$117,0),MATCH(H$1,[1]icer_country!$A$1:$F$1,0))</f>
        <v>1739584.72689509</v>
      </c>
      <c r="I46">
        <f t="shared" si="1"/>
        <v>-0.85456537660381338</v>
      </c>
      <c r="J46">
        <f t="shared" si="2"/>
        <v>-0.83591268655490458</v>
      </c>
      <c r="K46">
        <f t="shared" si="3"/>
        <v>-0.32533147326041312</v>
      </c>
      <c r="L46">
        <f t="shared" si="4"/>
        <v>1.0291090721065368</v>
      </c>
      <c r="M46">
        <f t="shared" si="5"/>
        <v>74.338915254441829</v>
      </c>
    </row>
    <row r="47" spans="1:13" x14ac:dyDescent="0.25">
      <c r="A47" t="s">
        <v>37</v>
      </c>
      <c r="B47" t="s">
        <v>38</v>
      </c>
      <c r="C47">
        <v>21865.456283864052</v>
      </c>
      <c r="D47">
        <f>INDEX([1]icer_country!$A$2:$F$117,MATCH($A47,[1]icer_country!$A$2:$A$117,0),MATCH(D$1,[1]icer_country!$A$1:$F$1,0))</f>
        <v>2819.2213680878599</v>
      </c>
      <c r="E47">
        <f>INDEX([1]icer_country!$A$2:$F$117,MATCH($A47,[1]icer_country!$A$2:$A$117,0),MATCH(E$1,[1]icer_country!$A$1:$F$1,0))</f>
        <v>2012.24141566817</v>
      </c>
      <c r="F47">
        <f>INDEX([1]icer_country!$A$2:$F$117,MATCH($A47,[1]icer_country!$A$2:$A$117,0),MATCH(F$1,[1]icer_country!$A$1:$F$1,0))</f>
        <v>17671.927811687401</v>
      </c>
      <c r="G47">
        <f>INDEX([1]icer_country!$A$2:$F$117,MATCH($A47,[1]icer_country!$A$2:$A$117,0),MATCH(G$1,[1]icer_country!$A$1:$F$1,0))</f>
        <v>54311.752686245803</v>
      </c>
      <c r="H47">
        <f>INDEX([1]icer_country!$A$2:$F$117,MATCH($A47,[1]icer_country!$A$2:$A$117,0),MATCH(H$1,[1]icer_country!$A$1:$F$1,0))</f>
        <v>2243163.5547703998</v>
      </c>
      <c r="I47">
        <f t="shared" si="1"/>
        <v>0.12893494338685937</v>
      </c>
      <c r="J47">
        <f t="shared" si="2"/>
        <v>9.2028329504979703E-2</v>
      </c>
      <c r="K47">
        <f t="shared" si="3"/>
        <v>0.80821216727723488</v>
      </c>
      <c r="L47">
        <f t="shared" si="4"/>
        <v>2.4839066690927458</v>
      </c>
      <c r="M47">
        <f t="shared" si="5"/>
        <v>102.58937776778876</v>
      </c>
    </row>
    <row r="48" spans="1:13" x14ac:dyDescent="0.25">
      <c r="A48" t="s">
        <v>39</v>
      </c>
      <c r="B48" t="s">
        <v>40</v>
      </c>
      <c r="C48">
        <v>22141.866979927614</v>
      </c>
      <c r="D48">
        <f>INDEX([1]icer_country!$A$2:$F$117,MATCH($A48,[1]icer_country!$A$2:$A$117,0),MATCH(D$1,[1]icer_country!$A$1:$F$1,0))</f>
        <v>-3025.6146438215301</v>
      </c>
      <c r="E48">
        <f>INDEX([1]icer_country!$A$2:$F$117,MATCH($A48,[1]icer_country!$A$2:$A$117,0),MATCH(E$1,[1]icer_country!$A$1:$F$1,0))</f>
        <v>-3476.7420823847901</v>
      </c>
      <c r="F48">
        <f>INDEX([1]icer_country!$A$2:$F$117,MATCH($A48,[1]icer_country!$A$2:$A$117,0),MATCH(F$1,[1]icer_country!$A$1:$F$1,0))</f>
        <v>18323.656511077599</v>
      </c>
      <c r="G48">
        <f>INDEX([1]icer_country!$A$2:$F$117,MATCH($A48,[1]icer_country!$A$2:$A$117,0),MATCH(G$1,[1]icer_country!$A$1:$F$1,0))</f>
        <v>101423.66152843399</v>
      </c>
      <c r="H48">
        <f>INDEX([1]icer_country!$A$2:$F$117,MATCH($A48,[1]icer_country!$A$2:$A$117,0),MATCH(H$1,[1]icer_country!$A$1:$F$1,0))</f>
        <v>1420757.2475083601</v>
      </c>
      <c r="I48">
        <f t="shared" si="1"/>
        <v>-0.13664677177242357</v>
      </c>
      <c r="J48">
        <f t="shared" si="2"/>
        <v>-0.1570211800810013</v>
      </c>
      <c r="K48">
        <f t="shared" si="3"/>
        <v>0.827556977362778</v>
      </c>
      <c r="L48">
        <f t="shared" si="4"/>
        <v>4.5806282559812201</v>
      </c>
      <c r="M48">
        <f t="shared" si="5"/>
        <v>64.166099850402261</v>
      </c>
    </row>
    <row r="49" spans="1:13" x14ac:dyDescent="0.25">
      <c r="A49" t="s">
        <v>150</v>
      </c>
      <c r="B49" t="s">
        <v>151</v>
      </c>
      <c r="C49">
        <v>4876.3143270318824</v>
      </c>
      <c r="D49">
        <f>INDEX([1]icer_country!$A$2:$F$117,MATCH($A49,[1]icer_country!$A$2:$A$117,0),MATCH(D$1,[1]icer_country!$A$1:$F$1,0))</f>
        <v>411.67529092167302</v>
      </c>
      <c r="E49">
        <f>INDEX([1]icer_country!$A$2:$F$117,MATCH($A49,[1]icer_country!$A$2:$A$117,0),MATCH(E$1,[1]icer_country!$A$1:$F$1,0))</f>
        <v>19.936367266396399</v>
      </c>
      <c r="F49">
        <f>INDEX([1]icer_country!$A$2:$F$117,MATCH($A49,[1]icer_country!$A$2:$A$117,0),MATCH(F$1,[1]icer_country!$A$1:$F$1,0))</f>
        <v>90.684483326885598</v>
      </c>
      <c r="G49">
        <f>INDEX([1]icer_country!$A$2:$F$117,MATCH($A49,[1]icer_country!$A$2:$A$117,0),MATCH(G$1,[1]icer_country!$A$1:$F$1,0))</f>
        <v>14979.188614607199</v>
      </c>
      <c r="H49">
        <f>INDEX([1]icer_country!$A$2:$F$117,MATCH($A49,[1]icer_country!$A$2:$A$117,0),MATCH(H$1,[1]icer_country!$A$1:$F$1,0))</f>
        <v>150992.18669756301</v>
      </c>
      <c r="I49">
        <f t="shared" si="1"/>
        <v>8.4423452491474593E-2</v>
      </c>
      <c r="J49">
        <f t="shared" si="2"/>
        <v>4.0884089764023227E-3</v>
      </c>
      <c r="K49">
        <f t="shared" si="3"/>
        <v>1.8596931461980524E-2</v>
      </c>
      <c r="L49">
        <f t="shared" si="4"/>
        <v>3.0718258934970541</v>
      </c>
      <c r="M49">
        <f t="shared" si="5"/>
        <v>30.964408069540713</v>
      </c>
    </row>
    <row r="50" spans="1:13" x14ac:dyDescent="0.25">
      <c r="A50" t="s">
        <v>152</v>
      </c>
      <c r="B50" t="s">
        <v>153</v>
      </c>
      <c r="C50">
        <v>2480.7920872162067</v>
      </c>
      <c r="D50">
        <f>INDEX([1]icer_country!$A$2:$F$117,MATCH($A50,[1]icer_country!$A$2:$A$117,0),MATCH(D$1,[1]icer_country!$A$1:$F$1,0))</f>
        <v>94.781225258083794</v>
      </c>
      <c r="E50">
        <f>INDEX([1]icer_country!$A$2:$F$117,MATCH($A50,[1]icer_country!$A$2:$A$117,0),MATCH(E$1,[1]icer_country!$A$1:$F$1,0))</f>
        <v>-292.73117426952302</v>
      </c>
      <c r="F50">
        <f>INDEX([1]icer_country!$A$2:$F$117,MATCH($A50,[1]icer_country!$A$2:$A$117,0),MATCH(F$1,[1]icer_country!$A$1:$F$1,0))</f>
        <v>278.06105815764698</v>
      </c>
      <c r="G50">
        <f>INDEX([1]icer_country!$A$2:$F$117,MATCH($A50,[1]icer_country!$A$2:$A$117,0),MATCH(G$1,[1]icer_country!$A$1:$F$1,0))</f>
        <v>4584.1572037918004</v>
      </c>
      <c r="H50">
        <f>INDEX([1]icer_country!$A$2:$F$117,MATCH($A50,[1]icer_country!$A$2:$A$117,0),MATCH(H$1,[1]icer_country!$A$1:$F$1,0))</f>
        <v>124439.626403491</v>
      </c>
      <c r="I50">
        <f t="shared" si="1"/>
        <v>3.8206033365916402E-2</v>
      </c>
      <c r="J50">
        <f t="shared" si="2"/>
        <v>-0.1179990760926717</v>
      </c>
      <c r="K50">
        <f t="shared" si="3"/>
        <v>0.11208559539935896</v>
      </c>
      <c r="L50">
        <f t="shared" si="4"/>
        <v>1.8478602972874931</v>
      </c>
      <c r="M50">
        <f t="shared" si="5"/>
        <v>50.161247709851231</v>
      </c>
    </row>
    <row r="51" spans="1:13" x14ac:dyDescent="0.25">
      <c r="A51" t="s">
        <v>41</v>
      </c>
      <c r="B51" t="s">
        <v>42</v>
      </c>
      <c r="C51">
        <v>103887.80038808093</v>
      </c>
      <c r="D51">
        <f>INDEX([1]icer_country!$A$2:$F$117,MATCH($A51,[1]icer_country!$A$2:$A$117,0),MATCH(D$1,[1]icer_country!$A$1:$F$1,0))</f>
        <v>-13973.328410825299</v>
      </c>
      <c r="E51">
        <f>INDEX([1]icer_country!$A$2:$F$117,MATCH($A51,[1]icer_country!$A$2:$A$117,0),MATCH(E$1,[1]icer_country!$A$1:$F$1,0))</f>
        <v>-13552.2071930244</v>
      </c>
      <c r="F51">
        <f>INDEX([1]icer_country!$A$2:$F$117,MATCH($A51,[1]icer_country!$A$2:$A$117,0),MATCH(F$1,[1]icer_country!$A$1:$F$1,0))</f>
        <v>838.583027260775</v>
      </c>
      <c r="G51">
        <f>INDEX([1]icer_country!$A$2:$F$117,MATCH($A51,[1]icer_country!$A$2:$A$117,0),MATCH(G$1,[1]icer_country!$A$1:$F$1,0))</f>
        <v>201866.04085413201</v>
      </c>
      <c r="H51">
        <f>INDEX([1]icer_country!$A$2:$F$117,MATCH($A51,[1]icer_country!$A$2:$A$117,0),MATCH(H$1,[1]icer_country!$A$1:$F$1,0))</f>
        <v>2820465.1071833</v>
      </c>
      <c r="I51">
        <f t="shared" si="1"/>
        <v>-0.13450403568683569</v>
      </c>
      <c r="J51">
        <f t="shared" si="2"/>
        <v>-0.13045041999540927</v>
      </c>
      <c r="K51">
        <f t="shared" si="3"/>
        <v>8.072006762374245E-3</v>
      </c>
      <c r="L51">
        <f t="shared" si="4"/>
        <v>1.9431159395044055</v>
      </c>
      <c r="M51">
        <f t="shared" si="5"/>
        <v>27.149146450759705</v>
      </c>
    </row>
    <row r="52" spans="1:13" x14ac:dyDescent="0.25">
      <c r="A52" t="s">
        <v>154</v>
      </c>
      <c r="B52" t="s">
        <v>155</v>
      </c>
      <c r="C52">
        <v>4465.637669949524</v>
      </c>
      <c r="D52">
        <f>INDEX([1]icer_country!$A$2:$F$117,MATCH($A52,[1]icer_country!$A$2:$A$117,0),MATCH(D$1,[1]icer_country!$A$1:$F$1,0))</f>
        <v>709.58885157123996</v>
      </c>
      <c r="E52">
        <f>INDEX([1]icer_country!$A$2:$F$117,MATCH($A52,[1]icer_country!$A$2:$A$117,0),MATCH(E$1,[1]icer_country!$A$1:$F$1,0))</f>
        <v>-1667.17665417074</v>
      </c>
      <c r="F52">
        <f>INDEX([1]icer_country!$A$2:$F$117,MATCH($A52,[1]icer_country!$A$2:$A$117,0),MATCH(F$1,[1]icer_country!$A$1:$F$1,0))</f>
        <v>24220.1926323105</v>
      </c>
      <c r="G52">
        <f>INDEX([1]icer_country!$A$2:$F$117,MATCH($A52,[1]icer_country!$A$2:$A$117,0),MATCH(G$1,[1]icer_country!$A$1:$F$1,0))</f>
        <v>55338.485847493102</v>
      </c>
      <c r="H52">
        <f>INDEX([1]icer_country!$A$2:$F$117,MATCH($A52,[1]icer_country!$A$2:$A$117,0),MATCH(H$1,[1]icer_country!$A$1:$F$1,0))</f>
        <v>1588881.37914811</v>
      </c>
      <c r="I52">
        <f t="shared" si="1"/>
        <v>0.15889978184890682</v>
      </c>
      <c r="J52">
        <f t="shared" si="2"/>
        <v>-0.37333451063206935</v>
      </c>
      <c r="K52">
        <f t="shared" si="3"/>
        <v>5.4236806526634895</v>
      </c>
      <c r="L52">
        <f t="shared" si="4"/>
        <v>12.392068039886139</v>
      </c>
      <c r="M52">
        <f t="shared" si="5"/>
        <v>355.80167863598069</v>
      </c>
    </row>
    <row r="53" spans="1:13" x14ac:dyDescent="0.25">
      <c r="A53" t="s">
        <v>156</v>
      </c>
      <c r="B53" t="s">
        <v>157</v>
      </c>
      <c r="C53">
        <v>5565.1264464717642</v>
      </c>
      <c r="D53">
        <f>INDEX([1]icer_country!$A$2:$F$117,MATCH($A53,[1]icer_country!$A$2:$A$117,0),MATCH(D$1,[1]icer_country!$A$1:$F$1,0))</f>
        <v>98.9217933919779</v>
      </c>
      <c r="E53">
        <f>INDEX([1]icer_country!$A$2:$F$117,MATCH($A53,[1]icer_country!$A$2:$A$117,0),MATCH(E$1,[1]icer_country!$A$1:$F$1,0))</f>
        <v>-193.79084738863401</v>
      </c>
      <c r="F53">
        <f>INDEX([1]icer_country!$A$2:$F$117,MATCH($A53,[1]icer_country!$A$2:$A$117,0),MATCH(F$1,[1]icer_country!$A$1:$F$1,0))</f>
        <v>9.0686812756116701</v>
      </c>
      <c r="G53">
        <f>INDEX([1]icer_country!$A$2:$F$117,MATCH($A53,[1]icer_country!$A$2:$A$117,0),MATCH(G$1,[1]icer_country!$A$1:$F$1,0))</f>
        <v>34206.513298468402</v>
      </c>
      <c r="H53">
        <f>INDEX([1]icer_country!$A$2:$F$117,MATCH($A53,[1]icer_country!$A$2:$A$117,0),MATCH(H$1,[1]icer_country!$A$1:$F$1,0))</f>
        <v>268833.920649765</v>
      </c>
      <c r="I53">
        <f t="shared" si="1"/>
        <v>1.7775300227848973E-2</v>
      </c>
      <c r="J53">
        <f t="shared" si="2"/>
        <v>-3.4822361944982491E-2</v>
      </c>
      <c r="K53">
        <f t="shared" si="3"/>
        <v>1.6295552963331364E-3</v>
      </c>
      <c r="L53">
        <f t="shared" si="4"/>
        <v>6.1465833036291562</v>
      </c>
      <c r="M53">
        <f t="shared" si="5"/>
        <v>48.306884530935157</v>
      </c>
    </row>
    <row r="54" spans="1:13" x14ac:dyDescent="0.25">
      <c r="A54" t="s">
        <v>43</v>
      </c>
      <c r="B54" t="s">
        <v>44</v>
      </c>
      <c r="C54">
        <v>79636.954857850767</v>
      </c>
      <c r="D54">
        <f>INDEX([1]icer_country!$A$2:$F$117,MATCH($A54,[1]icer_country!$A$2:$A$117,0),MATCH(D$1,[1]icer_country!$A$1:$F$1,0))</f>
        <v>2165645.85338104</v>
      </c>
      <c r="E54">
        <f>INDEX([1]icer_country!$A$2:$F$117,MATCH($A54,[1]icer_country!$A$2:$A$117,0),MATCH(E$1,[1]icer_country!$A$1:$F$1,0))</f>
        <v>2138131.7171471599</v>
      </c>
      <c r="F54">
        <f>INDEX([1]icer_country!$A$2:$F$117,MATCH($A54,[1]icer_country!$A$2:$A$117,0),MATCH(F$1,[1]icer_country!$A$1:$F$1,0))</f>
        <v>4112178.5155711998</v>
      </c>
      <c r="G54">
        <f>INDEX([1]icer_country!$A$2:$F$117,MATCH($A54,[1]icer_country!$A$2:$A$117,0),MATCH(G$1,[1]icer_country!$A$1:$F$1,0))</f>
        <v>39424958.9436621</v>
      </c>
      <c r="H54">
        <f>INDEX([1]icer_country!$A$2:$F$117,MATCH($A54,[1]icer_country!$A$2:$A$117,0),MATCH(H$1,[1]icer_country!$A$1:$F$1,0))</f>
        <v>-8945844505.3083096</v>
      </c>
      <c r="I54">
        <f t="shared" si="1"/>
        <v>27.193981201901096</v>
      </c>
      <c r="J54">
        <f t="shared" si="2"/>
        <v>26.848486622368366</v>
      </c>
      <c r="K54">
        <f t="shared" si="3"/>
        <v>51.636561479671059</v>
      </c>
      <c r="L54">
        <f t="shared" si="4"/>
        <v>495.05859451851592</v>
      </c>
      <c r="M54">
        <f t="shared" si="5"/>
        <v>-112332.82991892815</v>
      </c>
    </row>
    <row r="55" spans="1:13" x14ac:dyDescent="0.25">
      <c r="A55" t="s">
        <v>45</v>
      </c>
      <c r="B55" t="s">
        <v>46</v>
      </c>
      <c r="C55">
        <v>52642.42674863078</v>
      </c>
      <c r="D55">
        <f>INDEX([1]icer_country!$A$2:$F$117,MATCH($A55,[1]icer_country!$A$2:$A$117,0),MATCH(D$1,[1]icer_country!$A$1:$F$1,0))</f>
        <v>-6095.3642506309698</v>
      </c>
      <c r="E55">
        <f>INDEX([1]icer_country!$A$2:$F$117,MATCH($A55,[1]icer_country!$A$2:$A$117,0),MATCH(E$1,[1]icer_country!$A$1:$F$1,0))</f>
        <v>-12311.635819070099</v>
      </c>
      <c r="F55">
        <f>INDEX([1]icer_country!$A$2:$F$117,MATCH($A55,[1]icer_country!$A$2:$A$117,0),MATCH(F$1,[1]icer_country!$A$1:$F$1,0))</f>
        <v>119185.184617654</v>
      </c>
      <c r="G55">
        <f>INDEX([1]icer_country!$A$2:$F$117,MATCH($A55,[1]icer_country!$A$2:$A$117,0),MATCH(G$1,[1]icer_country!$A$1:$F$1,0))</f>
        <v>229402.76942314801</v>
      </c>
      <c r="H55">
        <f>INDEX([1]icer_country!$A$2:$F$117,MATCH($A55,[1]icer_country!$A$2:$A$117,0),MATCH(H$1,[1]icer_country!$A$1:$F$1,0))</f>
        <v>1768191.47038507</v>
      </c>
      <c r="I55">
        <f t="shared" si="1"/>
        <v>-0.11578805589142999</v>
      </c>
      <c r="J55">
        <f t="shared" si="2"/>
        <v>-0.23387287743892474</v>
      </c>
      <c r="K55">
        <f t="shared" si="3"/>
        <v>2.2640518680258976</v>
      </c>
      <c r="L55">
        <f t="shared" si="4"/>
        <v>4.3577544500095584</v>
      </c>
      <c r="M55">
        <f t="shared" si="5"/>
        <v>33.588715026916198</v>
      </c>
    </row>
    <row r="56" spans="1:13" x14ac:dyDescent="0.25">
      <c r="A56" t="s">
        <v>47</v>
      </c>
      <c r="B56" t="s">
        <v>48</v>
      </c>
      <c r="C56">
        <v>39003.316095412338</v>
      </c>
      <c r="D56">
        <f>INDEX([1]icer_country!$A$2:$F$117,MATCH($A56,[1]icer_country!$A$2:$A$117,0),MATCH(D$1,[1]icer_country!$A$1:$F$1,0))</f>
        <v>-8642.3853555750102</v>
      </c>
      <c r="E56">
        <f>INDEX([1]icer_country!$A$2:$F$117,MATCH($A56,[1]icer_country!$A$2:$A$117,0),MATCH(E$1,[1]icer_country!$A$1:$F$1,0))</f>
        <v>-8307.1934135199899</v>
      </c>
      <c r="F56">
        <f>INDEX([1]icer_country!$A$2:$F$117,MATCH($A56,[1]icer_country!$A$2:$A$117,0),MATCH(F$1,[1]icer_country!$A$1:$F$1,0))</f>
        <v>-1761.9020935777201</v>
      </c>
      <c r="G56">
        <f>INDEX([1]icer_country!$A$2:$F$117,MATCH($A56,[1]icer_country!$A$2:$A$117,0),MATCH(G$1,[1]icer_country!$A$1:$F$1,0))</f>
        <v>17042.7413664981</v>
      </c>
      <c r="H56">
        <f>INDEX([1]icer_country!$A$2:$F$117,MATCH($A56,[1]icer_country!$A$2:$A$117,0),MATCH(H$1,[1]icer_country!$A$1:$F$1,0))</f>
        <v>1646856.1150158001</v>
      </c>
      <c r="I56">
        <f t="shared" si="1"/>
        <v>-0.22158078391164152</v>
      </c>
      <c r="J56">
        <f t="shared" si="2"/>
        <v>-0.21298684945655433</v>
      </c>
      <c r="K56">
        <f t="shared" si="3"/>
        <v>-4.5173135773062104E-2</v>
      </c>
      <c r="L56">
        <f t="shared" si="4"/>
        <v>0.43695621482048053</v>
      </c>
      <c r="M56">
        <f t="shared" si="5"/>
        <v>42.223489689624294</v>
      </c>
    </row>
    <row r="57" spans="1:13" x14ac:dyDescent="0.25">
      <c r="A57" t="s">
        <v>158</v>
      </c>
      <c r="B57" t="s">
        <v>159</v>
      </c>
      <c r="C57">
        <v>4455.5054051456755</v>
      </c>
      <c r="D57">
        <f>INDEX([1]icer_country!$A$2:$F$117,MATCH($A57,[1]icer_country!$A$2:$A$117,0),MATCH(D$1,[1]icer_country!$A$1:$F$1,0))</f>
        <v>94.982071342043298</v>
      </c>
      <c r="E57">
        <f>INDEX([1]icer_country!$A$2:$F$117,MATCH($A57,[1]icer_country!$A$2:$A$117,0),MATCH(E$1,[1]icer_country!$A$1:$F$1,0))</f>
        <v>-447.17157680965499</v>
      </c>
      <c r="F57">
        <f>INDEX([1]icer_country!$A$2:$F$117,MATCH($A57,[1]icer_country!$A$2:$A$117,0),MATCH(F$1,[1]icer_country!$A$1:$F$1,0))</f>
        <v>5007.9966429262204</v>
      </c>
      <c r="G57">
        <f>INDEX([1]icer_country!$A$2:$F$117,MATCH($A57,[1]icer_country!$A$2:$A$117,0),MATCH(G$1,[1]icer_country!$A$1:$F$1,0))</f>
        <v>16996.764304747299</v>
      </c>
      <c r="H57">
        <f>INDEX([1]icer_country!$A$2:$F$117,MATCH($A57,[1]icer_country!$A$2:$A$117,0),MATCH(H$1,[1]icer_country!$A$1:$F$1,0))</f>
        <v>273109.19560680201</v>
      </c>
      <c r="I57">
        <f t="shared" si="1"/>
        <v>2.1317911820362342E-2</v>
      </c>
      <c r="J57">
        <f t="shared" si="2"/>
        <v>-0.10036382770251279</v>
      </c>
      <c r="K57">
        <f t="shared" si="3"/>
        <v>1.1240019229114775</v>
      </c>
      <c r="L57">
        <f t="shared" si="4"/>
        <v>3.8147780687501105</v>
      </c>
      <c r="M57">
        <f t="shared" si="5"/>
        <v>61.29701813208159</v>
      </c>
    </row>
    <row r="58" spans="1:13" x14ac:dyDescent="0.25">
      <c r="A58" t="s">
        <v>160</v>
      </c>
      <c r="B58" t="s">
        <v>161</v>
      </c>
      <c r="C58">
        <v>33766.526825380817</v>
      </c>
      <c r="D58">
        <f>INDEX([1]icer_country!$A$2:$F$117,MATCH($A58,[1]icer_country!$A$2:$A$117,0),MATCH(D$1,[1]icer_country!$A$1:$F$1,0))</f>
        <v>5957.1421939210904</v>
      </c>
      <c r="E58">
        <f>INDEX([1]icer_country!$A$2:$F$117,MATCH($A58,[1]icer_country!$A$2:$A$117,0),MATCH(E$1,[1]icer_country!$A$1:$F$1,0))</f>
        <v>1070.1333176189301</v>
      </c>
      <c r="F58">
        <f>INDEX([1]icer_country!$A$2:$F$117,MATCH($A58,[1]icer_country!$A$2:$A$117,0),MATCH(F$1,[1]icer_country!$A$1:$F$1,0))</f>
        <v>13733.4004027103</v>
      </c>
      <c r="G58">
        <f>INDEX([1]icer_country!$A$2:$F$117,MATCH($A58,[1]icer_country!$A$2:$A$117,0),MATCH(G$1,[1]icer_country!$A$1:$F$1,0))</f>
        <v>77728.421207826701</v>
      </c>
      <c r="H58">
        <f>INDEX([1]icer_country!$A$2:$F$117,MATCH($A58,[1]icer_country!$A$2:$A$117,0),MATCH(H$1,[1]icer_country!$A$1:$F$1,0))</f>
        <v>5278276.4818142699</v>
      </c>
      <c r="I58">
        <f t="shared" si="1"/>
        <v>0.17642152610861261</v>
      </c>
      <c r="J58">
        <f t="shared" si="2"/>
        <v>3.1692134733103727E-2</v>
      </c>
      <c r="K58">
        <f t="shared" si="3"/>
        <v>0.4067164050875231</v>
      </c>
      <c r="L58">
        <f t="shared" si="4"/>
        <v>2.3019371109675886</v>
      </c>
      <c r="M58">
        <f t="shared" si="5"/>
        <v>156.31683143221059</v>
      </c>
    </row>
    <row r="59" spans="1:13" x14ac:dyDescent="0.25">
      <c r="A59" t="s">
        <v>49</v>
      </c>
      <c r="B59" t="s">
        <v>50</v>
      </c>
      <c r="C59">
        <v>12918.866134601387</v>
      </c>
      <c r="D59">
        <f>INDEX([1]icer_country!$A$2:$F$117,MATCH($A59,[1]icer_country!$A$2:$A$117,0),MATCH(D$1,[1]icer_country!$A$1:$F$1,0))</f>
        <v>3243.4568026281599</v>
      </c>
      <c r="E59">
        <f>INDEX([1]icer_country!$A$2:$F$117,MATCH($A59,[1]icer_country!$A$2:$A$117,0),MATCH(E$1,[1]icer_country!$A$1:$F$1,0))</f>
        <v>-178.21009935759</v>
      </c>
      <c r="F59">
        <f>INDEX([1]icer_country!$A$2:$F$117,MATCH($A59,[1]icer_country!$A$2:$A$117,0),MATCH(F$1,[1]icer_country!$A$1:$F$1,0))</f>
        <v>-3140.5296186703999</v>
      </c>
      <c r="G59">
        <f>INDEX([1]icer_country!$A$2:$F$117,MATCH($A59,[1]icer_country!$A$2:$A$117,0),MATCH(G$1,[1]icer_country!$A$1:$F$1,0))</f>
        <v>12493.0117443688</v>
      </c>
      <c r="H59">
        <f>INDEX([1]icer_country!$A$2:$F$117,MATCH($A59,[1]icer_country!$A$2:$A$117,0),MATCH(H$1,[1]icer_country!$A$1:$F$1,0))</f>
        <v>209735.29104186199</v>
      </c>
      <c r="I59">
        <f t="shared" si="1"/>
        <v>0.25106358165141224</v>
      </c>
      <c r="J59">
        <f t="shared" si="2"/>
        <v>-1.3794561960842602E-2</v>
      </c>
      <c r="K59">
        <f t="shared" si="3"/>
        <v>-0.24309638213983253</v>
      </c>
      <c r="L59">
        <f t="shared" si="4"/>
        <v>0.96703624096761898</v>
      </c>
      <c r="M59">
        <f t="shared" si="5"/>
        <v>16.234806433988442</v>
      </c>
    </row>
    <row r="60" spans="1:13" x14ac:dyDescent="0.25">
      <c r="A60" t="s">
        <v>162</v>
      </c>
      <c r="B60" t="s">
        <v>163</v>
      </c>
      <c r="C60">
        <v>1952.3045792963608</v>
      </c>
      <c r="D60">
        <f>INDEX([1]icer_country!$A$2:$F$117,MATCH($A60,[1]icer_country!$A$2:$A$117,0),MATCH(D$1,[1]icer_country!$A$1:$F$1,0))</f>
        <v>293.674879888139</v>
      </c>
      <c r="E60">
        <f>INDEX([1]icer_country!$A$2:$F$117,MATCH($A60,[1]icer_country!$A$2:$A$117,0),MATCH(E$1,[1]icer_country!$A$1:$F$1,0))</f>
        <v>-4.3124253237607197</v>
      </c>
      <c r="F60">
        <f>INDEX([1]icer_country!$A$2:$F$117,MATCH($A60,[1]icer_country!$A$2:$A$117,0),MATCH(F$1,[1]icer_country!$A$1:$F$1,0))</f>
        <v>1410.50752051787</v>
      </c>
      <c r="G60">
        <f>INDEX([1]icer_country!$A$2:$F$117,MATCH($A60,[1]icer_country!$A$2:$A$117,0),MATCH(G$1,[1]icer_country!$A$1:$F$1,0))</f>
        <v>11073.3857830995</v>
      </c>
      <c r="H60">
        <f>INDEX([1]icer_country!$A$2:$F$117,MATCH($A60,[1]icer_country!$A$2:$A$117,0),MATCH(H$1,[1]icer_country!$A$1:$F$1,0))</f>
        <v>51796.193195470099</v>
      </c>
      <c r="I60">
        <f t="shared" si="1"/>
        <v>0.15042472522088932</v>
      </c>
      <c r="J60">
        <f t="shared" si="2"/>
        <v>-2.2088896217797027E-3</v>
      </c>
      <c r="K60">
        <f t="shared" si="3"/>
        <v>0.72248333353099936</v>
      </c>
      <c r="L60">
        <f t="shared" si="4"/>
        <v>5.6719560567186251</v>
      </c>
      <c r="M60">
        <f t="shared" si="5"/>
        <v>26.530795319928107</v>
      </c>
    </row>
    <row r="61" spans="1:13" x14ac:dyDescent="0.25">
      <c r="A61" t="s">
        <v>51</v>
      </c>
      <c r="B61" t="s">
        <v>52</v>
      </c>
      <c r="C61">
        <v>1970.1578096183864</v>
      </c>
      <c r="D61">
        <f>INDEX([1]icer_country!$A$2:$F$117,MATCH($A61,[1]icer_country!$A$2:$A$117,0),MATCH(D$1,[1]icer_country!$A$1:$F$1,0))</f>
        <v>2477.2271634763001</v>
      </c>
      <c r="E61">
        <f>INDEX([1]icer_country!$A$2:$F$117,MATCH($A61,[1]icer_country!$A$2:$A$117,0),MATCH(E$1,[1]icer_country!$A$1:$F$1,0))</f>
        <v>757.49074171852601</v>
      </c>
      <c r="F61">
        <f>INDEX([1]icer_country!$A$2:$F$117,MATCH($A61,[1]icer_country!$A$2:$A$117,0),MATCH(F$1,[1]icer_country!$A$1:$F$1,0))</f>
        <v>6292.3905527996403</v>
      </c>
      <c r="G61">
        <f>INDEX([1]icer_country!$A$2:$F$117,MATCH($A61,[1]icer_country!$A$2:$A$117,0),MATCH(G$1,[1]icer_country!$A$1:$F$1,0))</f>
        <v>29373.0933804005</v>
      </c>
      <c r="H61">
        <f>INDEX([1]icer_country!$A$2:$F$117,MATCH($A61,[1]icer_country!$A$2:$A$117,0),MATCH(H$1,[1]icer_country!$A$1:$F$1,0))</f>
        <v>36586.001605253303</v>
      </c>
      <c r="I61">
        <f t="shared" si="1"/>
        <v>1.2573749937098346</v>
      </c>
      <c r="J61">
        <f t="shared" si="2"/>
        <v>0.38448226736986602</v>
      </c>
      <c r="K61">
        <f t="shared" si="3"/>
        <v>3.1938510316686037</v>
      </c>
      <c r="L61">
        <f t="shared" si="4"/>
        <v>14.909005378655419</v>
      </c>
      <c r="M61">
        <f t="shared" si="5"/>
        <v>18.570086836008279</v>
      </c>
    </row>
    <row r="62" spans="1:13" x14ac:dyDescent="0.25">
      <c r="A62" t="s">
        <v>164</v>
      </c>
      <c r="B62" t="s">
        <v>165</v>
      </c>
      <c r="C62">
        <v>2429.7485345283822</v>
      </c>
      <c r="D62">
        <f>INDEX([1]icer_country!$A$2:$F$117,MATCH($A62,[1]icer_country!$A$2:$A$117,0),MATCH(D$1,[1]icer_country!$A$1:$F$1,0))</f>
        <v>21.9261481668272</v>
      </c>
      <c r="E62">
        <f>INDEX([1]icer_country!$A$2:$F$117,MATCH($A62,[1]icer_country!$A$2:$A$117,0),MATCH(E$1,[1]icer_country!$A$1:$F$1,0))</f>
        <v>-91.888036312277293</v>
      </c>
      <c r="F62">
        <f>INDEX([1]icer_country!$A$2:$F$117,MATCH($A62,[1]icer_country!$A$2:$A$117,0),MATCH(F$1,[1]icer_country!$A$1:$F$1,0))</f>
        <v>392.22456059175801</v>
      </c>
      <c r="G62">
        <f>INDEX([1]icer_country!$A$2:$F$117,MATCH($A62,[1]icer_country!$A$2:$A$117,0),MATCH(G$1,[1]icer_country!$A$1:$F$1,0))</f>
        <v>9711.3416993003502</v>
      </c>
      <c r="H62">
        <f>INDEX([1]icer_country!$A$2:$F$117,MATCH($A62,[1]icer_country!$A$2:$A$117,0),MATCH(H$1,[1]icer_country!$A$1:$F$1,0))</f>
        <v>58806.902836353896</v>
      </c>
      <c r="I62">
        <f t="shared" si="1"/>
        <v>9.0240400828487787E-3</v>
      </c>
      <c r="J62">
        <f t="shared" si="2"/>
        <v>-3.781792025243999E-2</v>
      </c>
      <c r="K62">
        <f t="shared" si="3"/>
        <v>0.16142598915812881</v>
      </c>
      <c r="L62">
        <f t="shared" si="4"/>
        <v>3.9968505223053201</v>
      </c>
      <c r="M62">
        <f t="shared" si="5"/>
        <v>24.202876141570925</v>
      </c>
    </row>
    <row r="63" spans="1:13" x14ac:dyDescent="0.25">
      <c r="A63" t="s">
        <v>166</v>
      </c>
      <c r="B63" t="s">
        <v>167</v>
      </c>
      <c r="C63">
        <v>33121.371288550843</v>
      </c>
      <c r="D63">
        <f>INDEX([1]icer_country!$A$2:$F$117,MATCH($A63,[1]icer_country!$A$2:$A$117,0),MATCH(D$1,[1]icer_country!$A$1:$F$1,0))</f>
        <v>246442.98581717201</v>
      </c>
      <c r="E63">
        <f>INDEX([1]icer_country!$A$2:$F$117,MATCH($A63,[1]icer_country!$A$2:$A$117,0),MATCH(E$1,[1]icer_country!$A$1:$F$1,0))</f>
        <v>133364.013874592</v>
      </c>
      <c r="F63">
        <f>INDEX([1]icer_country!$A$2:$F$117,MATCH($A63,[1]icer_country!$A$2:$A$117,0),MATCH(F$1,[1]icer_country!$A$1:$F$1,0))</f>
        <v>707071.53411229898</v>
      </c>
      <c r="G63">
        <f>INDEX([1]icer_country!$A$2:$F$117,MATCH($A63,[1]icer_country!$A$2:$A$117,0),MATCH(G$1,[1]icer_country!$A$1:$F$1,0))</f>
        <v>1308346.17615164</v>
      </c>
      <c r="H63">
        <f>INDEX([1]icer_country!$A$2:$F$117,MATCH($A63,[1]icer_country!$A$2:$A$117,0),MATCH(H$1,[1]icer_country!$A$1:$F$1,0))</f>
        <v>236467247.88141</v>
      </c>
      <c r="I63">
        <f t="shared" si="1"/>
        <v>7.4406033394625979</v>
      </c>
      <c r="J63">
        <f t="shared" si="2"/>
        <v>4.0265245274036197</v>
      </c>
      <c r="K63">
        <f t="shared" si="3"/>
        <v>21.347894323346278</v>
      </c>
      <c r="L63">
        <f t="shared" si="4"/>
        <v>39.501570292891216</v>
      </c>
      <c r="M63">
        <f t="shared" si="5"/>
        <v>7139.4159928139898</v>
      </c>
    </row>
    <row r="64" spans="1:13" x14ac:dyDescent="0.25">
      <c r="A64" t="s">
        <v>168</v>
      </c>
      <c r="B64" t="s">
        <v>169</v>
      </c>
      <c r="C64">
        <v>3654.3584553487849</v>
      </c>
      <c r="D64">
        <f>INDEX([1]icer_country!$A$2:$F$117,MATCH($A64,[1]icer_country!$A$2:$A$117,0),MATCH(D$1,[1]icer_country!$A$1:$F$1,0))</f>
        <v>6906.1118273359698</v>
      </c>
      <c r="E64">
        <f>INDEX([1]icer_country!$A$2:$F$117,MATCH($A64,[1]icer_country!$A$2:$A$117,0),MATCH(E$1,[1]icer_country!$A$1:$F$1,0))</f>
        <v>2608.4926781787799</v>
      </c>
      <c r="F64">
        <f>INDEX([1]icer_country!$A$2:$F$117,MATCH($A64,[1]icer_country!$A$2:$A$117,0),MATCH(F$1,[1]icer_country!$A$1:$F$1,0))</f>
        <v>16906.9755769066</v>
      </c>
      <c r="G64">
        <f>INDEX([1]icer_country!$A$2:$F$117,MATCH($A64,[1]icer_country!$A$2:$A$117,0),MATCH(G$1,[1]icer_country!$A$1:$F$1,0))</f>
        <v>54806.414103433199</v>
      </c>
      <c r="H64">
        <f>INDEX([1]icer_country!$A$2:$F$117,MATCH($A64,[1]icer_country!$A$2:$A$117,0),MATCH(H$1,[1]icer_country!$A$1:$F$1,0))</f>
        <v>1235508.5870568601</v>
      </c>
      <c r="I64">
        <f t="shared" si="1"/>
        <v>1.8898287925826438</v>
      </c>
      <c r="J64">
        <f t="shared" si="2"/>
        <v>0.71380317778098645</v>
      </c>
      <c r="K64">
        <f t="shared" si="3"/>
        <v>4.6265235836841132</v>
      </c>
      <c r="L64">
        <f t="shared" si="4"/>
        <v>14.997547387069964</v>
      </c>
      <c r="M64">
        <f t="shared" si="5"/>
        <v>338.09178879222424</v>
      </c>
    </row>
    <row r="65" spans="1:13" x14ac:dyDescent="0.25">
      <c r="A65" t="s">
        <v>170</v>
      </c>
      <c r="B65" t="s">
        <v>171</v>
      </c>
      <c r="C65">
        <v>6172.81246940233</v>
      </c>
      <c r="D65">
        <f>INDEX([1]icer_country!$A$2:$F$117,MATCH($A65,[1]icer_country!$A$2:$A$117,0),MATCH(D$1,[1]icer_country!$A$1:$F$1,0))</f>
        <v>-10210.400398042</v>
      </c>
      <c r="E65">
        <f>INDEX([1]icer_country!$A$2:$F$117,MATCH($A65,[1]icer_country!$A$2:$A$117,0),MATCH(E$1,[1]icer_country!$A$1:$F$1,0))</f>
        <v>-8076.2192343291399</v>
      </c>
      <c r="F65">
        <f>INDEX([1]icer_country!$A$2:$F$117,MATCH($A65,[1]icer_country!$A$2:$A$117,0),MATCH(F$1,[1]icer_country!$A$1:$F$1,0))</f>
        <v>-8568.7437911452107</v>
      </c>
      <c r="G65">
        <f>INDEX([1]icer_country!$A$2:$F$117,MATCH($A65,[1]icer_country!$A$2:$A$117,0),MATCH(G$1,[1]icer_country!$A$1:$F$1,0))</f>
        <v>6257.8527617772997</v>
      </c>
      <c r="H65">
        <f>INDEX([1]icer_country!$A$2:$F$117,MATCH($A65,[1]icer_country!$A$2:$A$117,0),MATCH(H$1,[1]icer_country!$A$1:$F$1,0))</f>
        <v>86652.342212832998</v>
      </c>
      <c r="I65">
        <f t="shared" si="1"/>
        <v>-1.6540921093348235</v>
      </c>
      <c r="J65">
        <f t="shared" si="2"/>
        <v>-1.3083532464920489</v>
      </c>
      <c r="K65">
        <f t="shared" si="3"/>
        <v>-1.3881425741700626</v>
      </c>
      <c r="L65">
        <f t="shared" si="4"/>
        <v>1.0137765877056044</v>
      </c>
      <c r="M65">
        <f t="shared" si="5"/>
        <v>14.037740923178076</v>
      </c>
    </row>
    <row r="66" spans="1:13" x14ac:dyDescent="0.25">
      <c r="A66" t="s">
        <v>53</v>
      </c>
      <c r="B66" t="s">
        <v>54</v>
      </c>
      <c r="C66">
        <v>27786.005782927572</v>
      </c>
      <c r="D66">
        <f>INDEX([1]icer_country!$A$2:$F$117,MATCH($A66,[1]icer_country!$A$2:$A$117,0),MATCH(D$1,[1]icer_country!$A$1:$F$1,0))</f>
        <v>-257.74989462321298</v>
      </c>
      <c r="E66">
        <f>INDEX([1]icer_country!$A$2:$F$117,MATCH($A66,[1]icer_country!$A$2:$A$117,0),MATCH(E$1,[1]icer_country!$A$1:$F$1,0))</f>
        <v>-1094.4984201145801</v>
      </c>
      <c r="F66">
        <f>INDEX([1]icer_country!$A$2:$F$117,MATCH($A66,[1]icer_country!$A$2:$A$117,0),MATCH(F$1,[1]icer_country!$A$1:$F$1,0))</f>
        <v>132334.67212380801</v>
      </c>
      <c r="G66">
        <f>INDEX([1]icer_country!$A$2:$F$117,MATCH($A66,[1]icer_country!$A$2:$A$117,0),MATCH(G$1,[1]icer_country!$A$1:$F$1,0))</f>
        <v>222857.09574092401</v>
      </c>
      <c r="H66">
        <f>INDEX([1]icer_country!$A$2:$F$117,MATCH($A66,[1]icer_country!$A$2:$A$117,0),MATCH(H$1,[1]icer_country!$A$1:$F$1,0))</f>
        <v>3041913.7940455801</v>
      </c>
      <c r="I66">
        <f t="shared" si="1"/>
        <v>-9.2762485056985429E-3</v>
      </c>
      <c r="J66">
        <f t="shared" si="2"/>
        <v>-3.9390275402125904E-2</v>
      </c>
      <c r="K66">
        <f t="shared" si="3"/>
        <v>4.7626374642561178</v>
      </c>
      <c r="L66">
        <f t="shared" si="4"/>
        <v>8.0204797149309268</v>
      </c>
      <c r="M66">
        <f t="shared" si="5"/>
        <v>109.47646875948645</v>
      </c>
    </row>
    <row r="67" spans="1:13" x14ac:dyDescent="0.25">
      <c r="A67" t="s">
        <v>55</v>
      </c>
      <c r="B67" t="s">
        <v>56</v>
      </c>
      <c r="C67">
        <v>128678.18994282609</v>
      </c>
      <c r="D67">
        <f>INDEX([1]icer_country!$A$2:$F$117,MATCH($A67,[1]icer_country!$A$2:$A$117,0),MATCH(D$1,[1]icer_country!$A$1:$F$1,0))</f>
        <v>-69454.902729712398</v>
      </c>
      <c r="E67">
        <f>INDEX([1]icer_country!$A$2:$F$117,MATCH($A67,[1]icer_country!$A$2:$A$117,0),MATCH(E$1,[1]icer_country!$A$1:$F$1,0))</f>
        <v>-67465.394010163407</v>
      </c>
      <c r="F67">
        <f>INDEX([1]icer_country!$A$2:$F$117,MATCH($A67,[1]icer_country!$A$2:$A$117,0),MATCH(F$1,[1]icer_country!$A$1:$F$1,0))</f>
        <v>-61855.7102173194</v>
      </c>
      <c r="G67">
        <f>INDEX([1]icer_country!$A$2:$F$117,MATCH($A67,[1]icer_country!$A$2:$A$117,0),MATCH(G$1,[1]icer_country!$A$1:$F$1,0))</f>
        <v>-32312.050481007402</v>
      </c>
      <c r="H67">
        <f>INDEX([1]icer_country!$A$2:$F$117,MATCH($A67,[1]icer_country!$A$2:$A$117,0),MATCH(H$1,[1]icer_country!$A$1:$F$1,0))</f>
        <v>1705052.25618338</v>
      </c>
      <c r="I67">
        <f t="shared" ref="I67:I117" si="9">D67/$C67</f>
        <v>-0.5397566033573552</v>
      </c>
      <c r="J67">
        <f t="shared" ref="J67:J117" si="10">E67/$C67</f>
        <v>-0.52429548504015655</v>
      </c>
      <c r="K67">
        <f t="shared" ref="K67:K117" si="11">F67/$C67</f>
        <v>-0.48070081064089371</v>
      </c>
      <c r="L67">
        <f t="shared" ref="L67:L117" si="12">G67/$C67</f>
        <v>-0.25110743705179717</v>
      </c>
      <c r="M67">
        <f t="shared" ref="M67:M117" si="13">H67/$C67</f>
        <v>13.250514768205582</v>
      </c>
    </row>
    <row r="68" spans="1:13" x14ac:dyDescent="0.25">
      <c r="A68" t="s">
        <v>57</v>
      </c>
      <c r="B68" t="s">
        <v>58</v>
      </c>
      <c r="C68">
        <v>22502.842993809412</v>
      </c>
      <c r="D68">
        <f>INDEX([1]icer_country!$A$2:$F$117,MATCH($A68,[1]icer_country!$A$2:$A$117,0),MATCH(D$1,[1]icer_country!$A$1:$F$1,0))</f>
        <v>-1767.4129999691099</v>
      </c>
      <c r="E68">
        <f>INDEX([1]icer_country!$A$2:$F$117,MATCH($A68,[1]icer_country!$A$2:$A$117,0),MATCH(E$1,[1]icer_country!$A$1:$F$1,0))</f>
        <v>-3263.8519021950201</v>
      </c>
      <c r="F68">
        <f>INDEX([1]icer_country!$A$2:$F$117,MATCH($A68,[1]icer_country!$A$2:$A$117,0),MATCH(F$1,[1]icer_country!$A$1:$F$1,0))</f>
        <v>23673.1482296744</v>
      </c>
      <c r="G68">
        <f>INDEX([1]icer_country!$A$2:$F$117,MATCH($A68,[1]icer_country!$A$2:$A$117,0),MATCH(G$1,[1]icer_country!$A$1:$F$1,0))</f>
        <v>43711.645195160803</v>
      </c>
      <c r="H68">
        <f>INDEX([1]icer_country!$A$2:$F$117,MATCH($A68,[1]icer_country!$A$2:$A$117,0),MATCH(H$1,[1]icer_country!$A$1:$F$1,0))</f>
        <v>1433444.7774291199</v>
      </c>
      <c r="I68">
        <f t="shared" si="9"/>
        <v>-7.8541764720810148E-2</v>
      </c>
      <c r="J68">
        <f t="shared" si="10"/>
        <v>-0.14504175775002803</v>
      </c>
      <c r="K68">
        <f t="shared" si="11"/>
        <v>1.0520069946800474</v>
      </c>
      <c r="L68">
        <f t="shared" si="12"/>
        <v>1.9424943420342926</v>
      </c>
      <c r="M68">
        <f t="shared" si="13"/>
        <v>63.700607866457766</v>
      </c>
    </row>
    <row r="69" spans="1:13" x14ac:dyDescent="0.25">
      <c r="A69" t="s">
        <v>172</v>
      </c>
      <c r="B69" t="s">
        <v>173</v>
      </c>
      <c r="C69">
        <v>3771.4462890625</v>
      </c>
      <c r="D69">
        <f>INDEX([1]icer_country!$A$2:$F$117,MATCH($A69,[1]icer_country!$A$2:$A$117,0),MATCH(D$1,[1]icer_country!$A$1:$F$1,0))</f>
        <v>-320.20532516854598</v>
      </c>
      <c r="E69">
        <f>INDEX([1]icer_country!$A$2:$F$117,MATCH($A69,[1]icer_country!$A$2:$A$117,0),MATCH(E$1,[1]icer_country!$A$1:$F$1,0))</f>
        <v>-435.48874824079502</v>
      </c>
      <c r="F69">
        <f>INDEX([1]icer_country!$A$2:$F$117,MATCH($A69,[1]icer_country!$A$2:$A$117,0),MATCH(F$1,[1]icer_country!$A$1:$F$1,0))</f>
        <v>3457.2501411763801</v>
      </c>
      <c r="G69">
        <f>INDEX([1]icer_country!$A$2:$F$117,MATCH($A69,[1]icer_country!$A$2:$A$117,0),MATCH(G$1,[1]icer_country!$A$1:$F$1,0))</f>
        <v>8243.93278233003</v>
      </c>
      <c r="H69">
        <f>INDEX([1]icer_country!$A$2:$F$117,MATCH($A69,[1]icer_country!$A$2:$A$117,0),MATCH(H$1,[1]icer_country!$A$1:$F$1,0))</f>
        <v>166351.21918451501</v>
      </c>
      <c r="I69">
        <f t="shared" si="9"/>
        <v>-8.4902528268045965E-2</v>
      </c>
      <c r="J69">
        <f t="shared" si="10"/>
        <v>-0.11546995896607296</v>
      </c>
      <c r="K69">
        <f t="shared" si="11"/>
        <v>0.91669080670794278</v>
      </c>
      <c r="L69">
        <f t="shared" si="12"/>
        <v>2.1858809990846493</v>
      </c>
      <c r="M69">
        <f t="shared" si="13"/>
        <v>44.108070600646499</v>
      </c>
    </row>
    <row r="70" spans="1:13" x14ac:dyDescent="0.25">
      <c r="A70" t="s">
        <v>59</v>
      </c>
      <c r="B70" t="s">
        <v>60</v>
      </c>
      <c r="C70">
        <v>6729.4128681396905</v>
      </c>
      <c r="D70">
        <f>INDEX([1]icer_country!$A$2:$F$117,MATCH($A70,[1]icer_country!$A$2:$A$117,0),MATCH(D$1,[1]icer_country!$A$1:$F$1,0))</f>
        <v>300.45210331233602</v>
      </c>
      <c r="E70">
        <f>INDEX([1]icer_country!$A$2:$F$117,MATCH($A70,[1]icer_country!$A$2:$A$117,0),MATCH(E$1,[1]icer_country!$A$1:$F$1,0))</f>
        <v>19.506952947529001</v>
      </c>
      <c r="F70">
        <f>INDEX([1]icer_country!$A$2:$F$117,MATCH($A70,[1]icer_country!$A$2:$A$117,0),MATCH(F$1,[1]icer_country!$A$1:$F$1,0))</f>
        <v>183.82069194525999</v>
      </c>
      <c r="G70">
        <f>INDEX([1]icer_country!$A$2:$F$117,MATCH($A70,[1]icer_country!$A$2:$A$117,0),MATCH(G$1,[1]icer_country!$A$1:$F$1,0))</f>
        <v>1075.5356437206001</v>
      </c>
      <c r="H70">
        <f>INDEX([1]icer_country!$A$2:$F$117,MATCH($A70,[1]icer_country!$A$2:$A$117,0),MATCH(H$1,[1]icer_country!$A$1:$F$1,0))</f>
        <v>33166.907541172601</v>
      </c>
      <c r="I70">
        <f t="shared" si="9"/>
        <v>4.4647595443998128E-2</v>
      </c>
      <c r="J70">
        <f t="shared" si="10"/>
        <v>2.898760015139566E-3</v>
      </c>
      <c r="K70">
        <f t="shared" si="11"/>
        <v>2.7316007435887378E-2</v>
      </c>
      <c r="L70">
        <f t="shared" si="12"/>
        <v>0.15982607469556642</v>
      </c>
      <c r="M70">
        <f t="shared" si="13"/>
        <v>4.928648039742197</v>
      </c>
    </row>
    <row r="71" spans="1:13" x14ac:dyDescent="0.25">
      <c r="A71" t="s">
        <v>174</v>
      </c>
      <c r="B71" t="s">
        <v>175</v>
      </c>
      <c r="C71">
        <v>506.15936868780756</v>
      </c>
      <c r="D71">
        <f>INDEX([1]icer_country!$A$2:$F$117,MATCH($A71,[1]icer_country!$A$2:$A$117,0),MATCH(D$1,[1]icer_country!$A$1:$F$1,0))</f>
        <v>434.33144465489602</v>
      </c>
      <c r="E71">
        <f>INDEX([1]icer_country!$A$2:$F$117,MATCH($A71,[1]icer_country!$A$2:$A$117,0),MATCH(E$1,[1]icer_country!$A$1:$F$1,0))</f>
        <v>105.901831072251</v>
      </c>
      <c r="F71">
        <f>INDEX([1]icer_country!$A$2:$F$117,MATCH($A71,[1]icer_country!$A$2:$A$117,0),MATCH(F$1,[1]icer_country!$A$1:$F$1,0))</f>
        <v>1978.26388889435</v>
      </c>
      <c r="G71">
        <f>INDEX([1]icer_country!$A$2:$F$117,MATCH($A71,[1]icer_country!$A$2:$A$117,0),MATCH(G$1,[1]icer_country!$A$1:$F$1,0))</f>
        <v>12236.8987623415</v>
      </c>
      <c r="H71">
        <f>INDEX([1]icer_country!$A$2:$F$117,MATCH($A71,[1]icer_country!$A$2:$A$117,0),MATCH(H$1,[1]icer_country!$A$1:$F$1,0))</f>
        <v>185858.08732700799</v>
      </c>
      <c r="I71">
        <f t="shared" si="9"/>
        <v>0.85809227591870563</v>
      </c>
      <c r="J71">
        <f t="shared" si="10"/>
        <v>0.20922625881013743</v>
      </c>
      <c r="K71">
        <f t="shared" si="11"/>
        <v>3.9083814531041847</v>
      </c>
      <c r="L71">
        <f t="shared" si="12"/>
        <v>24.175979976553705</v>
      </c>
      <c r="M71">
        <f t="shared" si="13"/>
        <v>367.19282270490345</v>
      </c>
    </row>
    <row r="72" spans="1:13" x14ac:dyDescent="0.25">
      <c r="A72" t="s">
        <v>176</v>
      </c>
      <c r="B72" t="s">
        <v>177</v>
      </c>
      <c r="C72">
        <v>13790.024342834357</v>
      </c>
      <c r="D72">
        <f>INDEX([1]icer_country!$A$2:$F$117,MATCH($A72,[1]icer_country!$A$2:$A$117,0),MATCH(D$1,[1]icer_country!$A$1:$F$1,0))</f>
        <v>-1427.66931665317</v>
      </c>
      <c r="E72">
        <f>INDEX([1]icer_country!$A$2:$F$117,MATCH($A72,[1]icer_country!$A$2:$A$117,0),MATCH(E$1,[1]icer_country!$A$1:$F$1,0))</f>
        <v>-1440.6723200609199</v>
      </c>
      <c r="F72">
        <f>INDEX([1]icer_country!$A$2:$F$117,MATCH($A72,[1]icer_country!$A$2:$A$117,0),MATCH(F$1,[1]icer_country!$A$1:$F$1,0))</f>
        <v>58.554331506239102</v>
      </c>
      <c r="G72">
        <f>INDEX([1]icer_country!$A$2:$F$117,MATCH($A72,[1]icer_country!$A$2:$A$117,0),MATCH(G$1,[1]icer_country!$A$1:$F$1,0))</f>
        <v>4905.2652234888201</v>
      </c>
      <c r="H72">
        <f>INDEX([1]icer_country!$A$2:$F$117,MATCH($A72,[1]icer_country!$A$2:$A$117,0),MATCH(H$1,[1]icer_country!$A$1:$F$1,0))</f>
        <v>193022.35762885501</v>
      </c>
      <c r="I72">
        <f t="shared" si="9"/>
        <v>-0.1035291367991691</v>
      </c>
      <c r="J72">
        <f t="shared" si="10"/>
        <v>-0.10447206504095329</v>
      </c>
      <c r="K72">
        <f t="shared" si="11"/>
        <v>4.2461369211915425E-3</v>
      </c>
      <c r="L72">
        <f t="shared" si="12"/>
        <v>0.35571113592977227</v>
      </c>
      <c r="M72">
        <f t="shared" si="13"/>
        <v>13.997245605237403</v>
      </c>
    </row>
    <row r="73" spans="1:13" x14ac:dyDescent="0.25">
      <c r="A73" t="s">
        <v>61</v>
      </c>
      <c r="B73" t="s">
        <v>62</v>
      </c>
      <c r="C73">
        <v>40395.769206445802</v>
      </c>
      <c r="D73">
        <f>INDEX([1]icer_country!$A$2:$F$117,MATCH($A73,[1]icer_country!$A$2:$A$117,0),MATCH(D$1,[1]icer_country!$A$1:$F$1,0))</f>
        <v>255388.08750074799</v>
      </c>
      <c r="E73">
        <f>INDEX([1]icer_country!$A$2:$F$117,MATCH($A73,[1]icer_country!$A$2:$A$117,0),MATCH(E$1,[1]icer_country!$A$1:$F$1,0))</f>
        <v>192658.520699238</v>
      </c>
      <c r="F73">
        <f>INDEX([1]icer_country!$A$2:$F$117,MATCH($A73,[1]icer_country!$A$2:$A$117,0),MATCH(F$1,[1]icer_country!$A$1:$F$1,0))</f>
        <v>514849.68712908501</v>
      </c>
      <c r="G73">
        <f>INDEX([1]icer_country!$A$2:$F$117,MATCH($A73,[1]icer_country!$A$2:$A$117,0),MATCH(G$1,[1]icer_country!$A$1:$F$1,0))</f>
        <v>2150390.1929249899</v>
      </c>
      <c r="H73">
        <f>INDEX([1]icer_country!$A$2:$F$117,MATCH($A73,[1]icer_country!$A$2:$A$117,0),MATCH(H$1,[1]icer_country!$A$1:$F$1,0))</f>
        <v>47334303.355625197</v>
      </c>
      <c r="I73">
        <f t="shared" si="9"/>
        <v>6.3221493863767462</v>
      </c>
      <c r="J73">
        <f t="shared" si="10"/>
        <v>4.7692747157416724</v>
      </c>
      <c r="K73">
        <f t="shared" si="11"/>
        <v>12.745138841097557</v>
      </c>
      <c r="L73">
        <f t="shared" si="12"/>
        <v>53.233054727470325</v>
      </c>
      <c r="M73">
        <f t="shared" si="13"/>
        <v>1171.7638823441996</v>
      </c>
    </row>
    <row r="74" spans="1:13" x14ac:dyDescent="0.25">
      <c r="A74" t="s">
        <v>178</v>
      </c>
      <c r="B74" t="s">
        <v>179</v>
      </c>
      <c r="C74">
        <v>5838.6310808390235</v>
      </c>
      <c r="D74">
        <f>INDEX([1]icer_country!$A$2:$F$117,MATCH($A74,[1]icer_country!$A$2:$A$117,0),MATCH(D$1,[1]icer_country!$A$1:$F$1,0))</f>
        <v>307.098295852315</v>
      </c>
      <c r="E74">
        <f>INDEX([1]icer_country!$A$2:$F$117,MATCH($A74,[1]icer_country!$A$2:$A$117,0),MATCH(E$1,[1]icer_country!$A$1:$F$1,0))</f>
        <v>-534.75844765628301</v>
      </c>
      <c r="F74">
        <f>INDEX([1]icer_country!$A$2:$F$117,MATCH($A74,[1]icer_country!$A$2:$A$117,0),MATCH(F$1,[1]icer_country!$A$1:$F$1,0))</f>
        <v>5516.9326346870703</v>
      </c>
      <c r="G74">
        <f>INDEX([1]icer_country!$A$2:$F$117,MATCH($A74,[1]icer_country!$A$2:$A$117,0),MATCH(G$1,[1]icer_country!$A$1:$F$1,0))</f>
        <v>21576.219689601599</v>
      </c>
      <c r="H74">
        <f>INDEX([1]icer_country!$A$2:$F$117,MATCH($A74,[1]icer_country!$A$2:$A$117,0),MATCH(H$1,[1]icer_country!$A$1:$F$1,0))</f>
        <v>46502.315453655203</v>
      </c>
      <c r="I74">
        <f t="shared" si="9"/>
        <v>5.2597653730878359E-2</v>
      </c>
      <c r="J74">
        <f t="shared" si="10"/>
        <v>-9.1589696326461009E-2</v>
      </c>
      <c r="K74">
        <f t="shared" si="11"/>
        <v>0.94490173437953806</v>
      </c>
      <c r="L74">
        <f t="shared" si="12"/>
        <v>3.6954243881600157</v>
      </c>
      <c r="M74">
        <f t="shared" si="13"/>
        <v>7.9645921809077072</v>
      </c>
    </row>
    <row r="75" spans="1:13" x14ac:dyDescent="0.25">
      <c r="A75" t="s">
        <v>180</v>
      </c>
      <c r="B75" t="s">
        <v>181</v>
      </c>
      <c r="C75">
        <v>622.98561932059567</v>
      </c>
      <c r="D75">
        <f>INDEX([1]icer_country!$A$2:$F$117,MATCH($A75,[1]icer_country!$A$2:$A$117,0),MATCH(D$1,[1]icer_country!$A$1:$F$1,0))</f>
        <v>612.12731570518895</v>
      </c>
      <c r="E75">
        <f>INDEX([1]icer_country!$A$2:$F$117,MATCH($A75,[1]icer_country!$A$2:$A$117,0),MATCH(E$1,[1]icer_country!$A$1:$F$1,0))</f>
        <v>159.36855578765901</v>
      </c>
      <c r="F75">
        <f>INDEX([1]icer_country!$A$2:$F$117,MATCH($A75,[1]icer_country!$A$2:$A$117,0),MATCH(F$1,[1]icer_country!$A$1:$F$1,0))</f>
        <v>359.77063218748401</v>
      </c>
      <c r="G75">
        <f>INDEX([1]icer_country!$A$2:$F$117,MATCH($A75,[1]icer_country!$A$2:$A$117,0),MATCH(G$1,[1]icer_country!$A$1:$F$1,0))</f>
        <v>25865.885991220799</v>
      </c>
      <c r="H75">
        <f>INDEX([1]icer_country!$A$2:$F$117,MATCH($A75,[1]icer_country!$A$2:$A$117,0),MATCH(H$1,[1]icer_country!$A$1:$F$1,0))</f>
        <v>100037.350670858</v>
      </c>
      <c r="I75">
        <f t="shared" si="9"/>
        <v>0.98257053890385404</v>
      </c>
      <c r="J75">
        <f t="shared" si="10"/>
        <v>0.25581418068921119</v>
      </c>
      <c r="K75">
        <f t="shared" si="11"/>
        <v>0.57749428081475807</v>
      </c>
      <c r="L75">
        <f t="shared" si="12"/>
        <v>41.519234455891848</v>
      </c>
      <c r="M75">
        <f t="shared" si="13"/>
        <v>160.57730318069767</v>
      </c>
    </row>
    <row r="76" spans="1:13" x14ac:dyDescent="0.25">
      <c r="A76" t="s">
        <v>182</v>
      </c>
      <c r="B76" t="s">
        <v>183</v>
      </c>
      <c r="C76">
        <v>11379.086100063179</v>
      </c>
      <c r="D76">
        <f>INDEX([1]icer_country!$A$2:$F$117,MATCH($A76,[1]icer_country!$A$2:$A$117,0),MATCH(D$1,[1]icer_country!$A$1:$F$1,0))</f>
        <v>304898.372303824</v>
      </c>
      <c r="E76">
        <f>INDEX([1]icer_country!$A$2:$F$117,MATCH($A76,[1]icer_country!$A$2:$A$117,0),MATCH(E$1,[1]icer_country!$A$1:$F$1,0))</f>
        <v>209349.67546844701</v>
      </c>
      <c r="F76">
        <f>INDEX([1]icer_country!$A$2:$F$117,MATCH($A76,[1]icer_country!$A$2:$A$117,0),MATCH(F$1,[1]icer_country!$A$1:$F$1,0))</f>
        <v>518617.81369072502</v>
      </c>
      <c r="G76">
        <f>INDEX([1]icer_country!$A$2:$F$117,MATCH($A76,[1]icer_country!$A$2:$A$117,0),MATCH(G$1,[1]icer_country!$A$1:$F$1,0))</f>
        <v>2477900.6873197402</v>
      </c>
      <c r="H76">
        <f>INDEX([1]icer_country!$A$2:$F$117,MATCH($A76,[1]icer_country!$A$2:$A$117,0),MATCH(H$1,[1]icer_country!$A$1:$F$1,0))</f>
        <v>-127452731.88439199</v>
      </c>
      <c r="I76">
        <f t="shared" si="9"/>
        <v>26.794627408797894</v>
      </c>
      <c r="J76">
        <f t="shared" si="10"/>
        <v>18.397758275797266</v>
      </c>
      <c r="K76">
        <f t="shared" si="11"/>
        <v>45.576402984405355</v>
      </c>
      <c r="L76">
        <f t="shared" si="12"/>
        <v>217.75920012644798</v>
      </c>
      <c r="M76">
        <f t="shared" si="13"/>
        <v>-11200.612313117514</v>
      </c>
    </row>
    <row r="77" spans="1:13" x14ac:dyDescent="0.25">
      <c r="A77" t="s">
        <v>184</v>
      </c>
      <c r="B77" t="s">
        <v>185</v>
      </c>
      <c r="C77">
        <v>1596.6369612900096</v>
      </c>
      <c r="D77">
        <f>INDEX([1]icer_country!$A$2:$F$117,MATCH($A77,[1]icer_country!$A$2:$A$117,0),MATCH(D$1,[1]icer_country!$A$1:$F$1,0))</f>
        <v>619.01155697512604</v>
      </c>
      <c r="E77">
        <f>INDEX([1]icer_country!$A$2:$F$117,MATCH($A77,[1]icer_country!$A$2:$A$117,0),MATCH(E$1,[1]icer_country!$A$1:$F$1,0))</f>
        <v>12.791488240363099</v>
      </c>
      <c r="F77">
        <f>INDEX([1]icer_country!$A$2:$F$117,MATCH($A77,[1]icer_country!$A$2:$A$117,0),MATCH(F$1,[1]icer_country!$A$1:$F$1,0))</f>
        <v>527.59795262190505</v>
      </c>
      <c r="G77">
        <f>INDEX([1]icer_country!$A$2:$F$117,MATCH($A77,[1]icer_country!$A$2:$A$117,0),MATCH(G$1,[1]icer_country!$A$1:$F$1,0))</f>
        <v>9503.3457818359802</v>
      </c>
      <c r="H77">
        <f>INDEX([1]icer_country!$A$2:$F$117,MATCH($A77,[1]icer_country!$A$2:$A$117,0),MATCH(H$1,[1]icer_country!$A$1:$F$1,0))</f>
        <v>93548.306832230795</v>
      </c>
      <c r="I77">
        <f t="shared" si="9"/>
        <v>0.38769712338050411</v>
      </c>
      <c r="J77">
        <f t="shared" si="10"/>
        <v>8.0115195567238787E-3</v>
      </c>
      <c r="K77">
        <f t="shared" si="11"/>
        <v>0.33044327885008379</v>
      </c>
      <c r="L77">
        <f t="shared" si="12"/>
        <v>5.9521018316885961</v>
      </c>
      <c r="M77">
        <f t="shared" si="13"/>
        <v>58.590843817525084</v>
      </c>
    </row>
    <row r="78" spans="1:13" x14ac:dyDescent="0.25">
      <c r="A78" t="s">
        <v>63</v>
      </c>
      <c r="B78" t="s">
        <v>64</v>
      </c>
      <c r="C78">
        <v>64572.005955885368</v>
      </c>
      <c r="D78">
        <f>INDEX([1]icer_country!$A$2:$F$117,MATCH($A78,[1]icer_country!$A$2:$A$117,0),MATCH(D$1,[1]icer_country!$A$1:$F$1,0))</f>
        <v>-20755.341894632598</v>
      </c>
      <c r="E78">
        <f>INDEX([1]icer_country!$A$2:$F$117,MATCH($A78,[1]icer_country!$A$2:$A$117,0),MATCH(E$1,[1]icer_country!$A$1:$F$1,0))</f>
        <v>-22336.160661689701</v>
      </c>
      <c r="F78">
        <f>INDEX([1]icer_country!$A$2:$F$117,MATCH($A78,[1]icer_country!$A$2:$A$117,0),MATCH(F$1,[1]icer_country!$A$1:$F$1,0))</f>
        <v>72331.136008672504</v>
      </c>
      <c r="G78">
        <f>INDEX([1]icer_country!$A$2:$F$117,MATCH($A78,[1]icer_country!$A$2:$A$117,0),MATCH(G$1,[1]icer_country!$A$1:$F$1,0))</f>
        <v>288632.43184735702</v>
      </c>
      <c r="H78">
        <f>INDEX([1]icer_country!$A$2:$F$117,MATCH($A78,[1]icer_country!$A$2:$A$117,0),MATCH(H$1,[1]icer_country!$A$1:$F$1,0))</f>
        <v>8530479.4947565198</v>
      </c>
      <c r="I78">
        <f t="shared" si="9"/>
        <v>-0.32142941182301721</v>
      </c>
      <c r="J78">
        <f t="shared" si="10"/>
        <v>-0.34591089948404935</v>
      </c>
      <c r="K78">
        <f t="shared" si="11"/>
        <v>1.1201624440487115</v>
      </c>
      <c r="L78">
        <f t="shared" si="12"/>
        <v>4.4699313204633349</v>
      </c>
      <c r="M78">
        <f t="shared" si="13"/>
        <v>132.10801443251455</v>
      </c>
    </row>
    <row r="79" spans="1:13" x14ac:dyDescent="0.25">
      <c r="A79" t="s">
        <v>65</v>
      </c>
      <c r="B79" t="s">
        <v>66</v>
      </c>
      <c r="C79">
        <v>87925.094418839857</v>
      </c>
      <c r="D79">
        <f>INDEX([1]icer_country!$A$2:$F$117,MATCH($A79,[1]icer_country!$A$2:$A$117,0),MATCH(D$1,[1]icer_country!$A$1:$F$1,0))</f>
        <v>582723.11017851601</v>
      </c>
      <c r="E79">
        <f>INDEX([1]icer_country!$A$2:$F$117,MATCH($A79,[1]icer_country!$A$2:$A$117,0),MATCH(E$1,[1]icer_country!$A$1:$F$1,0))</f>
        <v>482525.151905709</v>
      </c>
      <c r="F79">
        <f>INDEX([1]icer_country!$A$2:$F$117,MATCH($A79,[1]icer_country!$A$2:$A$117,0),MATCH(F$1,[1]icer_country!$A$1:$F$1,0))</f>
        <v>1325856.5994241801</v>
      </c>
      <c r="G79">
        <f>INDEX([1]icer_country!$A$2:$F$117,MATCH($A79,[1]icer_country!$A$2:$A$117,0),MATCH(G$1,[1]icer_country!$A$1:$F$1,0))</f>
        <v>9627258.6201145295</v>
      </c>
      <c r="H79">
        <f>INDEX([1]icer_country!$A$2:$F$117,MATCH($A79,[1]icer_country!$A$2:$A$117,0),MATCH(H$1,[1]icer_country!$A$1:$F$1,0))</f>
        <v>293349577.40470898</v>
      </c>
      <c r="I79">
        <f t="shared" si="9"/>
        <v>6.6274948469507127</v>
      </c>
      <c r="J79">
        <f t="shared" si="10"/>
        <v>5.487911671805012</v>
      </c>
      <c r="K79">
        <f t="shared" si="11"/>
        <v>15.079387837883136</v>
      </c>
      <c r="L79">
        <f t="shared" si="12"/>
        <v>109.49386729406436</v>
      </c>
      <c r="M79">
        <f t="shared" si="13"/>
        <v>3336.3578321259383</v>
      </c>
    </row>
    <row r="80" spans="1:13" x14ac:dyDescent="0.25">
      <c r="A80" t="s">
        <v>186</v>
      </c>
      <c r="B80" t="s">
        <v>187</v>
      </c>
      <c r="C80">
        <v>1377.6260357129249</v>
      </c>
      <c r="D80">
        <f>INDEX([1]icer_country!$A$2:$F$117,MATCH($A80,[1]icer_country!$A$2:$A$117,0),MATCH(D$1,[1]icer_country!$A$1:$F$1,0))</f>
        <v>168.37550091029601</v>
      </c>
      <c r="E80">
        <f>INDEX([1]icer_country!$A$2:$F$117,MATCH($A80,[1]icer_country!$A$2:$A$117,0),MATCH(E$1,[1]icer_country!$A$1:$F$1,0))</f>
        <v>80.497787791993204</v>
      </c>
      <c r="F80">
        <f>INDEX([1]icer_country!$A$2:$F$117,MATCH($A80,[1]icer_country!$A$2:$A$117,0),MATCH(F$1,[1]icer_country!$A$1:$F$1,0))</f>
        <v>0.70275742806428099</v>
      </c>
      <c r="G80">
        <f>INDEX([1]icer_country!$A$2:$F$117,MATCH($A80,[1]icer_country!$A$2:$A$117,0),MATCH(G$1,[1]icer_country!$A$1:$F$1,0))</f>
        <v>2939.2942826072499</v>
      </c>
      <c r="H80">
        <f>INDEX([1]icer_country!$A$2:$F$117,MATCH($A80,[1]icer_country!$A$2:$A$117,0),MATCH(H$1,[1]icer_country!$A$1:$F$1,0))</f>
        <v>95291.894786621502</v>
      </c>
      <c r="I80">
        <f t="shared" si="9"/>
        <v>0.12222148576276091</v>
      </c>
      <c r="J80">
        <f t="shared" si="10"/>
        <v>5.8432249177357773E-2</v>
      </c>
      <c r="K80">
        <f t="shared" si="11"/>
        <v>5.1012205768933671E-4</v>
      </c>
      <c r="L80">
        <f t="shared" si="12"/>
        <v>2.1335937376402425</v>
      </c>
      <c r="M80">
        <f t="shared" si="13"/>
        <v>69.171090206136896</v>
      </c>
    </row>
    <row r="81" spans="1:13" x14ac:dyDescent="0.25">
      <c r="A81" t="s">
        <v>188</v>
      </c>
      <c r="B81" t="s">
        <v>189</v>
      </c>
      <c r="C81">
        <v>48280.811416623794</v>
      </c>
      <c r="D81">
        <f>INDEX([1]icer_country!$A$2:$F$117,MATCH($A81,[1]icer_country!$A$2:$A$117,0),MATCH(D$1,[1]icer_country!$A$1:$F$1,0))</f>
        <v>3552865.7082906398</v>
      </c>
      <c r="E81">
        <f>INDEX([1]icer_country!$A$2:$F$117,MATCH($A81,[1]icer_country!$A$2:$A$117,0),MATCH(E$1,[1]icer_country!$A$1:$F$1,0))</f>
        <v>3195090.4003933002</v>
      </c>
      <c r="F81">
        <f>INDEX([1]icer_country!$A$2:$F$117,MATCH($A81,[1]icer_country!$A$2:$A$117,0),MATCH(F$1,[1]icer_country!$A$1:$F$1,0))</f>
        <v>6099822.0624742303</v>
      </c>
      <c r="G81">
        <f>INDEX([1]icer_country!$A$2:$F$117,MATCH($A81,[1]icer_country!$A$2:$A$117,0),MATCH(G$1,[1]icer_country!$A$1:$F$1,0))</f>
        <v>15305749.021033401</v>
      </c>
      <c r="H81">
        <f>INDEX([1]icer_country!$A$2:$F$117,MATCH($A81,[1]icer_country!$A$2:$A$117,0),MATCH(H$1,[1]icer_country!$A$1:$F$1,0))</f>
        <v>-79917543.6469322</v>
      </c>
      <c r="I81">
        <f t="shared" si="9"/>
        <v>73.587531030336734</v>
      </c>
      <c r="J81">
        <f t="shared" si="10"/>
        <v>66.177230801327909</v>
      </c>
      <c r="K81">
        <f t="shared" si="11"/>
        <v>126.34050430175604</v>
      </c>
      <c r="L81">
        <f t="shared" si="12"/>
        <v>317.01515720101185</v>
      </c>
      <c r="M81">
        <f t="shared" si="13"/>
        <v>-1655.2651312611415</v>
      </c>
    </row>
    <row r="82" spans="1:13" x14ac:dyDescent="0.25">
      <c r="A82" t="s">
        <v>190</v>
      </c>
      <c r="B82" t="s">
        <v>191</v>
      </c>
      <c r="C82">
        <v>21549.836872819233</v>
      </c>
      <c r="D82">
        <f>INDEX([1]icer_country!$A$2:$F$117,MATCH($A82,[1]icer_country!$A$2:$A$117,0),MATCH(D$1,[1]icer_country!$A$1:$F$1,0))</f>
        <v>5807.0025948817001</v>
      </c>
      <c r="E82">
        <f>INDEX([1]icer_country!$A$2:$F$117,MATCH($A82,[1]icer_country!$A$2:$A$117,0),MATCH(E$1,[1]icer_country!$A$1:$F$1,0))</f>
        <v>-1141.81552182567</v>
      </c>
      <c r="F82">
        <f>INDEX([1]icer_country!$A$2:$F$117,MATCH($A82,[1]icer_country!$A$2:$A$117,0),MATCH(F$1,[1]icer_country!$A$1:$F$1,0))</f>
        <v>-1132.42311061685</v>
      </c>
      <c r="G82">
        <f>INDEX([1]icer_country!$A$2:$F$117,MATCH($A82,[1]icer_country!$A$2:$A$117,0),MATCH(G$1,[1]icer_country!$A$1:$F$1,0))</f>
        <v>239127.74514913099</v>
      </c>
      <c r="H82">
        <f>INDEX([1]icer_country!$A$2:$F$117,MATCH($A82,[1]icer_country!$A$2:$A$117,0),MATCH(H$1,[1]icer_country!$A$1:$F$1,0))</f>
        <v>2445864.0332281902</v>
      </c>
      <c r="I82">
        <f t="shared" si="9"/>
        <v>0.26946851751838835</v>
      </c>
      <c r="J82">
        <f t="shared" si="10"/>
        <v>-5.2984880051033689E-2</v>
      </c>
      <c r="K82">
        <f t="shared" si="11"/>
        <v>-5.2549034004297869E-2</v>
      </c>
      <c r="L82">
        <f t="shared" si="12"/>
        <v>11.096499085370914</v>
      </c>
      <c r="M82">
        <f t="shared" si="13"/>
        <v>113.49803006226713</v>
      </c>
    </row>
    <row r="83" spans="1:13" x14ac:dyDescent="0.25">
      <c r="A83" t="s">
        <v>192</v>
      </c>
      <c r="B83" t="s">
        <v>193</v>
      </c>
      <c r="C83">
        <v>1365.2774322249265</v>
      </c>
      <c r="D83">
        <f>INDEX([1]icer_country!$A$2:$F$117,MATCH($A83,[1]icer_country!$A$2:$A$117,0),MATCH(D$1,[1]icer_country!$A$1:$F$1,0))</f>
        <v>5560.1401232055296</v>
      </c>
      <c r="E83">
        <f>INDEX([1]icer_country!$A$2:$F$117,MATCH($A83,[1]icer_country!$A$2:$A$117,0),MATCH(E$1,[1]icer_country!$A$1:$F$1,0))</f>
        <v>1233.0681682392201</v>
      </c>
      <c r="F83">
        <f>INDEX([1]icer_country!$A$2:$F$117,MATCH($A83,[1]icer_country!$A$2:$A$117,0),MATCH(F$1,[1]icer_country!$A$1:$F$1,0))</f>
        <v>4858.7731437420298</v>
      </c>
      <c r="G83">
        <f>INDEX([1]icer_country!$A$2:$F$117,MATCH($A83,[1]icer_country!$A$2:$A$117,0),MATCH(G$1,[1]icer_country!$A$1:$F$1,0))</f>
        <v>28780.717495519999</v>
      </c>
      <c r="H83">
        <f>INDEX([1]icer_country!$A$2:$F$117,MATCH($A83,[1]icer_country!$A$2:$A$117,0),MATCH(H$1,[1]icer_country!$A$1:$F$1,0))</f>
        <v>77550.965138576998</v>
      </c>
      <c r="I83">
        <f t="shared" si="9"/>
        <v>4.0725349968939559</v>
      </c>
      <c r="J83">
        <f t="shared" si="10"/>
        <v>0.9031630781662805</v>
      </c>
      <c r="K83">
        <f t="shared" si="11"/>
        <v>3.5588174454945194</v>
      </c>
      <c r="L83">
        <f t="shared" si="12"/>
        <v>21.080490174526254</v>
      </c>
      <c r="M83">
        <f t="shared" si="13"/>
        <v>56.80234896448551</v>
      </c>
    </row>
    <row r="84" spans="1:13" x14ac:dyDescent="0.25">
      <c r="A84" t="s">
        <v>194</v>
      </c>
      <c r="B84" t="s">
        <v>195</v>
      </c>
      <c r="C84">
        <v>18686.405096126524</v>
      </c>
      <c r="D84">
        <f>INDEX([1]icer_country!$A$2:$F$117,MATCH($A84,[1]icer_country!$A$2:$A$117,0),MATCH(D$1,[1]icer_country!$A$1:$F$1,0))</f>
        <v>22643.280833227102</v>
      </c>
      <c r="E84">
        <f>INDEX([1]icer_country!$A$2:$F$117,MATCH($A84,[1]icer_country!$A$2:$A$117,0),MATCH(E$1,[1]icer_country!$A$1:$F$1,0))</f>
        <v>12562.831236178799</v>
      </c>
      <c r="F84">
        <f>INDEX([1]icer_country!$A$2:$F$117,MATCH($A84,[1]icer_country!$A$2:$A$117,0),MATCH(F$1,[1]icer_country!$A$1:$F$1,0))</f>
        <v>319572.78630696301</v>
      </c>
      <c r="G84">
        <f>INDEX([1]icer_country!$A$2:$F$117,MATCH($A84,[1]icer_country!$A$2:$A$117,0),MATCH(G$1,[1]icer_country!$A$1:$F$1,0))</f>
        <v>977127.226941325</v>
      </c>
      <c r="H84">
        <f>INDEX([1]icer_country!$A$2:$F$117,MATCH($A84,[1]icer_country!$A$2:$A$117,0),MATCH(H$1,[1]icer_country!$A$1:$F$1,0))</f>
        <v>7335603.1817471301</v>
      </c>
      <c r="I84">
        <f t="shared" si="9"/>
        <v>1.2117515764399645</v>
      </c>
      <c r="J84">
        <f t="shared" si="10"/>
        <v>0.67229791774036463</v>
      </c>
      <c r="K84">
        <f t="shared" si="11"/>
        <v>17.101886888516976</v>
      </c>
      <c r="L84">
        <f t="shared" si="12"/>
        <v>52.290808313037815</v>
      </c>
      <c r="M84">
        <f t="shared" si="13"/>
        <v>392.56363885998149</v>
      </c>
    </row>
    <row r="85" spans="1:13" x14ac:dyDescent="0.25">
      <c r="A85" t="s">
        <v>196</v>
      </c>
      <c r="B85" t="s">
        <v>197</v>
      </c>
      <c r="C85">
        <v>7906.5850285799988</v>
      </c>
      <c r="D85">
        <f>INDEX([1]icer_country!$A$2:$F$117,MATCH($A85,[1]icer_country!$A$2:$A$117,0),MATCH(D$1,[1]icer_country!$A$1:$F$1,0))</f>
        <v>867.36815180081396</v>
      </c>
      <c r="E85">
        <f>INDEX([1]icer_country!$A$2:$F$117,MATCH($A85,[1]icer_country!$A$2:$A$117,0),MATCH(E$1,[1]icer_country!$A$1:$F$1,0))</f>
        <v>28.9042851312207</v>
      </c>
      <c r="F85">
        <f>INDEX([1]icer_country!$A$2:$F$117,MATCH($A85,[1]icer_country!$A$2:$A$117,0),MATCH(F$1,[1]icer_country!$A$1:$F$1,0))</f>
        <v>33705.550124973</v>
      </c>
      <c r="G85">
        <f>INDEX([1]icer_country!$A$2:$F$117,MATCH($A85,[1]icer_country!$A$2:$A$117,0),MATCH(G$1,[1]icer_country!$A$1:$F$1,0))</f>
        <v>281885.02151236602</v>
      </c>
      <c r="H85">
        <f>INDEX([1]icer_country!$A$2:$F$117,MATCH($A85,[1]icer_country!$A$2:$A$117,0),MATCH(H$1,[1]icer_country!$A$1:$F$1,0))</f>
        <v>2740399.2863104702</v>
      </c>
      <c r="I85">
        <f t="shared" si="9"/>
        <v>0.10970199506683746</v>
      </c>
      <c r="J85">
        <f t="shared" si="10"/>
        <v>3.6557230494252751E-3</v>
      </c>
      <c r="K85">
        <f t="shared" si="11"/>
        <v>4.2629719408742544</v>
      </c>
      <c r="L85">
        <f t="shared" si="12"/>
        <v>35.651930699971466</v>
      </c>
      <c r="M85">
        <f t="shared" si="13"/>
        <v>346.59708033300421</v>
      </c>
    </row>
    <row r="86" spans="1:13" x14ac:dyDescent="0.25">
      <c r="A86" t="s">
        <v>198</v>
      </c>
      <c r="B86" t="s">
        <v>199</v>
      </c>
      <c r="C86">
        <v>3804.8725797521047</v>
      </c>
      <c r="D86">
        <f>INDEX([1]icer_country!$A$2:$F$117,MATCH($A86,[1]icer_country!$A$2:$A$117,0),MATCH(D$1,[1]icer_country!$A$1:$F$1,0))</f>
        <v>-142.77487308456799</v>
      </c>
      <c r="E86">
        <f>INDEX([1]icer_country!$A$2:$F$117,MATCH($A86,[1]icer_country!$A$2:$A$117,0),MATCH(E$1,[1]icer_country!$A$1:$F$1,0))</f>
        <v>-549.76965318887505</v>
      </c>
      <c r="F86">
        <f>INDEX([1]icer_country!$A$2:$F$117,MATCH($A86,[1]icer_country!$A$2:$A$117,0),MATCH(F$1,[1]icer_country!$A$1:$F$1,0))</f>
        <v>4927.87356853248</v>
      </c>
      <c r="G86">
        <f>INDEX([1]icer_country!$A$2:$F$117,MATCH($A86,[1]icer_country!$A$2:$A$117,0),MATCH(G$1,[1]icer_country!$A$1:$F$1,0))</f>
        <v>43056.300974183097</v>
      </c>
      <c r="H86">
        <f>INDEX([1]icer_country!$A$2:$F$117,MATCH($A86,[1]icer_country!$A$2:$A$117,0),MATCH(H$1,[1]icer_country!$A$1:$F$1,0))</f>
        <v>305611.41720111901</v>
      </c>
      <c r="I86">
        <f t="shared" si="9"/>
        <v>-3.7524219298263613E-2</v>
      </c>
      <c r="J86">
        <f t="shared" si="10"/>
        <v>-0.14449094987162323</v>
      </c>
      <c r="K86">
        <f t="shared" si="11"/>
        <v>1.295148120007094</v>
      </c>
      <c r="L86">
        <f t="shared" si="12"/>
        <v>11.316095367637333</v>
      </c>
      <c r="M86">
        <f t="shared" si="13"/>
        <v>80.321064843919217</v>
      </c>
    </row>
    <row r="87" spans="1:13" x14ac:dyDescent="0.25">
      <c r="A87" t="s">
        <v>200</v>
      </c>
      <c r="B87" t="s">
        <v>201</v>
      </c>
      <c r="C87">
        <v>2957.6826249854862</v>
      </c>
      <c r="D87">
        <f>INDEX([1]icer_country!$A$2:$F$117,MATCH($A87,[1]icer_country!$A$2:$A$117,0),MATCH(D$1,[1]icer_country!$A$1:$F$1,0))</f>
        <v>174.25046486274601</v>
      </c>
      <c r="E87">
        <f>INDEX([1]icer_country!$A$2:$F$117,MATCH($A87,[1]icer_country!$A$2:$A$117,0),MATCH(E$1,[1]icer_country!$A$1:$F$1,0))</f>
        <v>-157.88904888496199</v>
      </c>
      <c r="F87">
        <f>INDEX([1]icer_country!$A$2:$F$117,MATCH($A87,[1]icer_country!$A$2:$A$117,0),MATCH(F$1,[1]icer_country!$A$1:$F$1,0))</f>
        <v>-219.10419757301801</v>
      </c>
      <c r="G87">
        <f>INDEX([1]icer_country!$A$2:$F$117,MATCH($A87,[1]icer_country!$A$2:$A$117,0),MATCH(G$1,[1]icer_country!$A$1:$F$1,0))</f>
        <v>5888.3726588054697</v>
      </c>
      <c r="H87">
        <f>INDEX([1]icer_country!$A$2:$F$117,MATCH($A87,[1]icer_country!$A$2:$A$117,0),MATCH(H$1,[1]icer_country!$A$1:$F$1,0))</f>
        <v>134435.65453994999</v>
      </c>
      <c r="I87">
        <f t="shared" si="9"/>
        <v>5.8914524293694662E-2</v>
      </c>
      <c r="J87">
        <f t="shared" si="10"/>
        <v>-5.3382688037982705E-2</v>
      </c>
      <c r="K87">
        <f t="shared" si="11"/>
        <v>-7.4079685129871967E-2</v>
      </c>
      <c r="L87">
        <f t="shared" si="12"/>
        <v>1.9908737364389679</v>
      </c>
      <c r="M87">
        <f t="shared" si="13"/>
        <v>45.453035901919897</v>
      </c>
    </row>
    <row r="88" spans="1:13" x14ac:dyDescent="0.25">
      <c r="A88" t="s">
        <v>67</v>
      </c>
      <c r="B88" t="s">
        <v>68</v>
      </c>
      <c r="C88">
        <v>22056.666170412682</v>
      </c>
      <c r="D88">
        <f>INDEX([1]icer_country!$A$2:$F$117,MATCH($A88,[1]icer_country!$A$2:$A$117,0),MATCH(D$1,[1]icer_country!$A$1:$F$1,0))</f>
        <v>782311.02841937996</v>
      </c>
      <c r="E88">
        <f>INDEX([1]icer_country!$A$2:$F$117,MATCH($A88,[1]icer_country!$A$2:$A$117,0),MATCH(E$1,[1]icer_country!$A$1:$F$1,0))</f>
        <v>986344.48961706995</v>
      </c>
      <c r="F88">
        <f>INDEX([1]icer_country!$A$2:$F$117,MATCH($A88,[1]icer_country!$A$2:$A$117,0),MATCH(F$1,[1]icer_country!$A$1:$F$1,0))</f>
        <v>1309599.4992512099</v>
      </c>
      <c r="G88">
        <f>INDEX([1]icer_country!$A$2:$F$117,MATCH($A88,[1]icer_country!$A$2:$A$117,0),MATCH(G$1,[1]icer_country!$A$1:$F$1,0))</f>
        <v>1819074.1512726001</v>
      </c>
      <c r="H88">
        <f>INDEX([1]icer_country!$A$2:$F$117,MATCH($A88,[1]icer_country!$A$2:$A$117,0),MATCH(H$1,[1]icer_country!$A$1:$F$1,0))</f>
        <v>44258596.497182898</v>
      </c>
      <c r="I88">
        <f t="shared" si="9"/>
        <v>35.468235424843577</v>
      </c>
      <c r="J88">
        <f t="shared" si="10"/>
        <v>44.718657026245204</v>
      </c>
      <c r="K88">
        <f t="shared" si="11"/>
        <v>59.374317457274515</v>
      </c>
      <c r="L88">
        <f t="shared" si="12"/>
        <v>82.472760716338342</v>
      </c>
      <c r="M88">
        <f t="shared" si="13"/>
        <v>2006.5859525295077</v>
      </c>
    </row>
    <row r="89" spans="1:13" x14ac:dyDescent="0.25">
      <c r="A89" t="s">
        <v>202</v>
      </c>
      <c r="B89" t="s">
        <v>203</v>
      </c>
      <c r="C89">
        <v>36779.059491385786</v>
      </c>
      <c r="D89">
        <f>INDEX([1]icer_country!$A$2:$F$117,MATCH($A89,[1]icer_country!$A$2:$A$117,0),MATCH(D$1,[1]icer_country!$A$1:$F$1,0))</f>
        <v>-31452.378488732102</v>
      </c>
      <c r="E89">
        <f>INDEX([1]icer_country!$A$2:$F$117,MATCH($A89,[1]icer_country!$A$2:$A$117,0),MATCH(E$1,[1]icer_country!$A$1:$F$1,0))</f>
        <v>-27837.9505529288</v>
      </c>
      <c r="F89">
        <f>INDEX([1]icer_country!$A$2:$F$117,MATCH($A89,[1]icer_country!$A$2:$A$117,0),MATCH(F$1,[1]icer_country!$A$1:$F$1,0))</f>
        <v>-13992.545761187601</v>
      </c>
      <c r="G89">
        <f>INDEX([1]icer_country!$A$2:$F$117,MATCH($A89,[1]icer_country!$A$2:$A$117,0),MATCH(G$1,[1]icer_country!$A$1:$F$1,0))</f>
        <v>-2843.0360266400398</v>
      </c>
      <c r="H89">
        <f>INDEX([1]icer_country!$A$2:$F$117,MATCH($A89,[1]icer_country!$A$2:$A$117,0),MATCH(H$1,[1]icer_country!$A$1:$F$1,0))</f>
        <v>1043050.61228359</v>
      </c>
      <c r="I89">
        <f t="shared" si="9"/>
        <v>-0.85517082067035255</v>
      </c>
      <c r="J89">
        <f t="shared" si="10"/>
        <v>-0.75689674879937785</v>
      </c>
      <c r="K89">
        <f t="shared" si="11"/>
        <v>-0.38044871061656343</v>
      </c>
      <c r="L89">
        <f t="shared" si="12"/>
        <v>-7.7300400444060349E-2</v>
      </c>
      <c r="M89">
        <f t="shared" si="13"/>
        <v>28.359904432245973</v>
      </c>
    </row>
    <row r="90" spans="1:13" x14ac:dyDescent="0.25">
      <c r="A90" t="s">
        <v>69</v>
      </c>
      <c r="B90" t="s">
        <v>70</v>
      </c>
      <c r="C90">
        <v>27331.209494525461</v>
      </c>
      <c r="D90">
        <f>INDEX([1]icer_country!$A$2:$F$117,MATCH($A90,[1]icer_country!$A$2:$A$117,0),MATCH(D$1,[1]icer_country!$A$1:$F$1,0))</f>
        <v>-8302.4615224711997</v>
      </c>
      <c r="E90">
        <f>INDEX([1]icer_country!$A$2:$F$117,MATCH($A90,[1]icer_country!$A$2:$A$117,0),MATCH(E$1,[1]icer_country!$A$1:$F$1,0))</f>
        <v>-8875.6715811229697</v>
      </c>
      <c r="F90">
        <f>INDEX([1]icer_country!$A$2:$F$117,MATCH($A90,[1]icer_country!$A$2:$A$117,0),MATCH(F$1,[1]icer_country!$A$1:$F$1,0))</f>
        <v>7228.0333251260399</v>
      </c>
      <c r="G90">
        <f>INDEX([1]icer_country!$A$2:$F$117,MATCH($A90,[1]icer_country!$A$2:$A$117,0),MATCH(G$1,[1]icer_country!$A$1:$F$1,0))</f>
        <v>48295.933763838999</v>
      </c>
      <c r="H90">
        <f>INDEX([1]icer_country!$A$2:$F$117,MATCH($A90,[1]icer_country!$A$2:$A$117,0),MATCH(H$1,[1]icer_country!$A$1:$F$1,0))</f>
        <v>2466492.6746578198</v>
      </c>
      <c r="I90">
        <f t="shared" si="9"/>
        <v>-0.30377219581644244</v>
      </c>
      <c r="J90">
        <f t="shared" si="10"/>
        <v>-0.32474492513405961</v>
      </c>
      <c r="K90">
        <f t="shared" si="11"/>
        <v>0.26446079258123723</v>
      </c>
      <c r="L90">
        <f t="shared" si="12"/>
        <v>1.7670617091977889</v>
      </c>
      <c r="M90">
        <f t="shared" si="13"/>
        <v>90.244549007312216</v>
      </c>
    </row>
    <row r="91" spans="1:13" x14ac:dyDescent="0.25">
      <c r="A91" t="s">
        <v>204</v>
      </c>
      <c r="B91" t="s">
        <v>205</v>
      </c>
      <c r="C91">
        <v>80195.874646942044</v>
      </c>
      <c r="D91">
        <f>INDEX([1]icer_country!$A$2:$F$117,MATCH($A91,[1]icer_country!$A$2:$A$117,0),MATCH(D$1,[1]icer_country!$A$1:$F$1,0))</f>
        <v>-72820.946506289096</v>
      </c>
      <c r="E91">
        <f>INDEX([1]icer_country!$A$2:$F$117,MATCH($A91,[1]icer_country!$A$2:$A$117,0),MATCH(E$1,[1]icer_country!$A$1:$F$1,0))</f>
        <v>-71081.865813943296</v>
      </c>
      <c r="F91">
        <f>INDEX([1]icer_country!$A$2:$F$117,MATCH($A91,[1]icer_country!$A$2:$A$117,0),MATCH(F$1,[1]icer_country!$A$1:$F$1,0))</f>
        <v>-70729.645769142997</v>
      </c>
      <c r="G91">
        <f>INDEX([1]icer_country!$A$2:$F$117,MATCH($A91,[1]icer_country!$A$2:$A$117,0),MATCH(G$1,[1]icer_country!$A$1:$F$1,0))</f>
        <v>110761.920237254</v>
      </c>
      <c r="H91">
        <f>INDEX([1]icer_country!$A$2:$F$117,MATCH($A91,[1]icer_country!$A$2:$A$117,0),MATCH(H$1,[1]icer_country!$A$1:$F$1,0))</f>
        <v>1465138.81759444</v>
      </c>
      <c r="I91">
        <f t="shared" si="9"/>
        <v>-0.90803855967503733</v>
      </c>
      <c r="J91">
        <f t="shared" si="10"/>
        <v>-0.88635314630431206</v>
      </c>
      <c r="K91">
        <f t="shared" si="11"/>
        <v>-0.88196114925520042</v>
      </c>
      <c r="L91">
        <f t="shared" si="12"/>
        <v>1.3811423682935975</v>
      </c>
      <c r="M91">
        <f t="shared" si="13"/>
        <v>18.269503562928062</v>
      </c>
    </row>
    <row r="92" spans="1:13" x14ac:dyDescent="0.25">
      <c r="A92" t="s">
        <v>71</v>
      </c>
      <c r="B92" t="s">
        <v>72</v>
      </c>
      <c r="C92">
        <v>18404.27308717039</v>
      </c>
      <c r="D92">
        <f>INDEX([1]icer_country!$A$2:$F$117,MATCH($A92,[1]icer_country!$A$2:$A$117,0),MATCH(D$1,[1]icer_country!$A$1:$F$1,0))</f>
        <v>-2027.72951235234</v>
      </c>
      <c r="E92">
        <f>INDEX([1]icer_country!$A$2:$F$117,MATCH($A92,[1]icer_country!$A$2:$A$117,0),MATCH(E$1,[1]icer_country!$A$1:$F$1,0))</f>
        <v>-2643.6203881257502</v>
      </c>
      <c r="F92">
        <f>INDEX([1]icer_country!$A$2:$F$117,MATCH($A92,[1]icer_country!$A$2:$A$117,0),MATCH(F$1,[1]icer_country!$A$1:$F$1,0))</f>
        <v>1268.5498683227199</v>
      </c>
      <c r="G92">
        <f>INDEX([1]icer_country!$A$2:$F$117,MATCH($A92,[1]icer_country!$A$2:$A$117,0),MATCH(G$1,[1]icer_country!$A$1:$F$1,0))</f>
        <v>9303.8055646881894</v>
      </c>
      <c r="H92">
        <f>INDEX([1]icer_country!$A$2:$F$117,MATCH($A92,[1]icer_country!$A$2:$A$117,0),MATCH(H$1,[1]icer_country!$A$1:$F$1,0))</f>
        <v>518801.17149713699</v>
      </c>
      <c r="I92">
        <f t="shared" si="9"/>
        <v>-0.11017710412946813</v>
      </c>
      <c r="J92">
        <f t="shared" si="10"/>
        <v>-0.14364166275975424</v>
      </c>
      <c r="K92">
        <f t="shared" si="11"/>
        <v>6.8926920520812396E-2</v>
      </c>
      <c r="L92">
        <f t="shared" si="12"/>
        <v>0.50552420737409443</v>
      </c>
      <c r="M92">
        <f t="shared" si="13"/>
        <v>28.18916938690684</v>
      </c>
    </row>
    <row r="93" spans="1:13" x14ac:dyDescent="0.25">
      <c r="A93" t="s">
        <v>73</v>
      </c>
      <c r="B93" t="s">
        <v>74</v>
      </c>
      <c r="C93">
        <v>13817.0458984375</v>
      </c>
      <c r="D93">
        <f>INDEX([1]icer_country!$A$2:$F$117,MATCH($A93,[1]icer_country!$A$2:$A$117,0),MATCH(D$1,[1]icer_country!$A$1:$F$1,0))</f>
        <v>-3413.4217195030001</v>
      </c>
      <c r="E93">
        <f>INDEX([1]icer_country!$A$2:$F$117,MATCH($A93,[1]icer_country!$A$2:$A$117,0),MATCH(E$1,[1]icer_country!$A$1:$F$1,0))</f>
        <v>-3639.0438079216601</v>
      </c>
      <c r="F93">
        <f>INDEX([1]icer_country!$A$2:$F$117,MATCH($A93,[1]icer_country!$A$2:$A$117,0),MATCH(F$1,[1]icer_country!$A$1:$F$1,0))</f>
        <v>18464.318325160999</v>
      </c>
      <c r="G93">
        <f>INDEX([1]icer_country!$A$2:$F$117,MATCH($A93,[1]icer_country!$A$2:$A$117,0),MATCH(G$1,[1]icer_country!$A$1:$F$1,0))</f>
        <v>30310.931670890099</v>
      </c>
      <c r="H93">
        <f>INDEX([1]icer_country!$A$2:$F$117,MATCH($A93,[1]icer_country!$A$2:$A$117,0),MATCH(H$1,[1]icer_country!$A$1:$F$1,0))</f>
        <v>740711.85733611998</v>
      </c>
      <c r="I93">
        <f t="shared" si="9"/>
        <v>-0.24704424843005021</v>
      </c>
      <c r="J93">
        <f t="shared" si="10"/>
        <v>-0.26337350506544827</v>
      </c>
      <c r="K93">
        <f t="shared" si="11"/>
        <v>1.3363434167392492</v>
      </c>
      <c r="L93">
        <f t="shared" si="12"/>
        <v>2.1937346009915051</v>
      </c>
      <c r="M93">
        <f t="shared" si="13"/>
        <v>53.60855444649593</v>
      </c>
    </row>
    <row r="94" spans="1:13" x14ac:dyDescent="0.25">
      <c r="A94" t="s">
        <v>206</v>
      </c>
      <c r="B94" t="s">
        <v>207</v>
      </c>
      <c r="C94">
        <v>1010.2689290183971</v>
      </c>
      <c r="D94">
        <f>INDEX([1]icer_country!$A$2:$F$117,MATCH($A94,[1]icer_country!$A$2:$A$117,0),MATCH(D$1,[1]icer_country!$A$1:$F$1,0))</f>
        <v>8441.4245204524905</v>
      </c>
      <c r="E94">
        <f>INDEX([1]icer_country!$A$2:$F$117,MATCH($A94,[1]icer_country!$A$2:$A$117,0),MATCH(E$1,[1]icer_country!$A$1:$F$1,0))</f>
        <v>3474.59802714015</v>
      </c>
      <c r="F94">
        <f>INDEX([1]icer_country!$A$2:$F$117,MATCH($A94,[1]icer_country!$A$2:$A$117,0),MATCH(F$1,[1]icer_country!$A$1:$F$1,0))</f>
        <v>457.23297223479102</v>
      </c>
      <c r="G94">
        <f>INDEX([1]icer_country!$A$2:$F$117,MATCH($A94,[1]icer_country!$A$2:$A$117,0),MATCH(G$1,[1]icer_country!$A$1:$F$1,0))</f>
        <v>4104.2202972346304</v>
      </c>
      <c r="H94">
        <f>INDEX([1]icer_country!$A$2:$F$117,MATCH($A94,[1]icer_country!$A$2:$A$117,0),MATCH(H$1,[1]icer_country!$A$1:$F$1,0))</f>
        <v>26719.178047471101</v>
      </c>
      <c r="I94">
        <f t="shared" si="9"/>
        <v>8.3556212390441349</v>
      </c>
      <c r="J94">
        <f t="shared" si="10"/>
        <v>3.4392803018461207</v>
      </c>
      <c r="K94">
        <f t="shared" si="11"/>
        <v>0.45258540483774967</v>
      </c>
      <c r="L94">
        <f t="shared" si="12"/>
        <v>4.0625027449101054</v>
      </c>
      <c r="M94">
        <f t="shared" si="13"/>
        <v>26.447589626884923</v>
      </c>
    </row>
    <row r="95" spans="1:13" x14ac:dyDescent="0.25">
      <c r="A95" t="s">
        <v>208</v>
      </c>
      <c r="B95" t="s">
        <v>209</v>
      </c>
      <c r="C95">
        <v>32093.962298471088</v>
      </c>
      <c r="D95">
        <f>INDEX([1]icer_country!$A$2:$F$117,MATCH($A95,[1]icer_country!$A$2:$A$117,0),MATCH(D$1,[1]icer_country!$A$1:$F$1,0))</f>
        <v>20314.021796698598</v>
      </c>
      <c r="E95">
        <f>INDEX([1]icer_country!$A$2:$F$117,MATCH($A95,[1]icer_country!$A$2:$A$117,0),MATCH(E$1,[1]icer_country!$A$1:$F$1,0))</f>
        <v>14167.7594281528</v>
      </c>
      <c r="F95">
        <f>INDEX([1]icer_country!$A$2:$F$117,MATCH($A95,[1]icer_country!$A$2:$A$117,0),MATCH(F$1,[1]icer_country!$A$1:$F$1,0))</f>
        <v>757905.53314639803</v>
      </c>
      <c r="G95">
        <f>INDEX([1]icer_country!$A$2:$F$117,MATCH($A95,[1]icer_country!$A$2:$A$117,0),MATCH(G$1,[1]icer_country!$A$1:$F$1,0))</f>
        <v>4460214.8631921504</v>
      </c>
      <c r="H95">
        <f>INDEX([1]icer_country!$A$2:$F$117,MATCH($A95,[1]icer_country!$A$2:$A$117,0),MATCH(H$1,[1]icer_country!$A$1:$F$1,0))</f>
        <v>60919999.081312001</v>
      </c>
      <c r="I95">
        <f t="shared" si="9"/>
        <v>0.6329546226726368</v>
      </c>
      <c r="J95">
        <f t="shared" si="10"/>
        <v>0.44144625385902359</v>
      </c>
      <c r="K95">
        <f t="shared" si="11"/>
        <v>23.615206065799597</v>
      </c>
      <c r="L95">
        <f t="shared" si="12"/>
        <v>138.97364313301475</v>
      </c>
      <c r="M95">
        <f t="shared" si="13"/>
        <v>1898.1763147460963</v>
      </c>
    </row>
    <row r="96" spans="1:13" x14ac:dyDescent="0.25">
      <c r="A96" t="s">
        <v>210</v>
      </c>
      <c r="B96" t="s">
        <v>211</v>
      </c>
      <c r="C96">
        <v>2183.44140625</v>
      </c>
      <c r="D96">
        <f>INDEX([1]icer_country!$A$2:$F$117,MATCH($A96,[1]icer_country!$A$2:$A$117,0),MATCH(D$1,[1]icer_country!$A$1:$F$1,0))</f>
        <v>17.949077427576501</v>
      </c>
      <c r="E96">
        <f>INDEX([1]icer_country!$A$2:$F$117,MATCH($A96,[1]icer_country!$A$2:$A$117,0),MATCH(E$1,[1]icer_country!$A$1:$F$1,0))</f>
        <v>-240.500965842878</v>
      </c>
      <c r="F96">
        <f>INDEX([1]icer_country!$A$2:$F$117,MATCH($A96,[1]icer_country!$A$2:$A$117,0),MATCH(F$1,[1]icer_country!$A$1:$F$1,0))</f>
        <v>-240.75478171161399</v>
      </c>
      <c r="G96">
        <f>INDEX([1]icer_country!$A$2:$F$117,MATCH($A96,[1]icer_country!$A$2:$A$117,0),MATCH(G$1,[1]icer_country!$A$1:$F$1,0))</f>
        <v>17170.783406542701</v>
      </c>
      <c r="H96">
        <f>INDEX([1]icer_country!$A$2:$F$117,MATCH($A96,[1]icer_country!$A$2:$A$117,0),MATCH(H$1,[1]icer_country!$A$1:$F$1,0))</f>
        <v>55376.542191947497</v>
      </c>
      <c r="I96">
        <f t="shared" si="9"/>
        <v>8.2205445844335916E-3</v>
      </c>
      <c r="J96">
        <f t="shared" si="10"/>
        <v>-0.11014766192234658</v>
      </c>
      <c r="K96">
        <f t="shared" si="11"/>
        <v>-0.11026390771122346</v>
      </c>
      <c r="L96">
        <f t="shared" si="12"/>
        <v>7.8640916845270628</v>
      </c>
      <c r="M96">
        <f t="shared" si="13"/>
        <v>25.362046370209299</v>
      </c>
    </row>
    <row r="97" spans="1:13" x14ac:dyDescent="0.25">
      <c r="A97" t="s">
        <v>212</v>
      </c>
      <c r="B97" t="s">
        <v>213</v>
      </c>
      <c r="C97">
        <v>5391.0692618133826</v>
      </c>
      <c r="D97">
        <f>INDEX([1]icer_country!$A$2:$F$117,MATCH($A97,[1]icer_country!$A$2:$A$117,0),MATCH(D$1,[1]icer_country!$A$1:$F$1,0))</f>
        <v>1678.87252298781</v>
      </c>
      <c r="E97">
        <f>INDEX([1]icer_country!$A$2:$F$117,MATCH($A97,[1]icer_country!$A$2:$A$117,0),MATCH(E$1,[1]icer_country!$A$1:$F$1,0))</f>
        <v>821.48884949764204</v>
      </c>
      <c r="F97">
        <f>INDEX([1]icer_country!$A$2:$F$117,MATCH($A97,[1]icer_country!$A$2:$A$117,0),MATCH(F$1,[1]icer_country!$A$1:$F$1,0))</f>
        <v>16568.700554696399</v>
      </c>
      <c r="G97">
        <f>INDEX([1]icer_country!$A$2:$F$117,MATCH($A97,[1]icer_country!$A$2:$A$117,0),MATCH(G$1,[1]icer_country!$A$1:$F$1,0))</f>
        <v>48157.479218752902</v>
      </c>
      <c r="H97">
        <f>INDEX([1]icer_country!$A$2:$F$117,MATCH($A97,[1]icer_country!$A$2:$A$117,0),MATCH(H$1,[1]icer_country!$A$1:$F$1,0))</f>
        <v>394653.74411140301</v>
      </c>
      <c r="I97">
        <f t="shared" si="9"/>
        <v>0.31141735367411905</v>
      </c>
      <c r="J97">
        <f t="shared" si="10"/>
        <v>0.15237957622182721</v>
      </c>
      <c r="K97">
        <f t="shared" si="11"/>
        <v>3.0733607286512994</v>
      </c>
      <c r="L97">
        <f t="shared" si="12"/>
        <v>8.9328251743800209</v>
      </c>
      <c r="M97">
        <f t="shared" si="13"/>
        <v>73.205096233294199</v>
      </c>
    </row>
    <row r="98" spans="1:13" x14ac:dyDescent="0.25">
      <c r="A98" t="s">
        <v>75</v>
      </c>
      <c r="B98" t="s">
        <v>76</v>
      </c>
      <c r="C98">
        <v>24491.377186726193</v>
      </c>
      <c r="D98">
        <f>INDEX([1]icer_country!$A$2:$F$117,MATCH($A98,[1]icer_country!$A$2:$A$117,0),MATCH(D$1,[1]icer_country!$A$1:$F$1,0))</f>
        <v>211259.89455667799</v>
      </c>
      <c r="E98">
        <f>INDEX([1]icer_country!$A$2:$F$117,MATCH($A98,[1]icer_country!$A$2:$A$117,0),MATCH(E$1,[1]icer_country!$A$1:$F$1,0))</f>
        <v>181395.943602894</v>
      </c>
      <c r="F98">
        <f>INDEX([1]icer_country!$A$2:$F$117,MATCH($A98,[1]icer_country!$A$2:$A$117,0),MATCH(F$1,[1]icer_country!$A$1:$F$1,0))</f>
        <v>384449.36209607299</v>
      </c>
      <c r="G98">
        <f>INDEX([1]icer_country!$A$2:$F$117,MATCH($A98,[1]icer_country!$A$2:$A$117,0),MATCH(G$1,[1]icer_country!$A$1:$F$1,0))</f>
        <v>679164.08444927202</v>
      </c>
      <c r="H98">
        <f>INDEX([1]icer_country!$A$2:$F$117,MATCH($A98,[1]icer_country!$A$2:$A$117,0),MATCH(H$1,[1]icer_country!$A$1:$F$1,0))</f>
        <v>22552120.528294899</v>
      </c>
      <c r="I98">
        <f t="shared" si="9"/>
        <v>8.6258887340633645</v>
      </c>
      <c r="J98">
        <f t="shared" si="10"/>
        <v>7.4065228026950951</v>
      </c>
      <c r="K98">
        <f t="shared" si="11"/>
        <v>15.697335399515074</v>
      </c>
      <c r="L98">
        <f t="shared" si="12"/>
        <v>27.730742917036309</v>
      </c>
      <c r="M98">
        <f t="shared" si="13"/>
        <v>920.81879905543531</v>
      </c>
    </row>
    <row r="99" spans="1:13" x14ac:dyDescent="0.25">
      <c r="A99" t="s">
        <v>77</v>
      </c>
      <c r="B99" t="s">
        <v>78</v>
      </c>
      <c r="C99">
        <v>32610.110922728989</v>
      </c>
      <c r="D99">
        <f>INDEX([1]icer_country!$A$2:$F$117,MATCH($A99,[1]icer_country!$A$2:$A$117,0),MATCH(D$1,[1]icer_country!$A$1:$F$1,0))</f>
        <v>768790.53836177499</v>
      </c>
      <c r="E99">
        <f>INDEX([1]icer_country!$A$2:$F$117,MATCH($A99,[1]icer_country!$A$2:$A$117,0),MATCH(E$1,[1]icer_country!$A$1:$F$1,0))</f>
        <v>565572.82489635295</v>
      </c>
      <c r="F99">
        <f>INDEX([1]icer_country!$A$2:$F$117,MATCH($A99,[1]icer_country!$A$2:$A$117,0),MATCH(F$1,[1]icer_country!$A$1:$F$1,0))</f>
        <v>803129.24066868902</v>
      </c>
      <c r="G99">
        <f>INDEX([1]icer_country!$A$2:$F$117,MATCH($A99,[1]icer_country!$A$2:$A$117,0),MATCH(G$1,[1]icer_country!$A$1:$F$1,0))</f>
        <v>2073392.7443413499</v>
      </c>
      <c r="H99">
        <f>INDEX([1]icer_country!$A$2:$F$117,MATCH($A99,[1]icer_country!$A$2:$A$117,0),MATCH(H$1,[1]icer_country!$A$1:$F$1,0))</f>
        <v>157475863.26119301</v>
      </c>
      <c r="I99">
        <f t="shared" si="9"/>
        <v>23.575219973444927</v>
      </c>
      <c r="J99">
        <f t="shared" si="10"/>
        <v>17.343480561489081</v>
      </c>
      <c r="K99">
        <f t="shared" si="11"/>
        <v>24.628227808600133</v>
      </c>
      <c r="L99">
        <f t="shared" si="12"/>
        <v>63.581284628388417</v>
      </c>
      <c r="M99">
        <f t="shared" si="13"/>
        <v>4829.0502180240537</v>
      </c>
    </row>
    <row r="100" spans="1:13" x14ac:dyDescent="0.25">
      <c r="A100" t="s">
        <v>79</v>
      </c>
      <c r="B100" t="s">
        <v>80</v>
      </c>
      <c r="C100">
        <v>55516.836477474033</v>
      </c>
      <c r="D100">
        <f>INDEX([1]icer_country!$A$2:$F$117,MATCH($A100,[1]icer_country!$A$2:$A$117,0),MATCH(D$1,[1]icer_country!$A$1:$F$1,0))</f>
        <v>-17508.0451913777</v>
      </c>
      <c r="E100">
        <f>INDEX([1]icer_country!$A$2:$F$117,MATCH($A100,[1]icer_country!$A$2:$A$117,0),MATCH(E$1,[1]icer_country!$A$1:$F$1,0))</f>
        <v>-18705.359394109801</v>
      </c>
      <c r="F100">
        <f>INDEX([1]icer_country!$A$2:$F$117,MATCH($A100,[1]icer_country!$A$2:$A$117,0),MATCH(F$1,[1]icer_country!$A$1:$F$1,0))</f>
        <v>-3202.63271815912</v>
      </c>
      <c r="G100">
        <f>INDEX([1]icer_country!$A$2:$F$117,MATCH($A100,[1]icer_country!$A$2:$A$117,0),MATCH(G$1,[1]icer_country!$A$1:$F$1,0))</f>
        <v>144661.038494412</v>
      </c>
      <c r="H100">
        <f>INDEX([1]icer_country!$A$2:$F$117,MATCH($A100,[1]icer_country!$A$2:$A$117,0),MATCH(H$1,[1]icer_country!$A$1:$F$1,0))</f>
        <v>1784699.02991434</v>
      </c>
      <c r="I100">
        <f t="shared" si="9"/>
        <v>-0.3153646047263805</v>
      </c>
      <c r="J100">
        <f t="shared" si="10"/>
        <v>-0.33693129113542886</v>
      </c>
      <c r="K100">
        <f t="shared" si="11"/>
        <v>-5.7687593915020513E-2</v>
      </c>
      <c r="L100">
        <f t="shared" si="12"/>
        <v>2.6057147285960403</v>
      </c>
      <c r="M100">
        <f t="shared" si="13"/>
        <v>32.146987169171318</v>
      </c>
    </row>
    <row r="101" spans="1:13" x14ac:dyDescent="0.25">
      <c r="A101" t="s">
        <v>214</v>
      </c>
      <c r="B101" t="s">
        <v>215</v>
      </c>
      <c r="C101">
        <v>1051.6714958746265</v>
      </c>
      <c r="D101">
        <f>INDEX([1]icer_country!$A$2:$F$117,MATCH($A101,[1]icer_country!$A$2:$A$117,0),MATCH(D$1,[1]icer_country!$A$1:$F$1,0))</f>
        <v>-1141.33902573824</v>
      </c>
      <c r="E101">
        <f>INDEX([1]icer_country!$A$2:$F$117,MATCH($A101,[1]icer_country!$A$2:$A$117,0),MATCH(E$1,[1]icer_country!$A$1:$F$1,0))</f>
        <v>-1340.6122043314999</v>
      </c>
      <c r="F101">
        <f>INDEX([1]icer_country!$A$2:$F$117,MATCH($A101,[1]icer_country!$A$2:$A$117,0),MATCH(F$1,[1]icer_country!$A$1:$F$1,0))</f>
        <v>-19.459306400308101</v>
      </c>
      <c r="G101">
        <f>INDEX([1]icer_country!$A$2:$F$117,MATCH($A101,[1]icer_country!$A$2:$A$117,0),MATCH(G$1,[1]icer_country!$A$1:$F$1,0))</f>
        <v>80003.183206698697</v>
      </c>
      <c r="H101">
        <f>INDEX([1]icer_country!$A$2:$F$117,MATCH($A101,[1]icer_country!$A$2:$A$117,0),MATCH(H$1,[1]icer_country!$A$1:$F$1,0))</f>
        <v>46667.691747759403</v>
      </c>
      <c r="I101">
        <f t="shared" si="9"/>
        <v>-1.0852619189693271</v>
      </c>
      <c r="J101">
        <f t="shared" si="10"/>
        <v>-1.2747442614830735</v>
      </c>
      <c r="K101">
        <f t="shared" si="11"/>
        <v>-1.8503217474887153E-2</v>
      </c>
      <c r="L101">
        <f t="shared" si="12"/>
        <v>76.07240808610463</v>
      </c>
      <c r="M101">
        <f t="shared" si="13"/>
        <v>44.374780462170882</v>
      </c>
    </row>
    <row r="102" spans="1:13" x14ac:dyDescent="0.25">
      <c r="A102" t="s">
        <v>216</v>
      </c>
      <c r="B102" t="s">
        <v>217</v>
      </c>
      <c r="C102">
        <v>680.63987791202874</v>
      </c>
      <c r="D102">
        <f>INDEX([1]icer_country!$A$2:$F$117,MATCH($A102,[1]icer_country!$A$2:$A$117,0),MATCH(D$1,[1]icer_country!$A$1:$F$1,0))</f>
        <v>231.60421576880199</v>
      </c>
      <c r="E102">
        <f>INDEX([1]icer_country!$A$2:$F$117,MATCH($A102,[1]icer_country!$A$2:$A$117,0),MATCH(E$1,[1]icer_country!$A$1:$F$1,0))</f>
        <v>14.170020658574799</v>
      </c>
      <c r="F102">
        <f>INDEX([1]icer_country!$A$2:$F$117,MATCH($A102,[1]icer_country!$A$2:$A$117,0),MATCH(F$1,[1]icer_country!$A$1:$F$1,0))</f>
        <v>446.51524998887697</v>
      </c>
      <c r="G102">
        <f>INDEX([1]icer_country!$A$2:$F$117,MATCH($A102,[1]icer_country!$A$2:$A$117,0),MATCH(G$1,[1]icer_country!$A$1:$F$1,0))</f>
        <v>6304.8452601177096</v>
      </c>
      <c r="H102">
        <f>INDEX([1]icer_country!$A$2:$F$117,MATCH($A102,[1]icer_country!$A$2:$A$117,0),MATCH(H$1,[1]icer_country!$A$1:$F$1,0))</f>
        <v>70178.498614008102</v>
      </c>
      <c r="I102">
        <f t="shared" si="9"/>
        <v>0.34027423794104572</v>
      </c>
      <c r="J102">
        <f t="shared" si="10"/>
        <v>2.0818675364781145E-2</v>
      </c>
      <c r="K102">
        <f t="shared" si="11"/>
        <v>0.65602275811201904</v>
      </c>
      <c r="L102">
        <f t="shared" si="12"/>
        <v>9.2631147023868579</v>
      </c>
      <c r="M102">
        <f t="shared" si="13"/>
        <v>103.10665139000058</v>
      </c>
    </row>
    <row r="103" spans="1:13" x14ac:dyDescent="0.25">
      <c r="A103" t="s">
        <v>218</v>
      </c>
      <c r="B103" t="s">
        <v>219</v>
      </c>
      <c r="C103">
        <v>7182.0252581241457</v>
      </c>
      <c r="D103">
        <f>INDEX([1]icer_country!$A$2:$F$117,MATCH($A103,[1]icer_country!$A$2:$A$117,0),MATCH(D$1,[1]icer_country!$A$1:$F$1,0))</f>
        <v>-89.033398616289901</v>
      </c>
      <c r="E103">
        <f>INDEX([1]icer_country!$A$2:$F$117,MATCH($A103,[1]icer_country!$A$2:$A$117,0),MATCH(E$1,[1]icer_country!$A$1:$F$1,0))</f>
        <v>-672.63224827261899</v>
      </c>
      <c r="F103">
        <f>INDEX([1]icer_country!$A$2:$F$117,MATCH($A103,[1]icer_country!$A$2:$A$117,0),MATCH(F$1,[1]icer_country!$A$1:$F$1,0))</f>
        <v>6683.9707754043902</v>
      </c>
      <c r="G103">
        <f>INDEX([1]icer_country!$A$2:$F$117,MATCH($A103,[1]icer_country!$A$2:$A$117,0),MATCH(G$1,[1]icer_country!$A$1:$F$1,0))</f>
        <v>11217.9281894544</v>
      </c>
      <c r="H103">
        <f>INDEX([1]icer_country!$A$2:$F$117,MATCH($A103,[1]icer_country!$A$2:$A$117,0),MATCH(H$1,[1]icer_country!$A$1:$F$1,0))</f>
        <v>275309.09184078302</v>
      </c>
      <c r="I103">
        <f t="shared" si="9"/>
        <v>-1.2396698064459926E-2</v>
      </c>
      <c r="J103">
        <f t="shared" si="10"/>
        <v>-9.3654954431099016E-2</v>
      </c>
      <c r="K103">
        <f t="shared" si="11"/>
        <v>0.93065264116742452</v>
      </c>
      <c r="L103">
        <f t="shared" si="12"/>
        <v>1.5619449648641839</v>
      </c>
      <c r="M103">
        <f t="shared" si="13"/>
        <v>38.333072071747388</v>
      </c>
    </row>
    <row r="104" spans="1:13" x14ac:dyDescent="0.25">
      <c r="A104" t="s">
        <v>81</v>
      </c>
      <c r="B104" t="s">
        <v>82</v>
      </c>
      <c r="C104">
        <v>1160.8118702631093</v>
      </c>
      <c r="D104">
        <f>INDEX([1]icer_country!$A$2:$F$117,MATCH($A104,[1]icer_country!$A$2:$A$117,0),MATCH(D$1,[1]icer_country!$A$1:$F$1,0))</f>
        <v>1153.9108581780399</v>
      </c>
      <c r="E104">
        <f>INDEX([1]icer_country!$A$2:$F$117,MATCH($A104,[1]icer_country!$A$2:$A$117,0),MATCH(E$1,[1]icer_country!$A$1:$F$1,0))</f>
        <v>38.261257082937703</v>
      </c>
      <c r="F104">
        <f>INDEX([1]icer_country!$A$2:$F$117,MATCH($A104,[1]icer_country!$A$2:$A$117,0),MATCH(F$1,[1]icer_country!$A$1:$F$1,0))</f>
        <v>1426.4166256240601</v>
      </c>
      <c r="G104">
        <f>INDEX([1]icer_country!$A$2:$F$117,MATCH($A104,[1]icer_country!$A$2:$A$117,0),MATCH(G$1,[1]icer_country!$A$1:$F$1,0))</f>
        <v>8644.5863414101805</v>
      </c>
      <c r="H104">
        <f>INDEX([1]icer_country!$A$2:$F$117,MATCH($A104,[1]icer_country!$A$2:$A$117,0),MATCH(H$1,[1]icer_country!$A$1:$F$1,0))</f>
        <v>41760.735619731298</v>
      </c>
      <c r="I104">
        <f t="shared" si="9"/>
        <v>0.9940550124771681</v>
      </c>
      <c r="J104">
        <f t="shared" si="10"/>
        <v>3.2960773457860505E-2</v>
      </c>
      <c r="K104">
        <f t="shared" si="11"/>
        <v>1.2288094756480643</v>
      </c>
      <c r="L104">
        <f t="shared" si="12"/>
        <v>7.4470175252866779</v>
      </c>
      <c r="M104">
        <f t="shared" si="13"/>
        <v>35.975455359761114</v>
      </c>
    </row>
    <row r="105" spans="1:13" x14ac:dyDescent="0.25">
      <c r="A105" t="s">
        <v>224</v>
      </c>
      <c r="B105" t="s">
        <v>225</v>
      </c>
      <c r="C105">
        <v>1224.48962402344</v>
      </c>
      <c r="D105">
        <f>INDEX([1]icer_country!$A$2:$F$117,MATCH($A105,[1]icer_country!$A$2:$A$117,0),MATCH(D$1,[1]icer_country!$A$1:$F$1,0))</f>
        <v>43087.719894601898</v>
      </c>
      <c r="E105">
        <f>INDEX([1]icer_country!$A$2:$F$117,MATCH($A105,[1]icer_country!$A$2:$A$117,0),MATCH(E$1,[1]icer_country!$A$1:$F$1,0))</f>
        <v>10922.876357517</v>
      </c>
      <c r="F105">
        <f>INDEX([1]icer_country!$A$2:$F$117,MATCH($A105,[1]icer_country!$A$2:$A$117,0),MATCH(F$1,[1]icer_country!$A$1:$F$1,0))</f>
        <v>28557.9739123449</v>
      </c>
      <c r="G105">
        <f>INDEX([1]icer_country!$A$2:$F$117,MATCH($A105,[1]icer_country!$A$2:$A$117,0),MATCH(G$1,[1]icer_country!$A$1:$F$1,0))</f>
        <v>311329.28329120501</v>
      </c>
      <c r="H105">
        <f>INDEX([1]icer_country!$A$2:$F$117,MATCH($A105,[1]icer_country!$A$2:$A$117,0),MATCH(H$1,[1]icer_country!$A$1:$F$1,0))</f>
        <v>1437836.281522</v>
      </c>
      <c r="I105">
        <f t="shared" si="9"/>
        <v>35.188309520356611</v>
      </c>
      <c r="J105">
        <f t="shared" si="10"/>
        <v>8.9203502775519699</v>
      </c>
      <c r="K105">
        <f t="shared" si="11"/>
        <v>23.322348635759631</v>
      </c>
      <c r="L105">
        <f t="shared" si="12"/>
        <v>254.25228371330431</v>
      </c>
      <c r="M105">
        <f t="shared" si="13"/>
        <v>1174.2331280828198</v>
      </c>
    </row>
    <row r="106" spans="1:13" x14ac:dyDescent="0.25">
      <c r="A106" t="s">
        <v>226</v>
      </c>
      <c r="B106" t="s">
        <v>227</v>
      </c>
      <c r="C106">
        <v>1002.3091391714248</v>
      </c>
      <c r="D106">
        <f>INDEX([1]icer_country!$A$2:$F$117,MATCH($A106,[1]icer_country!$A$2:$A$117,0),MATCH(D$1,[1]icer_country!$A$1:$F$1,0))</f>
        <v>225.80612363026299</v>
      </c>
      <c r="E106">
        <f>INDEX([1]icer_country!$A$2:$F$117,MATCH($A106,[1]icer_country!$A$2:$A$117,0),MATCH(E$1,[1]icer_country!$A$1:$F$1,0))</f>
        <v>-56.334265978674203</v>
      </c>
      <c r="F106">
        <f>INDEX([1]icer_country!$A$2:$F$117,MATCH($A106,[1]icer_country!$A$2:$A$117,0),MATCH(F$1,[1]icer_country!$A$1:$F$1,0))</f>
        <v>4284.6790612540399</v>
      </c>
      <c r="G106">
        <f>INDEX([1]icer_country!$A$2:$F$117,MATCH($A106,[1]icer_country!$A$2:$A$117,0),MATCH(G$1,[1]icer_country!$A$1:$F$1,0))</f>
        <v>36682.658615999702</v>
      </c>
      <c r="H106">
        <f>INDEX([1]icer_country!$A$2:$F$117,MATCH($A106,[1]icer_country!$A$2:$A$117,0),MATCH(H$1,[1]icer_country!$A$1:$F$1,0))</f>
        <v>75684.540743471298</v>
      </c>
      <c r="I106">
        <f t="shared" si="9"/>
        <v>0.22528590711736829</v>
      </c>
      <c r="J106">
        <f t="shared" si="10"/>
        <v>-5.6204482007660671E-2</v>
      </c>
      <c r="K106">
        <f t="shared" si="11"/>
        <v>4.2748079348014718</v>
      </c>
      <c r="L106">
        <f t="shared" si="12"/>
        <v>36.59814839793242</v>
      </c>
      <c r="M106">
        <f t="shared" si="13"/>
        <v>75.510177235375863</v>
      </c>
    </row>
    <row r="107" spans="1:13" x14ac:dyDescent="0.25">
      <c r="A107" t="s">
        <v>85</v>
      </c>
      <c r="B107" t="s">
        <v>86</v>
      </c>
      <c r="C107">
        <v>5069.703125</v>
      </c>
      <c r="D107">
        <f>INDEX([1]icer_country!$A$2:$F$117,MATCH($A107,[1]icer_country!$A$2:$A$117,0),MATCH(D$1,[1]icer_country!$A$1:$F$1,0))</f>
        <v>13603.0167167868</v>
      </c>
      <c r="E107">
        <f>INDEX([1]icer_country!$A$2:$F$117,MATCH($A107,[1]icer_country!$A$2:$A$117,0),MATCH(E$1,[1]icer_country!$A$1:$F$1,0))</f>
        <v>19091.014913839401</v>
      </c>
      <c r="F107">
        <f>INDEX([1]icer_country!$A$2:$F$117,MATCH($A107,[1]icer_country!$A$2:$A$117,0),MATCH(F$1,[1]icer_country!$A$1:$F$1,0))</f>
        <v>33426.483346159497</v>
      </c>
      <c r="G107">
        <f>INDEX([1]icer_country!$A$2:$F$117,MATCH($A107,[1]icer_country!$A$2:$A$117,0),MATCH(G$1,[1]icer_country!$A$1:$F$1,0))</f>
        <v>45910.267732325803</v>
      </c>
      <c r="H107">
        <f>INDEX([1]icer_country!$A$2:$F$117,MATCH($A107,[1]icer_country!$A$2:$A$117,0),MATCH(H$1,[1]icer_country!$A$1:$F$1,0))</f>
        <v>109943.569701751</v>
      </c>
      <c r="I107">
        <f t="shared" si="9"/>
        <v>2.6831978878027103</v>
      </c>
      <c r="J107">
        <f t="shared" si="10"/>
        <v>3.7657066781083754</v>
      </c>
      <c r="K107">
        <f t="shared" si="11"/>
        <v>6.5933808197416877</v>
      </c>
      <c r="L107">
        <f t="shared" si="12"/>
        <v>9.0558098966250231</v>
      </c>
      <c r="M107">
        <f t="shared" si="13"/>
        <v>21.686392080749499</v>
      </c>
    </row>
    <row r="108" spans="1:13" x14ac:dyDescent="0.25">
      <c r="A108" t="s">
        <v>228</v>
      </c>
      <c r="B108" t="s">
        <v>229</v>
      </c>
      <c r="C108">
        <v>82769.412211421644</v>
      </c>
      <c r="D108">
        <f>INDEX([1]icer_country!$A$2:$F$117,MATCH($A108,[1]icer_country!$A$2:$A$117,0),MATCH(D$1,[1]icer_country!$A$1:$F$1,0))</f>
        <v>1377536.2296436001</v>
      </c>
      <c r="E108">
        <f>INDEX([1]icer_country!$A$2:$F$117,MATCH($A108,[1]icer_country!$A$2:$A$117,0),MATCH(E$1,[1]icer_country!$A$1:$F$1,0))</f>
        <v>1245534.4441381299</v>
      </c>
      <c r="F108">
        <f>INDEX([1]icer_country!$A$2:$F$117,MATCH($A108,[1]icer_country!$A$2:$A$117,0),MATCH(F$1,[1]icer_country!$A$1:$F$1,0))</f>
        <v>540585.20357629994</v>
      </c>
      <c r="G108">
        <f>INDEX([1]icer_country!$A$2:$F$117,MATCH($A108,[1]icer_country!$A$2:$A$117,0),MATCH(G$1,[1]icer_country!$A$1:$F$1,0))</f>
        <v>1089765.38683004</v>
      </c>
      <c r="H108">
        <f>INDEX([1]icer_country!$A$2:$F$117,MATCH($A108,[1]icer_country!$A$2:$A$117,0),MATCH(H$1,[1]icer_country!$A$1:$F$1,0))</f>
        <v>11326034.8115803</v>
      </c>
      <c r="I108">
        <f t="shared" si="9"/>
        <v>16.643059227301229</v>
      </c>
      <c r="J108">
        <f t="shared" si="10"/>
        <v>15.048245612239038</v>
      </c>
      <c r="K108">
        <f t="shared" si="11"/>
        <v>6.5312195548212761</v>
      </c>
      <c r="L108">
        <f t="shared" si="12"/>
        <v>13.166281573274958</v>
      </c>
      <c r="M108">
        <f t="shared" si="13"/>
        <v>136.83841057913639</v>
      </c>
    </row>
    <row r="109" spans="1:13" x14ac:dyDescent="0.25">
      <c r="A109" t="s">
        <v>87</v>
      </c>
      <c r="B109" t="s">
        <v>88</v>
      </c>
      <c r="C109">
        <v>2849.5146107191085</v>
      </c>
      <c r="D109">
        <f>INDEX([1]icer_country!$A$2:$F$117,MATCH($A109,[1]icer_country!$A$2:$A$117,0),MATCH(D$1,[1]icer_country!$A$1:$F$1,0))</f>
        <v>233.214227018657</v>
      </c>
      <c r="E109">
        <f>INDEX([1]icer_country!$A$2:$F$117,MATCH($A109,[1]icer_country!$A$2:$A$117,0),MATCH(E$1,[1]icer_country!$A$1:$F$1,0))</f>
        <v>-341.92427084195401</v>
      </c>
      <c r="F109">
        <f>INDEX([1]icer_country!$A$2:$F$117,MATCH($A109,[1]icer_country!$A$2:$A$117,0),MATCH(F$1,[1]icer_country!$A$1:$F$1,0))</f>
        <v>2892.46751609391</v>
      </c>
      <c r="G109">
        <f>INDEX([1]icer_country!$A$2:$F$117,MATCH($A109,[1]icer_country!$A$2:$A$117,0),MATCH(G$1,[1]icer_country!$A$1:$F$1,0))</f>
        <v>47909.124475556499</v>
      </c>
      <c r="H109">
        <f>INDEX([1]icer_country!$A$2:$F$117,MATCH($A109,[1]icer_country!$A$2:$A$117,0),MATCH(H$1,[1]icer_country!$A$1:$F$1,0))</f>
        <v>201915.509139851</v>
      </c>
      <c r="I109">
        <f t="shared" si="9"/>
        <v>8.1843492271058277E-2</v>
      </c>
      <c r="J109">
        <f t="shared" si="10"/>
        <v>-0.11999386476409939</v>
      </c>
      <c r="K109">
        <f t="shared" si="11"/>
        <v>1.0150737621113519</v>
      </c>
      <c r="L109">
        <f t="shared" si="12"/>
        <v>16.813082584428674</v>
      </c>
      <c r="M109">
        <f t="shared" si="13"/>
        <v>70.859615311428513</v>
      </c>
    </row>
    <row r="110" spans="1:13" x14ac:dyDescent="0.25">
      <c r="A110" t="s">
        <v>230</v>
      </c>
      <c r="B110" t="s">
        <v>231</v>
      </c>
      <c r="C110">
        <v>15943.612719716344</v>
      </c>
      <c r="D110">
        <f>INDEX([1]icer_country!$A$2:$F$117,MATCH($A110,[1]icer_country!$A$2:$A$117,0),MATCH(D$1,[1]icer_country!$A$1:$F$1,0))</f>
        <v>-1364.0715503828701</v>
      </c>
      <c r="E110">
        <f>INDEX([1]icer_country!$A$2:$F$117,MATCH($A110,[1]icer_country!$A$2:$A$117,0),MATCH(E$1,[1]icer_country!$A$1:$F$1,0))</f>
        <v>-1868.11760970711</v>
      </c>
      <c r="F110">
        <f>INDEX([1]icer_country!$A$2:$F$117,MATCH($A110,[1]icer_country!$A$2:$A$117,0),MATCH(F$1,[1]icer_country!$A$1:$F$1,0))</f>
        <v>-507.35266184408499</v>
      </c>
      <c r="G110">
        <f>INDEX([1]icer_country!$A$2:$F$117,MATCH($A110,[1]icer_country!$A$2:$A$117,0),MATCH(G$1,[1]icer_country!$A$1:$F$1,0))</f>
        <v>8242.9012670319898</v>
      </c>
      <c r="H110">
        <f>INDEX([1]icer_country!$A$2:$F$117,MATCH($A110,[1]icer_country!$A$2:$A$117,0),MATCH(H$1,[1]icer_country!$A$1:$F$1,0))</f>
        <v>270280.127464174</v>
      </c>
      <c r="I110">
        <f t="shared" si="9"/>
        <v>-8.5555988743756847E-2</v>
      </c>
      <c r="J110">
        <f t="shared" si="10"/>
        <v>-0.11717028270493177</v>
      </c>
      <c r="K110">
        <f t="shared" si="11"/>
        <v>-3.1821687516072041E-2</v>
      </c>
      <c r="L110">
        <f t="shared" si="12"/>
        <v>0.51700335500739891</v>
      </c>
      <c r="M110">
        <f t="shared" si="13"/>
        <v>16.952251175164182</v>
      </c>
    </row>
    <row r="111" spans="1:13" x14ac:dyDescent="0.25">
      <c r="A111" t="s">
        <v>232</v>
      </c>
      <c r="B111" t="s">
        <v>233</v>
      </c>
      <c r="C111">
        <v>4282.0885172450617</v>
      </c>
      <c r="D111">
        <f>INDEX([1]icer_country!$A$2:$F$117,MATCH($A111,[1]icer_country!$A$2:$A$117,0),MATCH(D$1,[1]icer_country!$A$1:$F$1,0))</f>
        <v>-68.042146591651502</v>
      </c>
      <c r="E111">
        <f>INDEX([1]icer_country!$A$2:$F$117,MATCH($A111,[1]icer_country!$A$2:$A$117,0),MATCH(E$1,[1]icer_country!$A$1:$F$1,0))</f>
        <v>-344.20676766025298</v>
      </c>
      <c r="F111">
        <f>INDEX([1]icer_country!$A$2:$F$117,MATCH($A111,[1]icer_country!$A$2:$A$117,0),MATCH(F$1,[1]icer_country!$A$1:$F$1,0))</f>
        <v>-642.76135003767001</v>
      </c>
      <c r="G111">
        <f>INDEX([1]icer_country!$A$2:$F$117,MATCH($A111,[1]icer_country!$A$2:$A$117,0),MATCH(G$1,[1]icer_country!$A$1:$F$1,0))</f>
        <v>1928.7520875457001</v>
      </c>
      <c r="H111">
        <f>INDEX([1]icer_country!$A$2:$F$117,MATCH($A111,[1]icer_country!$A$2:$A$117,0),MATCH(H$1,[1]icer_country!$A$1:$F$1,0))</f>
        <v>117984.436255034</v>
      </c>
      <c r="I111">
        <f t="shared" si="9"/>
        <v>-1.5889943964873317E-2</v>
      </c>
      <c r="J111">
        <f t="shared" si="10"/>
        <v>-8.0382917418461722E-2</v>
      </c>
      <c r="K111">
        <f t="shared" si="11"/>
        <v>-0.15010463876426333</v>
      </c>
      <c r="L111">
        <f t="shared" si="12"/>
        <v>0.45042321749728526</v>
      </c>
      <c r="M111">
        <f t="shared" si="13"/>
        <v>27.553011989331985</v>
      </c>
    </row>
    <row r="112" spans="1:13" x14ac:dyDescent="0.25">
      <c r="A112" t="s">
        <v>234</v>
      </c>
      <c r="B112" t="s">
        <v>235</v>
      </c>
      <c r="C112">
        <v>3515.2363361179791</v>
      </c>
      <c r="D112">
        <f>INDEX([1]icer_country!$A$2:$F$117,MATCH($A112,[1]icer_country!$A$2:$A$117,0),MATCH(D$1,[1]icer_country!$A$1:$F$1,0))</f>
        <v>-505.63412169070301</v>
      </c>
      <c r="E112">
        <f>INDEX([1]icer_country!$A$2:$F$117,MATCH($A112,[1]icer_country!$A$2:$A$117,0),MATCH(E$1,[1]icer_country!$A$1:$F$1,0))</f>
        <v>-700.14107187894399</v>
      </c>
      <c r="F112">
        <f>INDEX([1]icer_country!$A$2:$F$117,MATCH($A112,[1]icer_country!$A$2:$A$117,0),MATCH(F$1,[1]icer_country!$A$1:$F$1,0))</f>
        <v>-1464.8498460640401</v>
      </c>
      <c r="G112">
        <f>INDEX([1]icer_country!$A$2:$F$117,MATCH($A112,[1]icer_country!$A$2:$A$117,0),MATCH(G$1,[1]icer_country!$A$1:$F$1,0))</f>
        <v>11388.034422622201</v>
      </c>
      <c r="H112">
        <f>INDEX([1]icer_country!$A$2:$F$117,MATCH($A112,[1]icer_country!$A$2:$A$117,0),MATCH(H$1,[1]icer_country!$A$1:$F$1,0))</f>
        <v>93280.910664464303</v>
      </c>
      <c r="I112">
        <f t="shared" si="9"/>
        <v>-0.14384071890002584</v>
      </c>
      <c r="J112">
        <f t="shared" si="10"/>
        <v>-0.1991732574806446</v>
      </c>
      <c r="K112">
        <f t="shared" si="11"/>
        <v>-0.41671446981050908</v>
      </c>
      <c r="L112">
        <f t="shared" si="12"/>
        <v>3.2396212754214067</v>
      </c>
      <c r="M112">
        <f t="shared" si="13"/>
        <v>26.536170471962709</v>
      </c>
    </row>
    <row r="113" spans="1:13" x14ac:dyDescent="0.25">
      <c r="A113" t="s">
        <v>236</v>
      </c>
      <c r="B113" t="s">
        <v>237</v>
      </c>
      <c r="C113">
        <v>477.40902867868789</v>
      </c>
      <c r="D113">
        <f>INDEX([1]icer_country!$A$2:$F$117,MATCH($A113,[1]icer_country!$A$2:$A$117,0),MATCH(D$1,[1]icer_country!$A$1:$F$1,0))</f>
        <v>289.91041493643502</v>
      </c>
      <c r="E113">
        <f>INDEX([1]icer_country!$A$2:$F$117,MATCH($A113,[1]icer_country!$A$2:$A$117,0),MATCH(E$1,[1]icer_country!$A$1:$F$1,0))</f>
        <v>-247.489391752557</v>
      </c>
      <c r="F113">
        <f>INDEX([1]icer_country!$A$2:$F$117,MATCH($A113,[1]icer_country!$A$2:$A$117,0),MATCH(F$1,[1]icer_country!$A$1:$F$1,0))</f>
        <v>-242.24848226095401</v>
      </c>
      <c r="G113">
        <f>INDEX([1]icer_country!$A$2:$F$117,MATCH($A113,[1]icer_country!$A$2:$A$117,0),MATCH(G$1,[1]icer_country!$A$1:$F$1,0))</f>
        <v>22411.361947131601</v>
      </c>
      <c r="H113">
        <f>INDEX([1]icer_country!$A$2:$F$117,MATCH($A113,[1]icer_country!$A$2:$A$117,0),MATCH(H$1,[1]icer_country!$A$1:$F$1,0))</f>
        <v>99265.707017139997</v>
      </c>
      <c r="I113">
        <f t="shared" si="9"/>
        <v>0.60725792249638066</v>
      </c>
      <c r="J113">
        <f t="shared" si="10"/>
        <v>-0.51840115474465731</v>
      </c>
      <c r="K113">
        <f t="shared" si="11"/>
        <v>-0.50742333661225181</v>
      </c>
      <c r="L113">
        <f t="shared" si="12"/>
        <v>46.943732943549314</v>
      </c>
      <c r="M113">
        <f t="shared" si="13"/>
        <v>207.92591060096836</v>
      </c>
    </row>
    <row r="114" spans="1:13" x14ac:dyDescent="0.25">
      <c r="A114" t="s">
        <v>238</v>
      </c>
      <c r="B114" t="s">
        <v>239</v>
      </c>
      <c r="C114">
        <v>6022.5425418935038</v>
      </c>
      <c r="D114">
        <f>INDEX([1]icer_country!$A$2:$F$117,MATCH($A114,[1]icer_country!$A$2:$A$117,0),MATCH(D$1,[1]icer_country!$A$1:$F$1,0))</f>
        <v>-1109.85516275545</v>
      </c>
      <c r="E114">
        <f>INDEX([1]icer_country!$A$2:$F$117,MATCH($A114,[1]icer_country!$A$2:$A$117,0),MATCH(E$1,[1]icer_country!$A$1:$F$1,0))</f>
        <v>-2443.6345706515799</v>
      </c>
      <c r="F114">
        <f>INDEX([1]icer_country!$A$2:$F$117,MATCH($A114,[1]icer_country!$A$2:$A$117,0),MATCH(F$1,[1]icer_country!$A$1:$F$1,0))</f>
        <v>7966.4548808441996</v>
      </c>
      <c r="G114">
        <f>INDEX([1]icer_country!$A$2:$F$117,MATCH($A114,[1]icer_country!$A$2:$A$117,0),MATCH(G$1,[1]icer_country!$A$1:$F$1,0))</f>
        <v>50006.210718303599</v>
      </c>
      <c r="H114">
        <f>INDEX([1]icer_country!$A$2:$F$117,MATCH($A114,[1]icer_country!$A$2:$A$117,0),MATCH(H$1,[1]icer_country!$A$1:$F$1,0))</f>
        <v>378258.28178575699</v>
      </c>
      <c r="I114">
        <f t="shared" si="9"/>
        <v>-0.18428349074085718</v>
      </c>
      <c r="J114">
        <f t="shared" si="10"/>
        <v>-0.40574799657343635</v>
      </c>
      <c r="K114">
        <f t="shared" si="11"/>
        <v>1.3227727036261872</v>
      </c>
      <c r="L114">
        <f t="shared" si="12"/>
        <v>8.3031726833732762</v>
      </c>
      <c r="M114">
        <f t="shared" si="13"/>
        <v>62.807075110644476</v>
      </c>
    </row>
    <row r="115" spans="1:13" x14ac:dyDescent="0.25">
      <c r="A115" t="s">
        <v>220</v>
      </c>
      <c r="B115" t="s">
        <v>221</v>
      </c>
      <c r="C115">
        <v>3977.6951663964378</v>
      </c>
      <c r="D115">
        <f>INDEX([1]icer_country!$A$2:$F$117,MATCH($A115,[1]icer_country!$A$2:$A$117,0),MATCH(D$1,[1]icer_country!$A$1:$F$1,0))</f>
        <v>-1225.4305766821001</v>
      </c>
      <c r="E115">
        <f>INDEX([1]icer_country!$A$2:$F$117,MATCH($A115,[1]icer_country!$A$2:$A$117,0),MATCH(E$1,[1]icer_country!$A$1:$F$1,0))</f>
        <v>-1279.7988576765399</v>
      </c>
      <c r="F115">
        <f>INDEX([1]icer_country!$A$2:$F$117,MATCH($A115,[1]icer_country!$A$2:$A$117,0),MATCH(F$1,[1]icer_country!$A$1:$F$1,0))</f>
        <v>1730.19363614143</v>
      </c>
      <c r="G115">
        <f>INDEX([1]icer_country!$A$2:$F$117,MATCH($A115,[1]icer_country!$A$2:$A$117,0),MATCH(G$1,[1]icer_country!$A$1:$F$1,0))</f>
        <v>5553.2945353280602</v>
      </c>
      <c r="H115">
        <f>INDEX([1]icer_country!$A$2:$F$117,MATCH($A115,[1]icer_country!$A$2:$A$117,0),MATCH(H$1,[1]icer_country!$A$1:$F$1,0))</f>
        <v>136078.170241382</v>
      </c>
      <c r="I115">
        <f t="shared" si="9"/>
        <v>-0.30807553757123862</v>
      </c>
      <c r="J115">
        <f t="shared" si="10"/>
        <v>-0.32174382503925353</v>
      </c>
      <c r="K115">
        <f t="shared" si="11"/>
        <v>0.43497391423005538</v>
      </c>
      <c r="L115">
        <f t="shared" si="12"/>
        <v>1.3961086264835685</v>
      </c>
      <c r="M115">
        <f t="shared" si="13"/>
        <v>34.210306358056336</v>
      </c>
    </row>
    <row r="116" spans="1:13" x14ac:dyDescent="0.25">
      <c r="A116" t="s">
        <v>83</v>
      </c>
      <c r="B116" t="s">
        <v>84</v>
      </c>
      <c r="C116">
        <v>13105.658567831879</v>
      </c>
      <c r="D116">
        <f>INDEX([1]icer_country!$A$2:$F$117,MATCH($A116,[1]icer_country!$A$2:$A$117,0),MATCH(D$1,[1]icer_country!$A$1:$F$1,0))</f>
        <v>-1122.0627782689601</v>
      </c>
      <c r="E116">
        <f>INDEX([1]icer_country!$A$2:$F$117,MATCH($A116,[1]icer_country!$A$2:$A$117,0),MATCH(E$1,[1]icer_country!$A$1:$F$1,0))</f>
        <v>-2171.8522575279699</v>
      </c>
      <c r="F116">
        <f>INDEX([1]icer_country!$A$2:$F$117,MATCH($A116,[1]icer_country!$A$2:$A$117,0),MATCH(F$1,[1]icer_country!$A$1:$F$1,0))</f>
        <v>12985.382219535501</v>
      </c>
      <c r="G116">
        <f>INDEX([1]icer_country!$A$2:$F$117,MATCH($A116,[1]icer_country!$A$2:$A$117,0),MATCH(G$1,[1]icer_country!$A$1:$F$1,0))</f>
        <v>31162.064152533501</v>
      </c>
      <c r="H116">
        <f>INDEX([1]icer_country!$A$2:$F$117,MATCH($A116,[1]icer_country!$A$2:$A$117,0),MATCH(H$1,[1]icer_country!$A$1:$F$1,0))</f>
        <v>694890.35996171494</v>
      </c>
      <c r="I116">
        <f t="shared" si="9"/>
        <v>-8.5616664928467409E-2</v>
      </c>
      <c r="J116">
        <f t="shared" si="10"/>
        <v>-0.16571866619956269</v>
      </c>
      <c r="K116">
        <f t="shared" si="11"/>
        <v>0.99082256357634713</v>
      </c>
      <c r="L116">
        <f t="shared" si="12"/>
        <v>2.3777564470526844</v>
      </c>
      <c r="M116">
        <f t="shared" si="13"/>
        <v>53.022162630372371</v>
      </c>
    </row>
    <row r="117" spans="1:13" x14ac:dyDescent="0.25">
      <c r="A117" t="s">
        <v>222</v>
      </c>
      <c r="B117" t="s">
        <v>223</v>
      </c>
      <c r="C117">
        <v>32756</v>
      </c>
      <c r="D117">
        <f>INDEX([1]icer_country!$A$2:$F$117,MATCH($A117,[1]icer_country!$A$2:$A$117,0),MATCH(D$1,[1]icer_country!$A$1:$F$1,0))</f>
        <v>-11985.481098579001</v>
      </c>
      <c r="E117">
        <f>INDEX([1]icer_country!$A$2:$F$117,MATCH($A117,[1]icer_country!$A$2:$A$117,0),MATCH(E$1,[1]icer_country!$A$1:$F$1,0))</f>
        <v>-16956.832506825998</v>
      </c>
      <c r="F117">
        <f>INDEX([1]icer_country!$A$2:$F$117,MATCH($A117,[1]icer_country!$A$2:$A$117,0),MATCH(F$1,[1]icer_country!$A$1:$F$1,0))</f>
        <v>48946.2978895208</v>
      </c>
      <c r="G117">
        <f>INDEX([1]icer_country!$A$2:$F$117,MATCH($A117,[1]icer_country!$A$2:$A$117,0),MATCH(G$1,[1]icer_country!$A$1:$F$1,0))</f>
        <v>97068.710068537795</v>
      </c>
      <c r="H117">
        <f>INDEX([1]icer_country!$A$2:$F$117,MATCH($A117,[1]icer_country!$A$2:$A$117,0),MATCH(H$1,[1]icer_country!$A$1:$F$1,0))</f>
        <v>4206537.4595198296</v>
      </c>
      <c r="I117">
        <f t="shared" si="9"/>
        <v>-0.36590185305223472</v>
      </c>
      <c r="J117">
        <f t="shared" si="10"/>
        <v>-0.51767103757558919</v>
      </c>
      <c r="K117">
        <f t="shared" si="11"/>
        <v>1.4942696876761754</v>
      </c>
      <c r="L117">
        <f t="shared" si="12"/>
        <v>2.9633871678024728</v>
      </c>
      <c r="M117">
        <f t="shared" si="13"/>
        <v>128.42036449871259</v>
      </c>
    </row>
  </sheetData>
  <phoneticPr fontId="3" type="noConversion"/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DC9346A4EFF44B9278E035670E998A" ma:contentTypeVersion="9" ma:contentTypeDescription="Create a new document." ma:contentTypeScope="" ma:versionID="ce90f198977bd0ea8ac85803c661b37d">
  <xsd:schema xmlns:xsd="http://www.w3.org/2001/XMLSchema" xmlns:xs="http://www.w3.org/2001/XMLSchema" xmlns:p="http://schemas.microsoft.com/office/2006/metadata/properties" xmlns:ns2="460e4ad2-c64b-4f67-8552-094351f252e3" targetNamespace="http://schemas.microsoft.com/office/2006/metadata/properties" ma:root="true" ma:fieldsID="d425e27b80396f31a5c1d00c1f67fb78" ns2:_="">
    <xsd:import namespace="460e4ad2-c64b-4f67-8552-094351f252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0e4ad2-c64b-4f67-8552-094351f252e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9012861f-df9c-4ac0-92bd-da4c61c7c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0e4ad2-c64b-4f67-8552-094351f252e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BEC6F51-67F8-43C7-B379-9A5DB213EAA6}"/>
</file>

<file path=customXml/itemProps2.xml><?xml version="1.0" encoding="utf-8"?>
<ds:datastoreItem xmlns:ds="http://schemas.openxmlformats.org/officeDocument/2006/customXml" ds:itemID="{D708A0F1-F8BE-4268-B981-4BDA8515A5D6}"/>
</file>

<file path=customXml/itemProps3.xml><?xml version="1.0" encoding="utf-8"?>
<ds:datastoreItem xmlns:ds="http://schemas.openxmlformats.org/officeDocument/2006/customXml" ds:itemID="{01AF1A8C-2898-4EFF-9B21-B4A2735D9AA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Farah Houdroge</dc:creator>
  <cp:lastModifiedBy>Farah Houdroge</cp:lastModifiedBy>
  <dcterms:created xsi:type="dcterms:W3CDTF">2025-11-07T05:11:02Z</dcterms:created>
  <dcterms:modified xsi:type="dcterms:W3CDTF">2025-11-07T06:31:04Z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0x01010042DC9346A4EFF44B9278E035670E998A</vt:lpwstr>
  </property>
</Properties>
</file>