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netinstitute.sharepoint.com/sites/WG-Modelling-HCVvaccinemodel/Shared Documents/HCV vaccine model/HCV vaccine model/results_2026/scenarios/"/>
    </mc:Choice>
  </mc:AlternateContent>
  <xr:revisionPtr revIDLastSave="391" documentId="8_{79D88BE5-3B5A-46DB-BAE6-6A47375DCB0D}" xr6:coauthVersionLast="47" xr6:coauthVersionMax="47" xr10:uidLastSave="{D354F51A-9B26-4DB1-B153-18D82E00CC65}"/>
  <bookViews>
    <workbookView xWindow="38280" yWindow="-120" windowWidth="29040" windowHeight="15720" xr2:uid="{E9EB4599-165D-41BC-B6BE-552F34CA33CE}"/>
  </bookViews>
  <sheets>
    <sheet name="slides-0" sheetId="4" r:id="rId1"/>
    <sheet name="slides-1" sheetId="6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C9" i="6"/>
  <c r="D9" i="6"/>
  <c r="E9" i="6"/>
  <c r="F9" i="6"/>
  <c r="B9" i="6"/>
  <c r="F89" i="4"/>
  <c r="E89" i="4"/>
  <c r="D89" i="4"/>
  <c r="C89" i="4"/>
  <c r="B89" i="4"/>
  <c r="F88" i="4"/>
  <c r="E88" i="4"/>
  <c r="D88" i="4"/>
  <c r="C88" i="4"/>
  <c r="B88" i="4"/>
  <c r="F87" i="4"/>
  <c r="E87" i="4"/>
  <c r="D87" i="4"/>
  <c r="C87" i="4"/>
  <c r="B87" i="4"/>
  <c r="F86" i="4"/>
  <c r="E86" i="4"/>
  <c r="D86" i="4"/>
  <c r="C86" i="4"/>
  <c r="B86" i="4"/>
  <c r="F85" i="4"/>
  <c r="E85" i="4"/>
  <c r="D85" i="4"/>
  <c r="C85" i="4"/>
  <c r="B85" i="4"/>
  <c r="F84" i="4"/>
  <c r="E84" i="4"/>
  <c r="D84" i="4"/>
  <c r="C84" i="4"/>
  <c r="B84" i="4"/>
  <c r="F83" i="4"/>
  <c r="E83" i="4"/>
  <c r="D83" i="4"/>
  <c r="C83" i="4"/>
  <c r="B83" i="4"/>
  <c r="F82" i="4"/>
  <c r="E82" i="4"/>
  <c r="D82" i="4"/>
  <c r="C82" i="4"/>
  <c r="B82" i="4"/>
  <c r="F81" i="4"/>
  <c r="E81" i="4"/>
  <c r="D81" i="4"/>
  <c r="C81" i="4"/>
  <c r="B81" i="4"/>
  <c r="F80" i="4"/>
  <c r="E80" i="4"/>
  <c r="D80" i="4"/>
  <c r="C80" i="4"/>
  <c r="B80" i="4"/>
  <c r="B3" i="6"/>
  <c r="C3" i="6"/>
  <c r="D3" i="6"/>
  <c r="E3" i="6"/>
  <c r="F3" i="6"/>
  <c r="B4" i="6"/>
  <c r="C4" i="6"/>
  <c r="D4" i="6"/>
  <c r="E4" i="6"/>
  <c r="F4" i="6"/>
  <c r="B5" i="6"/>
  <c r="C5" i="6"/>
  <c r="D5" i="6"/>
  <c r="E5" i="6"/>
  <c r="F5" i="6"/>
  <c r="B6" i="6"/>
  <c r="C6" i="6"/>
  <c r="D6" i="6"/>
  <c r="E6" i="6"/>
  <c r="F6" i="6"/>
  <c r="B7" i="6"/>
  <c r="C7" i="6"/>
  <c r="D7" i="6"/>
  <c r="E7" i="6"/>
  <c r="F7" i="6"/>
  <c r="B8" i="6"/>
  <c r="C8" i="6"/>
  <c r="D8" i="6"/>
  <c r="E8" i="6"/>
  <c r="F8" i="6"/>
  <c r="C2" i="6"/>
  <c r="D2" i="6"/>
  <c r="E2" i="6"/>
  <c r="F2" i="6"/>
  <c r="B2" i="6"/>
  <c r="B70" i="4"/>
  <c r="C70" i="4"/>
  <c r="D70" i="4"/>
  <c r="E70" i="4"/>
  <c r="F70" i="4"/>
  <c r="B71" i="4"/>
  <c r="C71" i="4"/>
  <c r="D71" i="4"/>
  <c r="E71" i="4"/>
  <c r="F71" i="4"/>
  <c r="B72" i="4"/>
  <c r="C72" i="4"/>
  <c r="D72" i="4"/>
  <c r="E72" i="4"/>
  <c r="F72" i="4"/>
  <c r="B73" i="4"/>
  <c r="C73" i="4"/>
  <c r="D73" i="4"/>
  <c r="E73" i="4"/>
  <c r="F73" i="4"/>
  <c r="B74" i="4"/>
  <c r="C74" i="4"/>
  <c r="D74" i="4"/>
  <c r="E74" i="4"/>
  <c r="F74" i="4"/>
  <c r="B75" i="4"/>
  <c r="C75" i="4"/>
  <c r="D75" i="4"/>
  <c r="E75" i="4"/>
  <c r="F75" i="4"/>
  <c r="B76" i="4"/>
  <c r="C76" i="4"/>
  <c r="D76" i="4"/>
  <c r="E76" i="4"/>
  <c r="F76" i="4"/>
  <c r="B77" i="4"/>
  <c r="C77" i="4"/>
  <c r="D77" i="4"/>
  <c r="E77" i="4"/>
  <c r="F77" i="4"/>
  <c r="B78" i="4"/>
  <c r="C78" i="4"/>
  <c r="D78" i="4"/>
  <c r="E78" i="4"/>
  <c r="F78" i="4"/>
  <c r="C69" i="4"/>
  <c r="D69" i="4"/>
  <c r="E69" i="4"/>
  <c r="F69" i="4"/>
  <c r="B69" i="4"/>
  <c r="B59" i="4"/>
  <c r="C59" i="4"/>
  <c r="D59" i="4"/>
  <c r="E59" i="4"/>
  <c r="F59" i="4"/>
  <c r="B60" i="4"/>
  <c r="C60" i="4"/>
  <c r="D60" i="4"/>
  <c r="E60" i="4"/>
  <c r="F60" i="4"/>
  <c r="B61" i="4"/>
  <c r="C61" i="4"/>
  <c r="D61" i="4"/>
  <c r="E61" i="4"/>
  <c r="F61" i="4"/>
  <c r="B62" i="4"/>
  <c r="C62" i="4"/>
  <c r="D62" i="4"/>
  <c r="E62" i="4"/>
  <c r="F62" i="4"/>
  <c r="B63" i="4"/>
  <c r="C63" i="4"/>
  <c r="D63" i="4"/>
  <c r="E63" i="4"/>
  <c r="F63" i="4"/>
  <c r="B64" i="4"/>
  <c r="C64" i="4"/>
  <c r="D64" i="4"/>
  <c r="E64" i="4"/>
  <c r="F64" i="4"/>
  <c r="B65" i="4"/>
  <c r="C65" i="4"/>
  <c r="D65" i="4"/>
  <c r="E65" i="4"/>
  <c r="F65" i="4"/>
  <c r="B66" i="4"/>
  <c r="C66" i="4"/>
  <c r="D66" i="4"/>
  <c r="E66" i="4"/>
  <c r="F66" i="4"/>
  <c r="B67" i="4"/>
  <c r="C67" i="4"/>
  <c r="D67" i="4"/>
  <c r="E67" i="4"/>
  <c r="F67" i="4"/>
  <c r="C58" i="4"/>
  <c r="D58" i="4"/>
  <c r="E58" i="4"/>
  <c r="F58" i="4"/>
  <c r="B58" i="4"/>
  <c r="B48" i="4"/>
  <c r="C48" i="4"/>
  <c r="D48" i="4"/>
  <c r="E48" i="4"/>
  <c r="F48" i="4"/>
  <c r="B49" i="4"/>
  <c r="C49" i="4"/>
  <c r="D49" i="4"/>
  <c r="E49" i="4"/>
  <c r="F49" i="4"/>
  <c r="B50" i="4"/>
  <c r="C50" i="4"/>
  <c r="D50" i="4"/>
  <c r="E50" i="4"/>
  <c r="F50" i="4"/>
  <c r="B51" i="4"/>
  <c r="C51" i="4"/>
  <c r="D51" i="4"/>
  <c r="E51" i="4"/>
  <c r="F51" i="4"/>
  <c r="B52" i="4"/>
  <c r="C52" i="4"/>
  <c r="D52" i="4"/>
  <c r="E52" i="4"/>
  <c r="F52" i="4"/>
  <c r="B53" i="4"/>
  <c r="C53" i="4"/>
  <c r="D53" i="4"/>
  <c r="E53" i="4"/>
  <c r="F53" i="4"/>
  <c r="B54" i="4"/>
  <c r="C54" i="4"/>
  <c r="D54" i="4"/>
  <c r="E54" i="4"/>
  <c r="F54" i="4"/>
  <c r="B55" i="4"/>
  <c r="C55" i="4"/>
  <c r="D55" i="4"/>
  <c r="E55" i="4"/>
  <c r="F55" i="4"/>
  <c r="B56" i="4"/>
  <c r="C56" i="4"/>
  <c r="D56" i="4"/>
  <c r="E56" i="4"/>
  <c r="F56" i="4"/>
  <c r="C47" i="4"/>
  <c r="D47" i="4"/>
  <c r="E47" i="4"/>
  <c r="F47" i="4"/>
  <c r="B47" i="4"/>
  <c r="B37" i="4"/>
  <c r="C37" i="4"/>
  <c r="D37" i="4"/>
  <c r="E37" i="4"/>
  <c r="F37" i="4"/>
  <c r="B38" i="4"/>
  <c r="C38" i="4"/>
  <c r="D38" i="4"/>
  <c r="E38" i="4"/>
  <c r="F38" i="4"/>
  <c r="B39" i="4"/>
  <c r="C39" i="4"/>
  <c r="D39" i="4"/>
  <c r="E39" i="4"/>
  <c r="F39" i="4"/>
  <c r="B40" i="4"/>
  <c r="C40" i="4"/>
  <c r="D40" i="4"/>
  <c r="E40" i="4"/>
  <c r="F40" i="4"/>
  <c r="B41" i="4"/>
  <c r="C41" i="4"/>
  <c r="D41" i="4"/>
  <c r="E41" i="4"/>
  <c r="F41" i="4"/>
  <c r="B42" i="4"/>
  <c r="C42" i="4"/>
  <c r="D42" i="4"/>
  <c r="E42" i="4"/>
  <c r="F42" i="4"/>
  <c r="B43" i="4"/>
  <c r="C43" i="4"/>
  <c r="D43" i="4"/>
  <c r="E43" i="4"/>
  <c r="F43" i="4"/>
  <c r="B44" i="4"/>
  <c r="C44" i="4"/>
  <c r="D44" i="4"/>
  <c r="E44" i="4"/>
  <c r="F44" i="4"/>
  <c r="B45" i="4"/>
  <c r="C45" i="4"/>
  <c r="D45" i="4"/>
  <c r="E45" i="4"/>
  <c r="F45" i="4"/>
  <c r="C36" i="4"/>
  <c r="D36" i="4"/>
  <c r="E36" i="4"/>
  <c r="F36" i="4"/>
  <c r="B36" i="4"/>
  <c r="B26" i="4"/>
  <c r="C26" i="4"/>
  <c r="D26" i="4"/>
  <c r="E26" i="4"/>
  <c r="F26" i="4"/>
  <c r="B27" i="4"/>
  <c r="C27" i="4"/>
  <c r="D27" i="4"/>
  <c r="E27" i="4"/>
  <c r="F27" i="4"/>
  <c r="B28" i="4"/>
  <c r="C28" i="4"/>
  <c r="D28" i="4"/>
  <c r="E28" i="4"/>
  <c r="F28" i="4"/>
  <c r="B29" i="4"/>
  <c r="C29" i="4"/>
  <c r="D29" i="4"/>
  <c r="E29" i="4"/>
  <c r="F29" i="4"/>
  <c r="B30" i="4"/>
  <c r="C30" i="4"/>
  <c r="D30" i="4"/>
  <c r="E30" i="4"/>
  <c r="F30" i="4"/>
  <c r="B31" i="4"/>
  <c r="C31" i="4"/>
  <c r="D31" i="4"/>
  <c r="E31" i="4"/>
  <c r="F31" i="4"/>
  <c r="B32" i="4"/>
  <c r="C32" i="4"/>
  <c r="D32" i="4"/>
  <c r="E32" i="4"/>
  <c r="F32" i="4"/>
  <c r="B33" i="4"/>
  <c r="C33" i="4"/>
  <c r="D33" i="4"/>
  <c r="E33" i="4"/>
  <c r="F33" i="4"/>
  <c r="B34" i="4"/>
  <c r="C34" i="4"/>
  <c r="D34" i="4"/>
  <c r="E34" i="4"/>
  <c r="F34" i="4"/>
  <c r="C25" i="4"/>
  <c r="D25" i="4"/>
  <c r="E25" i="4"/>
  <c r="F25" i="4"/>
  <c r="B25" i="4"/>
  <c r="B15" i="4"/>
  <c r="C15" i="4"/>
  <c r="D15" i="4"/>
  <c r="E15" i="4"/>
  <c r="F15" i="4"/>
  <c r="B16" i="4"/>
  <c r="C16" i="4"/>
  <c r="D16" i="4"/>
  <c r="E16" i="4"/>
  <c r="F16" i="4"/>
  <c r="B17" i="4"/>
  <c r="C17" i="4"/>
  <c r="D17" i="4"/>
  <c r="E17" i="4"/>
  <c r="F17" i="4"/>
  <c r="B18" i="4"/>
  <c r="C18" i="4"/>
  <c r="D18" i="4"/>
  <c r="E18" i="4"/>
  <c r="F18" i="4"/>
  <c r="B19" i="4"/>
  <c r="C19" i="4"/>
  <c r="D19" i="4"/>
  <c r="E19" i="4"/>
  <c r="F19" i="4"/>
  <c r="B20" i="4"/>
  <c r="C20" i="4"/>
  <c r="D20" i="4"/>
  <c r="E20" i="4"/>
  <c r="F20" i="4"/>
  <c r="B21" i="4"/>
  <c r="C21" i="4"/>
  <c r="D21" i="4"/>
  <c r="E21" i="4"/>
  <c r="F21" i="4"/>
  <c r="B22" i="4"/>
  <c r="C22" i="4"/>
  <c r="D22" i="4"/>
  <c r="E22" i="4"/>
  <c r="F22" i="4"/>
  <c r="B23" i="4"/>
  <c r="C23" i="4"/>
  <c r="D23" i="4"/>
  <c r="E23" i="4"/>
  <c r="F23" i="4"/>
  <c r="C14" i="4"/>
  <c r="D14" i="4"/>
  <c r="E14" i="4"/>
  <c r="F14" i="4"/>
  <c r="B14" i="4"/>
  <c r="B4" i="4"/>
  <c r="C4" i="4"/>
  <c r="D4" i="4"/>
  <c r="E4" i="4"/>
  <c r="F4" i="4"/>
  <c r="B5" i="4"/>
  <c r="C5" i="4"/>
  <c r="D5" i="4"/>
  <c r="E5" i="4"/>
  <c r="F5" i="4"/>
  <c r="B6" i="4"/>
  <c r="C6" i="4"/>
  <c r="D6" i="4"/>
  <c r="E6" i="4"/>
  <c r="F6" i="4"/>
  <c r="B7" i="4"/>
  <c r="C7" i="4"/>
  <c r="D7" i="4"/>
  <c r="E7" i="4"/>
  <c r="F7" i="4"/>
  <c r="B8" i="4"/>
  <c r="C8" i="4"/>
  <c r="D8" i="4"/>
  <c r="E8" i="4"/>
  <c r="F8" i="4"/>
  <c r="B9" i="4"/>
  <c r="C9" i="4"/>
  <c r="D9" i="4"/>
  <c r="E9" i="4"/>
  <c r="F9" i="4"/>
  <c r="B10" i="4"/>
  <c r="C10" i="4"/>
  <c r="D10" i="4"/>
  <c r="E10" i="4"/>
  <c r="F10" i="4"/>
  <c r="B11" i="4"/>
  <c r="C11" i="4"/>
  <c r="D11" i="4"/>
  <c r="E11" i="4"/>
  <c r="F11" i="4"/>
  <c r="B12" i="4"/>
  <c r="C12" i="4"/>
  <c r="D12" i="4"/>
  <c r="E12" i="4"/>
  <c r="F12" i="4"/>
  <c r="C3" i="4"/>
  <c r="D3" i="4"/>
  <c r="E3" i="4"/>
  <c r="F3" i="4"/>
</calcChain>
</file>

<file path=xl/sharedStrings.xml><?xml version="1.0" encoding="utf-8"?>
<sst xmlns="http://schemas.openxmlformats.org/spreadsheetml/2006/main" count="108" uniqueCount="42">
  <si>
    <t>PWID Vaccination</t>
  </si>
  <si>
    <t>South East Asia Region (n=6 countries)</t>
  </si>
  <si>
    <t>PWID + Campaign</t>
  </si>
  <si>
    <t>PWID + Campaign + Prisoners</t>
  </si>
  <si>
    <t>PWID + Campaign + Prisoners + Schools</t>
  </si>
  <si>
    <t>PWID + Campaign + Prisoners + Schools+Adults</t>
  </si>
  <si>
    <t>African Region (n=20 countries)</t>
  </si>
  <si>
    <t>Region of the Americas (n=15 countries)</t>
  </si>
  <si>
    <t>Eastern Mediterranean Region (n=18 countries)</t>
  </si>
  <si>
    <t>European Region (n=43 countries)</t>
  </si>
  <si>
    <t>Vaccine-averted HCV infections</t>
  </si>
  <si>
    <t>Vaccine-averted HCC cases</t>
  </si>
  <si>
    <t>Vaccine-averted HCV deaths</t>
  </si>
  <si>
    <t>African Region</t>
  </si>
  <si>
    <t>Region of the Americas</t>
  </si>
  <si>
    <t>Eastern Mediterranean Region</t>
  </si>
  <si>
    <t>European Region</t>
  </si>
  <si>
    <t>South East Asia Region</t>
  </si>
  <si>
    <t>Western Pacific Region</t>
  </si>
  <si>
    <t>Benefit-Cost Ratios
2026–2050</t>
  </si>
  <si>
    <t>Outcomes
2026–2050</t>
  </si>
  <si>
    <t>Cost per DALY averted</t>
  </si>
  <si>
    <t>Global</t>
  </si>
  <si>
    <t>Global (n=116 countries)</t>
  </si>
  <si>
    <t>Western Pacific Region (n=14 countries)</t>
  </si>
  <si>
    <t>High Burden Countries</t>
  </si>
  <si>
    <t>High Burden Countries (n=10 countries)</t>
  </si>
  <si>
    <t>Vaccine-averted DALYs</t>
  </si>
  <si>
    <t>Vaccine-averted direct costs</t>
  </si>
  <si>
    <t>Vaccine-attributable productivity gains</t>
  </si>
  <si>
    <t>Vaccine costs</t>
  </si>
  <si>
    <t>Benefit-cost ratio</t>
  </si>
  <si>
    <t>Vaccines administered</t>
  </si>
  <si>
    <t>Scenario 1</t>
  </si>
  <si>
    <t>Scenario 2</t>
  </si>
  <si>
    <t>Scenario 3</t>
  </si>
  <si>
    <t>Scenario 4</t>
  </si>
  <si>
    <t>Scenario 5</t>
  </si>
  <si>
    <t>Vaccine costs ($)</t>
  </si>
  <si>
    <t>Cost per DALY averted ($)</t>
  </si>
  <si>
    <t>Vaccine-averted direct costs ($)</t>
  </si>
  <si>
    <t>Vaccine-attributable productivity gains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</si>
</sst>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0" fillId="4" borderId="1" xfId="0" quotePrefix="1" applyFill="1" applyBorder="1" applyAlignment="1">
      <alignment horizontal="right" vertical="center" wrapText="1"/>
    </xf>
    <xf numFmtId="0" fontId="3" fillId="0" borderId="1" xfId="0" quotePrefix="1" applyFont="1" applyBorder="1" applyAlignment="1">
      <alignment horizontal="right" vertical="center" wrapText="1"/>
    </xf>
    <xf numFmtId="0" fontId="3" fillId="4" borderId="1" xfId="0" quotePrefix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quotePrefix="1" applyFont="1" applyBorder="1" applyAlignment="1">
      <alignment horizontal="righ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7" fillId="4" borderId="1" xfId="0" quotePrefix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netinstitute.sharepoint.com/sites/WG-Modelling-HCVvaccinemodel/Shared%20Documents/HCV%20vaccine%20model/HCV%20vaccine%20model/results_2026/scenarios/print_tables.xlsx" TargetMode="External"/><Relationship Id="rId1" Type="http://schemas.openxmlformats.org/officeDocument/2006/relationships/externalLinkPath" Target="print_tab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outcomes"/>
      <sheetName val="bcrs"/>
    </sheetNames>
    <sheetDataSet>
      <sheetData sheetId="0">
        <row r="3">
          <cell r="B3" t="str">
            <v>17.5M 
 (13.7M to 20.7M)</v>
          </cell>
          <cell r="C3" t="str">
            <v>21.9M 
 (18.5M to 24.9M)</v>
          </cell>
          <cell r="D3" t="str">
            <v>44.6M 
 (42.7M to 46.5M)</v>
          </cell>
          <cell r="E3" t="str">
            <v>404M 
 (402M to 406M)</v>
          </cell>
          <cell r="F3" t="str">
            <v>8.26B 
 (8.25B to 8.26B)</v>
          </cell>
        </row>
        <row r="4">
          <cell r="B4" t="str">
            <v>1.13M 
 (856k to 1.39M)</v>
          </cell>
          <cell r="C4" t="str">
            <v>1.58M 
 (1.39M to 1.8M)</v>
          </cell>
          <cell r="D4" t="str">
            <v>2.36M 
 (2.25M to 2.5M)</v>
          </cell>
          <cell r="E4" t="str">
            <v>2.91M 
 (2.81M to 3.1M)</v>
          </cell>
          <cell r="F4" t="str">
            <v>8.76M 
 (8.14M to 9.61M)</v>
          </cell>
        </row>
        <row r="5">
          <cell r="B5" t="str">
            <v>1.41k 
 (676 to 1.89k)</v>
          </cell>
          <cell r="C5" t="str">
            <v>3.67k 
 (1.67k to 4.72k)</v>
          </cell>
          <cell r="D5" t="str">
            <v>4.5k 
 (1.98k to 5.74k)</v>
          </cell>
          <cell r="E5" t="str">
            <v>4.82k 
 (2.18k to 6.06k)</v>
          </cell>
          <cell r="F5" t="str">
            <v>15.9k 
 (6.62k to 23.7k)</v>
          </cell>
        </row>
        <row r="6">
          <cell r="B6" t="str">
            <v>2.49k 
 (1.18k to 3.28k)</v>
          </cell>
          <cell r="C6" t="str">
            <v>5.66k 
 (2.52k to 7.44k)</v>
          </cell>
          <cell r="D6" t="str">
            <v>7.4k 
 (3.18k to 9.55k)</v>
          </cell>
          <cell r="E6" t="str">
            <v>7.9k 
 (3.5k to 10k)</v>
          </cell>
          <cell r="F6" t="str">
            <v>24.1k 
 (10.8k to 37.3k)</v>
          </cell>
        </row>
        <row r="7">
          <cell r="B7" t="str">
            <v>13.7k 
 (6.25k to 18.9k)</v>
          </cell>
          <cell r="C7" t="str">
            <v>35.3k 
 (14.7k to 49.3k)</v>
          </cell>
          <cell r="D7" t="str">
            <v>46.2k 
 (18.6k to 63k)</v>
          </cell>
          <cell r="E7" t="str">
            <v>48.3k 
 (20.1k to 65.4k)</v>
          </cell>
          <cell r="F7" t="str">
            <v>126k 
 (55.6k to 184k)</v>
          </cell>
        </row>
        <row r="8">
          <cell r="B8" t="str">
            <v>283M 
 (196M to 514M)</v>
          </cell>
          <cell r="C8" t="str">
            <v>471M 
 (343M to 802M)</v>
          </cell>
          <cell r="D8" t="str">
            <v>642M 
 (493M to 1.09B)</v>
          </cell>
          <cell r="E8" t="str">
            <v>645M 
 (496M to 1.09B)</v>
          </cell>
          <cell r="F8" t="str">
            <v>767M 
 (591M to 1.35B)</v>
          </cell>
        </row>
        <row r="9">
          <cell r="B9" t="str">
            <v>2.53B 
 (1.92B to 3.14B)</v>
          </cell>
          <cell r="C9" t="str">
            <v>3.24B 
 (2.74B to 3.71B)</v>
          </cell>
          <cell r="D9" t="str">
            <v>3.54B 
 (3.13B to 3.95B)</v>
          </cell>
          <cell r="E9" t="str">
            <v>3.67B 
 (3.25B to 4.08B)</v>
          </cell>
          <cell r="F9" t="str">
            <v>6.59B 
 (5.97B to 7.25B)</v>
          </cell>
        </row>
        <row r="10">
          <cell r="B10" t="str">
            <v>985M 
 (863M to 1.08B)</v>
          </cell>
          <cell r="C10" t="str">
            <v>1.15B 
 (1.04B to 1.23B)</v>
          </cell>
          <cell r="D10" t="str">
            <v>1.9B 
 (1.84B to 1.96B)</v>
          </cell>
          <cell r="E10" t="str">
            <v>8.11B 
 (8.05B to 8.17B)</v>
          </cell>
          <cell r="F10" t="str">
            <v>203B 
 (203B to 203B)</v>
          </cell>
        </row>
        <row r="11">
          <cell r="B11" t="str">
            <v>51.5k 
 (27.6k to 108k)</v>
          </cell>
          <cell r="C11" t="str">
            <v>19.1k 
 (7.56k to 46.8k)</v>
          </cell>
          <cell r="D11" t="str">
            <v>27.3k 
 (14.5k to 70.5k)</v>
          </cell>
          <cell r="E11" t="str">
            <v>154k 
 (110k to 375k)</v>
          </cell>
          <cell r="F11" t="str">
            <v>1.61M 
 (1.1M to 3.64M)</v>
          </cell>
        </row>
        <row r="12">
          <cell r="B12" t="str">
            <v>2.86 
 (2.35 to 3.54)</v>
          </cell>
          <cell r="C12" t="str">
            <v>3.24 
 (2.71 to 3.93)</v>
          </cell>
          <cell r="D12" t="str">
            <v>2.2 
 (1.89 to 2.56)</v>
          </cell>
          <cell r="E12" t="str">
            <v>0.53 
 (0.46 to 0.62)</v>
          </cell>
          <cell r="F12" t="str">
            <v>0.04 
 (0.03 to 0.04)</v>
          </cell>
        </row>
        <row r="14">
          <cell r="B14" t="str">
            <v>12.8M 
 (9.97M to 15.1M)</v>
          </cell>
          <cell r="C14" t="str">
            <v>15.6M 
 (13M to 17.8M)</v>
          </cell>
          <cell r="D14" t="str">
            <v>30.9M 
 (29.5M to 32.3M)</v>
          </cell>
          <cell r="E14" t="str">
            <v>187M 
 (185M to 188M)</v>
          </cell>
          <cell r="F14" t="str">
            <v>4.8B 
 (4.79B to 4.8B)</v>
          </cell>
        </row>
        <row r="15">
          <cell r="B15" t="str">
            <v>610k 
 (421k to 807k)</v>
          </cell>
          <cell r="C15" t="str">
            <v>886k 
 (765k to 1.04M)</v>
          </cell>
          <cell r="D15" t="str">
            <v>1.2M 
 (1.14M to 1.28M)</v>
          </cell>
          <cell r="E15" t="str">
            <v>1.42M 
 (1.37M to 1.52M)</v>
          </cell>
          <cell r="F15" t="str">
            <v>4.8M 
 (4.59M to 5.13M)</v>
          </cell>
        </row>
        <row r="16">
          <cell r="B16" t="str">
            <v>810 
 (401 to 1.12k)</v>
          </cell>
          <cell r="C16" t="str">
            <v>2.23k 
 (1.05k to 2.86k)</v>
          </cell>
          <cell r="D16" t="str">
            <v>2.56k 
 (1.13k to 3.26k)</v>
          </cell>
          <cell r="E16" t="str">
            <v>2.73k 
 (1.23k to 3.44k)</v>
          </cell>
          <cell r="F16" t="str">
            <v>10.3k 
 (4.26k to 15.3k)</v>
          </cell>
        </row>
        <row r="17">
          <cell r="B17" t="str">
            <v>1.23k 
 (623 to 1.69k)</v>
          </cell>
          <cell r="C17" t="str">
            <v>2.65k 
 (1.25k to 3.47k)</v>
          </cell>
          <cell r="D17" t="str">
            <v>3.15k 
 (1.37k to 4.09k)</v>
          </cell>
          <cell r="E17" t="str">
            <v>3.34k 
 (1.49k to 4.25k)</v>
          </cell>
          <cell r="F17" t="str">
            <v>11.4k 
 (4.9k to 17.6k)</v>
          </cell>
        </row>
        <row r="18">
          <cell r="B18" t="str">
            <v>7.56k 
 (3.58k to 10.6k)</v>
          </cell>
          <cell r="C18" t="str">
            <v>19.1k 
 (8.32k to 27k)</v>
          </cell>
          <cell r="D18" t="str">
            <v>23.2k 
 (9.69k to 32k)</v>
          </cell>
          <cell r="E18" t="str">
            <v>24.2k 
 (10.3k to 33.2k)</v>
          </cell>
          <cell r="F18" t="str">
            <v>71.5k 
 (30.5k to 106k)</v>
          </cell>
        </row>
        <row r="19">
          <cell r="B19" t="str">
            <v>170M 
 (110M to 317M)</v>
          </cell>
          <cell r="C19" t="str">
            <v>260M 
 (188M to 442M)</v>
          </cell>
          <cell r="D19" t="str">
            <v>311M 
 (235M to 522M)</v>
          </cell>
          <cell r="E19" t="str">
            <v>312M 
 (235M to 524M)</v>
          </cell>
          <cell r="F19" t="str">
            <v>358M 
 (267M to 608M)</v>
          </cell>
        </row>
        <row r="20">
          <cell r="B20" t="str">
            <v>1.65B 
 (1.21B to 2.16B)</v>
          </cell>
          <cell r="C20" t="str">
            <v>1.93B 
 (1.57B to 2.31B)</v>
          </cell>
          <cell r="D20" t="str">
            <v>1.95B 
 (1.69B to 2.2B)</v>
          </cell>
          <cell r="E20" t="str">
            <v>2B 
 (1.73B to 2.25B)</v>
          </cell>
          <cell r="F20" t="str">
            <v>3.32B 
 (3.01B to 3.65B)</v>
          </cell>
        </row>
        <row r="21">
          <cell r="B21" t="str">
            <v>781M 
 (682M to 853M)</v>
          </cell>
          <cell r="C21" t="str">
            <v>878M 
 (795M to 941M)</v>
          </cell>
          <cell r="D21" t="str">
            <v>1.42B 
 (1.37B to 1.47B)</v>
          </cell>
          <cell r="E21" t="str">
            <v>4.34B 
 (4.29B to 4.38B)</v>
          </cell>
          <cell r="F21" t="str">
            <v>90.9B 
 (90.9B to 91B)</v>
          </cell>
        </row>
        <row r="22">
          <cell r="B22" t="str">
            <v>80.8k 
 (47.4k to 166k)</v>
          </cell>
          <cell r="C22" t="str">
            <v>32.3k 
 (17.3k to 73.7k)</v>
          </cell>
          <cell r="D22" t="str">
            <v>47.9k 
 (29.7k to 119k)</v>
          </cell>
          <cell r="E22" t="str">
            <v>166k 
 (117k to 396k)</v>
          </cell>
          <cell r="F22" t="str">
            <v>1.27M 
 (854k to 2.97M)</v>
          </cell>
        </row>
        <row r="23">
          <cell r="B23" t="str">
            <v>2.33 
 (1.82 to 3.05)</v>
          </cell>
          <cell r="C23" t="str">
            <v>2.5 
 (2.05 to 3.15)</v>
          </cell>
          <cell r="D23" t="str">
            <v>1.59 
 (1.35 to 1.89)</v>
          </cell>
          <cell r="E23" t="str">
            <v>0.53 
 (0.46 to 0.63)</v>
          </cell>
          <cell r="F23" t="str">
            <v>0.04 
 (0.04 to 0.05)</v>
          </cell>
        </row>
        <row r="25">
          <cell r="B25" t="str">
            <v>304k 
 (130k to 553k)</v>
          </cell>
          <cell r="C25" t="str">
            <v>704k 
 (540k to 931k)</v>
          </cell>
          <cell r="D25" t="str">
            <v>2.64M 
 (2.54M to 2.78M)</v>
          </cell>
          <cell r="E25" t="str">
            <v>119M 
 (119M to 119M)</v>
          </cell>
          <cell r="F25" t="str">
            <v>1.04B 
 (1.04B to 1.04B)</v>
          </cell>
        </row>
        <row r="26">
          <cell r="B26" t="str">
            <v>18k 
 (5.77k to 28.5k)</v>
          </cell>
          <cell r="C26" t="str">
            <v>47.9k 
 (38.4k to 55.9k)</v>
          </cell>
          <cell r="D26" t="str">
            <v>81.9k 
 (74.9k to 87.9k)</v>
          </cell>
          <cell r="E26" t="str">
            <v>299k 
 (283k to 327k)</v>
          </cell>
          <cell r="F26" t="str">
            <v>1.43M 
 (1.36M to 1.55M)</v>
          </cell>
        </row>
        <row r="27">
          <cell r="B27" t="str">
            <v>11 
 (2 to 20)</v>
          </cell>
          <cell r="C27" t="str">
            <v>91 
 (27 to 136)</v>
          </cell>
          <cell r="D27" t="str">
            <v>99 
 (33 to 142)</v>
          </cell>
          <cell r="E27" t="str">
            <v>195 
 (78 to 294)</v>
          </cell>
          <cell r="F27" t="str">
            <v>1.87k 
 (636 to 3.42k)</v>
          </cell>
        </row>
        <row r="28">
          <cell r="B28" t="str">
            <v>13 
 (3 to 25)</v>
          </cell>
          <cell r="C28" t="str">
            <v>172 
 (46 to 266)</v>
          </cell>
          <cell r="D28" t="str">
            <v>187 
 (56 to 277)</v>
          </cell>
          <cell r="E28" t="str">
            <v>384 
 (145 to 591)</v>
          </cell>
          <cell r="F28" t="str">
            <v>3.67k 
 (1.24k to 6.72k)</v>
          </cell>
        </row>
        <row r="29">
          <cell r="B29" t="str">
            <v>66 
 (16 to 142)</v>
          </cell>
          <cell r="C29" t="str">
            <v>790 
 (213 to 1.3k)</v>
          </cell>
          <cell r="D29" t="str">
            <v>909 
 (284 to 1.42k)</v>
          </cell>
          <cell r="E29" t="str">
            <v>1.63k 
 (599 to 2.43k)</v>
          </cell>
          <cell r="F29" t="str">
            <v>14.7k 
 (5.08k to 26.6k)</v>
          </cell>
        </row>
        <row r="30">
          <cell r="B30" t="str">
            <v>429k 
 (105k to 1.14M)</v>
          </cell>
          <cell r="C30" t="str">
            <v>1.7M 
 (1.08M to 3.34M)</v>
          </cell>
          <cell r="D30" t="str">
            <v>2.96M 
 (2.32M to 5.67M)</v>
          </cell>
          <cell r="E30" t="str">
            <v>2.97M 
 (2.2M to 6.17M)</v>
          </cell>
          <cell r="F30" t="str">
            <v>8.18M 
 (5.4M to 18.5M)</v>
          </cell>
        </row>
        <row r="31">
          <cell r="B31" t="str">
            <v>8.15M 
 (2M to 12.9M)</v>
          </cell>
          <cell r="C31" t="str">
            <v>21.8M 
 (18M to 25.1M)</v>
          </cell>
          <cell r="D31" t="str">
            <v>26.4M 
 (22.8M to 29.9M)</v>
          </cell>
          <cell r="E31" t="str">
            <v>56.8M 
 (52.8M to 62.9M)</v>
          </cell>
          <cell r="F31" t="str">
            <v>379M 
 (344M to 416M)</v>
          </cell>
        </row>
        <row r="32">
          <cell r="B32" t="str">
            <v>1.91M 
 (808k to 3.28M)</v>
          </cell>
          <cell r="C32" t="str">
            <v>4.96M 
 (3.96M to 6.2M)</v>
          </cell>
          <cell r="D32" t="str">
            <v>14.3M 
 (13.6M to 15.1M)</v>
          </cell>
          <cell r="E32" t="str">
            <v>615M 
 (614M to 616M)</v>
          </cell>
          <cell r="F32" t="str">
            <v>7.16B 
 (7.15B to 7.16B)</v>
          </cell>
        </row>
        <row r="33">
          <cell r="B33" t="str">
            <v>22.3k 
 (11.7k to 95.8k)</v>
          </cell>
          <cell r="C33" t="str">
            <v>4.12k 
 (1.59k to 17.4k)</v>
          </cell>
          <cell r="D33" t="str">
            <v>12.5k 
 (7.02k to 42.6k)</v>
          </cell>
          <cell r="E33" t="str">
            <v>376k 
 (251k to 1.02M)</v>
          </cell>
          <cell r="F33" t="str">
            <v>485k 
 (270k to 1.42M)</v>
          </cell>
        </row>
        <row r="34">
          <cell r="B34" t="str">
            <v>4.49 
 (2.68 to 4.95)</v>
          </cell>
          <cell r="C34" t="str">
            <v>4.75 
 (3.91 to 5.43)</v>
          </cell>
          <cell r="D34" t="str">
            <v>2.06 
 (1.82 to 2.36)</v>
          </cell>
          <cell r="E34" t="str">
            <v>0.1 
 (0.09 to 0.11)</v>
          </cell>
          <cell r="F34" t="str">
            <v>0.05 
 (0.05 to 0.06)</v>
          </cell>
        </row>
        <row r="36">
          <cell r="B36" t="str">
            <v>10.4M 
 (9.22M to 11.3M)</v>
          </cell>
          <cell r="C36" t="str">
            <v>11.1M 
 (10M to 11.8M)</v>
          </cell>
          <cell r="D36" t="str">
            <v>16.9M 
 (16.3M to 17.5M)</v>
          </cell>
          <cell r="E36" t="str">
            <v>64.6M 
 (64M to 65.2M)</v>
          </cell>
          <cell r="F36" t="str">
            <v>1.06B 
 (1.06B to 1.06B)</v>
          </cell>
        </row>
        <row r="37">
          <cell r="B37" t="str">
            <v>404k 
 (320k to 516k)</v>
          </cell>
          <cell r="C37" t="str">
            <v>408k 
 (340k to 496k)</v>
          </cell>
          <cell r="D37" t="str">
            <v>418k 
 (379k to 460k)</v>
          </cell>
          <cell r="E37" t="str">
            <v>434k 
 (395k to 476k)</v>
          </cell>
          <cell r="F37" t="str">
            <v>634k 
 (594k to 686k)</v>
          </cell>
        </row>
        <row r="38">
          <cell r="B38" t="str">
            <v>476 
 (250 to 669)</v>
          </cell>
          <cell r="C38" t="str">
            <v>639 
 (325 to 847)</v>
          </cell>
          <cell r="D38" t="str">
            <v>611 
 (275 to 800)</v>
          </cell>
          <cell r="E38" t="str">
            <v>619 
 (281 to 812)</v>
          </cell>
          <cell r="F38" t="str">
            <v>911 
 (416 to 1.27k)</v>
          </cell>
        </row>
        <row r="39">
          <cell r="B39" t="str">
            <v>1.11k 
 (585 to 1.51k)</v>
          </cell>
          <cell r="C39" t="str">
            <v>1.54k 
 (756 to 2.03k)</v>
          </cell>
          <cell r="D39" t="str">
            <v>1.55k 
 (691 to 2.04k)</v>
          </cell>
          <cell r="E39" t="str">
            <v>1.57k 
 (700 to 2.06k)</v>
          </cell>
          <cell r="F39" t="str">
            <v>2.15k 
 (1.01k to 2.82k)</v>
          </cell>
        </row>
        <row r="40">
          <cell r="B40" t="str">
            <v>5.76k 
 (2.93k to 7.99k)</v>
          </cell>
          <cell r="C40" t="str">
            <v>8.14k 
 (3.75k to 11.4k)</v>
          </cell>
          <cell r="D40" t="str">
            <v>8.43k 
 (3.7k to 11.8k)</v>
          </cell>
          <cell r="E40" t="str">
            <v>8.49k 
 (3.73k to 11.8k)</v>
          </cell>
          <cell r="F40" t="str">
            <v>10.6k 
 (4.62k to 14.5k)</v>
          </cell>
        </row>
        <row r="41">
          <cell r="B41" t="str">
            <v>171M 
 (110M to 318M)</v>
          </cell>
          <cell r="C41" t="str">
            <v>174M 
 (116M to 320M)</v>
          </cell>
          <cell r="D41" t="str">
            <v>152M 
 (110M to 267M)</v>
          </cell>
          <cell r="E41" t="str">
            <v>152M 
 (111M to 268M)</v>
          </cell>
          <cell r="F41" t="str">
            <v>155M 
 (108M to 284M)</v>
          </cell>
        </row>
        <row r="42">
          <cell r="B42" t="str">
            <v>1.59B 
 (1.18B to 2.04B)</v>
          </cell>
          <cell r="C42" t="str">
            <v>1.49B 
 (1.16B to 1.83B)</v>
          </cell>
          <cell r="D42" t="str">
            <v>1.38B 
 (1.16B to 1.6B)</v>
          </cell>
          <cell r="E42" t="str">
            <v>1.4B 
 (1.17B to 1.62B)</v>
          </cell>
          <cell r="F42" t="str">
            <v>1.79B 
 (1.55B to 2.04B)</v>
          </cell>
        </row>
        <row r="43">
          <cell r="B43" t="str">
            <v>752M 
 (667M to 811M)</v>
          </cell>
          <cell r="C43" t="str">
            <v>798M 
 (728M to 848M)</v>
          </cell>
          <cell r="D43" t="str">
            <v>1.22B 
 (1.17B to 1.25B)</v>
          </cell>
          <cell r="E43" t="str">
            <v>3.56B 
 (3.51B to 3.59B)</v>
          </cell>
          <cell r="F43" t="str">
            <v>52.3B 
 (52.2B to 52.3B)</v>
          </cell>
        </row>
        <row r="44">
          <cell r="B44" t="str">
            <v>101k 
 (56.3k to 202k)</v>
          </cell>
          <cell r="C44" t="str">
            <v>76.6k 
 (44.1k to 165k)</v>
          </cell>
          <cell r="D44" t="str">
            <v>126k 
 (82.9k to 290k)</v>
          </cell>
          <cell r="E44" t="str">
            <v>401k 
 (282k to 916k)</v>
          </cell>
          <cell r="F44" t="str">
            <v>4.9M 
 (3.58M to 11.3M)</v>
          </cell>
        </row>
        <row r="45">
          <cell r="B45" t="str">
            <v>2.34 
 (1.81 to 3.07)</v>
          </cell>
          <cell r="C45" t="str">
            <v>2.09 
 (1.67 to 2.72)</v>
          </cell>
          <cell r="D45" t="str">
            <v>1.26 
 (1.05 to 1.54)</v>
          </cell>
          <cell r="E45" t="str">
            <v>0.44 
 (0.37 to 0.52)</v>
          </cell>
          <cell r="F45" t="str">
            <v>0.04 
 (0.03 to 0.04)</v>
          </cell>
        </row>
        <row r="47">
          <cell r="B47" t="str">
            <v>599k 
 (302k to 820k)</v>
          </cell>
          <cell r="C47" t="str">
            <v>1.01M 
 (743k to 1.21M)</v>
          </cell>
          <cell r="D47" t="str">
            <v>2.33M 
 (2.11M to 2.5M)</v>
          </cell>
          <cell r="E47" t="str">
            <v>40.3M 
 (40.1M to 40.5M)</v>
          </cell>
          <cell r="F47" t="str">
            <v>854M 
 (852M to 855M)</v>
          </cell>
        </row>
        <row r="48">
          <cell r="B48" t="str">
            <v>61.3k 
 (44.9k to 72k)</v>
          </cell>
          <cell r="C48" t="str">
            <v>75.5k 
 (64.4k to 85.2k)</v>
          </cell>
          <cell r="D48" t="str">
            <v>94k 
 (83.4k to 104k)</v>
          </cell>
          <cell r="E48" t="str">
            <v>269k 
 (230k to 321k)</v>
          </cell>
          <cell r="F48" t="str">
            <v>2.67M 
 (2.24M to 3.22M)</v>
          </cell>
        </row>
        <row r="49">
          <cell r="B49" t="str">
            <v>39 
 (10 to 66)</v>
          </cell>
          <cell r="C49" t="str">
            <v>120 
 (36 to 174)</v>
          </cell>
          <cell r="D49" t="str">
            <v>118 
 (36 to 168)</v>
          </cell>
          <cell r="E49" t="str">
            <v>256 
 (103 to 379)</v>
          </cell>
          <cell r="F49" t="str">
            <v>6.1k 
 (2.08k to 9.57k)</v>
          </cell>
        </row>
        <row r="50">
          <cell r="B50" t="str">
            <v>179 
 (42 to 280)</v>
          </cell>
          <cell r="C50" t="str">
            <v>244 
 (67 to 371)</v>
          </cell>
          <cell r="D50" t="str">
            <v>238 
 (68 to 352)</v>
          </cell>
          <cell r="E50" t="str">
            <v>362 
 (146 to 519)</v>
          </cell>
          <cell r="F50" t="str">
            <v>6.39k 
 (2.18k to 10.4k)</v>
          </cell>
        </row>
        <row r="51">
          <cell r="B51" t="str">
            <v>583 
 (144 to 992)</v>
          </cell>
          <cell r="C51" t="str">
            <v>1.15k 
 (308 to 1.85k)</v>
          </cell>
          <cell r="D51" t="str">
            <v>1.21k 
 (345 to 1.86k)</v>
          </cell>
          <cell r="E51" t="str">
            <v>1.98k 
 (770 to 2.93k)</v>
          </cell>
          <cell r="F51" t="str">
            <v>39.4k 
 (13.9k to 62k)</v>
          </cell>
        </row>
        <row r="52">
          <cell r="B52" t="str">
            <v>4.7M 
 (2.68M to 9.47M)</v>
          </cell>
          <cell r="C52" t="str">
            <v>8.06M 
 (5.44M to 14.7M)</v>
          </cell>
          <cell r="D52" t="str">
            <v>10.4M 
 (7.56M to 19.3M)</v>
          </cell>
          <cell r="E52" t="str">
            <v>12.2M 
 (8.79M to 23.4M)</v>
          </cell>
          <cell r="F52" t="str">
            <v>73.8M 
 (42.7M to 167M)</v>
          </cell>
        </row>
        <row r="53">
          <cell r="B53" t="str">
            <v>38.4M 
 (23.4M to 48.5M)</v>
          </cell>
          <cell r="C53" t="str">
            <v>58.7M 
 (47.6M to 66.3M)</v>
          </cell>
          <cell r="D53" t="str">
            <v>68.3M 
 (57.8M to 75.5M)</v>
          </cell>
          <cell r="E53" t="str">
            <v>95.8M 
 (82.2M to 109M)</v>
          </cell>
          <cell r="F53" t="str">
            <v>746M 
 (555M to 990M)</v>
          </cell>
        </row>
        <row r="54">
          <cell r="B54" t="str">
            <v>5.83M 
 (2.45M to 8.34M)</v>
          </cell>
          <cell r="C54" t="str">
            <v>10.1M 
 (7.2M to 12.4M)</v>
          </cell>
          <cell r="D54" t="str">
            <v>17.8M 
 (15.2M to 19.9M)</v>
          </cell>
          <cell r="E54" t="str">
            <v>542M 
 (539M to 544M)</v>
          </cell>
          <cell r="F54" t="str">
            <v>13.1B 
 (13B to 13.1B)</v>
          </cell>
        </row>
        <row r="55">
          <cell r="B55" t="str">
            <v>1.93k 
 (-8.12k to 11.1k)</v>
          </cell>
          <cell r="C55" t="str">
            <v>1.81k 
 (-4.85k to 11.3k)</v>
          </cell>
          <cell r="D55" t="str">
            <v>6.19k 
 (-1.14k to 30.1k)</v>
          </cell>
          <cell r="E55" t="str">
            <v>268k 
 (179k to 695k)</v>
          </cell>
          <cell r="F55" t="str">
            <v>330k 
 (209k to 938k)</v>
          </cell>
        </row>
        <row r="56">
          <cell r="B56" t="str">
            <v>7.4 
 (6.03 to 11)</v>
          </cell>
          <cell r="C56" t="str">
            <v>6.59 
 (5.44 to 8.03)</v>
          </cell>
          <cell r="D56" t="str">
            <v>4.41 
 (3.73 to 5.18)</v>
          </cell>
          <cell r="E56" t="str">
            <v>0.2 
 (0.17 to 0.23)</v>
          </cell>
          <cell r="F56" t="str">
            <v>0.06 
 (0.05 to 0.09)</v>
          </cell>
        </row>
        <row r="58">
          <cell r="B58" t="str">
            <v>3.02M 
 (2.76M to 3.25M)</v>
          </cell>
          <cell r="C58" t="str">
            <v>4.03M 
 (3.79M to 4.27M)</v>
          </cell>
          <cell r="D58" t="str">
            <v>7.7M 
 (7.51M to 7.91M)</v>
          </cell>
          <cell r="E58" t="str">
            <v>37.5M 
 (37.3M to 37.7M)</v>
          </cell>
          <cell r="F58" t="str">
            <v>928M 
 (928M to 928M)</v>
          </cell>
        </row>
        <row r="59">
          <cell r="B59" t="str">
            <v>341k 
 (298k to 377k)</v>
          </cell>
          <cell r="C59" t="str">
            <v>582k 
 (543k to 612k)</v>
          </cell>
          <cell r="D59" t="str">
            <v>1.14M 
 (1.11M to 1.18M)</v>
          </cell>
          <cell r="E59" t="str">
            <v>1.18M 
 (1.15M to 1.21M)</v>
          </cell>
          <cell r="F59" t="str">
            <v>1.77M 
 (1.74M to 1.82M)</v>
          </cell>
        </row>
        <row r="60">
          <cell r="B60" t="str">
            <v>562 
 (240 to 723)</v>
          </cell>
          <cell r="C60" t="str">
            <v>2k 
 (866 to 2.54k)</v>
          </cell>
          <cell r="D60" t="str">
            <v>2.79k 
 (1.16k to 3.5k)</v>
          </cell>
          <cell r="E60" t="str">
            <v>2.82k 
 (1.17k to 3.53k)</v>
          </cell>
          <cell r="F60" t="str">
            <v>3.79k 
 (1.7k to 4.68k)</v>
          </cell>
        </row>
        <row r="61">
          <cell r="B61" t="str">
            <v>884 
 (371 to 1.14k)</v>
          </cell>
          <cell r="C61" t="str">
            <v>2.87k 
 (1.23k to 3.65k)</v>
          </cell>
          <cell r="D61" t="str">
            <v>4.04k 
 (1.7k to 5.06k)</v>
          </cell>
          <cell r="E61" t="str">
            <v>4.08k 
 (1.71k to 5.09k)</v>
          </cell>
          <cell r="F61" t="str">
            <v>5.41k 
 (2.45k to 6.68k)</v>
          </cell>
        </row>
        <row r="62">
          <cell r="B62" t="str">
            <v>5k 
 (1.98k to 6.92k)</v>
          </cell>
          <cell r="C62" t="str">
            <v>18.9k 
 (7.6k to 25.5k)</v>
          </cell>
          <cell r="D62" t="str">
            <v>26.5k 
 (10.4k to 35.9k)</v>
          </cell>
          <cell r="E62" t="str">
            <v>26.7k 
 (10.5k to 36.1k)</v>
          </cell>
          <cell r="F62" t="str">
            <v>33.4k 
 (13.5k to 44.1k)</v>
          </cell>
        </row>
        <row r="63">
          <cell r="B63" t="str">
            <v>71M 
 (52.1M to 124M)</v>
          </cell>
          <cell r="C63" t="str">
            <v>234M 
 (169M to 405M)</v>
          </cell>
          <cell r="D63" t="str">
            <v>376M 
 (286M to 628M)</v>
          </cell>
          <cell r="E63" t="str">
            <v>377M 
 (287M to 630M)</v>
          </cell>
          <cell r="F63" t="str">
            <v>421M 
 (319M to 701M)</v>
          </cell>
        </row>
        <row r="64">
          <cell r="B64" t="str">
            <v>491M 
 (417M to 543M)</v>
          </cell>
          <cell r="C64" t="str">
            <v>1.04B 
 (956M to 1.11B)</v>
          </cell>
          <cell r="D64" t="str">
            <v>1.41B 
 (1.29B to 1.5B)</v>
          </cell>
          <cell r="E64" t="str">
            <v>1.43B 
 (1.32B to 1.52B)</v>
          </cell>
          <cell r="F64" t="str">
            <v>2.2B 
 (2.06B to 2.33B)</v>
          </cell>
        </row>
        <row r="65">
          <cell r="B65" t="str">
            <v>163M 
 (150M to 176M)</v>
          </cell>
          <cell r="C65" t="str">
            <v>238M 
 (226M to 251M)</v>
          </cell>
          <cell r="D65" t="str">
            <v>443M 
 (433M to 455M)</v>
          </cell>
          <cell r="E65" t="str">
            <v>1.91B 
 (1.9B to 1.92B)</v>
          </cell>
          <cell r="F65" t="str">
            <v>68.2B 
 (68.2B to 68.3B)</v>
          </cell>
        </row>
        <row r="66">
          <cell r="B66" t="str">
            <v>18.4k 
 (5.83k to 51.2k)</v>
          </cell>
          <cell r="C66" t="str">
            <v>242 
 (-7.75k to 8.71k)</v>
          </cell>
          <cell r="D66" t="str">
            <v>2.55k 
 (-6.87k to 14.6k)</v>
          </cell>
          <cell r="E66" t="str">
            <v>57.4k 
 (38.2k to 160k)</v>
          </cell>
          <cell r="F66" t="str">
            <v>2.03M 
 (1.54M to 5.03M)</v>
          </cell>
        </row>
        <row r="67">
          <cell r="B67" t="str">
            <v>3.44 
 (3.02 to 3.92)</v>
          </cell>
          <cell r="C67" t="str">
            <v>5.36 
 (4.77 to 6.25)</v>
          </cell>
          <cell r="D67" t="str">
            <v>4.03 
 (3.59 to 4.75)</v>
          </cell>
          <cell r="E67" t="str">
            <v>0.95 
 (0.85 to 1.11)</v>
          </cell>
          <cell r="F67" t="str">
            <v>0.04 
 (0.04 to 0.04)</v>
          </cell>
        </row>
        <row r="69">
          <cell r="B69" t="str">
            <v>450k 
 (41.5k to 1.11M)</v>
          </cell>
          <cell r="C69" t="str">
            <v>1.09M 
 (692k to 1.69M)</v>
          </cell>
          <cell r="D69" t="str">
            <v>2.62M 
 (2.32M to 3.04M)</v>
          </cell>
          <cell r="E69" t="str">
            <v>82.5M 
 (82.2M to 82.9M)</v>
          </cell>
          <cell r="F69" t="str">
            <v>2.27B 
 (2.27B to 2.27B)</v>
          </cell>
        </row>
        <row r="70">
          <cell r="B70" t="str">
            <v>35.5k 
 (5.14k to 76.3k)</v>
          </cell>
          <cell r="C70" t="str">
            <v>82.3k 
 (68.3k to 109k)</v>
          </cell>
          <cell r="D70" t="str">
            <v>164k 
 (156k to 192k)</v>
          </cell>
          <cell r="E70" t="str">
            <v>246k 
 (242k to 280k)</v>
          </cell>
          <cell r="F70" t="str">
            <v>1.5M 
 (1.43M to 1.65M)</v>
          </cell>
        </row>
        <row r="71">
          <cell r="B71" t="str">
            <v>17 
 (2 to 42)</v>
          </cell>
          <cell r="C71" t="str">
            <v>100 
 (31 to 165)</v>
          </cell>
          <cell r="D71" t="str">
            <v>117 
 (46 to 183)</v>
          </cell>
          <cell r="E71" t="str">
            <v>158 
 (67 to 232)</v>
          </cell>
          <cell r="F71" t="str">
            <v>2.34k 
 (860 to 4.11k)</v>
          </cell>
        </row>
        <row r="72">
          <cell r="B72" t="str">
            <v>30 
 (4 to 75)</v>
          </cell>
          <cell r="C72" t="str">
            <v>188 
 (61 to 308)</v>
          </cell>
          <cell r="D72" t="str">
            <v>306 
 (145 to 439)</v>
          </cell>
          <cell r="E72" t="str">
            <v>408 
 (192 to 561)</v>
          </cell>
          <cell r="F72" t="str">
            <v>4.75k 
 (1.83k to 8.35k)</v>
          </cell>
        </row>
        <row r="73">
          <cell r="B73" t="str">
            <v>141 
 (20 to 401)</v>
          </cell>
          <cell r="C73" t="str">
            <v>916 
 (278 to 1.62k)</v>
          </cell>
          <cell r="D73" t="str">
            <v>1.53k 
 (688 to 2.31k)</v>
          </cell>
          <cell r="E73" t="str">
            <v>1.87k 
 (828 to 2.71k)</v>
          </cell>
          <cell r="F73" t="str">
            <v>19.3k 
 (7.29k to 33.1k)</v>
          </cell>
        </row>
        <row r="74">
          <cell r="B74" t="str">
            <v>109k 
 (-143k to 804k)</v>
          </cell>
          <cell r="C74" t="str">
            <v>1.05M 
 (833k to 2.85M)</v>
          </cell>
          <cell r="D74" t="str">
            <v>3.57M 
 (2.89M to 8.61M)</v>
          </cell>
          <cell r="E74" t="str">
            <v>3.59M 
 (2.86M to 8.88M)</v>
          </cell>
          <cell r="F74" t="str">
            <v>9.49M 
 (6.65M to 23.8M)</v>
          </cell>
        </row>
        <row r="75">
          <cell r="B75" t="str">
            <v>7.59M 
 (721k to 16.8M)</v>
          </cell>
          <cell r="C75" t="str">
            <v>29.7M 
 (25.7M to 37.9M)</v>
          </cell>
          <cell r="D75" t="str">
            <v>44.2M 
 (40.6M to 52.6M)</v>
          </cell>
          <cell r="E75" t="str">
            <v>66.2M 
 (63.4M to 76M)</v>
          </cell>
          <cell r="F75" t="str">
            <v>591M 
 (535M to 657M)</v>
          </cell>
        </row>
        <row r="76">
          <cell r="B76" t="str">
            <v>2.24M 
 (211k to 5.49M)</v>
          </cell>
          <cell r="C76" t="str">
            <v>6.74M 
 (4.78M to 9.57M)</v>
          </cell>
          <cell r="D76" t="str">
            <v>15.8M 
 (14.3M to 17.8M)</v>
          </cell>
          <cell r="E76" t="str">
            <v>561M 
 (559M to 563M)</v>
          </cell>
          <cell r="F76" t="str">
            <v>17B 
 (17B to 17B)</v>
          </cell>
        </row>
        <row r="77">
          <cell r="B77" t="str">
            <v>15.1k 
 (8.06k to 49.7k)</v>
          </cell>
          <cell r="C77" t="str">
            <v>6.21k 
 (2.45k to 20.9k)</v>
          </cell>
          <cell r="D77" t="str">
            <v>7.95k 
 (3.59k to 15.6k)</v>
          </cell>
          <cell r="E77" t="str">
            <v>298k 
 (205k to 673k)</v>
          </cell>
          <cell r="F77" t="str">
            <v>882k 
 (514k to 2.34M)</v>
          </cell>
        </row>
        <row r="78">
          <cell r="B78" t="str">
            <v>3.44 
 (2.6 to 4.99)</v>
          </cell>
          <cell r="C78" t="str">
            <v>4.56 
 (3.44 to 6.73)</v>
          </cell>
          <cell r="D78" t="str">
            <v>3.03 
 (2.66 to 3.78)</v>
          </cell>
          <cell r="E78" t="str">
            <v>0.12 
 (0.12 to 0.15)</v>
          </cell>
          <cell r="F78" t="str">
            <v>0.04 
 (0.03 to 0.04)</v>
          </cell>
        </row>
        <row r="80">
          <cell r="B80" t="str">
            <v>2.69M 
 (1.28M to 3.76M)</v>
          </cell>
          <cell r="C80" t="str">
            <v>3.99M 
 (2.66M to 4.99M)</v>
          </cell>
          <cell r="D80" t="str">
            <v>12.4M 
 (11.9M to 12.9M)</v>
          </cell>
          <cell r="E80" t="str">
            <v>59.8M 
 (59.3M to 60.3M)</v>
          </cell>
          <cell r="F80" t="str">
            <v>2.1B 
 (2.1B to 2.1B)</v>
          </cell>
        </row>
        <row r="81">
          <cell r="B81" t="str">
            <v>265k 
 (127k to 365k)</v>
          </cell>
          <cell r="C81" t="str">
            <v>388k 
 (306k to 455k)</v>
          </cell>
          <cell r="D81" t="str">
            <v>463k 
 (418k to 496k)</v>
          </cell>
          <cell r="E81" t="str">
            <v>488k 
 (443k to 522k)</v>
          </cell>
          <cell r="F81" t="str">
            <v>762k 
 (717k to 810k)</v>
          </cell>
        </row>
        <row r="82">
          <cell r="B82" t="str">
            <v>309 
 (116 to 465)</v>
          </cell>
          <cell r="C82" t="str">
            <v>714 
 (341 to 943)</v>
          </cell>
          <cell r="D82" t="str">
            <v>765 
 (369 to 915)</v>
          </cell>
          <cell r="E82" t="str">
            <v>778 
 (379 to 928)</v>
          </cell>
          <cell r="F82" t="str">
            <v>858 
 (353 to 1.16k)</v>
          </cell>
        </row>
        <row r="83">
          <cell r="B83" t="str">
            <v>273 
 (119 to 392)</v>
          </cell>
          <cell r="C83" t="str">
            <v>649 
 (323 to 823)</v>
          </cell>
          <cell r="D83" t="str">
            <v>1.07k 
 (501 to 1.31k)</v>
          </cell>
          <cell r="E83" t="str">
            <v>1.1k 
 (520 to 1.33k)</v>
          </cell>
          <cell r="F83" t="str">
            <v>1.72k 
 (840 to 2.29k)</v>
          </cell>
        </row>
        <row r="84">
          <cell r="B84" t="str">
            <v>2.1k 
 (820 to 3.38k)</v>
          </cell>
          <cell r="C84" t="str">
            <v>5.43k 
 (2.47k to 7.51k)</v>
          </cell>
          <cell r="D84" t="str">
            <v>7.61k 
 (3.4k to 9.92k)</v>
          </cell>
          <cell r="E84" t="str">
            <v>7.71k 
 (3.46k to 10k)</v>
          </cell>
          <cell r="F84" t="str">
            <v>8.32k 
 (2.98k to 11.4k)</v>
          </cell>
        </row>
        <row r="85">
          <cell r="B85" t="str">
            <v>35.7M 
 (24M to 59.7M)</v>
          </cell>
          <cell r="C85" t="str">
            <v>52.9M 
 (38.3M to 90.2M)</v>
          </cell>
          <cell r="D85" t="str">
            <v>97.4M 
 (76.1M to 166M)</v>
          </cell>
          <cell r="E85" t="str">
            <v>97.6M 
 (76.2M to 166M)</v>
          </cell>
          <cell r="F85" t="str">
            <v>98.7M 
 (74.8M to 175M)</v>
          </cell>
        </row>
        <row r="86">
          <cell r="B86" t="str">
            <v>401M 
 (290M to 508M)</v>
          </cell>
          <cell r="C86" t="str">
            <v>590M 
 (493M to 685M)</v>
          </cell>
          <cell r="D86" t="str">
            <v>612M 
 (529M to 683M)</v>
          </cell>
          <cell r="E86" t="str">
            <v>623M 
 (539M to 694M)</v>
          </cell>
          <cell r="F86" t="str">
            <v>896M 
 (791M to 980M)</v>
          </cell>
        </row>
        <row r="87">
          <cell r="B87" t="str">
            <v>60.7M 
 (41.5M to 75.1M)</v>
          </cell>
          <cell r="C87" t="str">
            <v>87.3M 
 (70.4M to 100M)</v>
          </cell>
          <cell r="D87" t="str">
            <v>197M 
 (189M to 204M)</v>
          </cell>
          <cell r="E87" t="str">
            <v>928M 
 (921M to 936M)</v>
          </cell>
          <cell r="F87" t="str">
            <v>44.9B 
 (44.9B to 44.9B)</v>
          </cell>
        </row>
        <row r="88">
          <cell r="B88" t="str">
            <v>11.9k 
 (-1.59k to 28.7k)</v>
          </cell>
          <cell r="C88" t="str">
            <v>6.33k 
 (-1.06k to 15.8k)</v>
          </cell>
          <cell r="D88" t="str">
            <v>13k 
 (3.21k to 30.2k)</v>
          </cell>
          <cell r="E88" t="str">
            <v>108k 
 (77.9k to 242k)</v>
          </cell>
          <cell r="F88" t="str">
            <v>5.39M 
 (3.94M to 15.2M)</v>
          </cell>
        </row>
        <row r="89">
          <cell r="B89" t="str">
            <v>7.2 
 (5.79 to 8.98)</v>
          </cell>
          <cell r="C89" t="str">
            <v>7.36 
 (6.01 to 9.19)</v>
          </cell>
          <cell r="D89" t="str">
            <v>3.61 
 (3.03 to 4.25)</v>
          </cell>
          <cell r="E89" t="str">
            <v>0.78 
 (0.67 to 0.9)</v>
          </cell>
          <cell r="F89" t="str">
            <v>0.02 
 (0.02 to 0.02)</v>
          </cell>
        </row>
      </sheetData>
      <sheetData sheetId="1">
        <row r="2">
          <cell r="B2" t="str">
            <v>2.86 
 (2.35 to 3.54)</v>
          </cell>
          <cell r="C2" t="str">
            <v>3.24 
 (2.71 to 3.93)</v>
          </cell>
          <cell r="D2" t="str">
            <v>2.20 
 (1.89 to 2.56)</v>
          </cell>
          <cell r="E2" t="str">
            <v>0.53 
 (0.46 to 0.62)</v>
          </cell>
          <cell r="F2" t="str">
            <v>0.04 
 (0.03 to 0.04)</v>
          </cell>
        </row>
        <row r="3">
          <cell r="B3" t="str">
            <v>2.33 
 (1.82 to 3.05)</v>
          </cell>
          <cell r="C3" t="str">
            <v>2.50 
 (2.05 to 3.15)</v>
          </cell>
          <cell r="D3" t="str">
            <v>1.59 
 (1.35 to 1.89)</v>
          </cell>
          <cell r="E3" t="str">
            <v>0.53 
 (0.46 to 0.63)</v>
          </cell>
          <cell r="F3" t="str">
            <v>0.04 
 (0.04 to 0.05)</v>
          </cell>
        </row>
        <row r="4">
          <cell r="B4" t="str">
            <v>4.49 
 (2.68 to 4.95)</v>
          </cell>
          <cell r="C4" t="str">
            <v>4.75 
 (3.91 to 5.43)</v>
          </cell>
          <cell r="D4" t="str">
            <v>2.06 
 (1.82 to 2.36)</v>
          </cell>
          <cell r="E4" t="str">
            <v>0.10 
 (0.09 to 0.11)</v>
          </cell>
          <cell r="F4" t="str">
            <v>0.05 
 (0.05 to 0.06)</v>
          </cell>
        </row>
        <row r="5">
          <cell r="B5" t="str">
            <v>2.34 
 (1.81 to 3.07)</v>
          </cell>
          <cell r="C5" t="str">
            <v>2.09 
 (1.67 to 2.72)</v>
          </cell>
          <cell r="D5" t="str">
            <v>1.26 
 (1.05 to 1.54)</v>
          </cell>
          <cell r="E5" t="str">
            <v>0.44 
 (0.37 to 0.52)</v>
          </cell>
          <cell r="F5" t="str">
            <v>0.04 
 (0.03 to 0.04)</v>
          </cell>
        </row>
        <row r="6">
          <cell r="B6" t="str">
            <v>7.40 
 (6.03 to 11.01)</v>
          </cell>
          <cell r="C6" t="str">
            <v>6.59 
 (5.44 to 8.03)</v>
          </cell>
          <cell r="D6" t="str">
            <v>4.41 
 (3.73 to 5.18)</v>
          </cell>
          <cell r="E6" t="str">
            <v>0.20 
 (0.17 to 0.23)</v>
          </cell>
          <cell r="F6" t="str">
            <v>0.06 
 (0.05 to 0.09)</v>
          </cell>
        </row>
        <row r="7">
          <cell r="B7" t="str">
            <v>3.44 
 (3.02 to 3.92)</v>
          </cell>
          <cell r="C7" t="str">
            <v>5.36 
 (4.77 to 6.25)</v>
          </cell>
          <cell r="D7" t="str">
            <v>4.03 
 (3.59 to 4.75)</v>
          </cell>
          <cell r="E7" t="str">
            <v>0.95 
 (0.85 to 1.11)</v>
          </cell>
          <cell r="F7" t="str">
            <v>0.04 
 (0.04 to 0.04)</v>
          </cell>
        </row>
        <row r="8">
          <cell r="B8" t="str">
            <v>3.44 
 (2.60 to 4.99)</v>
          </cell>
          <cell r="C8" t="str">
            <v>4.56 
 (3.44 to 6.73)</v>
          </cell>
          <cell r="D8" t="str">
            <v>3.03 
 (2.66 to 3.78)</v>
          </cell>
          <cell r="E8" t="str">
            <v>0.12 
 (0.12 to 0.15)</v>
          </cell>
          <cell r="F8" t="str">
            <v>0.04 
 (0.03 to 0.04)</v>
          </cell>
        </row>
        <row r="9">
          <cell r="B9" t="str">
            <v>7.20 
 (5.79 to 8.98)</v>
          </cell>
          <cell r="C9" t="str">
            <v>7.36 
 (6.01 to 9.19)</v>
          </cell>
          <cell r="D9" t="str">
            <v>3.61 
 (3.03 to 4.25)</v>
          </cell>
          <cell r="E9" t="str">
            <v>0.78 
 (0.67 to 0.90)</v>
          </cell>
          <cell r="F9" t="str">
            <v>0.02 
 (0.02 to 0.02)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7407-D053-439B-9D61-8A6B019DA6B0}">
  <dimension ref="A1:G89"/>
  <sheetViews>
    <sheetView tabSelected="1" zoomScaleNormal="100" zoomScaleSheetLayoutView="80" workbookViewId="0">
      <selection activeCell="K10" sqref="K10"/>
    </sheetView>
  </sheetViews>
  <sheetFormatPr defaultRowHeight="14.5" x14ac:dyDescent="0.35"/>
  <cols>
    <col min="1" max="1" width="25.54296875" customWidth="1"/>
    <col min="2" max="2" width="34" customWidth="1"/>
    <col min="3" max="3" width="35.1796875" customWidth="1"/>
    <col min="4" max="4" width="33.54296875" customWidth="1"/>
    <col min="5" max="5" width="35" customWidth="1"/>
    <col min="6" max="6" width="35.26953125" customWidth="1"/>
  </cols>
  <sheetData>
    <row r="1" spans="1:7" s="2" customFormat="1" ht="26" x14ac:dyDescent="0.35">
      <c r="A1" s="13" t="s">
        <v>20</v>
      </c>
      <c r="B1" s="13" t="s">
        <v>33</v>
      </c>
      <c r="C1" s="13" t="s">
        <v>34</v>
      </c>
      <c r="D1" s="13" t="s">
        <v>35</v>
      </c>
      <c r="E1" s="13" t="s">
        <v>36</v>
      </c>
      <c r="F1" s="13" t="s">
        <v>37</v>
      </c>
    </row>
    <row r="2" spans="1:7" x14ac:dyDescent="0.35">
      <c r="A2" s="21" t="s">
        <v>23</v>
      </c>
      <c r="B2" s="21"/>
      <c r="C2" s="21"/>
      <c r="D2" s="21"/>
      <c r="E2" s="21"/>
      <c r="F2" s="21"/>
    </row>
    <row r="3" spans="1:7" ht="33.75" customHeight="1" x14ac:dyDescent="0.35">
      <c r="A3" s="14" t="s">
        <v>32</v>
      </c>
      <c r="B3" s="15" t="str">
        <f>'[1]all outcomes'!B3</f>
        <v>17.5M 
 (13.7M to 20.7M)</v>
      </c>
      <c r="C3" s="15" t="str">
        <f>'[1]all outcomes'!C3</f>
        <v>21.9M 
 (18.5M to 24.9M)</v>
      </c>
      <c r="D3" s="15" t="str">
        <f>'[1]all outcomes'!D3</f>
        <v>44.6M 
 (42.7M to 46.5M)</v>
      </c>
      <c r="E3" s="15" t="str">
        <f>'[1]all outcomes'!E3</f>
        <v>404M 
 (402M to 406M)</v>
      </c>
      <c r="F3" s="15" t="str">
        <f>'[1]all outcomes'!F3</f>
        <v>8.26B 
 (8.25B to 8.26B)</v>
      </c>
    </row>
    <row r="4" spans="1:7" s="1" customFormat="1" ht="26" x14ac:dyDescent="0.35">
      <c r="A4" s="16" t="s">
        <v>10</v>
      </c>
      <c r="B4" s="15" t="str">
        <f>'[1]all outcomes'!B4</f>
        <v>1.13M 
 (856k to 1.39M)</v>
      </c>
      <c r="C4" s="15" t="str">
        <f>'[1]all outcomes'!C4</f>
        <v>1.58M 
 (1.39M to 1.8M)</v>
      </c>
      <c r="D4" s="15" t="str">
        <f>'[1]all outcomes'!D4</f>
        <v>2.36M 
 (2.25M to 2.5M)</v>
      </c>
      <c r="E4" s="15" t="str">
        <f>'[1]all outcomes'!E4</f>
        <v>2.91M 
 (2.81M to 3.1M)</v>
      </c>
      <c r="F4" s="15" t="str">
        <f>'[1]all outcomes'!F4</f>
        <v>8.76M 
 (8.14M to 9.61M)</v>
      </c>
    </row>
    <row r="5" spans="1:7" ht="26" x14ac:dyDescent="0.35">
      <c r="A5" s="16" t="s">
        <v>11</v>
      </c>
      <c r="B5" s="15" t="str">
        <f>'[1]all outcomes'!B5</f>
        <v>1.41k 
 (676 to 1.89k)</v>
      </c>
      <c r="C5" s="15" t="str">
        <f>'[1]all outcomes'!C5</f>
        <v>3.67k 
 (1.67k to 4.72k)</v>
      </c>
      <c r="D5" s="15" t="str">
        <f>'[1]all outcomes'!D5</f>
        <v>4.5k 
 (1.98k to 5.74k)</v>
      </c>
      <c r="E5" s="15" t="str">
        <f>'[1]all outcomes'!E5</f>
        <v>4.82k 
 (2.18k to 6.06k)</v>
      </c>
      <c r="F5" s="15" t="str">
        <f>'[1]all outcomes'!F5</f>
        <v>15.9k 
 (6.62k to 23.7k)</v>
      </c>
    </row>
    <row r="6" spans="1:7" ht="26" x14ac:dyDescent="0.35">
      <c r="A6" s="16" t="s">
        <v>12</v>
      </c>
      <c r="B6" s="15" t="str">
        <f>'[1]all outcomes'!B6</f>
        <v>2.49k 
 (1.18k to 3.28k)</v>
      </c>
      <c r="C6" s="15" t="str">
        <f>'[1]all outcomes'!C6</f>
        <v>5.66k 
 (2.52k to 7.44k)</v>
      </c>
      <c r="D6" s="15" t="str">
        <f>'[1]all outcomes'!D6</f>
        <v>7.4k 
 (3.18k to 9.55k)</v>
      </c>
      <c r="E6" s="15" t="str">
        <f>'[1]all outcomes'!E6</f>
        <v>7.9k 
 (3.5k to 10k)</v>
      </c>
      <c r="F6" s="15" t="str">
        <f>'[1]all outcomes'!F6</f>
        <v>24.1k 
 (10.8k to 37.3k)</v>
      </c>
    </row>
    <row r="7" spans="1:7" ht="26" x14ac:dyDescent="0.35">
      <c r="A7" s="16" t="s">
        <v>27</v>
      </c>
      <c r="B7" s="15" t="str">
        <f>'[1]all outcomes'!B7</f>
        <v>13.7k 
 (6.25k to 18.9k)</v>
      </c>
      <c r="C7" s="15" t="str">
        <f>'[1]all outcomes'!C7</f>
        <v>35.3k 
 (14.7k to 49.3k)</v>
      </c>
      <c r="D7" s="15" t="str">
        <f>'[1]all outcomes'!D7</f>
        <v>46.2k 
 (18.6k to 63k)</v>
      </c>
      <c r="E7" s="15" t="str">
        <f>'[1]all outcomes'!E7</f>
        <v>48.3k 
 (20.1k to 65.4k)</v>
      </c>
      <c r="F7" s="15" t="str">
        <f>'[1]all outcomes'!F7</f>
        <v>126k 
 (55.6k to 184k)</v>
      </c>
    </row>
    <row r="8" spans="1:7" ht="26" x14ac:dyDescent="0.35">
      <c r="A8" s="16" t="s">
        <v>40</v>
      </c>
      <c r="B8" s="15" t="str">
        <f>'[1]all outcomes'!B8</f>
        <v>283M 
 (196M to 514M)</v>
      </c>
      <c r="C8" s="15" t="str">
        <f>'[1]all outcomes'!C8</f>
        <v>471M 
 (343M to 802M)</v>
      </c>
      <c r="D8" s="15" t="str">
        <f>'[1]all outcomes'!D8</f>
        <v>642M 
 (493M to 1.09B)</v>
      </c>
      <c r="E8" s="15" t="str">
        <f>'[1]all outcomes'!E8</f>
        <v>645M 
 (496M to 1.09B)</v>
      </c>
      <c r="F8" s="15" t="str">
        <f>'[1]all outcomes'!F8</f>
        <v>767M 
 (591M to 1.35B)</v>
      </c>
    </row>
    <row r="9" spans="1:7" ht="42.75" customHeight="1" x14ac:dyDescent="0.35">
      <c r="A9" s="16" t="s">
        <v>41</v>
      </c>
      <c r="B9" s="15" t="str">
        <f>'[1]all outcomes'!B9</f>
        <v>2.53B 
 (1.92B to 3.14B)</v>
      </c>
      <c r="C9" s="15" t="str">
        <f>'[1]all outcomes'!C9</f>
        <v>3.24B 
 (2.74B to 3.71B)</v>
      </c>
      <c r="D9" s="15" t="str">
        <f>'[1]all outcomes'!D9</f>
        <v>3.54B 
 (3.13B to 3.95B)</v>
      </c>
      <c r="E9" s="15" t="str">
        <f>'[1]all outcomes'!E9</f>
        <v>3.67B 
 (3.25B to 4.08B)</v>
      </c>
      <c r="F9" s="15" t="str">
        <f>'[1]all outcomes'!F9</f>
        <v>6.59B 
 (5.97B to 7.25B)</v>
      </c>
    </row>
    <row r="10" spans="1:7" ht="26" x14ac:dyDescent="0.35">
      <c r="A10" s="17" t="s">
        <v>38</v>
      </c>
      <c r="B10" s="15" t="str">
        <f>'[1]all outcomes'!B10</f>
        <v>985M 
 (863M to 1.08B)</v>
      </c>
      <c r="C10" s="15" t="str">
        <f>'[1]all outcomes'!C10</f>
        <v>1.15B 
 (1.04B to 1.23B)</v>
      </c>
      <c r="D10" s="15" t="str">
        <f>'[1]all outcomes'!D10</f>
        <v>1.9B 
 (1.84B to 1.96B)</v>
      </c>
      <c r="E10" s="15" t="str">
        <f>'[1]all outcomes'!E10</f>
        <v>8.11B 
 (8.05B to 8.17B)</v>
      </c>
      <c r="F10" s="15" t="str">
        <f>'[1]all outcomes'!F10</f>
        <v>203B 
 (203B to 203B)</v>
      </c>
      <c r="G10" s="1"/>
    </row>
    <row r="11" spans="1:7" ht="27.75" customHeight="1" x14ac:dyDescent="0.35">
      <c r="A11" s="17" t="s">
        <v>39</v>
      </c>
      <c r="B11" s="15" t="str">
        <f>'[1]all outcomes'!B11</f>
        <v>51.5k 
 (27.6k to 108k)</v>
      </c>
      <c r="C11" s="15" t="str">
        <f>'[1]all outcomes'!C11</f>
        <v>19.1k 
 (7.56k to 46.8k)</v>
      </c>
      <c r="D11" s="15" t="str">
        <f>'[1]all outcomes'!D11</f>
        <v>27.3k 
 (14.5k to 70.5k)</v>
      </c>
      <c r="E11" s="15" t="str">
        <f>'[1]all outcomes'!E11</f>
        <v>154k 
 (110k to 375k)</v>
      </c>
      <c r="F11" s="15" t="str">
        <f>'[1]all outcomes'!F11</f>
        <v>1.61M 
 (1.1M to 3.64M)</v>
      </c>
      <c r="G11" s="1"/>
    </row>
    <row r="12" spans="1:7" ht="26" x14ac:dyDescent="0.35">
      <c r="A12" s="18" t="s">
        <v>31</v>
      </c>
      <c r="B12" s="19" t="str">
        <f>'[1]all outcomes'!B12</f>
        <v>2.86 
 (2.35 to 3.54)</v>
      </c>
      <c r="C12" s="19" t="str">
        <f>'[1]all outcomes'!C12</f>
        <v>3.24 
 (2.71 to 3.93)</v>
      </c>
      <c r="D12" s="19" t="str">
        <f>'[1]all outcomes'!D12</f>
        <v>2.2 
 (1.89 to 2.56)</v>
      </c>
      <c r="E12" s="15" t="str">
        <f>'[1]all outcomes'!E12</f>
        <v>0.53 
 (0.46 to 0.62)</v>
      </c>
      <c r="F12" s="15" t="str">
        <f>'[1]all outcomes'!F12</f>
        <v>0.04 
 (0.03 to 0.04)</v>
      </c>
    </row>
    <row r="13" spans="1:7" x14ac:dyDescent="0.35">
      <c r="A13" s="20" t="s">
        <v>26</v>
      </c>
      <c r="B13" s="20"/>
      <c r="C13" s="20"/>
      <c r="D13" s="20"/>
      <c r="E13" s="20"/>
      <c r="F13" s="20"/>
    </row>
    <row r="14" spans="1:7" ht="24" x14ac:dyDescent="0.35">
      <c r="A14" s="9" t="s">
        <v>32</v>
      </c>
      <c r="B14" s="7" t="str">
        <f>'[1]all outcomes'!B14</f>
        <v>12.8M 
 (9.97M to 15.1M)</v>
      </c>
      <c r="C14" s="7" t="str">
        <f>'[1]all outcomes'!C14</f>
        <v>15.6M 
 (13M to 17.8M)</v>
      </c>
      <c r="D14" s="7" t="str">
        <f>'[1]all outcomes'!D14</f>
        <v>30.9M 
 (29.5M to 32.3M)</v>
      </c>
      <c r="E14" s="7" t="str">
        <f>'[1]all outcomes'!E14</f>
        <v>187M 
 (185M to 188M)</v>
      </c>
      <c r="F14" s="7" t="str">
        <f>'[1]all outcomes'!F14</f>
        <v>4.8B 
 (4.79B to 4.8B)</v>
      </c>
    </row>
    <row r="15" spans="1:7" ht="24" x14ac:dyDescent="0.35">
      <c r="A15" s="10" t="s">
        <v>10</v>
      </c>
      <c r="B15" s="7" t="str">
        <f>'[1]all outcomes'!B15</f>
        <v>610k 
 (421k to 807k)</v>
      </c>
      <c r="C15" s="7" t="str">
        <f>'[1]all outcomes'!C15</f>
        <v>886k 
 (765k to 1.04M)</v>
      </c>
      <c r="D15" s="7" t="str">
        <f>'[1]all outcomes'!D15</f>
        <v>1.2M 
 (1.14M to 1.28M)</v>
      </c>
      <c r="E15" s="7" t="str">
        <f>'[1]all outcomes'!E15</f>
        <v>1.42M 
 (1.37M to 1.52M)</v>
      </c>
      <c r="F15" s="7" t="str">
        <f>'[1]all outcomes'!F15</f>
        <v>4.8M 
 (4.59M to 5.13M)</v>
      </c>
    </row>
    <row r="16" spans="1:7" ht="24" x14ac:dyDescent="0.35">
      <c r="A16" s="10" t="s">
        <v>11</v>
      </c>
      <c r="B16" s="7" t="str">
        <f>'[1]all outcomes'!B16</f>
        <v>810 
 (401 to 1.12k)</v>
      </c>
      <c r="C16" s="7" t="str">
        <f>'[1]all outcomes'!C16</f>
        <v>2.23k 
 (1.05k to 2.86k)</v>
      </c>
      <c r="D16" s="7" t="str">
        <f>'[1]all outcomes'!D16</f>
        <v>2.56k 
 (1.13k to 3.26k)</v>
      </c>
      <c r="E16" s="7" t="str">
        <f>'[1]all outcomes'!E16</f>
        <v>2.73k 
 (1.23k to 3.44k)</v>
      </c>
      <c r="F16" s="7" t="str">
        <f>'[1]all outcomes'!F16</f>
        <v>10.3k 
 (4.26k to 15.3k)</v>
      </c>
    </row>
    <row r="17" spans="1:7" ht="24" x14ac:dyDescent="0.35">
      <c r="A17" s="10" t="s">
        <v>12</v>
      </c>
      <c r="B17" s="7" t="str">
        <f>'[1]all outcomes'!B17</f>
        <v>1.23k 
 (623 to 1.69k)</v>
      </c>
      <c r="C17" s="7" t="str">
        <f>'[1]all outcomes'!C17</f>
        <v>2.65k 
 (1.25k to 3.47k)</v>
      </c>
      <c r="D17" s="7" t="str">
        <f>'[1]all outcomes'!D17</f>
        <v>3.15k 
 (1.37k to 4.09k)</v>
      </c>
      <c r="E17" s="7" t="str">
        <f>'[1]all outcomes'!E17</f>
        <v>3.34k 
 (1.49k to 4.25k)</v>
      </c>
      <c r="F17" s="7" t="str">
        <f>'[1]all outcomes'!F17</f>
        <v>11.4k 
 (4.9k to 17.6k)</v>
      </c>
    </row>
    <row r="18" spans="1:7" ht="24" x14ac:dyDescent="0.35">
      <c r="A18" s="10" t="s">
        <v>27</v>
      </c>
      <c r="B18" s="7" t="str">
        <f>'[1]all outcomes'!B18</f>
        <v>7.56k 
 (3.58k to 10.6k)</v>
      </c>
      <c r="C18" s="7" t="str">
        <f>'[1]all outcomes'!C18</f>
        <v>19.1k 
 (8.32k to 27k)</v>
      </c>
      <c r="D18" s="7" t="str">
        <f>'[1]all outcomes'!D18</f>
        <v>23.2k 
 (9.69k to 32k)</v>
      </c>
      <c r="E18" s="7" t="str">
        <f>'[1]all outcomes'!E18</f>
        <v>24.2k 
 (10.3k to 33.2k)</v>
      </c>
      <c r="F18" s="7" t="str">
        <f>'[1]all outcomes'!F18</f>
        <v>71.5k 
 (30.5k to 106k)</v>
      </c>
    </row>
    <row r="19" spans="1:7" ht="24" x14ac:dyDescent="0.35">
      <c r="A19" s="10" t="s">
        <v>28</v>
      </c>
      <c r="B19" s="7" t="str">
        <f>'[1]all outcomes'!B19</f>
        <v>170M 
 (110M to 317M)</v>
      </c>
      <c r="C19" s="7" t="str">
        <f>'[1]all outcomes'!C19</f>
        <v>260M 
 (188M to 442M)</v>
      </c>
      <c r="D19" s="7" t="str">
        <f>'[1]all outcomes'!D19</f>
        <v>311M 
 (235M to 522M)</v>
      </c>
      <c r="E19" s="7" t="str">
        <f>'[1]all outcomes'!E19</f>
        <v>312M 
 (235M to 524M)</v>
      </c>
      <c r="F19" s="7" t="str">
        <f>'[1]all outcomes'!F19</f>
        <v>358M 
 (267M to 608M)</v>
      </c>
    </row>
    <row r="20" spans="1:7" ht="36.75" customHeight="1" x14ac:dyDescent="0.35">
      <c r="A20" s="10" t="s">
        <v>29</v>
      </c>
      <c r="B20" s="7" t="str">
        <f>'[1]all outcomes'!B20</f>
        <v>1.65B 
 (1.21B to 2.16B)</v>
      </c>
      <c r="C20" s="7" t="str">
        <f>'[1]all outcomes'!C20</f>
        <v>1.93B 
 (1.57B to 2.31B)</v>
      </c>
      <c r="D20" s="7" t="str">
        <f>'[1]all outcomes'!D20</f>
        <v>1.95B 
 (1.69B to 2.2B)</v>
      </c>
      <c r="E20" s="7" t="str">
        <f>'[1]all outcomes'!E20</f>
        <v>2B 
 (1.73B to 2.25B)</v>
      </c>
      <c r="F20" s="7" t="str">
        <f>'[1]all outcomes'!F20</f>
        <v>3.32B 
 (3.01B to 3.65B)</v>
      </c>
    </row>
    <row r="21" spans="1:7" ht="24" x14ac:dyDescent="0.35">
      <c r="A21" s="11" t="s">
        <v>30</v>
      </c>
      <c r="B21" s="7" t="str">
        <f>'[1]all outcomes'!B21</f>
        <v>781M 
 (682M to 853M)</v>
      </c>
      <c r="C21" s="7" t="str">
        <f>'[1]all outcomes'!C21</f>
        <v>878M 
 (795M to 941M)</v>
      </c>
      <c r="D21" s="7" t="str">
        <f>'[1]all outcomes'!D21</f>
        <v>1.42B 
 (1.37B to 1.47B)</v>
      </c>
      <c r="E21" s="7" t="str">
        <f>'[1]all outcomes'!E21</f>
        <v>4.34B 
 (4.29B to 4.38B)</v>
      </c>
      <c r="F21" s="7" t="str">
        <f>'[1]all outcomes'!F21</f>
        <v>90.9B 
 (90.9B to 91B)</v>
      </c>
    </row>
    <row r="22" spans="1:7" ht="27.75" customHeight="1" x14ac:dyDescent="0.35">
      <c r="A22" s="11" t="s">
        <v>21</v>
      </c>
      <c r="B22" s="7" t="str">
        <f>'[1]all outcomes'!B22</f>
        <v>80.8k 
 (47.4k to 166k)</v>
      </c>
      <c r="C22" s="7" t="str">
        <f>'[1]all outcomes'!C22</f>
        <v>32.3k 
 (17.3k to 73.7k)</v>
      </c>
      <c r="D22" s="7" t="str">
        <f>'[1]all outcomes'!D22</f>
        <v>47.9k 
 (29.7k to 119k)</v>
      </c>
      <c r="E22" s="7" t="str">
        <f>'[1]all outcomes'!E22</f>
        <v>166k 
 (117k to 396k)</v>
      </c>
      <c r="F22" s="7" t="str">
        <f>'[1]all outcomes'!F22</f>
        <v>1.27M 
 (854k to 2.97M)</v>
      </c>
      <c r="G22" s="1"/>
    </row>
    <row r="23" spans="1:7" ht="24" x14ac:dyDescent="0.35">
      <c r="A23" s="12" t="s">
        <v>31</v>
      </c>
      <c r="B23" s="8" t="str">
        <f>'[1]all outcomes'!B23</f>
        <v>2.33 
 (1.82 to 3.05)</v>
      </c>
      <c r="C23" s="8" t="str">
        <f>'[1]all outcomes'!C23</f>
        <v>2.5 
 (2.05 to 3.15)</v>
      </c>
      <c r="D23" s="8" t="str">
        <f>'[1]all outcomes'!D23</f>
        <v>1.59 
 (1.35 to 1.89)</v>
      </c>
      <c r="E23" s="7" t="str">
        <f>'[1]all outcomes'!E23</f>
        <v>0.53 
 (0.46 to 0.63)</v>
      </c>
      <c r="F23" s="7" t="str">
        <f>'[1]all outcomes'!F23</f>
        <v>0.04 
 (0.04 to 0.05)</v>
      </c>
    </row>
    <row r="24" spans="1:7" x14ac:dyDescent="0.35">
      <c r="A24" s="20" t="s">
        <v>6</v>
      </c>
      <c r="B24" s="20"/>
      <c r="C24" s="20"/>
      <c r="D24" s="20"/>
      <c r="E24" s="20"/>
      <c r="F24" s="20"/>
    </row>
    <row r="25" spans="1:7" ht="24" x14ac:dyDescent="0.35">
      <c r="A25" s="9" t="s">
        <v>32</v>
      </c>
      <c r="B25" s="7" t="str">
        <f>'[1]all outcomes'!B25</f>
        <v>304k 
 (130k to 553k)</v>
      </c>
      <c r="C25" s="7" t="str">
        <f>'[1]all outcomes'!C25</f>
        <v>704k 
 (540k to 931k)</v>
      </c>
      <c r="D25" s="7" t="str">
        <f>'[1]all outcomes'!D25</f>
        <v>2.64M 
 (2.54M to 2.78M)</v>
      </c>
      <c r="E25" s="7" t="str">
        <f>'[1]all outcomes'!E25</f>
        <v>119M 
 (119M to 119M)</v>
      </c>
      <c r="F25" s="7" t="str">
        <f>'[1]all outcomes'!F25</f>
        <v>1.04B 
 (1.04B to 1.04B)</v>
      </c>
    </row>
    <row r="26" spans="1:7" ht="24" x14ac:dyDescent="0.35">
      <c r="A26" s="10" t="s">
        <v>10</v>
      </c>
      <c r="B26" s="7" t="str">
        <f>'[1]all outcomes'!B26</f>
        <v>18k 
 (5.77k to 28.5k)</v>
      </c>
      <c r="C26" s="7" t="str">
        <f>'[1]all outcomes'!C26</f>
        <v>47.9k 
 (38.4k to 55.9k)</v>
      </c>
      <c r="D26" s="7" t="str">
        <f>'[1]all outcomes'!D26</f>
        <v>81.9k 
 (74.9k to 87.9k)</v>
      </c>
      <c r="E26" s="7" t="str">
        <f>'[1]all outcomes'!E26</f>
        <v>299k 
 (283k to 327k)</v>
      </c>
      <c r="F26" s="7" t="str">
        <f>'[1]all outcomes'!F26</f>
        <v>1.43M 
 (1.36M to 1.55M)</v>
      </c>
    </row>
    <row r="27" spans="1:7" ht="24" x14ac:dyDescent="0.35">
      <c r="A27" s="10" t="s">
        <v>11</v>
      </c>
      <c r="B27" s="7" t="str">
        <f>'[1]all outcomes'!B27</f>
        <v>11 
 (2 to 20)</v>
      </c>
      <c r="C27" s="7" t="str">
        <f>'[1]all outcomes'!C27</f>
        <v>91 
 (27 to 136)</v>
      </c>
      <c r="D27" s="7" t="str">
        <f>'[1]all outcomes'!D27</f>
        <v>99 
 (33 to 142)</v>
      </c>
      <c r="E27" s="7" t="str">
        <f>'[1]all outcomes'!E27</f>
        <v>195 
 (78 to 294)</v>
      </c>
      <c r="F27" s="7" t="str">
        <f>'[1]all outcomes'!F27</f>
        <v>1.87k 
 (636 to 3.42k)</v>
      </c>
    </row>
    <row r="28" spans="1:7" ht="24" x14ac:dyDescent="0.35">
      <c r="A28" s="10" t="s">
        <v>12</v>
      </c>
      <c r="B28" s="7" t="str">
        <f>'[1]all outcomes'!B28</f>
        <v>13 
 (3 to 25)</v>
      </c>
      <c r="C28" s="7" t="str">
        <f>'[1]all outcomes'!C28</f>
        <v>172 
 (46 to 266)</v>
      </c>
      <c r="D28" s="7" t="str">
        <f>'[1]all outcomes'!D28</f>
        <v>187 
 (56 to 277)</v>
      </c>
      <c r="E28" s="7" t="str">
        <f>'[1]all outcomes'!E28</f>
        <v>384 
 (145 to 591)</v>
      </c>
      <c r="F28" s="7" t="str">
        <f>'[1]all outcomes'!F28</f>
        <v>3.67k 
 (1.24k to 6.72k)</v>
      </c>
    </row>
    <row r="29" spans="1:7" ht="24" x14ac:dyDescent="0.35">
      <c r="A29" s="10" t="s">
        <v>27</v>
      </c>
      <c r="B29" s="7" t="str">
        <f>'[1]all outcomes'!B29</f>
        <v>66 
 (16 to 142)</v>
      </c>
      <c r="C29" s="7" t="str">
        <f>'[1]all outcomes'!C29</f>
        <v>790 
 (213 to 1.3k)</v>
      </c>
      <c r="D29" s="7" t="str">
        <f>'[1]all outcomes'!D29</f>
        <v>909 
 (284 to 1.42k)</v>
      </c>
      <c r="E29" s="7" t="str">
        <f>'[1]all outcomes'!E29</f>
        <v>1.63k 
 (599 to 2.43k)</v>
      </c>
      <c r="F29" s="7" t="str">
        <f>'[1]all outcomes'!F29</f>
        <v>14.7k 
 (5.08k to 26.6k)</v>
      </c>
    </row>
    <row r="30" spans="1:7" ht="24" x14ac:dyDescent="0.35">
      <c r="A30" s="10" t="s">
        <v>28</v>
      </c>
      <c r="B30" s="7" t="str">
        <f>'[1]all outcomes'!B30</f>
        <v>429k 
 (105k to 1.14M)</v>
      </c>
      <c r="C30" s="7" t="str">
        <f>'[1]all outcomes'!C30</f>
        <v>1.7M 
 (1.08M to 3.34M)</v>
      </c>
      <c r="D30" s="7" t="str">
        <f>'[1]all outcomes'!D30</f>
        <v>2.96M 
 (2.32M to 5.67M)</v>
      </c>
      <c r="E30" s="7" t="str">
        <f>'[1]all outcomes'!E30</f>
        <v>2.97M 
 (2.2M to 6.17M)</v>
      </c>
      <c r="F30" s="7" t="str">
        <f>'[1]all outcomes'!F30</f>
        <v>8.18M 
 (5.4M to 18.5M)</v>
      </c>
    </row>
    <row r="31" spans="1:7" ht="24" x14ac:dyDescent="0.35">
      <c r="A31" s="10" t="s">
        <v>29</v>
      </c>
      <c r="B31" s="7" t="str">
        <f>'[1]all outcomes'!B31</f>
        <v>8.15M 
 (2M to 12.9M)</v>
      </c>
      <c r="C31" s="7" t="str">
        <f>'[1]all outcomes'!C31</f>
        <v>21.8M 
 (18M to 25.1M)</v>
      </c>
      <c r="D31" s="7" t="str">
        <f>'[1]all outcomes'!D31</f>
        <v>26.4M 
 (22.8M to 29.9M)</v>
      </c>
      <c r="E31" s="7" t="str">
        <f>'[1]all outcomes'!E31</f>
        <v>56.8M 
 (52.8M to 62.9M)</v>
      </c>
      <c r="F31" s="7" t="str">
        <f>'[1]all outcomes'!F31</f>
        <v>379M 
 (344M to 416M)</v>
      </c>
    </row>
    <row r="32" spans="1:7" ht="24" x14ac:dyDescent="0.35">
      <c r="A32" s="11" t="s">
        <v>30</v>
      </c>
      <c r="B32" s="7" t="str">
        <f>'[1]all outcomes'!B32</f>
        <v>1.91M 
 (808k to 3.28M)</v>
      </c>
      <c r="C32" s="7" t="str">
        <f>'[1]all outcomes'!C32</f>
        <v>4.96M 
 (3.96M to 6.2M)</v>
      </c>
      <c r="D32" s="7" t="str">
        <f>'[1]all outcomes'!D32</f>
        <v>14.3M 
 (13.6M to 15.1M)</v>
      </c>
      <c r="E32" s="7" t="str">
        <f>'[1]all outcomes'!E32</f>
        <v>615M 
 (614M to 616M)</v>
      </c>
      <c r="F32" s="7" t="str">
        <f>'[1]all outcomes'!F32</f>
        <v>7.16B 
 (7.15B to 7.16B)</v>
      </c>
    </row>
    <row r="33" spans="1:7" ht="27.75" customHeight="1" x14ac:dyDescent="0.35">
      <c r="A33" s="11" t="s">
        <v>21</v>
      </c>
      <c r="B33" s="7" t="str">
        <f>'[1]all outcomes'!B33</f>
        <v>22.3k 
 (11.7k to 95.8k)</v>
      </c>
      <c r="C33" s="7" t="str">
        <f>'[1]all outcomes'!C33</f>
        <v>4.12k 
 (1.59k to 17.4k)</v>
      </c>
      <c r="D33" s="7" t="str">
        <f>'[1]all outcomes'!D33</f>
        <v>12.5k 
 (7.02k to 42.6k)</v>
      </c>
      <c r="E33" s="7" t="str">
        <f>'[1]all outcomes'!E33</f>
        <v>376k 
 (251k to 1.02M)</v>
      </c>
      <c r="F33" s="7" t="str">
        <f>'[1]all outcomes'!F33</f>
        <v>485k 
 (270k to 1.42M)</v>
      </c>
      <c r="G33" s="1"/>
    </row>
    <row r="34" spans="1:7" ht="24" x14ac:dyDescent="0.35">
      <c r="A34" s="12" t="s">
        <v>31</v>
      </c>
      <c r="B34" s="8" t="str">
        <f>'[1]all outcomes'!B34</f>
        <v>4.49 
 (2.68 to 4.95)</v>
      </c>
      <c r="C34" s="8" t="str">
        <f>'[1]all outcomes'!C34</f>
        <v>4.75 
 (3.91 to 5.43)</v>
      </c>
      <c r="D34" s="8" t="str">
        <f>'[1]all outcomes'!D34</f>
        <v>2.06 
 (1.82 to 2.36)</v>
      </c>
      <c r="E34" s="7" t="str">
        <f>'[1]all outcomes'!E34</f>
        <v>0.1 
 (0.09 to 0.11)</v>
      </c>
      <c r="F34" s="7" t="str">
        <f>'[1]all outcomes'!F34</f>
        <v>0.05 
 (0.05 to 0.06)</v>
      </c>
    </row>
    <row r="35" spans="1:7" x14ac:dyDescent="0.35">
      <c r="A35" s="20" t="s">
        <v>7</v>
      </c>
      <c r="B35" s="20"/>
      <c r="C35" s="20"/>
      <c r="D35" s="20"/>
      <c r="E35" s="20"/>
      <c r="F35" s="20"/>
    </row>
    <row r="36" spans="1:7" ht="24" x14ac:dyDescent="0.35">
      <c r="A36" s="9" t="s">
        <v>32</v>
      </c>
      <c r="B36" s="7" t="str">
        <f>'[1]all outcomes'!B36</f>
        <v>10.4M 
 (9.22M to 11.3M)</v>
      </c>
      <c r="C36" s="7" t="str">
        <f>'[1]all outcomes'!C36</f>
        <v>11.1M 
 (10M to 11.8M)</v>
      </c>
      <c r="D36" s="7" t="str">
        <f>'[1]all outcomes'!D36</f>
        <v>16.9M 
 (16.3M to 17.5M)</v>
      </c>
      <c r="E36" s="7" t="str">
        <f>'[1]all outcomes'!E36</f>
        <v>64.6M 
 (64M to 65.2M)</v>
      </c>
      <c r="F36" s="7" t="str">
        <f>'[1]all outcomes'!F36</f>
        <v>1.06B 
 (1.06B to 1.06B)</v>
      </c>
    </row>
    <row r="37" spans="1:7" ht="24" x14ac:dyDescent="0.35">
      <c r="A37" s="10" t="s">
        <v>10</v>
      </c>
      <c r="B37" s="7" t="str">
        <f>'[1]all outcomes'!B37</f>
        <v>404k 
 (320k to 516k)</v>
      </c>
      <c r="C37" s="7" t="str">
        <f>'[1]all outcomes'!C37</f>
        <v>408k 
 (340k to 496k)</v>
      </c>
      <c r="D37" s="7" t="str">
        <f>'[1]all outcomes'!D37</f>
        <v>418k 
 (379k to 460k)</v>
      </c>
      <c r="E37" s="7" t="str">
        <f>'[1]all outcomes'!E37</f>
        <v>434k 
 (395k to 476k)</v>
      </c>
      <c r="F37" s="7" t="str">
        <f>'[1]all outcomes'!F37</f>
        <v>634k 
 (594k to 686k)</v>
      </c>
    </row>
    <row r="38" spans="1:7" ht="24" x14ac:dyDescent="0.35">
      <c r="A38" s="10" t="s">
        <v>11</v>
      </c>
      <c r="B38" s="7" t="str">
        <f>'[1]all outcomes'!B38</f>
        <v>476 
 (250 to 669)</v>
      </c>
      <c r="C38" s="7" t="str">
        <f>'[1]all outcomes'!C38</f>
        <v>639 
 (325 to 847)</v>
      </c>
      <c r="D38" s="7" t="str">
        <f>'[1]all outcomes'!D38</f>
        <v>611 
 (275 to 800)</v>
      </c>
      <c r="E38" s="7" t="str">
        <f>'[1]all outcomes'!E38</f>
        <v>619 
 (281 to 812)</v>
      </c>
      <c r="F38" s="7" t="str">
        <f>'[1]all outcomes'!F38</f>
        <v>911 
 (416 to 1.27k)</v>
      </c>
    </row>
    <row r="39" spans="1:7" ht="24" x14ac:dyDescent="0.35">
      <c r="A39" s="10" t="s">
        <v>12</v>
      </c>
      <c r="B39" s="7" t="str">
        <f>'[1]all outcomes'!B39</f>
        <v>1.11k 
 (585 to 1.51k)</v>
      </c>
      <c r="C39" s="7" t="str">
        <f>'[1]all outcomes'!C39</f>
        <v>1.54k 
 (756 to 2.03k)</v>
      </c>
      <c r="D39" s="7" t="str">
        <f>'[1]all outcomes'!D39</f>
        <v>1.55k 
 (691 to 2.04k)</v>
      </c>
      <c r="E39" s="7" t="str">
        <f>'[1]all outcomes'!E39</f>
        <v>1.57k 
 (700 to 2.06k)</v>
      </c>
      <c r="F39" s="7" t="str">
        <f>'[1]all outcomes'!F39</f>
        <v>2.15k 
 (1.01k to 2.82k)</v>
      </c>
    </row>
    <row r="40" spans="1:7" ht="24" x14ac:dyDescent="0.35">
      <c r="A40" s="10" t="s">
        <v>27</v>
      </c>
      <c r="B40" s="7" t="str">
        <f>'[1]all outcomes'!B40</f>
        <v>5.76k 
 (2.93k to 7.99k)</v>
      </c>
      <c r="C40" s="7" t="str">
        <f>'[1]all outcomes'!C40</f>
        <v>8.14k 
 (3.75k to 11.4k)</v>
      </c>
      <c r="D40" s="7" t="str">
        <f>'[1]all outcomes'!D40</f>
        <v>8.43k 
 (3.7k to 11.8k)</v>
      </c>
      <c r="E40" s="7" t="str">
        <f>'[1]all outcomes'!E40</f>
        <v>8.49k 
 (3.73k to 11.8k)</v>
      </c>
      <c r="F40" s="7" t="str">
        <f>'[1]all outcomes'!F40</f>
        <v>10.6k 
 (4.62k to 14.5k)</v>
      </c>
    </row>
    <row r="41" spans="1:7" ht="24" x14ac:dyDescent="0.35">
      <c r="A41" s="10" t="s">
        <v>28</v>
      </c>
      <c r="B41" s="7" t="str">
        <f>'[1]all outcomes'!B41</f>
        <v>171M 
 (110M to 318M)</v>
      </c>
      <c r="C41" s="7" t="str">
        <f>'[1]all outcomes'!C41</f>
        <v>174M 
 (116M to 320M)</v>
      </c>
      <c r="D41" s="7" t="str">
        <f>'[1]all outcomes'!D41</f>
        <v>152M 
 (110M to 267M)</v>
      </c>
      <c r="E41" s="7" t="str">
        <f>'[1]all outcomes'!E41</f>
        <v>152M 
 (111M to 268M)</v>
      </c>
      <c r="F41" s="7" t="str">
        <f>'[1]all outcomes'!F41</f>
        <v>155M 
 (108M to 284M)</v>
      </c>
    </row>
    <row r="42" spans="1:7" ht="24" x14ac:dyDescent="0.35">
      <c r="A42" s="10" t="s">
        <v>29</v>
      </c>
      <c r="B42" s="7" t="str">
        <f>'[1]all outcomes'!B42</f>
        <v>1.59B 
 (1.18B to 2.04B)</v>
      </c>
      <c r="C42" s="7" t="str">
        <f>'[1]all outcomes'!C42</f>
        <v>1.49B 
 (1.16B to 1.83B)</v>
      </c>
      <c r="D42" s="7" t="str">
        <f>'[1]all outcomes'!D42</f>
        <v>1.38B 
 (1.16B to 1.6B)</v>
      </c>
      <c r="E42" s="7" t="str">
        <f>'[1]all outcomes'!E42</f>
        <v>1.4B 
 (1.17B to 1.62B)</v>
      </c>
      <c r="F42" s="7" t="str">
        <f>'[1]all outcomes'!F42</f>
        <v>1.79B 
 (1.55B to 2.04B)</v>
      </c>
    </row>
    <row r="43" spans="1:7" ht="24" x14ac:dyDescent="0.35">
      <c r="A43" s="11" t="s">
        <v>30</v>
      </c>
      <c r="B43" s="7" t="str">
        <f>'[1]all outcomes'!B43</f>
        <v>752M 
 (667M to 811M)</v>
      </c>
      <c r="C43" s="7" t="str">
        <f>'[1]all outcomes'!C43</f>
        <v>798M 
 (728M to 848M)</v>
      </c>
      <c r="D43" s="7" t="str">
        <f>'[1]all outcomes'!D43</f>
        <v>1.22B 
 (1.17B to 1.25B)</v>
      </c>
      <c r="E43" s="7" t="str">
        <f>'[1]all outcomes'!E43</f>
        <v>3.56B 
 (3.51B to 3.59B)</v>
      </c>
      <c r="F43" s="7" t="str">
        <f>'[1]all outcomes'!F43</f>
        <v>52.3B 
 (52.2B to 52.3B)</v>
      </c>
    </row>
    <row r="44" spans="1:7" ht="27.75" customHeight="1" x14ac:dyDescent="0.35">
      <c r="A44" s="11" t="s">
        <v>21</v>
      </c>
      <c r="B44" s="7" t="str">
        <f>'[1]all outcomes'!B44</f>
        <v>101k 
 (56.3k to 202k)</v>
      </c>
      <c r="C44" s="7" t="str">
        <f>'[1]all outcomes'!C44</f>
        <v>76.6k 
 (44.1k to 165k)</v>
      </c>
      <c r="D44" s="7" t="str">
        <f>'[1]all outcomes'!D44</f>
        <v>126k 
 (82.9k to 290k)</v>
      </c>
      <c r="E44" s="7" t="str">
        <f>'[1]all outcomes'!E44</f>
        <v>401k 
 (282k to 916k)</v>
      </c>
      <c r="F44" s="7" t="str">
        <f>'[1]all outcomes'!F44</f>
        <v>4.9M 
 (3.58M to 11.3M)</v>
      </c>
      <c r="G44" s="1"/>
    </row>
    <row r="45" spans="1:7" ht="24" x14ac:dyDescent="0.35">
      <c r="A45" s="12" t="s">
        <v>31</v>
      </c>
      <c r="B45" s="8" t="str">
        <f>'[1]all outcomes'!B45</f>
        <v>2.34 
 (1.81 to 3.07)</v>
      </c>
      <c r="C45" s="8" t="str">
        <f>'[1]all outcomes'!C45</f>
        <v>2.09 
 (1.67 to 2.72)</v>
      </c>
      <c r="D45" s="8" t="str">
        <f>'[1]all outcomes'!D45</f>
        <v>1.26 
 (1.05 to 1.54)</v>
      </c>
      <c r="E45" s="7" t="str">
        <f>'[1]all outcomes'!E45</f>
        <v>0.44 
 (0.37 to 0.52)</v>
      </c>
      <c r="F45" s="7" t="str">
        <f>'[1]all outcomes'!F45</f>
        <v>0.04 
 (0.03 to 0.04)</v>
      </c>
    </row>
    <row r="46" spans="1:7" x14ac:dyDescent="0.35">
      <c r="A46" s="20" t="s">
        <v>8</v>
      </c>
      <c r="B46" s="20"/>
      <c r="C46" s="20"/>
      <c r="D46" s="20"/>
      <c r="E46" s="20"/>
      <c r="F46" s="20"/>
    </row>
    <row r="47" spans="1:7" ht="24" x14ac:dyDescent="0.35">
      <c r="A47" s="9" t="s">
        <v>32</v>
      </c>
      <c r="B47" s="7" t="str">
        <f>'[1]all outcomes'!B47</f>
        <v>599k 
 (302k to 820k)</v>
      </c>
      <c r="C47" s="7" t="str">
        <f>'[1]all outcomes'!C47</f>
        <v>1.01M 
 (743k to 1.21M)</v>
      </c>
      <c r="D47" s="7" t="str">
        <f>'[1]all outcomes'!D47</f>
        <v>2.33M 
 (2.11M to 2.5M)</v>
      </c>
      <c r="E47" s="7" t="str">
        <f>'[1]all outcomes'!E47</f>
        <v>40.3M 
 (40.1M to 40.5M)</v>
      </c>
      <c r="F47" s="7" t="str">
        <f>'[1]all outcomes'!F47</f>
        <v>854M 
 (852M to 855M)</v>
      </c>
    </row>
    <row r="48" spans="1:7" ht="24" x14ac:dyDescent="0.35">
      <c r="A48" s="10" t="s">
        <v>10</v>
      </c>
      <c r="B48" s="7" t="str">
        <f>'[1]all outcomes'!B48</f>
        <v>61.3k 
 (44.9k to 72k)</v>
      </c>
      <c r="C48" s="7" t="str">
        <f>'[1]all outcomes'!C48</f>
        <v>75.5k 
 (64.4k to 85.2k)</v>
      </c>
      <c r="D48" s="7" t="str">
        <f>'[1]all outcomes'!D48</f>
        <v>94k 
 (83.4k to 104k)</v>
      </c>
      <c r="E48" s="7" t="str">
        <f>'[1]all outcomes'!E48</f>
        <v>269k 
 (230k to 321k)</v>
      </c>
      <c r="F48" s="7" t="str">
        <f>'[1]all outcomes'!F48</f>
        <v>2.67M 
 (2.24M to 3.22M)</v>
      </c>
    </row>
    <row r="49" spans="1:7" ht="24" x14ac:dyDescent="0.35">
      <c r="A49" s="10" t="s">
        <v>11</v>
      </c>
      <c r="B49" s="7" t="str">
        <f>'[1]all outcomes'!B49</f>
        <v>39 
 (10 to 66)</v>
      </c>
      <c r="C49" s="7" t="str">
        <f>'[1]all outcomes'!C49</f>
        <v>120 
 (36 to 174)</v>
      </c>
      <c r="D49" s="7" t="str">
        <f>'[1]all outcomes'!D49</f>
        <v>118 
 (36 to 168)</v>
      </c>
      <c r="E49" s="7" t="str">
        <f>'[1]all outcomes'!E49</f>
        <v>256 
 (103 to 379)</v>
      </c>
      <c r="F49" s="7" t="str">
        <f>'[1]all outcomes'!F49</f>
        <v>6.1k 
 (2.08k to 9.57k)</v>
      </c>
    </row>
    <row r="50" spans="1:7" ht="24" x14ac:dyDescent="0.35">
      <c r="A50" s="10" t="s">
        <v>12</v>
      </c>
      <c r="B50" s="7" t="str">
        <f>'[1]all outcomes'!B50</f>
        <v>179 
 (42 to 280)</v>
      </c>
      <c r="C50" s="7" t="str">
        <f>'[1]all outcomes'!C50</f>
        <v>244 
 (67 to 371)</v>
      </c>
      <c r="D50" s="7" t="str">
        <f>'[1]all outcomes'!D50</f>
        <v>238 
 (68 to 352)</v>
      </c>
      <c r="E50" s="7" t="str">
        <f>'[1]all outcomes'!E50</f>
        <v>362 
 (146 to 519)</v>
      </c>
      <c r="F50" s="7" t="str">
        <f>'[1]all outcomes'!F50</f>
        <v>6.39k 
 (2.18k to 10.4k)</v>
      </c>
    </row>
    <row r="51" spans="1:7" ht="24" x14ac:dyDescent="0.35">
      <c r="A51" s="10" t="s">
        <v>27</v>
      </c>
      <c r="B51" s="7" t="str">
        <f>'[1]all outcomes'!B51</f>
        <v>583 
 (144 to 992)</v>
      </c>
      <c r="C51" s="7" t="str">
        <f>'[1]all outcomes'!C51</f>
        <v>1.15k 
 (308 to 1.85k)</v>
      </c>
      <c r="D51" s="7" t="str">
        <f>'[1]all outcomes'!D51</f>
        <v>1.21k 
 (345 to 1.86k)</v>
      </c>
      <c r="E51" s="7" t="str">
        <f>'[1]all outcomes'!E51</f>
        <v>1.98k 
 (770 to 2.93k)</v>
      </c>
      <c r="F51" s="7" t="str">
        <f>'[1]all outcomes'!F51</f>
        <v>39.4k 
 (13.9k to 62k)</v>
      </c>
    </row>
    <row r="52" spans="1:7" ht="24" x14ac:dyDescent="0.35">
      <c r="A52" s="10" t="s">
        <v>28</v>
      </c>
      <c r="B52" s="7" t="str">
        <f>'[1]all outcomes'!B52</f>
        <v>4.7M 
 (2.68M to 9.47M)</v>
      </c>
      <c r="C52" s="7" t="str">
        <f>'[1]all outcomes'!C52</f>
        <v>8.06M 
 (5.44M to 14.7M)</v>
      </c>
      <c r="D52" s="7" t="str">
        <f>'[1]all outcomes'!D52</f>
        <v>10.4M 
 (7.56M to 19.3M)</v>
      </c>
      <c r="E52" s="7" t="str">
        <f>'[1]all outcomes'!E52</f>
        <v>12.2M 
 (8.79M to 23.4M)</v>
      </c>
      <c r="F52" s="7" t="str">
        <f>'[1]all outcomes'!F52</f>
        <v>73.8M 
 (42.7M to 167M)</v>
      </c>
    </row>
    <row r="53" spans="1:7" ht="24" x14ac:dyDescent="0.35">
      <c r="A53" s="10" t="s">
        <v>29</v>
      </c>
      <c r="B53" s="7" t="str">
        <f>'[1]all outcomes'!B53</f>
        <v>38.4M 
 (23.4M to 48.5M)</v>
      </c>
      <c r="C53" s="7" t="str">
        <f>'[1]all outcomes'!C53</f>
        <v>58.7M 
 (47.6M to 66.3M)</v>
      </c>
      <c r="D53" s="7" t="str">
        <f>'[1]all outcomes'!D53</f>
        <v>68.3M 
 (57.8M to 75.5M)</v>
      </c>
      <c r="E53" s="7" t="str">
        <f>'[1]all outcomes'!E53</f>
        <v>95.8M 
 (82.2M to 109M)</v>
      </c>
      <c r="F53" s="7" t="str">
        <f>'[1]all outcomes'!F53</f>
        <v>746M 
 (555M to 990M)</v>
      </c>
    </row>
    <row r="54" spans="1:7" ht="24" x14ac:dyDescent="0.35">
      <c r="A54" s="11" t="s">
        <v>30</v>
      </c>
      <c r="B54" s="7" t="str">
        <f>'[1]all outcomes'!B54</f>
        <v>5.83M 
 (2.45M to 8.34M)</v>
      </c>
      <c r="C54" s="7" t="str">
        <f>'[1]all outcomes'!C54</f>
        <v>10.1M 
 (7.2M to 12.4M)</v>
      </c>
      <c r="D54" s="7" t="str">
        <f>'[1]all outcomes'!D54</f>
        <v>17.8M 
 (15.2M to 19.9M)</v>
      </c>
      <c r="E54" s="7" t="str">
        <f>'[1]all outcomes'!E54</f>
        <v>542M 
 (539M to 544M)</v>
      </c>
      <c r="F54" s="7" t="str">
        <f>'[1]all outcomes'!F54</f>
        <v>13.1B 
 (13B to 13.1B)</v>
      </c>
    </row>
    <row r="55" spans="1:7" ht="27.75" customHeight="1" x14ac:dyDescent="0.35">
      <c r="A55" s="11" t="s">
        <v>21</v>
      </c>
      <c r="B55" s="7" t="str">
        <f>'[1]all outcomes'!B55</f>
        <v>1.93k 
 (-8.12k to 11.1k)</v>
      </c>
      <c r="C55" s="7" t="str">
        <f>'[1]all outcomes'!C55</f>
        <v>1.81k 
 (-4.85k to 11.3k)</v>
      </c>
      <c r="D55" s="7" t="str">
        <f>'[1]all outcomes'!D55</f>
        <v>6.19k 
 (-1.14k to 30.1k)</v>
      </c>
      <c r="E55" s="7" t="str">
        <f>'[1]all outcomes'!E55</f>
        <v>268k 
 (179k to 695k)</v>
      </c>
      <c r="F55" s="7" t="str">
        <f>'[1]all outcomes'!F55</f>
        <v>330k 
 (209k to 938k)</v>
      </c>
      <c r="G55" s="1"/>
    </row>
    <row r="56" spans="1:7" ht="24" x14ac:dyDescent="0.35">
      <c r="A56" s="12" t="s">
        <v>31</v>
      </c>
      <c r="B56" s="8" t="str">
        <f>'[1]all outcomes'!B56</f>
        <v>7.4 
 (6.03 to 11)</v>
      </c>
      <c r="C56" s="8" t="str">
        <f>'[1]all outcomes'!C56</f>
        <v>6.59 
 (5.44 to 8.03)</v>
      </c>
      <c r="D56" s="8" t="str">
        <f>'[1]all outcomes'!D56</f>
        <v>4.41 
 (3.73 to 5.18)</v>
      </c>
      <c r="E56" s="7" t="str">
        <f>'[1]all outcomes'!E56</f>
        <v>0.2 
 (0.17 to 0.23)</v>
      </c>
      <c r="F56" s="7" t="str">
        <f>'[1]all outcomes'!F56</f>
        <v>0.06 
 (0.05 to 0.09)</v>
      </c>
    </row>
    <row r="57" spans="1:7" x14ac:dyDescent="0.35">
      <c r="A57" s="20" t="s">
        <v>9</v>
      </c>
      <c r="B57" s="20"/>
      <c r="C57" s="20"/>
      <c r="D57" s="20"/>
      <c r="E57" s="20"/>
      <c r="F57" s="20"/>
    </row>
    <row r="58" spans="1:7" ht="24" x14ac:dyDescent="0.35">
      <c r="A58" s="9" t="s">
        <v>32</v>
      </c>
      <c r="B58" s="7" t="str">
        <f>'[1]all outcomes'!B58</f>
        <v>3.02M 
 (2.76M to 3.25M)</v>
      </c>
      <c r="C58" s="7" t="str">
        <f>'[1]all outcomes'!C58</f>
        <v>4.03M 
 (3.79M to 4.27M)</v>
      </c>
      <c r="D58" s="7" t="str">
        <f>'[1]all outcomes'!D58</f>
        <v>7.7M 
 (7.51M to 7.91M)</v>
      </c>
      <c r="E58" s="7" t="str">
        <f>'[1]all outcomes'!E58</f>
        <v>37.5M 
 (37.3M to 37.7M)</v>
      </c>
      <c r="F58" s="7" t="str">
        <f>'[1]all outcomes'!F58</f>
        <v>928M 
 (928M to 928M)</v>
      </c>
    </row>
    <row r="59" spans="1:7" ht="24" x14ac:dyDescent="0.35">
      <c r="A59" s="10" t="s">
        <v>10</v>
      </c>
      <c r="B59" s="7" t="str">
        <f>'[1]all outcomes'!B59</f>
        <v>341k 
 (298k to 377k)</v>
      </c>
      <c r="C59" s="7" t="str">
        <f>'[1]all outcomes'!C59</f>
        <v>582k 
 (543k to 612k)</v>
      </c>
      <c r="D59" s="7" t="str">
        <f>'[1]all outcomes'!D59</f>
        <v>1.14M 
 (1.11M to 1.18M)</v>
      </c>
      <c r="E59" s="7" t="str">
        <f>'[1]all outcomes'!E59</f>
        <v>1.18M 
 (1.15M to 1.21M)</v>
      </c>
      <c r="F59" s="7" t="str">
        <f>'[1]all outcomes'!F59</f>
        <v>1.77M 
 (1.74M to 1.82M)</v>
      </c>
    </row>
    <row r="60" spans="1:7" ht="24" x14ac:dyDescent="0.35">
      <c r="A60" s="10" t="s">
        <v>11</v>
      </c>
      <c r="B60" s="7" t="str">
        <f>'[1]all outcomes'!B60</f>
        <v>562 
 (240 to 723)</v>
      </c>
      <c r="C60" s="7" t="str">
        <f>'[1]all outcomes'!C60</f>
        <v>2k 
 (866 to 2.54k)</v>
      </c>
      <c r="D60" s="7" t="str">
        <f>'[1]all outcomes'!D60</f>
        <v>2.79k 
 (1.16k to 3.5k)</v>
      </c>
      <c r="E60" s="7" t="str">
        <f>'[1]all outcomes'!E60</f>
        <v>2.82k 
 (1.17k to 3.53k)</v>
      </c>
      <c r="F60" s="7" t="str">
        <f>'[1]all outcomes'!F60</f>
        <v>3.79k 
 (1.7k to 4.68k)</v>
      </c>
    </row>
    <row r="61" spans="1:7" ht="24" x14ac:dyDescent="0.35">
      <c r="A61" s="10" t="s">
        <v>12</v>
      </c>
      <c r="B61" s="7" t="str">
        <f>'[1]all outcomes'!B61</f>
        <v>884 
 (371 to 1.14k)</v>
      </c>
      <c r="C61" s="7" t="str">
        <f>'[1]all outcomes'!C61</f>
        <v>2.87k 
 (1.23k to 3.65k)</v>
      </c>
      <c r="D61" s="7" t="str">
        <f>'[1]all outcomes'!D61</f>
        <v>4.04k 
 (1.7k to 5.06k)</v>
      </c>
      <c r="E61" s="7" t="str">
        <f>'[1]all outcomes'!E61</f>
        <v>4.08k 
 (1.71k to 5.09k)</v>
      </c>
      <c r="F61" s="7" t="str">
        <f>'[1]all outcomes'!F61</f>
        <v>5.41k 
 (2.45k to 6.68k)</v>
      </c>
    </row>
    <row r="62" spans="1:7" ht="24" x14ac:dyDescent="0.35">
      <c r="A62" s="10" t="s">
        <v>27</v>
      </c>
      <c r="B62" s="7" t="str">
        <f>'[1]all outcomes'!B62</f>
        <v>5k 
 (1.98k to 6.92k)</v>
      </c>
      <c r="C62" s="7" t="str">
        <f>'[1]all outcomes'!C62</f>
        <v>18.9k 
 (7.6k to 25.5k)</v>
      </c>
      <c r="D62" s="7" t="str">
        <f>'[1]all outcomes'!D62</f>
        <v>26.5k 
 (10.4k to 35.9k)</v>
      </c>
      <c r="E62" s="7" t="str">
        <f>'[1]all outcomes'!E62</f>
        <v>26.7k 
 (10.5k to 36.1k)</v>
      </c>
      <c r="F62" s="7" t="str">
        <f>'[1]all outcomes'!F62</f>
        <v>33.4k 
 (13.5k to 44.1k)</v>
      </c>
    </row>
    <row r="63" spans="1:7" ht="24" x14ac:dyDescent="0.35">
      <c r="A63" s="10" t="s">
        <v>28</v>
      </c>
      <c r="B63" s="7" t="str">
        <f>'[1]all outcomes'!B63</f>
        <v>71M 
 (52.1M to 124M)</v>
      </c>
      <c r="C63" s="7" t="str">
        <f>'[1]all outcomes'!C63</f>
        <v>234M 
 (169M to 405M)</v>
      </c>
      <c r="D63" s="7" t="str">
        <f>'[1]all outcomes'!D63</f>
        <v>376M 
 (286M to 628M)</v>
      </c>
      <c r="E63" s="7" t="str">
        <f>'[1]all outcomes'!E63</f>
        <v>377M 
 (287M to 630M)</v>
      </c>
      <c r="F63" s="7" t="str">
        <f>'[1]all outcomes'!F63</f>
        <v>421M 
 (319M to 701M)</v>
      </c>
    </row>
    <row r="64" spans="1:7" ht="24" x14ac:dyDescent="0.35">
      <c r="A64" s="10" t="s">
        <v>29</v>
      </c>
      <c r="B64" s="7" t="str">
        <f>'[1]all outcomes'!B64</f>
        <v>491M 
 (417M to 543M)</v>
      </c>
      <c r="C64" s="7" t="str">
        <f>'[1]all outcomes'!C64</f>
        <v>1.04B 
 (956M to 1.11B)</v>
      </c>
      <c r="D64" s="7" t="str">
        <f>'[1]all outcomes'!D64</f>
        <v>1.41B 
 (1.29B to 1.5B)</v>
      </c>
      <c r="E64" s="7" t="str">
        <f>'[1]all outcomes'!E64</f>
        <v>1.43B 
 (1.32B to 1.52B)</v>
      </c>
      <c r="F64" s="7" t="str">
        <f>'[1]all outcomes'!F64</f>
        <v>2.2B 
 (2.06B to 2.33B)</v>
      </c>
    </row>
    <row r="65" spans="1:7" ht="24" x14ac:dyDescent="0.35">
      <c r="A65" s="11" t="s">
        <v>30</v>
      </c>
      <c r="B65" s="7" t="str">
        <f>'[1]all outcomes'!B65</f>
        <v>163M 
 (150M to 176M)</v>
      </c>
      <c r="C65" s="7" t="str">
        <f>'[1]all outcomes'!C65</f>
        <v>238M 
 (226M to 251M)</v>
      </c>
      <c r="D65" s="7" t="str">
        <f>'[1]all outcomes'!D65</f>
        <v>443M 
 (433M to 455M)</v>
      </c>
      <c r="E65" s="7" t="str">
        <f>'[1]all outcomes'!E65</f>
        <v>1.91B 
 (1.9B to 1.92B)</v>
      </c>
      <c r="F65" s="7" t="str">
        <f>'[1]all outcomes'!F65</f>
        <v>68.2B 
 (68.2B to 68.3B)</v>
      </c>
    </row>
    <row r="66" spans="1:7" ht="27.75" customHeight="1" x14ac:dyDescent="0.35">
      <c r="A66" s="11" t="s">
        <v>21</v>
      </c>
      <c r="B66" s="7" t="str">
        <f>'[1]all outcomes'!B66</f>
        <v>18.4k 
 (5.83k to 51.2k)</v>
      </c>
      <c r="C66" s="7" t="str">
        <f>'[1]all outcomes'!C66</f>
        <v>242 
 (-7.75k to 8.71k)</v>
      </c>
      <c r="D66" s="7" t="str">
        <f>'[1]all outcomes'!D66</f>
        <v>2.55k 
 (-6.87k to 14.6k)</v>
      </c>
      <c r="E66" s="7" t="str">
        <f>'[1]all outcomes'!E66</f>
        <v>57.4k 
 (38.2k to 160k)</v>
      </c>
      <c r="F66" s="7" t="str">
        <f>'[1]all outcomes'!F66</f>
        <v>2.03M 
 (1.54M to 5.03M)</v>
      </c>
      <c r="G66" s="1"/>
    </row>
    <row r="67" spans="1:7" ht="24" x14ac:dyDescent="0.35">
      <c r="A67" s="12" t="s">
        <v>31</v>
      </c>
      <c r="B67" s="8" t="str">
        <f>'[1]all outcomes'!B67</f>
        <v>3.44 
 (3.02 to 3.92)</v>
      </c>
      <c r="C67" s="8" t="str">
        <f>'[1]all outcomes'!C67</f>
        <v>5.36 
 (4.77 to 6.25)</v>
      </c>
      <c r="D67" s="8" t="str">
        <f>'[1]all outcomes'!D67</f>
        <v>4.03 
 (3.59 to 4.75)</v>
      </c>
      <c r="E67" s="8" t="str">
        <f>'[1]all outcomes'!E67</f>
        <v>0.95 
 (0.85 to 1.11)</v>
      </c>
      <c r="F67" s="7" t="str">
        <f>'[1]all outcomes'!F67</f>
        <v>0.04 
 (0.04 to 0.04)</v>
      </c>
    </row>
    <row r="68" spans="1:7" x14ac:dyDescent="0.35">
      <c r="A68" s="20" t="s">
        <v>1</v>
      </c>
      <c r="B68" s="20"/>
      <c r="C68" s="20"/>
      <c r="D68" s="20"/>
      <c r="E68" s="20"/>
      <c r="F68" s="20"/>
    </row>
    <row r="69" spans="1:7" ht="24" x14ac:dyDescent="0.35">
      <c r="A69" s="9" t="s">
        <v>32</v>
      </c>
      <c r="B69" s="7" t="str">
        <f>'[1]all outcomes'!B69</f>
        <v>450k 
 (41.5k to 1.11M)</v>
      </c>
      <c r="C69" s="7" t="str">
        <f>'[1]all outcomes'!C69</f>
        <v>1.09M 
 (692k to 1.69M)</v>
      </c>
      <c r="D69" s="7" t="str">
        <f>'[1]all outcomes'!D69</f>
        <v>2.62M 
 (2.32M to 3.04M)</v>
      </c>
      <c r="E69" s="7" t="str">
        <f>'[1]all outcomes'!E69</f>
        <v>82.5M 
 (82.2M to 82.9M)</v>
      </c>
      <c r="F69" s="7" t="str">
        <f>'[1]all outcomes'!F69</f>
        <v>2.27B 
 (2.27B to 2.27B)</v>
      </c>
    </row>
    <row r="70" spans="1:7" ht="24" x14ac:dyDescent="0.35">
      <c r="A70" s="10" t="s">
        <v>10</v>
      </c>
      <c r="B70" s="7" t="str">
        <f>'[1]all outcomes'!B70</f>
        <v>35.5k 
 (5.14k to 76.3k)</v>
      </c>
      <c r="C70" s="7" t="str">
        <f>'[1]all outcomes'!C70</f>
        <v>82.3k 
 (68.3k to 109k)</v>
      </c>
      <c r="D70" s="7" t="str">
        <f>'[1]all outcomes'!D70</f>
        <v>164k 
 (156k to 192k)</v>
      </c>
      <c r="E70" s="7" t="str">
        <f>'[1]all outcomes'!E70</f>
        <v>246k 
 (242k to 280k)</v>
      </c>
      <c r="F70" s="7" t="str">
        <f>'[1]all outcomes'!F70</f>
        <v>1.5M 
 (1.43M to 1.65M)</v>
      </c>
    </row>
    <row r="71" spans="1:7" ht="24" x14ac:dyDescent="0.35">
      <c r="A71" s="10" t="s">
        <v>11</v>
      </c>
      <c r="B71" s="7" t="str">
        <f>'[1]all outcomes'!B71</f>
        <v>17 
 (2 to 42)</v>
      </c>
      <c r="C71" s="7" t="str">
        <f>'[1]all outcomes'!C71</f>
        <v>100 
 (31 to 165)</v>
      </c>
      <c r="D71" s="7" t="str">
        <f>'[1]all outcomes'!D71</f>
        <v>117 
 (46 to 183)</v>
      </c>
      <c r="E71" s="7" t="str">
        <f>'[1]all outcomes'!E71</f>
        <v>158 
 (67 to 232)</v>
      </c>
      <c r="F71" s="7" t="str">
        <f>'[1]all outcomes'!F71</f>
        <v>2.34k 
 (860 to 4.11k)</v>
      </c>
    </row>
    <row r="72" spans="1:7" ht="24" x14ac:dyDescent="0.35">
      <c r="A72" s="10" t="s">
        <v>12</v>
      </c>
      <c r="B72" s="7" t="str">
        <f>'[1]all outcomes'!B72</f>
        <v>30 
 (4 to 75)</v>
      </c>
      <c r="C72" s="7" t="str">
        <f>'[1]all outcomes'!C72</f>
        <v>188 
 (61 to 308)</v>
      </c>
      <c r="D72" s="7" t="str">
        <f>'[1]all outcomes'!D72</f>
        <v>306 
 (145 to 439)</v>
      </c>
      <c r="E72" s="7" t="str">
        <f>'[1]all outcomes'!E72</f>
        <v>408 
 (192 to 561)</v>
      </c>
      <c r="F72" s="7" t="str">
        <f>'[1]all outcomes'!F72</f>
        <v>4.75k 
 (1.83k to 8.35k)</v>
      </c>
    </row>
    <row r="73" spans="1:7" ht="24" x14ac:dyDescent="0.35">
      <c r="A73" s="10" t="s">
        <v>27</v>
      </c>
      <c r="B73" s="7" t="str">
        <f>'[1]all outcomes'!B73</f>
        <v>141 
 (20 to 401)</v>
      </c>
      <c r="C73" s="7" t="str">
        <f>'[1]all outcomes'!C73</f>
        <v>916 
 (278 to 1.62k)</v>
      </c>
      <c r="D73" s="7" t="str">
        <f>'[1]all outcomes'!D73</f>
        <v>1.53k 
 (688 to 2.31k)</v>
      </c>
      <c r="E73" s="7" t="str">
        <f>'[1]all outcomes'!E73</f>
        <v>1.87k 
 (828 to 2.71k)</v>
      </c>
      <c r="F73" s="7" t="str">
        <f>'[1]all outcomes'!F73</f>
        <v>19.3k 
 (7.29k to 33.1k)</v>
      </c>
    </row>
    <row r="74" spans="1:7" ht="24" x14ac:dyDescent="0.35">
      <c r="A74" s="10" t="s">
        <v>28</v>
      </c>
      <c r="B74" s="7" t="str">
        <f>'[1]all outcomes'!B74</f>
        <v>109k 
 (-143k to 804k)</v>
      </c>
      <c r="C74" s="7" t="str">
        <f>'[1]all outcomes'!C74</f>
        <v>1.05M 
 (833k to 2.85M)</v>
      </c>
      <c r="D74" s="7" t="str">
        <f>'[1]all outcomes'!D74</f>
        <v>3.57M 
 (2.89M to 8.61M)</v>
      </c>
      <c r="E74" s="7" t="str">
        <f>'[1]all outcomes'!E74</f>
        <v>3.59M 
 (2.86M to 8.88M)</v>
      </c>
      <c r="F74" s="7" t="str">
        <f>'[1]all outcomes'!F74</f>
        <v>9.49M 
 (6.65M to 23.8M)</v>
      </c>
    </row>
    <row r="75" spans="1:7" ht="24" x14ac:dyDescent="0.35">
      <c r="A75" s="10" t="s">
        <v>29</v>
      </c>
      <c r="B75" s="7" t="str">
        <f>'[1]all outcomes'!B75</f>
        <v>7.59M 
 (721k to 16.8M)</v>
      </c>
      <c r="C75" s="7" t="str">
        <f>'[1]all outcomes'!C75</f>
        <v>29.7M 
 (25.7M to 37.9M)</v>
      </c>
      <c r="D75" s="7" t="str">
        <f>'[1]all outcomes'!D75</f>
        <v>44.2M 
 (40.6M to 52.6M)</v>
      </c>
      <c r="E75" s="7" t="str">
        <f>'[1]all outcomes'!E75</f>
        <v>66.2M 
 (63.4M to 76M)</v>
      </c>
      <c r="F75" s="7" t="str">
        <f>'[1]all outcomes'!F75</f>
        <v>591M 
 (535M to 657M)</v>
      </c>
    </row>
    <row r="76" spans="1:7" ht="24" x14ac:dyDescent="0.35">
      <c r="A76" s="11" t="s">
        <v>30</v>
      </c>
      <c r="B76" s="7" t="str">
        <f>'[1]all outcomes'!B76</f>
        <v>2.24M 
 (211k to 5.49M)</v>
      </c>
      <c r="C76" s="7" t="str">
        <f>'[1]all outcomes'!C76</f>
        <v>6.74M 
 (4.78M to 9.57M)</v>
      </c>
      <c r="D76" s="7" t="str">
        <f>'[1]all outcomes'!D76</f>
        <v>15.8M 
 (14.3M to 17.8M)</v>
      </c>
      <c r="E76" s="7" t="str">
        <f>'[1]all outcomes'!E76</f>
        <v>561M 
 (559M to 563M)</v>
      </c>
      <c r="F76" s="7" t="str">
        <f>'[1]all outcomes'!F76</f>
        <v>17B 
 (17B to 17B)</v>
      </c>
    </row>
    <row r="77" spans="1:7" ht="27.75" customHeight="1" x14ac:dyDescent="0.35">
      <c r="A77" s="11" t="s">
        <v>21</v>
      </c>
      <c r="B77" s="7" t="str">
        <f>'[1]all outcomes'!B77</f>
        <v>15.1k 
 (8.06k to 49.7k)</v>
      </c>
      <c r="C77" s="7" t="str">
        <f>'[1]all outcomes'!C77</f>
        <v>6.21k 
 (2.45k to 20.9k)</v>
      </c>
      <c r="D77" s="7" t="str">
        <f>'[1]all outcomes'!D77</f>
        <v>7.95k 
 (3.59k to 15.6k)</v>
      </c>
      <c r="E77" s="7" t="str">
        <f>'[1]all outcomes'!E77</f>
        <v>298k 
 (205k to 673k)</v>
      </c>
      <c r="F77" s="7" t="str">
        <f>'[1]all outcomes'!F77</f>
        <v>882k 
 (514k to 2.34M)</v>
      </c>
      <c r="G77" s="1"/>
    </row>
    <row r="78" spans="1:7" ht="24" x14ac:dyDescent="0.35">
      <c r="A78" s="12" t="s">
        <v>31</v>
      </c>
      <c r="B78" s="8" t="str">
        <f>'[1]all outcomes'!B78</f>
        <v>3.44 
 (2.6 to 4.99)</v>
      </c>
      <c r="C78" s="8" t="str">
        <f>'[1]all outcomes'!C78</f>
        <v>4.56 
 (3.44 to 6.73)</v>
      </c>
      <c r="D78" s="8" t="str">
        <f>'[1]all outcomes'!D78</f>
        <v>3.03 
 (2.66 to 3.78)</v>
      </c>
      <c r="E78" s="7" t="str">
        <f>'[1]all outcomes'!E78</f>
        <v>0.12 
 (0.12 to 0.15)</v>
      </c>
      <c r="F78" s="7" t="str">
        <f>'[1]all outcomes'!F78</f>
        <v>0.04 
 (0.03 to 0.04)</v>
      </c>
    </row>
    <row r="79" spans="1:7" x14ac:dyDescent="0.35">
      <c r="A79" s="20" t="s">
        <v>24</v>
      </c>
      <c r="B79" s="20"/>
      <c r="C79" s="20"/>
      <c r="D79" s="20"/>
      <c r="E79" s="20"/>
      <c r="F79" s="20"/>
    </row>
    <row r="80" spans="1:7" ht="24" x14ac:dyDescent="0.35">
      <c r="A80" s="9" t="s">
        <v>32</v>
      </c>
      <c r="B80" s="7" t="str">
        <f>'[1]all outcomes'!B80</f>
        <v>2.69M 
 (1.28M to 3.76M)</v>
      </c>
      <c r="C80" s="7" t="str">
        <f>'[1]all outcomes'!C80</f>
        <v>3.99M 
 (2.66M to 4.99M)</v>
      </c>
      <c r="D80" s="7" t="str">
        <f>'[1]all outcomes'!D80</f>
        <v>12.4M 
 (11.9M to 12.9M)</v>
      </c>
      <c r="E80" s="7" t="str">
        <f>'[1]all outcomes'!E80</f>
        <v>59.8M 
 (59.3M to 60.3M)</v>
      </c>
      <c r="F80" s="7" t="str">
        <f>'[1]all outcomes'!F80</f>
        <v>2.1B 
 (2.1B to 2.1B)</v>
      </c>
    </row>
    <row r="81" spans="1:6" ht="24" x14ac:dyDescent="0.35">
      <c r="A81" s="10" t="s">
        <v>10</v>
      </c>
      <c r="B81" s="7" t="str">
        <f>'[1]all outcomes'!B81</f>
        <v>265k 
 (127k to 365k)</v>
      </c>
      <c r="C81" s="7" t="str">
        <f>'[1]all outcomes'!C81</f>
        <v>388k 
 (306k to 455k)</v>
      </c>
      <c r="D81" s="7" t="str">
        <f>'[1]all outcomes'!D81</f>
        <v>463k 
 (418k to 496k)</v>
      </c>
      <c r="E81" s="7" t="str">
        <f>'[1]all outcomes'!E81</f>
        <v>488k 
 (443k to 522k)</v>
      </c>
      <c r="F81" s="7" t="str">
        <f>'[1]all outcomes'!F81</f>
        <v>762k 
 (717k to 810k)</v>
      </c>
    </row>
    <row r="82" spans="1:6" ht="24" x14ac:dyDescent="0.35">
      <c r="A82" s="10" t="s">
        <v>11</v>
      </c>
      <c r="B82" s="7" t="str">
        <f>'[1]all outcomes'!B82</f>
        <v>309 
 (116 to 465)</v>
      </c>
      <c r="C82" s="7" t="str">
        <f>'[1]all outcomes'!C82</f>
        <v>714 
 (341 to 943)</v>
      </c>
      <c r="D82" s="7" t="str">
        <f>'[1]all outcomes'!D82</f>
        <v>765 
 (369 to 915)</v>
      </c>
      <c r="E82" s="7" t="str">
        <f>'[1]all outcomes'!E82</f>
        <v>778 
 (379 to 928)</v>
      </c>
      <c r="F82" s="7" t="str">
        <f>'[1]all outcomes'!F82</f>
        <v>858 
 (353 to 1.16k)</v>
      </c>
    </row>
    <row r="83" spans="1:6" ht="24" x14ac:dyDescent="0.35">
      <c r="A83" s="10" t="s">
        <v>12</v>
      </c>
      <c r="B83" s="7" t="str">
        <f>'[1]all outcomes'!B83</f>
        <v>273 
 (119 to 392)</v>
      </c>
      <c r="C83" s="7" t="str">
        <f>'[1]all outcomes'!C83</f>
        <v>649 
 (323 to 823)</v>
      </c>
      <c r="D83" s="7" t="str">
        <f>'[1]all outcomes'!D83</f>
        <v>1.07k 
 (501 to 1.31k)</v>
      </c>
      <c r="E83" s="7" t="str">
        <f>'[1]all outcomes'!E83</f>
        <v>1.1k 
 (520 to 1.33k)</v>
      </c>
      <c r="F83" s="7" t="str">
        <f>'[1]all outcomes'!F83</f>
        <v>1.72k 
 (840 to 2.29k)</v>
      </c>
    </row>
    <row r="84" spans="1:6" ht="24" x14ac:dyDescent="0.35">
      <c r="A84" s="10" t="s">
        <v>27</v>
      </c>
      <c r="B84" s="7" t="str">
        <f>'[1]all outcomes'!B84</f>
        <v>2.1k 
 (820 to 3.38k)</v>
      </c>
      <c r="C84" s="7" t="str">
        <f>'[1]all outcomes'!C84</f>
        <v>5.43k 
 (2.47k to 7.51k)</v>
      </c>
      <c r="D84" s="7" t="str">
        <f>'[1]all outcomes'!D84</f>
        <v>7.61k 
 (3.4k to 9.92k)</v>
      </c>
      <c r="E84" s="7" t="str">
        <f>'[1]all outcomes'!E84</f>
        <v>7.71k 
 (3.46k to 10k)</v>
      </c>
      <c r="F84" s="7" t="str">
        <f>'[1]all outcomes'!F84</f>
        <v>8.32k 
 (2.98k to 11.4k)</v>
      </c>
    </row>
    <row r="85" spans="1:6" ht="24" x14ac:dyDescent="0.35">
      <c r="A85" s="10" t="s">
        <v>28</v>
      </c>
      <c r="B85" s="7" t="str">
        <f>'[1]all outcomes'!B85</f>
        <v>35.7M 
 (24M to 59.7M)</v>
      </c>
      <c r="C85" s="7" t="str">
        <f>'[1]all outcomes'!C85</f>
        <v>52.9M 
 (38.3M to 90.2M)</v>
      </c>
      <c r="D85" s="7" t="str">
        <f>'[1]all outcomes'!D85</f>
        <v>97.4M 
 (76.1M to 166M)</v>
      </c>
      <c r="E85" s="7" t="str">
        <f>'[1]all outcomes'!E85</f>
        <v>97.6M 
 (76.2M to 166M)</v>
      </c>
      <c r="F85" s="7" t="str">
        <f>'[1]all outcomes'!F85</f>
        <v>98.7M 
 (74.8M to 175M)</v>
      </c>
    </row>
    <row r="86" spans="1:6" ht="24" x14ac:dyDescent="0.35">
      <c r="A86" s="10" t="s">
        <v>29</v>
      </c>
      <c r="B86" s="7" t="str">
        <f>'[1]all outcomes'!B86</f>
        <v>401M 
 (290M to 508M)</v>
      </c>
      <c r="C86" s="7" t="str">
        <f>'[1]all outcomes'!C86</f>
        <v>590M 
 (493M to 685M)</v>
      </c>
      <c r="D86" s="7" t="str">
        <f>'[1]all outcomes'!D86</f>
        <v>612M 
 (529M to 683M)</v>
      </c>
      <c r="E86" s="7" t="str">
        <f>'[1]all outcomes'!E86</f>
        <v>623M 
 (539M to 694M)</v>
      </c>
      <c r="F86" s="7" t="str">
        <f>'[1]all outcomes'!F86</f>
        <v>896M 
 (791M to 980M)</v>
      </c>
    </row>
    <row r="87" spans="1:6" ht="24" x14ac:dyDescent="0.35">
      <c r="A87" s="11" t="s">
        <v>30</v>
      </c>
      <c r="B87" s="7" t="str">
        <f>'[1]all outcomes'!B87</f>
        <v>60.7M 
 (41.5M to 75.1M)</v>
      </c>
      <c r="C87" s="7" t="str">
        <f>'[1]all outcomes'!C87</f>
        <v>87.3M 
 (70.4M to 100M)</v>
      </c>
      <c r="D87" s="7" t="str">
        <f>'[1]all outcomes'!D87</f>
        <v>197M 
 (189M to 204M)</v>
      </c>
      <c r="E87" s="7" t="str">
        <f>'[1]all outcomes'!E87</f>
        <v>928M 
 (921M to 936M)</v>
      </c>
      <c r="F87" s="7" t="str">
        <f>'[1]all outcomes'!F87</f>
        <v>44.9B 
 (44.9B to 44.9B)</v>
      </c>
    </row>
    <row r="88" spans="1:6" ht="24" x14ac:dyDescent="0.35">
      <c r="A88" s="11" t="s">
        <v>21</v>
      </c>
      <c r="B88" s="7" t="str">
        <f>'[1]all outcomes'!B88</f>
        <v>11.9k 
 (-1.59k to 28.7k)</v>
      </c>
      <c r="C88" s="7" t="str">
        <f>'[1]all outcomes'!C88</f>
        <v>6.33k 
 (-1.06k to 15.8k)</v>
      </c>
      <c r="D88" s="7" t="str">
        <f>'[1]all outcomes'!D88</f>
        <v>13k 
 (3.21k to 30.2k)</v>
      </c>
      <c r="E88" s="7" t="str">
        <f>'[1]all outcomes'!E88</f>
        <v>108k 
 (77.9k to 242k)</v>
      </c>
      <c r="F88" s="7" t="str">
        <f>'[1]all outcomes'!F88</f>
        <v>5.39M 
 (3.94M to 15.2M)</v>
      </c>
    </row>
    <row r="89" spans="1:6" ht="24" x14ac:dyDescent="0.35">
      <c r="A89" s="12" t="s">
        <v>31</v>
      </c>
      <c r="B89" s="8" t="str">
        <f>'[1]all outcomes'!B89</f>
        <v>7.2 
 (5.79 to 8.98)</v>
      </c>
      <c r="C89" s="8" t="str">
        <f>'[1]all outcomes'!C89</f>
        <v>7.36 
 (6.01 to 9.19)</v>
      </c>
      <c r="D89" s="8" t="str">
        <f>'[1]all outcomes'!D89</f>
        <v>3.61 
 (3.03 to 4.25)</v>
      </c>
      <c r="E89" s="7" t="str">
        <f>'[1]all outcomes'!E89</f>
        <v>0.78 
 (0.67 to 0.9)</v>
      </c>
      <c r="F89" s="7" t="str">
        <f>'[1]all outcomes'!F89</f>
        <v>0.02 
 (0.02 to 0.02)</v>
      </c>
    </row>
  </sheetData>
  <mergeCells count="8">
    <mergeCell ref="A79:F79"/>
    <mergeCell ref="A68:F68"/>
    <mergeCell ref="A2:F2"/>
    <mergeCell ref="A13:F13"/>
    <mergeCell ref="A24:F24"/>
    <mergeCell ref="A35:F35"/>
    <mergeCell ref="A46:F46"/>
    <mergeCell ref="A57:F57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7539A-1E8F-4C93-AF52-E68B0C656A24}">
  <dimension ref="A1:F9"/>
  <sheetViews>
    <sheetView zoomScale="85" zoomScaleNormal="85" workbookViewId="0">
      <selection activeCell="E20" sqref="E20"/>
    </sheetView>
  </sheetViews>
  <sheetFormatPr defaultRowHeight="14.5" x14ac:dyDescent="0.35"/>
  <cols>
    <col min="1" max="1" width="27.26953125" customWidth="1"/>
    <col min="2" max="2" width="34" customWidth="1"/>
    <col min="3" max="3" width="35.1796875" customWidth="1"/>
    <col min="4" max="4" width="33.54296875" customWidth="1"/>
    <col min="5" max="5" width="35" customWidth="1"/>
    <col min="6" max="6" width="35.26953125" customWidth="1"/>
  </cols>
  <sheetData>
    <row r="1" spans="1:6" s="2" customFormat="1" ht="29" x14ac:dyDescent="0.35">
      <c r="A1" s="3" t="s">
        <v>19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9" x14ac:dyDescent="0.35">
      <c r="A2" s="5" t="s">
        <v>22</v>
      </c>
      <c r="B2" s="6" t="str">
        <f>[1]bcrs!B2</f>
        <v>2.86 
 (2.35 to 3.54)</v>
      </c>
      <c r="C2" s="6" t="str">
        <f>[1]bcrs!C2</f>
        <v>3.24 
 (2.71 to 3.93)</v>
      </c>
      <c r="D2" s="6" t="str">
        <f>[1]bcrs!D2</f>
        <v>2.20 
 (1.89 to 2.56)</v>
      </c>
      <c r="E2" s="4" t="str">
        <f>[1]bcrs!E2</f>
        <v>0.53 
 (0.46 to 0.62)</v>
      </c>
      <c r="F2" s="4" t="str">
        <f>[1]bcrs!F2</f>
        <v>0.04 
 (0.03 to 0.04)</v>
      </c>
    </row>
    <row r="3" spans="1:6" ht="29" x14ac:dyDescent="0.35">
      <c r="A3" s="5" t="s">
        <v>25</v>
      </c>
      <c r="B3" s="6" t="str">
        <f>[1]bcrs!B3</f>
        <v>2.33 
 (1.82 to 3.05)</v>
      </c>
      <c r="C3" s="6" t="str">
        <f>[1]bcrs!C3</f>
        <v>2.50 
 (2.05 to 3.15)</v>
      </c>
      <c r="D3" s="6" t="str">
        <f>[1]bcrs!D3</f>
        <v>1.59 
 (1.35 to 1.89)</v>
      </c>
      <c r="E3" s="4" t="str">
        <f>[1]bcrs!E3</f>
        <v>0.53 
 (0.46 to 0.63)</v>
      </c>
      <c r="F3" s="4" t="str">
        <f>[1]bcrs!F3</f>
        <v>0.04 
 (0.04 to 0.05)</v>
      </c>
    </row>
    <row r="4" spans="1:6" ht="29" x14ac:dyDescent="0.35">
      <c r="A4" s="5" t="s">
        <v>13</v>
      </c>
      <c r="B4" s="6" t="str">
        <f>[1]bcrs!B4</f>
        <v>4.49 
 (2.68 to 4.95)</v>
      </c>
      <c r="C4" s="6" t="str">
        <f>[1]bcrs!C4</f>
        <v>4.75 
 (3.91 to 5.43)</v>
      </c>
      <c r="D4" s="6" t="str">
        <f>[1]bcrs!D4</f>
        <v>2.06 
 (1.82 to 2.36)</v>
      </c>
      <c r="E4" s="4" t="str">
        <f>[1]bcrs!E4</f>
        <v>0.10 
 (0.09 to 0.11)</v>
      </c>
      <c r="F4" s="4" t="str">
        <f>[1]bcrs!F4</f>
        <v>0.05 
 (0.05 to 0.06)</v>
      </c>
    </row>
    <row r="5" spans="1:6" ht="31.5" customHeight="1" x14ac:dyDescent="0.35">
      <c r="A5" s="5" t="s">
        <v>14</v>
      </c>
      <c r="B5" s="6" t="str">
        <f>[1]bcrs!B5</f>
        <v>2.34 
 (1.81 to 3.07)</v>
      </c>
      <c r="C5" s="6" t="str">
        <f>[1]bcrs!C5</f>
        <v>2.09 
 (1.67 to 2.72)</v>
      </c>
      <c r="D5" s="6" t="str">
        <f>[1]bcrs!D5</f>
        <v>1.26 
 (1.05 to 1.54)</v>
      </c>
      <c r="E5" s="4" t="str">
        <f>[1]bcrs!E5</f>
        <v>0.44 
 (0.37 to 0.52)</v>
      </c>
      <c r="F5" s="4" t="str">
        <f>[1]bcrs!F5</f>
        <v>0.04 
 (0.03 to 0.04)</v>
      </c>
    </row>
    <row r="6" spans="1:6" ht="29" x14ac:dyDescent="0.35">
      <c r="A6" s="5" t="s">
        <v>15</v>
      </c>
      <c r="B6" s="6" t="str">
        <f>[1]bcrs!B6</f>
        <v>7.40 
 (6.03 to 11.01)</v>
      </c>
      <c r="C6" s="6" t="str">
        <f>[1]bcrs!C6</f>
        <v>6.59 
 (5.44 to 8.03)</v>
      </c>
      <c r="D6" s="6" t="str">
        <f>[1]bcrs!D6</f>
        <v>4.41 
 (3.73 to 5.18)</v>
      </c>
      <c r="E6" s="4" t="str">
        <f>[1]bcrs!E6</f>
        <v>0.20 
 (0.17 to 0.23)</v>
      </c>
      <c r="F6" s="4" t="str">
        <f>[1]bcrs!F6</f>
        <v>0.06 
 (0.05 to 0.09)</v>
      </c>
    </row>
    <row r="7" spans="1:6" ht="29" x14ac:dyDescent="0.35">
      <c r="A7" s="5" t="s">
        <v>16</v>
      </c>
      <c r="B7" s="6" t="str">
        <f>[1]bcrs!B7</f>
        <v>3.44 
 (3.02 to 3.92)</v>
      </c>
      <c r="C7" s="6" t="str">
        <f>[1]bcrs!C7</f>
        <v>5.36 
 (4.77 to 6.25)</v>
      </c>
      <c r="D7" s="6" t="str">
        <f>[1]bcrs!D7</f>
        <v>4.03 
 (3.59 to 4.75)</v>
      </c>
      <c r="E7" s="6" t="str">
        <f>[1]bcrs!E7</f>
        <v>0.95 
 (0.85 to 1.11)</v>
      </c>
      <c r="F7" s="4" t="str">
        <f>[1]bcrs!F7</f>
        <v>0.04 
 (0.04 to 0.04)</v>
      </c>
    </row>
    <row r="8" spans="1:6" ht="29" x14ac:dyDescent="0.35">
      <c r="A8" s="5" t="s">
        <v>17</v>
      </c>
      <c r="B8" s="6" t="str">
        <f>[1]bcrs!B8</f>
        <v>3.44 
 (2.60 to 4.99)</v>
      </c>
      <c r="C8" s="6" t="str">
        <f>[1]bcrs!C8</f>
        <v>4.56 
 (3.44 to 6.73)</v>
      </c>
      <c r="D8" s="6" t="str">
        <f>[1]bcrs!D8</f>
        <v>3.03 
 (2.66 to 3.78)</v>
      </c>
      <c r="E8" s="4" t="str">
        <f>[1]bcrs!E8</f>
        <v>0.12 
 (0.12 to 0.15)</v>
      </c>
      <c r="F8" s="4" t="str">
        <f>[1]bcrs!F8</f>
        <v>0.04 
 (0.03 to 0.04)</v>
      </c>
    </row>
    <row r="9" spans="1:6" ht="29" x14ac:dyDescent="0.35">
      <c r="A9" s="5" t="s">
        <v>18</v>
      </c>
      <c r="B9" s="6" t="str">
        <f>[1]bcrs!B9</f>
        <v>7.20 
 (5.79 to 8.98)</v>
      </c>
      <c r="C9" s="6" t="str">
        <f>[1]bcrs!C9</f>
        <v>7.36 
 (6.01 to 9.19)</v>
      </c>
      <c r="D9" s="6" t="str">
        <f>[1]bcrs!D9</f>
        <v>3.61 
 (3.03 to 4.25)</v>
      </c>
      <c r="E9" s="4" t="str">
        <f>[1]bcrs!E9</f>
        <v>0.78 
 (0.67 to 0.90)</v>
      </c>
      <c r="F9" s="4" t="str">
        <f>[1]bcrs!F9</f>
        <v>0.02 
 (0.02 to 0.02)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33F240-9E42-42B8-9DB8-79B075865057}">
  <ds:schemaRefs>
    <ds:schemaRef ds:uri="http://schemas.microsoft.com/office/2006/metadata/properties"/>
    <ds:schemaRef ds:uri="http://schemas.microsoft.com/office/infopath/2007/PartnerControls"/>
    <ds:schemaRef ds:uri="460e4ad2-c64b-4f67-8552-094351f252e3"/>
  </ds:schemaRefs>
</ds:datastoreItem>
</file>

<file path=customXml/itemProps2.xml><?xml version="1.0" encoding="utf-8"?>
<ds:datastoreItem xmlns:ds="http://schemas.openxmlformats.org/officeDocument/2006/customXml" ds:itemID="{F4837E13-597D-42F1-AC47-A020CC0C52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0e4ad2-c64b-4f67-8552-094351f252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A43330-6D92-4A6F-A43D-261FFF07BC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slides-0</vt:lpstr>
      <vt:lpstr>slides-1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Seaman</dc:creator>
  <cp:lastModifiedBy>Farah Houdroge</cp:lastModifiedBy>
  <dcterms:created xsi:type="dcterms:W3CDTF">2025-07-22T23:55:52Z</dcterms:created>
  <dcterms:modified xsi:type="dcterms:W3CDTF">2026-03-18T14:51:03Z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  <property fmtid="{D5CDD505-2E9C-101B-9397-08002B2CF9AE}" pid="3" name="MediaServiceImageTags">
    <vt:lpwstr/>
  </property>
</Properties>
</file>